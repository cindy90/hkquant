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自定义工具\港股数据分析\港股基石建模\files\"/>
    </mc:Choice>
  </mc:AlternateContent>
  <xr:revisionPtr revIDLastSave="0" documentId="13_ncr:1_{4C97B7A1-6D5C-4F10-9ED7-F70C96767B10}" xr6:coauthVersionLast="47" xr6:coauthVersionMax="47" xr10:uidLastSave="{00000000-0000-0000-0000-000000000000}"/>
  <bookViews>
    <workbookView xWindow="-98" yWindow="-98" windowWidth="23596" windowHeight="15076" tabRatio="500" firstSheet="1" activeTab="2" xr2:uid="{00000000-000D-0000-FFFF-FFFF00000000}"/>
  </bookViews>
  <sheets>
    <sheet name="00_README" sheetId="1" r:id="rId1"/>
    <sheet name="01_ipo_master" sheetId="2" r:id="rId2"/>
    <sheet name="02_ipo_cornerstones" sheetId="3" r:id="rId3"/>
    <sheet name="03_company_fundamentals" sheetId="4" r:id="rId4"/>
    <sheet name="Sheet1" sheetId="23" r:id="rId5"/>
    <sheet name="04_ccass_unlocks" sheetId="5" r:id="rId6"/>
    <sheet name="04b_unlocks_by_company" sheetId="24" r:id="rId7"/>
    <sheet name="05_hsi_macro" sheetId="6" r:id="rId8"/>
    <sheet name="06_price_index" sheetId="7" r:id="rId9"/>
    <sheet name="07_ipo_returns" sheetId="13" r:id="rId10"/>
    <sheet name="08_offering_details" sheetId="15" r:id="rId11"/>
    <sheet name="09_allocation_results" sheetId="22" r:id="rId12"/>
    <sheet name="90_data_dictionary" sheetId="8" r:id="rId13"/>
    <sheet name="91_wind_formulas" sheetId="9" r:id="rId14"/>
  </sheets>
  <externalReferences>
    <externalReference r:id="rId15"/>
  </externalReferences>
  <calcPr calcId="191029" calcMode="manual"/>
  <extLst>
    <ext xmlns:loext="http://schemas.libreoffice.org/" uri="{7626C862-2A13-11E5-B345-FEFF819CDC9F}">
      <loext:extCalcPr stringRefSyntax="ExcelA1"/>
    </ext>
  </extLst>
</workbook>
</file>

<file path=xl/calcChain.xml><?xml version="1.0" encoding="utf-8"?>
<calcChain xmlns="http://schemas.openxmlformats.org/spreadsheetml/2006/main">
  <c r="E240" i="24" l="1"/>
  <c r="F240" i="24" s="1"/>
  <c r="D240" i="24"/>
  <c r="E239" i="24"/>
  <c r="F239" i="24" s="1"/>
  <c r="D239" i="24"/>
  <c r="E238" i="24"/>
  <c r="F238" i="24" s="1"/>
  <c r="D238" i="24"/>
  <c r="F237" i="24"/>
  <c r="E237" i="24"/>
  <c r="D237" i="24"/>
  <c r="F236" i="24"/>
  <c r="E236" i="24"/>
  <c r="D236" i="24"/>
  <c r="E235" i="24"/>
  <c r="F235" i="24" s="1"/>
  <c r="D235" i="24"/>
  <c r="E234" i="24"/>
  <c r="F234" i="24" s="1"/>
  <c r="D234" i="24"/>
  <c r="F233" i="24"/>
  <c r="E233" i="24"/>
  <c r="D233" i="24"/>
  <c r="E232" i="24"/>
  <c r="F232" i="24" s="1"/>
  <c r="D232" i="24"/>
  <c r="F231" i="24"/>
  <c r="E231" i="24"/>
  <c r="D231" i="24"/>
  <c r="F230" i="24"/>
  <c r="E230" i="24"/>
  <c r="D230" i="24"/>
  <c r="E229" i="24"/>
  <c r="F229" i="24" s="1"/>
  <c r="D229" i="24"/>
  <c r="F228" i="24"/>
  <c r="E228" i="24"/>
  <c r="D228" i="24"/>
  <c r="F227" i="24"/>
  <c r="E227" i="24"/>
  <c r="D227" i="24"/>
  <c r="E226" i="24"/>
  <c r="F226" i="24" s="1"/>
  <c r="D226" i="24"/>
  <c r="E225" i="24"/>
  <c r="F225" i="24" s="1"/>
  <c r="D225" i="24"/>
  <c r="F224" i="24"/>
  <c r="E224" i="24"/>
  <c r="D224" i="24"/>
  <c r="E223" i="24"/>
  <c r="F223" i="24" s="1"/>
  <c r="D223" i="24"/>
  <c r="E222" i="24"/>
  <c r="F222" i="24" s="1"/>
  <c r="D222" i="24"/>
  <c r="E221" i="24"/>
  <c r="F221" i="24" s="1"/>
  <c r="D221" i="24"/>
  <c r="F220" i="24"/>
  <c r="E220" i="24"/>
  <c r="D220" i="24"/>
  <c r="E219" i="24"/>
  <c r="F219" i="24" s="1"/>
  <c r="D219" i="24"/>
  <c r="E218" i="24"/>
  <c r="F218" i="24" s="1"/>
  <c r="D218" i="24"/>
  <c r="E217" i="24"/>
  <c r="F217" i="24" s="1"/>
  <c r="D217" i="24"/>
  <c r="E216" i="24"/>
  <c r="F216" i="24" s="1"/>
  <c r="D216" i="24"/>
  <c r="F215" i="24"/>
  <c r="E215" i="24"/>
  <c r="D215" i="24"/>
  <c r="F214" i="24"/>
  <c r="E214" i="24"/>
  <c r="D214" i="24"/>
  <c r="E213" i="24"/>
  <c r="F213" i="24" s="1"/>
  <c r="D213" i="24"/>
  <c r="E212" i="24"/>
  <c r="F212" i="24" s="1"/>
  <c r="D212" i="24"/>
  <c r="F211" i="24"/>
  <c r="E211" i="24"/>
  <c r="D211" i="24"/>
  <c r="E210" i="24"/>
  <c r="F210" i="24" s="1"/>
  <c r="D210" i="24"/>
  <c r="E209" i="24"/>
  <c r="F209" i="24" s="1"/>
  <c r="D209" i="24"/>
  <c r="F208" i="24"/>
  <c r="E208" i="24"/>
  <c r="D208" i="24"/>
  <c r="E207" i="24"/>
  <c r="F207" i="24" s="1"/>
  <c r="D207" i="24"/>
  <c r="E206" i="24"/>
  <c r="F206" i="24" s="1"/>
  <c r="D206" i="24"/>
  <c r="F205" i="24"/>
  <c r="E205" i="24"/>
  <c r="D205" i="24"/>
  <c r="E204" i="24"/>
  <c r="F204" i="24" s="1"/>
  <c r="D204" i="24"/>
  <c r="E203" i="24"/>
  <c r="F203" i="24" s="1"/>
  <c r="D203" i="24"/>
  <c r="F202" i="24"/>
  <c r="E202" i="24"/>
  <c r="D202" i="24"/>
  <c r="E201" i="24"/>
  <c r="F201" i="24" s="1"/>
  <c r="D201" i="24"/>
  <c r="E200" i="24"/>
  <c r="F200" i="24" s="1"/>
  <c r="D200" i="24"/>
  <c r="E199" i="24"/>
  <c r="F199" i="24" s="1"/>
  <c r="D199" i="24"/>
  <c r="F198" i="24"/>
  <c r="E198" i="24"/>
  <c r="D198" i="24"/>
  <c r="E197" i="24"/>
  <c r="F197" i="24" s="1"/>
  <c r="D197" i="24"/>
  <c r="E196" i="24"/>
  <c r="F196" i="24" s="1"/>
  <c r="D196" i="24"/>
  <c r="E195" i="24"/>
  <c r="F195" i="24" s="1"/>
  <c r="D195" i="24"/>
  <c r="E194" i="24"/>
  <c r="F194" i="24" s="1"/>
  <c r="D194" i="24"/>
  <c r="F193" i="24"/>
  <c r="E193" i="24"/>
  <c r="D193" i="24"/>
  <c r="F192" i="24"/>
  <c r="E192" i="24"/>
  <c r="D192" i="24"/>
  <c r="E191" i="24"/>
  <c r="F191" i="24" s="1"/>
  <c r="D191" i="24"/>
  <c r="E190" i="24"/>
  <c r="F190" i="24" s="1"/>
  <c r="D190" i="24"/>
  <c r="F189" i="24"/>
  <c r="E189" i="24"/>
  <c r="D189" i="24"/>
  <c r="E188" i="24"/>
  <c r="F188" i="24" s="1"/>
  <c r="D188" i="24"/>
  <c r="E187" i="24"/>
  <c r="F187" i="24" s="1"/>
  <c r="D187" i="24"/>
  <c r="F186" i="24"/>
  <c r="E186" i="24"/>
  <c r="D186" i="24"/>
  <c r="E185" i="24"/>
  <c r="F185" i="24" s="1"/>
  <c r="D185" i="24"/>
  <c r="E184" i="24"/>
  <c r="F184" i="24" s="1"/>
  <c r="D184" i="24"/>
  <c r="F183" i="24"/>
  <c r="E183" i="24"/>
  <c r="D183" i="24"/>
  <c r="E182" i="24"/>
  <c r="F182" i="24" s="1"/>
  <c r="D182" i="24"/>
  <c r="E181" i="24"/>
  <c r="F181" i="24" s="1"/>
  <c r="D181" i="24"/>
  <c r="F180" i="24"/>
  <c r="E180" i="24"/>
  <c r="D180" i="24"/>
  <c r="E179" i="24"/>
  <c r="F179" i="24" s="1"/>
  <c r="D179" i="24"/>
  <c r="F178" i="24"/>
  <c r="E178" i="24"/>
  <c r="D178" i="24"/>
  <c r="E177" i="24"/>
  <c r="F177" i="24" s="1"/>
  <c r="D177" i="24"/>
  <c r="F176" i="24"/>
  <c r="E176" i="24"/>
  <c r="D176" i="24"/>
  <c r="E175" i="24"/>
  <c r="F175" i="24" s="1"/>
  <c r="D175" i="24"/>
  <c r="E174" i="24"/>
  <c r="F174" i="24" s="1"/>
  <c r="D174" i="24"/>
  <c r="E173" i="24"/>
  <c r="F173" i="24" s="1"/>
  <c r="D173" i="24"/>
  <c r="E172" i="24"/>
  <c r="F172" i="24" s="1"/>
  <c r="D172" i="24"/>
  <c r="F171" i="24"/>
  <c r="E171" i="24"/>
  <c r="D171" i="24"/>
  <c r="F170" i="24"/>
  <c r="E170" i="24"/>
  <c r="D170" i="24"/>
  <c r="E169" i="24"/>
  <c r="F169" i="24" s="1"/>
  <c r="D169" i="24"/>
  <c r="E168" i="24"/>
  <c r="F168" i="24" s="1"/>
  <c r="D168" i="24"/>
  <c r="F167" i="24"/>
  <c r="E167" i="24"/>
  <c r="D167" i="24"/>
  <c r="E166" i="24"/>
  <c r="F166" i="24" s="1"/>
  <c r="D166" i="24"/>
  <c r="E165" i="24"/>
  <c r="F165" i="24" s="1"/>
  <c r="D165" i="24"/>
  <c r="F164" i="24"/>
  <c r="E164" i="24"/>
  <c r="D164" i="24"/>
  <c r="E163" i="24"/>
  <c r="F163" i="24" s="1"/>
  <c r="D163" i="24"/>
  <c r="E162" i="24"/>
  <c r="F162" i="24" s="1"/>
  <c r="D162" i="24"/>
  <c r="F161" i="24"/>
  <c r="E161" i="24"/>
  <c r="D161" i="24"/>
  <c r="E160" i="24"/>
  <c r="F160" i="24" s="1"/>
  <c r="D160" i="24"/>
  <c r="E159" i="24"/>
  <c r="F159" i="24" s="1"/>
  <c r="D159" i="24"/>
  <c r="F158" i="24"/>
  <c r="E158" i="24"/>
  <c r="D158" i="24"/>
  <c r="E157" i="24"/>
  <c r="F157" i="24" s="1"/>
  <c r="D157" i="24"/>
  <c r="F156" i="24"/>
  <c r="E156" i="24"/>
  <c r="D156" i="24"/>
  <c r="E155" i="24"/>
  <c r="F155" i="24" s="1"/>
  <c r="D155" i="24"/>
  <c r="F154" i="24"/>
  <c r="E154" i="24"/>
  <c r="D154" i="24"/>
  <c r="E153" i="24"/>
  <c r="F153" i="24" s="1"/>
  <c r="D153" i="24"/>
  <c r="E152" i="24"/>
  <c r="F152" i="24" s="1"/>
  <c r="D152" i="24"/>
  <c r="E151" i="24"/>
  <c r="F151" i="24" s="1"/>
  <c r="D151" i="24"/>
  <c r="E150" i="24"/>
  <c r="F150" i="24" s="1"/>
  <c r="D150" i="24"/>
  <c r="F149" i="24"/>
  <c r="E149" i="24"/>
  <c r="D149" i="24"/>
  <c r="F148" i="24"/>
  <c r="E148" i="24"/>
  <c r="D148" i="24"/>
  <c r="E147" i="24"/>
  <c r="F147" i="24" s="1"/>
  <c r="D147" i="24"/>
  <c r="E146" i="24"/>
  <c r="F146" i="24" s="1"/>
  <c r="D146" i="24"/>
  <c r="F145" i="24"/>
  <c r="E145" i="24"/>
  <c r="D145" i="24"/>
  <c r="E144" i="24"/>
  <c r="F144" i="24" s="1"/>
  <c r="D144" i="24"/>
  <c r="E143" i="24"/>
  <c r="F143" i="24" s="1"/>
  <c r="D143" i="24"/>
  <c r="F142" i="24"/>
  <c r="E142" i="24"/>
  <c r="D142" i="24"/>
  <c r="E141" i="24"/>
  <c r="F141" i="24" s="1"/>
  <c r="D141" i="24"/>
  <c r="E140" i="24"/>
  <c r="F140" i="24" s="1"/>
  <c r="D140" i="24"/>
  <c r="F139" i="24"/>
  <c r="E139" i="24"/>
  <c r="D139" i="24"/>
  <c r="E138" i="24"/>
  <c r="F138" i="24" s="1"/>
  <c r="D138" i="24"/>
  <c r="E137" i="24"/>
  <c r="F137" i="24" s="1"/>
  <c r="D137" i="24"/>
  <c r="F136" i="24"/>
  <c r="E136" i="24"/>
  <c r="D136" i="24"/>
  <c r="E135" i="24"/>
  <c r="F135" i="24" s="1"/>
  <c r="D135" i="24"/>
  <c r="F134" i="24"/>
  <c r="E134" i="24"/>
  <c r="D134" i="24"/>
  <c r="E133" i="24"/>
  <c r="F133" i="24" s="1"/>
  <c r="D133" i="24"/>
  <c r="F132" i="24"/>
  <c r="E132" i="24"/>
  <c r="D132" i="24"/>
  <c r="E131" i="24"/>
  <c r="F131" i="24" s="1"/>
  <c r="D131" i="24"/>
  <c r="E130" i="24"/>
  <c r="F130" i="24" s="1"/>
  <c r="D130" i="24"/>
  <c r="E129" i="24"/>
  <c r="F129" i="24" s="1"/>
  <c r="D129" i="24"/>
  <c r="E128" i="24"/>
  <c r="F128" i="24" s="1"/>
  <c r="D128" i="24"/>
  <c r="F127" i="24"/>
  <c r="E127" i="24"/>
  <c r="D127" i="24"/>
  <c r="F126" i="24"/>
  <c r="E126" i="24"/>
  <c r="D126" i="24"/>
  <c r="E125" i="24"/>
  <c r="F125" i="24" s="1"/>
  <c r="D125" i="24"/>
  <c r="E124" i="24"/>
  <c r="F124" i="24" s="1"/>
  <c r="D124" i="24"/>
  <c r="F123" i="24"/>
  <c r="E123" i="24"/>
  <c r="D123" i="24"/>
  <c r="E122" i="24"/>
  <c r="F122" i="24" s="1"/>
  <c r="D122" i="24"/>
  <c r="E121" i="24"/>
  <c r="F121" i="24" s="1"/>
  <c r="D121" i="24"/>
  <c r="F120" i="24"/>
  <c r="E120" i="24"/>
  <c r="D120" i="24"/>
  <c r="E119" i="24"/>
  <c r="F119" i="24" s="1"/>
  <c r="D119" i="24"/>
  <c r="E118" i="24"/>
  <c r="F118" i="24" s="1"/>
  <c r="D118" i="24"/>
  <c r="F117" i="24"/>
  <c r="E117" i="24"/>
  <c r="D117" i="24"/>
  <c r="E116" i="24"/>
  <c r="F116" i="24" s="1"/>
  <c r="D116" i="24"/>
  <c r="E115" i="24"/>
  <c r="F115" i="24" s="1"/>
  <c r="D115" i="24"/>
  <c r="F114" i="24"/>
  <c r="E114" i="24"/>
  <c r="D114" i="24"/>
  <c r="E113" i="24"/>
  <c r="F113" i="24" s="1"/>
  <c r="D113" i="24"/>
  <c r="F112" i="24"/>
  <c r="E112" i="24"/>
  <c r="D112" i="24"/>
  <c r="E111" i="24"/>
  <c r="F111" i="24" s="1"/>
  <c r="D111" i="24"/>
  <c r="F110" i="24"/>
  <c r="E110" i="24"/>
  <c r="D110" i="24"/>
  <c r="E109" i="24"/>
  <c r="F109" i="24" s="1"/>
  <c r="D109" i="24"/>
  <c r="E108" i="24"/>
  <c r="F108" i="24" s="1"/>
  <c r="D108" i="24"/>
  <c r="E107" i="24"/>
  <c r="F107" i="24" s="1"/>
  <c r="D107" i="24"/>
  <c r="E106" i="24"/>
  <c r="F106" i="24" s="1"/>
  <c r="D106" i="24"/>
  <c r="F105" i="24"/>
  <c r="E105" i="24"/>
  <c r="D105" i="24"/>
  <c r="F104" i="24"/>
  <c r="E104" i="24"/>
  <c r="D104" i="24"/>
  <c r="E103" i="24"/>
  <c r="F103" i="24" s="1"/>
  <c r="D103" i="24"/>
  <c r="E102" i="24"/>
  <c r="F102" i="24" s="1"/>
  <c r="D102" i="24"/>
  <c r="F101" i="24"/>
  <c r="E101" i="24"/>
  <c r="D101" i="24"/>
  <c r="E100" i="24"/>
  <c r="F100" i="24" s="1"/>
  <c r="D100" i="24"/>
  <c r="E99" i="24"/>
  <c r="F99" i="24" s="1"/>
  <c r="D99" i="24"/>
  <c r="F98" i="24"/>
  <c r="E98" i="24"/>
  <c r="D98" i="24"/>
  <c r="E97" i="24"/>
  <c r="F97" i="24" s="1"/>
  <c r="D97" i="24"/>
  <c r="E96" i="24"/>
  <c r="F96" i="24" s="1"/>
  <c r="D96" i="24"/>
  <c r="F95" i="24"/>
  <c r="E95" i="24"/>
  <c r="D95" i="24"/>
  <c r="E94" i="24"/>
  <c r="F94" i="24" s="1"/>
  <c r="D94" i="24"/>
  <c r="E93" i="24"/>
  <c r="F93" i="24" s="1"/>
  <c r="D93" i="24"/>
  <c r="F92" i="24"/>
  <c r="E92" i="24"/>
  <c r="D92" i="24"/>
  <c r="E91" i="24"/>
  <c r="F91" i="24" s="1"/>
  <c r="D91" i="24"/>
  <c r="F90" i="24"/>
  <c r="E90" i="24"/>
  <c r="D90" i="24"/>
  <c r="E89" i="24"/>
  <c r="F89" i="24" s="1"/>
  <c r="D89" i="24"/>
  <c r="F88" i="24"/>
  <c r="E88" i="24"/>
  <c r="D88" i="24"/>
  <c r="E87" i="24"/>
  <c r="F87" i="24" s="1"/>
  <c r="D87" i="24"/>
  <c r="E86" i="24"/>
  <c r="F86" i="24" s="1"/>
  <c r="D86" i="24"/>
  <c r="E85" i="24"/>
  <c r="F85" i="24" s="1"/>
  <c r="D85" i="24"/>
  <c r="E84" i="24"/>
  <c r="F84" i="24" s="1"/>
  <c r="D84" i="24"/>
  <c r="F83" i="24"/>
  <c r="E83" i="24"/>
  <c r="D83" i="24"/>
  <c r="F82" i="24"/>
  <c r="E82" i="24"/>
  <c r="D82" i="24"/>
  <c r="E81" i="24"/>
  <c r="F81" i="24" s="1"/>
  <c r="D81" i="24"/>
  <c r="E80" i="24"/>
  <c r="F80" i="24" s="1"/>
  <c r="D80" i="24"/>
  <c r="F79" i="24"/>
  <c r="E79" i="24"/>
  <c r="D79" i="24"/>
  <c r="E78" i="24"/>
  <c r="F78" i="24" s="1"/>
  <c r="D78" i="24"/>
  <c r="E77" i="24"/>
  <c r="F77" i="24" s="1"/>
  <c r="D77" i="24"/>
  <c r="F76" i="24"/>
  <c r="E76" i="24"/>
  <c r="D76" i="24"/>
  <c r="E75" i="24"/>
  <c r="F75" i="24" s="1"/>
  <c r="D75" i="24"/>
  <c r="E74" i="24"/>
  <c r="F74" i="24" s="1"/>
  <c r="D74" i="24"/>
  <c r="F73" i="24"/>
  <c r="E73" i="24"/>
  <c r="D73" i="24"/>
  <c r="E72" i="24"/>
  <c r="F72" i="24" s="1"/>
  <c r="D72" i="24"/>
  <c r="E71" i="24"/>
  <c r="F71" i="24" s="1"/>
  <c r="D71" i="24"/>
  <c r="F70" i="24"/>
  <c r="E70" i="24"/>
  <c r="D70" i="24"/>
  <c r="E69" i="24"/>
  <c r="F69" i="24" s="1"/>
  <c r="D69" i="24"/>
  <c r="F68" i="24"/>
  <c r="E68" i="24"/>
  <c r="D68" i="24"/>
  <c r="E67" i="24"/>
  <c r="F67" i="24" s="1"/>
  <c r="D67" i="24"/>
  <c r="F66" i="24"/>
  <c r="E66" i="24"/>
  <c r="D66" i="24"/>
  <c r="E65" i="24"/>
  <c r="F65" i="24" s="1"/>
  <c r="D65" i="24"/>
  <c r="E64" i="24"/>
  <c r="F64" i="24" s="1"/>
  <c r="D64" i="24"/>
  <c r="E63" i="24"/>
  <c r="F63" i="24" s="1"/>
  <c r="D63" i="24"/>
  <c r="E62" i="24"/>
  <c r="F62" i="24" s="1"/>
  <c r="D62" i="24"/>
  <c r="F61" i="24"/>
  <c r="E61" i="24"/>
  <c r="D61" i="24"/>
  <c r="F60" i="24"/>
  <c r="E60" i="24"/>
  <c r="D60" i="24"/>
  <c r="E59" i="24"/>
  <c r="F59" i="24" s="1"/>
  <c r="D59" i="24"/>
  <c r="E58" i="24"/>
  <c r="F58" i="24" s="1"/>
  <c r="D58" i="24"/>
  <c r="F57" i="24"/>
  <c r="E57" i="24"/>
  <c r="D57" i="24"/>
  <c r="E56" i="24"/>
  <c r="F56" i="24" s="1"/>
  <c r="D56" i="24"/>
  <c r="E55" i="24"/>
  <c r="F55" i="24" s="1"/>
  <c r="D55" i="24"/>
  <c r="F54" i="24"/>
  <c r="E54" i="24"/>
  <c r="D54" i="24"/>
  <c r="E53" i="24"/>
  <c r="F53" i="24" s="1"/>
  <c r="D53" i="24"/>
  <c r="E52" i="24"/>
  <c r="F52" i="24" s="1"/>
  <c r="D52" i="24"/>
  <c r="F51" i="24"/>
  <c r="E51" i="24"/>
  <c r="D51" i="24"/>
  <c r="E50" i="24"/>
  <c r="F50" i="24" s="1"/>
  <c r="D50" i="24"/>
  <c r="E49" i="24"/>
  <c r="F49" i="24" s="1"/>
  <c r="D49" i="24"/>
  <c r="F48" i="24"/>
  <c r="E48" i="24"/>
  <c r="D48" i="24"/>
  <c r="E47" i="24"/>
  <c r="F47" i="24" s="1"/>
  <c r="D47" i="24"/>
  <c r="F46" i="24"/>
  <c r="E46" i="24"/>
  <c r="D46" i="24"/>
  <c r="E45" i="24"/>
  <c r="F45" i="24" s="1"/>
  <c r="D45" i="24"/>
  <c r="F44" i="24"/>
  <c r="E44" i="24"/>
  <c r="D44" i="24"/>
  <c r="E43" i="24"/>
  <c r="F43" i="24" s="1"/>
  <c r="D43" i="24"/>
  <c r="E42" i="24"/>
  <c r="F42" i="24" s="1"/>
  <c r="D42" i="24"/>
  <c r="E41" i="24"/>
  <c r="F41" i="24" s="1"/>
  <c r="D41" i="24"/>
  <c r="E40" i="24"/>
  <c r="F40" i="24" s="1"/>
  <c r="D40" i="24"/>
  <c r="F39" i="24"/>
  <c r="E39" i="24"/>
  <c r="D39" i="24"/>
  <c r="F38" i="24"/>
  <c r="E38" i="24"/>
  <c r="D38" i="24"/>
  <c r="E37" i="24"/>
  <c r="F37" i="24" s="1"/>
  <c r="D37" i="24"/>
  <c r="E36" i="24"/>
  <c r="F36" i="24" s="1"/>
  <c r="D36" i="24"/>
  <c r="F35" i="24"/>
  <c r="E35" i="24"/>
  <c r="D35" i="24"/>
  <c r="E34" i="24"/>
  <c r="F34" i="24" s="1"/>
  <c r="D34" i="24"/>
  <c r="E33" i="24"/>
  <c r="F33" i="24" s="1"/>
  <c r="D33" i="24"/>
  <c r="F32" i="24"/>
  <c r="E32" i="24"/>
  <c r="D32" i="24"/>
  <c r="E31" i="24"/>
  <c r="F31" i="24" s="1"/>
  <c r="D31" i="24"/>
  <c r="E30" i="24"/>
  <c r="F30" i="24" s="1"/>
  <c r="D30" i="24"/>
  <c r="F29" i="24"/>
  <c r="E29" i="24"/>
  <c r="D29" i="24"/>
  <c r="E28" i="24"/>
  <c r="F28" i="24" s="1"/>
  <c r="D28" i="24"/>
  <c r="E27" i="24"/>
  <c r="F27" i="24" s="1"/>
  <c r="D27" i="24"/>
  <c r="F26" i="24"/>
  <c r="E26" i="24"/>
  <c r="D26" i="24"/>
  <c r="E25" i="24"/>
  <c r="F25" i="24" s="1"/>
  <c r="D25" i="24"/>
  <c r="F24" i="24"/>
  <c r="E24" i="24"/>
  <c r="D24" i="24"/>
  <c r="E23" i="24"/>
  <c r="F23" i="24" s="1"/>
  <c r="D23" i="24"/>
  <c r="F22" i="24"/>
  <c r="E22" i="24"/>
  <c r="D22" i="24"/>
  <c r="E21" i="24"/>
  <c r="F21" i="24" s="1"/>
  <c r="D21" i="24"/>
  <c r="E20" i="24"/>
  <c r="F20" i="24" s="1"/>
  <c r="D20" i="24"/>
  <c r="E19" i="24"/>
  <c r="F19" i="24" s="1"/>
  <c r="D19" i="24"/>
  <c r="E18" i="24"/>
  <c r="F18" i="24" s="1"/>
  <c r="D18" i="24"/>
  <c r="F17" i="24"/>
  <c r="E17" i="24"/>
  <c r="D17" i="24"/>
  <c r="F16" i="24"/>
  <c r="E16" i="24"/>
  <c r="D16" i="24"/>
  <c r="E15" i="24"/>
  <c r="F15" i="24" s="1"/>
  <c r="D15" i="24"/>
  <c r="E14" i="24"/>
  <c r="F14" i="24" s="1"/>
  <c r="D14" i="24"/>
  <c r="F13" i="24"/>
  <c r="E13" i="24"/>
  <c r="D13" i="24"/>
  <c r="E12" i="24"/>
  <c r="F12" i="24" s="1"/>
  <c r="D12" i="24"/>
  <c r="E11" i="24"/>
  <c r="F11" i="24" s="1"/>
  <c r="D11" i="24"/>
  <c r="F10" i="24"/>
  <c r="E10" i="24"/>
  <c r="D10" i="24"/>
  <c r="E9" i="24"/>
  <c r="F9" i="24" s="1"/>
  <c r="D9" i="24"/>
  <c r="E8" i="24"/>
  <c r="F8" i="24" s="1"/>
  <c r="D8" i="24"/>
  <c r="F7" i="24"/>
  <c r="E7" i="24"/>
  <c r="D7" i="24"/>
  <c r="E6" i="24"/>
  <c r="F6" i="24" s="1"/>
  <c r="D6" i="24"/>
  <c r="E5" i="24"/>
  <c r="F5" i="24" s="1"/>
  <c r="D5" i="24"/>
  <c r="F4" i="24"/>
  <c r="E4" i="24"/>
  <c r="D4" i="24"/>
  <c r="F3" i="24"/>
  <c r="D3" i="24"/>
  <c r="J240" i="24"/>
  <c r="I240" i="24"/>
  <c r="H240" i="24"/>
  <c r="G240" i="24"/>
  <c r="C240" i="24"/>
  <c r="J239" i="24"/>
  <c r="I239" i="24"/>
  <c r="H239" i="24"/>
  <c r="G239" i="24"/>
  <c r="C239" i="24"/>
  <c r="J238" i="24"/>
  <c r="I238" i="24"/>
  <c r="H238" i="24"/>
  <c r="G238" i="24"/>
  <c r="C238" i="24"/>
  <c r="J237" i="24"/>
  <c r="I237" i="24"/>
  <c r="H237" i="24"/>
  <c r="G237" i="24"/>
  <c r="C237" i="24"/>
  <c r="J236" i="24"/>
  <c r="I236" i="24"/>
  <c r="H236" i="24"/>
  <c r="G236" i="24"/>
  <c r="C236" i="24"/>
  <c r="J235" i="24"/>
  <c r="I235" i="24"/>
  <c r="H235" i="24"/>
  <c r="G235" i="24"/>
  <c r="C235" i="24"/>
  <c r="J234" i="24"/>
  <c r="I234" i="24"/>
  <c r="H234" i="24"/>
  <c r="G234" i="24"/>
  <c r="C234" i="24"/>
  <c r="J233" i="24"/>
  <c r="I233" i="24"/>
  <c r="H233" i="24"/>
  <c r="G233" i="24"/>
  <c r="C233" i="24"/>
  <c r="J232" i="24"/>
  <c r="I232" i="24"/>
  <c r="H232" i="24"/>
  <c r="G232" i="24"/>
  <c r="C232" i="24"/>
  <c r="J231" i="24"/>
  <c r="I231" i="24"/>
  <c r="H231" i="24"/>
  <c r="G231" i="24"/>
  <c r="C231" i="24"/>
  <c r="J230" i="24"/>
  <c r="I230" i="24"/>
  <c r="H230" i="24"/>
  <c r="G230" i="24"/>
  <c r="C230" i="24"/>
  <c r="J229" i="24"/>
  <c r="I229" i="24"/>
  <c r="H229" i="24"/>
  <c r="G229" i="24"/>
  <c r="C229" i="24"/>
  <c r="J228" i="24"/>
  <c r="I228" i="24"/>
  <c r="H228" i="24"/>
  <c r="G228" i="24"/>
  <c r="C228" i="24"/>
  <c r="J227" i="24"/>
  <c r="I227" i="24"/>
  <c r="H227" i="24"/>
  <c r="G227" i="24"/>
  <c r="C227" i="24"/>
  <c r="J226" i="24"/>
  <c r="I226" i="24"/>
  <c r="H226" i="24"/>
  <c r="G226" i="24"/>
  <c r="C226" i="24"/>
  <c r="J225" i="24"/>
  <c r="I225" i="24"/>
  <c r="H225" i="24"/>
  <c r="G225" i="24"/>
  <c r="C225" i="24"/>
  <c r="J224" i="24"/>
  <c r="I224" i="24"/>
  <c r="H224" i="24"/>
  <c r="G224" i="24"/>
  <c r="C224" i="24"/>
  <c r="J223" i="24"/>
  <c r="I223" i="24"/>
  <c r="H223" i="24"/>
  <c r="G223" i="24"/>
  <c r="C223" i="24"/>
  <c r="J222" i="24"/>
  <c r="I222" i="24"/>
  <c r="H222" i="24"/>
  <c r="G222" i="24"/>
  <c r="C222" i="24"/>
  <c r="J221" i="24"/>
  <c r="I221" i="24"/>
  <c r="H221" i="24"/>
  <c r="G221" i="24"/>
  <c r="C221" i="24"/>
  <c r="J220" i="24"/>
  <c r="I220" i="24"/>
  <c r="H220" i="24"/>
  <c r="G220" i="24"/>
  <c r="C220" i="24"/>
  <c r="J219" i="24"/>
  <c r="I219" i="24"/>
  <c r="H219" i="24"/>
  <c r="G219" i="24"/>
  <c r="C219" i="24"/>
  <c r="J218" i="24"/>
  <c r="I218" i="24"/>
  <c r="H218" i="24"/>
  <c r="G218" i="24"/>
  <c r="C218" i="24"/>
  <c r="J217" i="24"/>
  <c r="I217" i="24"/>
  <c r="H217" i="24"/>
  <c r="G217" i="24"/>
  <c r="C217" i="24"/>
  <c r="J216" i="24"/>
  <c r="I216" i="24"/>
  <c r="H216" i="24"/>
  <c r="G216" i="24"/>
  <c r="C216" i="24"/>
  <c r="J215" i="24"/>
  <c r="I215" i="24"/>
  <c r="H215" i="24"/>
  <c r="G215" i="24"/>
  <c r="C215" i="24"/>
  <c r="J214" i="24"/>
  <c r="I214" i="24"/>
  <c r="H214" i="24"/>
  <c r="G214" i="24"/>
  <c r="C214" i="24"/>
  <c r="J213" i="24"/>
  <c r="I213" i="24"/>
  <c r="H213" i="24"/>
  <c r="G213" i="24"/>
  <c r="C213" i="24"/>
  <c r="J212" i="24"/>
  <c r="I212" i="24"/>
  <c r="H212" i="24"/>
  <c r="G212" i="24"/>
  <c r="C212" i="24"/>
  <c r="J211" i="24"/>
  <c r="I211" i="24"/>
  <c r="H211" i="24"/>
  <c r="G211" i="24"/>
  <c r="C211" i="24"/>
  <c r="J210" i="24"/>
  <c r="I210" i="24"/>
  <c r="H210" i="24"/>
  <c r="G210" i="24"/>
  <c r="C210" i="24"/>
  <c r="J209" i="24"/>
  <c r="I209" i="24"/>
  <c r="H209" i="24"/>
  <c r="G209" i="24"/>
  <c r="C209" i="24"/>
  <c r="J208" i="24"/>
  <c r="I208" i="24"/>
  <c r="H208" i="24"/>
  <c r="G208" i="24"/>
  <c r="C208" i="24"/>
  <c r="J207" i="24"/>
  <c r="I207" i="24"/>
  <c r="H207" i="24"/>
  <c r="G207" i="24"/>
  <c r="C207" i="24"/>
  <c r="J206" i="24"/>
  <c r="I206" i="24"/>
  <c r="H206" i="24"/>
  <c r="G206" i="24"/>
  <c r="C206" i="24"/>
  <c r="J205" i="24"/>
  <c r="I205" i="24"/>
  <c r="H205" i="24"/>
  <c r="G205" i="24"/>
  <c r="C205" i="24"/>
  <c r="J204" i="24"/>
  <c r="I204" i="24"/>
  <c r="H204" i="24"/>
  <c r="G204" i="24"/>
  <c r="C204" i="24"/>
  <c r="J203" i="24"/>
  <c r="I203" i="24"/>
  <c r="H203" i="24"/>
  <c r="G203" i="24"/>
  <c r="C203" i="24"/>
  <c r="J202" i="24"/>
  <c r="I202" i="24"/>
  <c r="H202" i="24"/>
  <c r="G202" i="24"/>
  <c r="C202" i="24"/>
  <c r="J201" i="24"/>
  <c r="I201" i="24"/>
  <c r="H201" i="24"/>
  <c r="G201" i="24"/>
  <c r="C201" i="24"/>
  <c r="J200" i="24"/>
  <c r="I200" i="24"/>
  <c r="H200" i="24"/>
  <c r="G200" i="24"/>
  <c r="C200" i="24"/>
  <c r="J199" i="24"/>
  <c r="I199" i="24"/>
  <c r="H199" i="24"/>
  <c r="G199" i="24"/>
  <c r="C199" i="24"/>
  <c r="J198" i="24"/>
  <c r="I198" i="24"/>
  <c r="H198" i="24"/>
  <c r="G198" i="24"/>
  <c r="C198" i="24"/>
  <c r="J197" i="24"/>
  <c r="I197" i="24"/>
  <c r="H197" i="24"/>
  <c r="G197" i="24"/>
  <c r="C197" i="24"/>
  <c r="J196" i="24"/>
  <c r="I196" i="24"/>
  <c r="H196" i="24"/>
  <c r="G196" i="24"/>
  <c r="C196" i="24"/>
  <c r="J195" i="24"/>
  <c r="I195" i="24"/>
  <c r="H195" i="24"/>
  <c r="G195" i="24"/>
  <c r="C195" i="24"/>
  <c r="J194" i="24"/>
  <c r="I194" i="24"/>
  <c r="H194" i="24"/>
  <c r="G194" i="24"/>
  <c r="C194" i="24"/>
  <c r="J193" i="24"/>
  <c r="I193" i="24"/>
  <c r="H193" i="24"/>
  <c r="G193" i="24"/>
  <c r="C193" i="24"/>
  <c r="J192" i="24"/>
  <c r="I192" i="24"/>
  <c r="H192" i="24"/>
  <c r="G192" i="24"/>
  <c r="C192" i="24"/>
  <c r="J191" i="24"/>
  <c r="I191" i="24"/>
  <c r="H191" i="24"/>
  <c r="G191" i="24"/>
  <c r="C191" i="24"/>
  <c r="J190" i="24"/>
  <c r="I190" i="24"/>
  <c r="H190" i="24"/>
  <c r="G190" i="24"/>
  <c r="C190" i="24"/>
  <c r="J189" i="24"/>
  <c r="I189" i="24"/>
  <c r="H189" i="24"/>
  <c r="G189" i="24"/>
  <c r="C189" i="24"/>
  <c r="J188" i="24"/>
  <c r="I188" i="24"/>
  <c r="H188" i="24"/>
  <c r="G188" i="24"/>
  <c r="C188" i="24"/>
  <c r="J187" i="24"/>
  <c r="I187" i="24"/>
  <c r="H187" i="24"/>
  <c r="G187" i="24"/>
  <c r="C187" i="24"/>
  <c r="J186" i="24"/>
  <c r="I186" i="24"/>
  <c r="H186" i="24"/>
  <c r="G186" i="24"/>
  <c r="C186" i="24"/>
  <c r="J185" i="24"/>
  <c r="I185" i="24"/>
  <c r="H185" i="24"/>
  <c r="G185" i="24"/>
  <c r="C185" i="24"/>
  <c r="J184" i="24"/>
  <c r="I184" i="24"/>
  <c r="H184" i="24"/>
  <c r="G184" i="24"/>
  <c r="C184" i="24"/>
  <c r="J183" i="24"/>
  <c r="I183" i="24"/>
  <c r="H183" i="24"/>
  <c r="G183" i="24"/>
  <c r="C183" i="24"/>
  <c r="J182" i="24"/>
  <c r="I182" i="24"/>
  <c r="H182" i="24"/>
  <c r="G182" i="24"/>
  <c r="C182" i="24"/>
  <c r="J181" i="24"/>
  <c r="I181" i="24"/>
  <c r="H181" i="24"/>
  <c r="G181" i="24"/>
  <c r="C181" i="24"/>
  <c r="J180" i="24"/>
  <c r="I180" i="24"/>
  <c r="H180" i="24"/>
  <c r="G180" i="24"/>
  <c r="C180" i="24"/>
  <c r="J179" i="24"/>
  <c r="I179" i="24"/>
  <c r="H179" i="24"/>
  <c r="G179" i="24"/>
  <c r="C179" i="24"/>
  <c r="J178" i="24"/>
  <c r="I178" i="24"/>
  <c r="H178" i="24"/>
  <c r="G178" i="24"/>
  <c r="C178" i="24"/>
  <c r="J177" i="24"/>
  <c r="I177" i="24"/>
  <c r="H177" i="24"/>
  <c r="G177" i="24"/>
  <c r="C177" i="24"/>
  <c r="J176" i="24"/>
  <c r="I176" i="24"/>
  <c r="H176" i="24"/>
  <c r="G176" i="24"/>
  <c r="C176" i="24"/>
  <c r="J175" i="24"/>
  <c r="I175" i="24"/>
  <c r="H175" i="24"/>
  <c r="G175" i="24"/>
  <c r="C175" i="24"/>
  <c r="J174" i="24"/>
  <c r="I174" i="24"/>
  <c r="H174" i="24"/>
  <c r="G174" i="24"/>
  <c r="C174" i="24"/>
  <c r="J173" i="24"/>
  <c r="I173" i="24"/>
  <c r="H173" i="24"/>
  <c r="G173" i="24"/>
  <c r="C173" i="24"/>
  <c r="J172" i="24"/>
  <c r="I172" i="24"/>
  <c r="H172" i="24"/>
  <c r="G172" i="24"/>
  <c r="C172" i="24"/>
  <c r="J171" i="24"/>
  <c r="I171" i="24"/>
  <c r="H171" i="24"/>
  <c r="G171" i="24"/>
  <c r="C171" i="24"/>
  <c r="J170" i="24"/>
  <c r="I170" i="24"/>
  <c r="H170" i="24"/>
  <c r="G170" i="24"/>
  <c r="C170" i="24"/>
  <c r="J169" i="24"/>
  <c r="I169" i="24"/>
  <c r="H169" i="24"/>
  <c r="G169" i="24"/>
  <c r="C169" i="24"/>
  <c r="J168" i="24"/>
  <c r="I168" i="24"/>
  <c r="H168" i="24"/>
  <c r="G168" i="24"/>
  <c r="C168" i="24"/>
  <c r="J167" i="24"/>
  <c r="I167" i="24"/>
  <c r="H167" i="24"/>
  <c r="G167" i="24"/>
  <c r="C167" i="24"/>
  <c r="J166" i="24"/>
  <c r="I166" i="24"/>
  <c r="H166" i="24"/>
  <c r="G166" i="24"/>
  <c r="C166" i="24"/>
  <c r="J165" i="24"/>
  <c r="I165" i="24"/>
  <c r="H165" i="24"/>
  <c r="G165" i="24"/>
  <c r="C165" i="24"/>
  <c r="J164" i="24"/>
  <c r="I164" i="24"/>
  <c r="H164" i="24"/>
  <c r="G164" i="24"/>
  <c r="C164" i="24"/>
  <c r="J163" i="24"/>
  <c r="I163" i="24"/>
  <c r="H163" i="24"/>
  <c r="G163" i="24"/>
  <c r="C163" i="24"/>
  <c r="J162" i="24"/>
  <c r="I162" i="24"/>
  <c r="H162" i="24"/>
  <c r="G162" i="24"/>
  <c r="C162" i="24"/>
  <c r="J161" i="24"/>
  <c r="I161" i="24"/>
  <c r="H161" i="24"/>
  <c r="G161" i="24"/>
  <c r="C161" i="24"/>
  <c r="J160" i="24"/>
  <c r="I160" i="24"/>
  <c r="H160" i="24"/>
  <c r="G160" i="24"/>
  <c r="C160" i="24"/>
  <c r="J159" i="24"/>
  <c r="I159" i="24"/>
  <c r="H159" i="24"/>
  <c r="G159" i="24"/>
  <c r="C159" i="24"/>
  <c r="J158" i="24"/>
  <c r="I158" i="24"/>
  <c r="H158" i="24"/>
  <c r="G158" i="24"/>
  <c r="C158" i="24"/>
  <c r="J157" i="24"/>
  <c r="I157" i="24"/>
  <c r="H157" i="24"/>
  <c r="G157" i="24"/>
  <c r="C157" i="24"/>
  <c r="J156" i="24"/>
  <c r="I156" i="24"/>
  <c r="H156" i="24"/>
  <c r="G156" i="24"/>
  <c r="C156" i="24"/>
  <c r="J155" i="24"/>
  <c r="I155" i="24"/>
  <c r="H155" i="24"/>
  <c r="G155" i="24"/>
  <c r="C155" i="24"/>
  <c r="J154" i="24"/>
  <c r="I154" i="24"/>
  <c r="H154" i="24"/>
  <c r="G154" i="24"/>
  <c r="C154" i="24"/>
  <c r="J153" i="24"/>
  <c r="I153" i="24"/>
  <c r="H153" i="24"/>
  <c r="G153" i="24"/>
  <c r="C153" i="24"/>
  <c r="J152" i="24"/>
  <c r="I152" i="24"/>
  <c r="H152" i="24"/>
  <c r="G152" i="24"/>
  <c r="C152" i="24"/>
  <c r="J151" i="24"/>
  <c r="I151" i="24"/>
  <c r="H151" i="24"/>
  <c r="G151" i="24"/>
  <c r="C151" i="24"/>
  <c r="J150" i="24"/>
  <c r="I150" i="24"/>
  <c r="H150" i="24"/>
  <c r="G150" i="24"/>
  <c r="C150" i="24"/>
  <c r="J149" i="24"/>
  <c r="I149" i="24"/>
  <c r="H149" i="24"/>
  <c r="G149" i="24"/>
  <c r="C149" i="24"/>
  <c r="J148" i="24"/>
  <c r="I148" i="24"/>
  <c r="H148" i="24"/>
  <c r="G148" i="24"/>
  <c r="C148" i="24"/>
  <c r="J147" i="24"/>
  <c r="I147" i="24"/>
  <c r="H147" i="24"/>
  <c r="G147" i="24"/>
  <c r="C147" i="24"/>
  <c r="J146" i="24"/>
  <c r="I146" i="24"/>
  <c r="H146" i="24"/>
  <c r="G146" i="24"/>
  <c r="C146" i="24"/>
  <c r="J145" i="24"/>
  <c r="I145" i="24"/>
  <c r="H145" i="24"/>
  <c r="G145" i="24"/>
  <c r="C145" i="24"/>
  <c r="J144" i="24"/>
  <c r="I144" i="24"/>
  <c r="H144" i="24"/>
  <c r="G144" i="24"/>
  <c r="C144" i="24"/>
  <c r="J143" i="24"/>
  <c r="I143" i="24"/>
  <c r="H143" i="24"/>
  <c r="G143" i="24"/>
  <c r="C143" i="24"/>
  <c r="J142" i="24"/>
  <c r="I142" i="24"/>
  <c r="H142" i="24"/>
  <c r="G142" i="24"/>
  <c r="C142" i="24"/>
  <c r="J141" i="24"/>
  <c r="I141" i="24"/>
  <c r="H141" i="24"/>
  <c r="G141" i="24"/>
  <c r="C141" i="24"/>
  <c r="J140" i="24"/>
  <c r="I140" i="24"/>
  <c r="H140" i="24"/>
  <c r="G140" i="24"/>
  <c r="C140" i="24"/>
  <c r="J139" i="24"/>
  <c r="I139" i="24"/>
  <c r="H139" i="24"/>
  <c r="G139" i="24"/>
  <c r="C139" i="24"/>
  <c r="J138" i="24"/>
  <c r="I138" i="24"/>
  <c r="H138" i="24"/>
  <c r="G138" i="24"/>
  <c r="C138" i="24"/>
  <c r="J137" i="24"/>
  <c r="I137" i="24"/>
  <c r="H137" i="24"/>
  <c r="G137" i="24"/>
  <c r="C137" i="24"/>
  <c r="J136" i="24"/>
  <c r="I136" i="24"/>
  <c r="H136" i="24"/>
  <c r="G136" i="24"/>
  <c r="C136" i="24"/>
  <c r="J135" i="24"/>
  <c r="I135" i="24"/>
  <c r="H135" i="24"/>
  <c r="G135" i="24"/>
  <c r="C135" i="24"/>
  <c r="J134" i="24"/>
  <c r="I134" i="24"/>
  <c r="H134" i="24"/>
  <c r="G134" i="24"/>
  <c r="C134" i="24"/>
  <c r="J133" i="24"/>
  <c r="I133" i="24"/>
  <c r="H133" i="24"/>
  <c r="G133" i="24"/>
  <c r="C133" i="24"/>
  <c r="J132" i="24"/>
  <c r="I132" i="24"/>
  <c r="H132" i="24"/>
  <c r="G132" i="24"/>
  <c r="C132" i="24"/>
  <c r="J131" i="24"/>
  <c r="I131" i="24"/>
  <c r="H131" i="24"/>
  <c r="G131" i="24"/>
  <c r="C131" i="24"/>
  <c r="J130" i="24"/>
  <c r="I130" i="24"/>
  <c r="H130" i="24"/>
  <c r="G130" i="24"/>
  <c r="C130" i="24"/>
  <c r="J129" i="24"/>
  <c r="I129" i="24"/>
  <c r="H129" i="24"/>
  <c r="G129" i="24"/>
  <c r="C129" i="24"/>
  <c r="J128" i="24"/>
  <c r="I128" i="24"/>
  <c r="H128" i="24"/>
  <c r="G128" i="24"/>
  <c r="C128" i="24"/>
  <c r="J127" i="24"/>
  <c r="I127" i="24"/>
  <c r="H127" i="24"/>
  <c r="G127" i="24"/>
  <c r="C127" i="24"/>
  <c r="J126" i="24"/>
  <c r="I126" i="24"/>
  <c r="H126" i="24"/>
  <c r="G126" i="24"/>
  <c r="C126" i="24"/>
  <c r="J125" i="24"/>
  <c r="I125" i="24"/>
  <c r="H125" i="24"/>
  <c r="G125" i="24"/>
  <c r="C125" i="24"/>
  <c r="J124" i="24"/>
  <c r="I124" i="24"/>
  <c r="H124" i="24"/>
  <c r="G124" i="24"/>
  <c r="C124" i="24"/>
  <c r="J123" i="24"/>
  <c r="I123" i="24"/>
  <c r="H123" i="24"/>
  <c r="G123" i="24"/>
  <c r="C123" i="24"/>
  <c r="J122" i="24"/>
  <c r="I122" i="24"/>
  <c r="H122" i="24"/>
  <c r="G122" i="24"/>
  <c r="C122" i="24"/>
  <c r="J121" i="24"/>
  <c r="I121" i="24"/>
  <c r="H121" i="24"/>
  <c r="G121" i="24"/>
  <c r="C121" i="24"/>
  <c r="J120" i="24"/>
  <c r="I120" i="24"/>
  <c r="H120" i="24"/>
  <c r="G120" i="24"/>
  <c r="C120" i="24"/>
  <c r="J119" i="24"/>
  <c r="I119" i="24"/>
  <c r="H119" i="24"/>
  <c r="G119" i="24"/>
  <c r="C119" i="24"/>
  <c r="J118" i="24"/>
  <c r="I118" i="24"/>
  <c r="H118" i="24"/>
  <c r="G118" i="24"/>
  <c r="C118" i="24"/>
  <c r="J117" i="24"/>
  <c r="I117" i="24"/>
  <c r="H117" i="24"/>
  <c r="G117" i="24"/>
  <c r="C117" i="24"/>
  <c r="J116" i="24"/>
  <c r="I116" i="24"/>
  <c r="H116" i="24"/>
  <c r="G116" i="24"/>
  <c r="C116" i="24"/>
  <c r="J115" i="24"/>
  <c r="I115" i="24"/>
  <c r="H115" i="24"/>
  <c r="G115" i="24"/>
  <c r="C115" i="24"/>
  <c r="J114" i="24"/>
  <c r="I114" i="24"/>
  <c r="H114" i="24"/>
  <c r="G114" i="24"/>
  <c r="C114" i="24"/>
  <c r="J113" i="24"/>
  <c r="I113" i="24"/>
  <c r="H113" i="24"/>
  <c r="G113" i="24"/>
  <c r="C113" i="24"/>
  <c r="J112" i="24"/>
  <c r="I112" i="24"/>
  <c r="H112" i="24"/>
  <c r="G112" i="24"/>
  <c r="C112" i="24"/>
  <c r="J111" i="24"/>
  <c r="I111" i="24"/>
  <c r="H111" i="24"/>
  <c r="G111" i="24"/>
  <c r="C111" i="24"/>
  <c r="J110" i="24"/>
  <c r="I110" i="24"/>
  <c r="H110" i="24"/>
  <c r="G110" i="24"/>
  <c r="C110" i="24"/>
  <c r="J109" i="24"/>
  <c r="I109" i="24"/>
  <c r="H109" i="24"/>
  <c r="G109" i="24"/>
  <c r="C109" i="24"/>
  <c r="J108" i="24"/>
  <c r="I108" i="24"/>
  <c r="H108" i="24"/>
  <c r="G108" i="24"/>
  <c r="C108" i="24"/>
  <c r="J107" i="24"/>
  <c r="I107" i="24"/>
  <c r="H107" i="24"/>
  <c r="G107" i="24"/>
  <c r="C107" i="24"/>
  <c r="J106" i="24"/>
  <c r="I106" i="24"/>
  <c r="H106" i="24"/>
  <c r="G106" i="24"/>
  <c r="C106" i="24"/>
  <c r="J105" i="24"/>
  <c r="I105" i="24"/>
  <c r="H105" i="24"/>
  <c r="G105" i="24"/>
  <c r="C105" i="24"/>
  <c r="J104" i="24"/>
  <c r="I104" i="24"/>
  <c r="H104" i="24"/>
  <c r="G104" i="24"/>
  <c r="C104" i="24"/>
  <c r="J103" i="24"/>
  <c r="I103" i="24"/>
  <c r="H103" i="24"/>
  <c r="G103" i="24"/>
  <c r="C103" i="24"/>
  <c r="J102" i="24"/>
  <c r="I102" i="24"/>
  <c r="H102" i="24"/>
  <c r="G102" i="24"/>
  <c r="C102" i="24"/>
  <c r="J101" i="24"/>
  <c r="I101" i="24"/>
  <c r="H101" i="24"/>
  <c r="G101" i="24"/>
  <c r="C101" i="24"/>
  <c r="J100" i="24"/>
  <c r="I100" i="24"/>
  <c r="H100" i="24"/>
  <c r="G100" i="24"/>
  <c r="C100" i="24"/>
  <c r="J99" i="24"/>
  <c r="I99" i="24"/>
  <c r="H99" i="24"/>
  <c r="G99" i="24"/>
  <c r="C99" i="24"/>
  <c r="J98" i="24"/>
  <c r="I98" i="24"/>
  <c r="H98" i="24"/>
  <c r="G98" i="24"/>
  <c r="C98" i="24"/>
  <c r="J97" i="24"/>
  <c r="I97" i="24"/>
  <c r="H97" i="24"/>
  <c r="G97" i="24"/>
  <c r="C97" i="24"/>
  <c r="J96" i="24"/>
  <c r="I96" i="24"/>
  <c r="H96" i="24"/>
  <c r="G96" i="24"/>
  <c r="C96" i="24"/>
  <c r="J95" i="24"/>
  <c r="I95" i="24"/>
  <c r="H95" i="24"/>
  <c r="G95" i="24"/>
  <c r="C95" i="24"/>
  <c r="J94" i="24"/>
  <c r="I94" i="24"/>
  <c r="H94" i="24"/>
  <c r="G94" i="24"/>
  <c r="C94" i="24"/>
  <c r="J93" i="24"/>
  <c r="I93" i="24"/>
  <c r="H93" i="24"/>
  <c r="G93" i="24"/>
  <c r="C93" i="24"/>
  <c r="J92" i="24"/>
  <c r="I92" i="24"/>
  <c r="H92" i="24"/>
  <c r="G92" i="24"/>
  <c r="C92" i="24"/>
  <c r="J91" i="24"/>
  <c r="I91" i="24"/>
  <c r="H91" i="24"/>
  <c r="G91" i="24"/>
  <c r="C91" i="24"/>
  <c r="J90" i="24"/>
  <c r="I90" i="24"/>
  <c r="H90" i="24"/>
  <c r="G90" i="24"/>
  <c r="C90" i="24"/>
  <c r="J89" i="24"/>
  <c r="I89" i="24"/>
  <c r="H89" i="24"/>
  <c r="G89" i="24"/>
  <c r="C89" i="24"/>
  <c r="J88" i="24"/>
  <c r="I88" i="24"/>
  <c r="H88" i="24"/>
  <c r="G88" i="24"/>
  <c r="C88" i="24"/>
  <c r="J87" i="24"/>
  <c r="I87" i="24"/>
  <c r="H87" i="24"/>
  <c r="G87" i="24"/>
  <c r="C87" i="24"/>
  <c r="J86" i="24"/>
  <c r="I86" i="24"/>
  <c r="H86" i="24"/>
  <c r="G86" i="24"/>
  <c r="C86" i="24"/>
  <c r="J85" i="24"/>
  <c r="I85" i="24"/>
  <c r="H85" i="24"/>
  <c r="G85" i="24"/>
  <c r="C85" i="24"/>
  <c r="J84" i="24"/>
  <c r="I84" i="24"/>
  <c r="H84" i="24"/>
  <c r="G84" i="24"/>
  <c r="C84" i="24"/>
  <c r="J83" i="24"/>
  <c r="I83" i="24"/>
  <c r="H83" i="24"/>
  <c r="G83" i="24"/>
  <c r="C83" i="24"/>
  <c r="J82" i="24"/>
  <c r="I82" i="24"/>
  <c r="H82" i="24"/>
  <c r="G82" i="24"/>
  <c r="C82" i="24"/>
  <c r="J81" i="24"/>
  <c r="I81" i="24"/>
  <c r="H81" i="24"/>
  <c r="G81" i="24"/>
  <c r="C81" i="24"/>
  <c r="J80" i="24"/>
  <c r="I80" i="24"/>
  <c r="H80" i="24"/>
  <c r="G80" i="24"/>
  <c r="C80" i="24"/>
  <c r="J79" i="24"/>
  <c r="I79" i="24"/>
  <c r="H79" i="24"/>
  <c r="G79" i="24"/>
  <c r="C79" i="24"/>
  <c r="J78" i="24"/>
  <c r="I78" i="24"/>
  <c r="H78" i="24"/>
  <c r="G78" i="24"/>
  <c r="C78" i="24"/>
  <c r="J77" i="24"/>
  <c r="I77" i="24"/>
  <c r="H77" i="24"/>
  <c r="G77" i="24"/>
  <c r="C77" i="24"/>
  <c r="J76" i="24"/>
  <c r="I76" i="24"/>
  <c r="H76" i="24"/>
  <c r="G76" i="24"/>
  <c r="C76" i="24"/>
  <c r="J75" i="24"/>
  <c r="I75" i="24"/>
  <c r="H75" i="24"/>
  <c r="G75" i="24"/>
  <c r="C75" i="24"/>
  <c r="J74" i="24"/>
  <c r="I74" i="24"/>
  <c r="H74" i="24"/>
  <c r="G74" i="24"/>
  <c r="C74" i="24"/>
  <c r="J73" i="24"/>
  <c r="I73" i="24"/>
  <c r="H73" i="24"/>
  <c r="G73" i="24"/>
  <c r="C73" i="24"/>
  <c r="J72" i="24"/>
  <c r="I72" i="24"/>
  <c r="H72" i="24"/>
  <c r="G72" i="24"/>
  <c r="C72" i="24"/>
  <c r="J71" i="24"/>
  <c r="I71" i="24"/>
  <c r="H71" i="24"/>
  <c r="G71" i="24"/>
  <c r="C71" i="24"/>
  <c r="J70" i="24"/>
  <c r="I70" i="24"/>
  <c r="H70" i="24"/>
  <c r="G70" i="24"/>
  <c r="C70" i="24"/>
  <c r="J69" i="24"/>
  <c r="I69" i="24"/>
  <c r="H69" i="24"/>
  <c r="G69" i="24"/>
  <c r="C69" i="24"/>
  <c r="J68" i="24"/>
  <c r="I68" i="24"/>
  <c r="H68" i="24"/>
  <c r="G68" i="24"/>
  <c r="C68" i="24"/>
  <c r="J67" i="24"/>
  <c r="I67" i="24"/>
  <c r="H67" i="24"/>
  <c r="G67" i="24"/>
  <c r="C67" i="24"/>
  <c r="J66" i="24"/>
  <c r="I66" i="24"/>
  <c r="H66" i="24"/>
  <c r="G66" i="24"/>
  <c r="C66" i="24"/>
  <c r="J65" i="24"/>
  <c r="I65" i="24"/>
  <c r="H65" i="24"/>
  <c r="G65" i="24"/>
  <c r="C65" i="24"/>
  <c r="J64" i="24"/>
  <c r="I64" i="24"/>
  <c r="H64" i="24"/>
  <c r="G64" i="24"/>
  <c r="C64" i="24"/>
  <c r="J63" i="24"/>
  <c r="I63" i="24"/>
  <c r="H63" i="24"/>
  <c r="G63" i="24"/>
  <c r="C63" i="24"/>
  <c r="J62" i="24"/>
  <c r="I62" i="24"/>
  <c r="H62" i="24"/>
  <c r="G62" i="24"/>
  <c r="C62" i="24"/>
  <c r="J61" i="24"/>
  <c r="I61" i="24"/>
  <c r="H61" i="24"/>
  <c r="G61" i="24"/>
  <c r="C61" i="24"/>
  <c r="J60" i="24"/>
  <c r="I60" i="24"/>
  <c r="H60" i="24"/>
  <c r="G60" i="24"/>
  <c r="C60" i="24"/>
  <c r="J59" i="24"/>
  <c r="I59" i="24"/>
  <c r="H59" i="24"/>
  <c r="G59" i="24"/>
  <c r="C59" i="24"/>
  <c r="J58" i="24"/>
  <c r="I58" i="24"/>
  <c r="H58" i="24"/>
  <c r="G58" i="24"/>
  <c r="C58" i="24"/>
  <c r="J57" i="24"/>
  <c r="I57" i="24"/>
  <c r="H57" i="24"/>
  <c r="G57" i="24"/>
  <c r="C57" i="24"/>
  <c r="J56" i="24"/>
  <c r="I56" i="24"/>
  <c r="H56" i="24"/>
  <c r="G56" i="24"/>
  <c r="C56" i="24"/>
  <c r="J55" i="24"/>
  <c r="I55" i="24"/>
  <c r="H55" i="24"/>
  <c r="G55" i="24"/>
  <c r="C55" i="24"/>
  <c r="J54" i="24"/>
  <c r="I54" i="24"/>
  <c r="H54" i="24"/>
  <c r="G54" i="24"/>
  <c r="C54" i="24"/>
  <c r="J53" i="24"/>
  <c r="I53" i="24"/>
  <c r="H53" i="24"/>
  <c r="G53" i="24"/>
  <c r="C53" i="24"/>
  <c r="J52" i="24"/>
  <c r="I52" i="24"/>
  <c r="H52" i="24"/>
  <c r="G52" i="24"/>
  <c r="C52" i="24"/>
  <c r="J51" i="24"/>
  <c r="I51" i="24"/>
  <c r="H51" i="24"/>
  <c r="G51" i="24"/>
  <c r="C51" i="24"/>
  <c r="J50" i="24"/>
  <c r="I50" i="24"/>
  <c r="H50" i="24"/>
  <c r="G50" i="24"/>
  <c r="C50" i="24"/>
  <c r="J49" i="24"/>
  <c r="I49" i="24"/>
  <c r="H49" i="24"/>
  <c r="G49" i="24"/>
  <c r="C49" i="24"/>
  <c r="J48" i="24"/>
  <c r="I48" i="24"/>
  <c r="H48" i="24"/>
  <c r="G48" i="24"/>
  <c r="C48" i="24"/>
  <c r="J47" i="24"/>
  <c r="I47" i="24"/>
  <c r="H47" i="24"/>
  <c r="G47" i="24"/>
  <c r="C47" i="24"/>
  <c r="J46" i="24"/>
  <c r="I46" i="24"/>
  <c r="H46" i="24"/>
  <c r="G46" i="24"/>
  <c r="C46" i="24"/>
  <c r="J45" i="24"/>
  <c r="I45" i="24"/>
  <c r="H45" i="24"/>
  <c r="G45" i="24"/>
  <c r="C45" i="24"/>
  <c r="J44" i="24"/>
  <c r="I44" i="24"/>
  <c r="H44" i="24"/>
  <c r="G44" i="24"/>
  <c r="C44" i="24"/>
  <c r="J43" i="24"/>
  <c r="I43" i="24"/>
  <c r="H43" i="24"/>
  <c r="G43" i="24"/>
  <c r="C43" i="24"/>
  <c r="J42" i="24"/>
  <c r="I42" i="24"/>
  <c r="H42" i="24"/>
  <c r="G42" i="24"/>
  <c r="C42" i="24"/>
  <c r="J41" i="24"/>
  <c r="I41" i="24"/>
  <c r="H41" i="24"/>
  <c r="G41" i="24"/>
  <c r="C41" i="24"/>
  <c r="J40" i="24"/>
  <c r="I40" i="24"/>
  <c r="H40" i="24"/>
  <c r="G40" i="24"/>
  <c r="C40" i="24"/>
  <c r="J39" i="24"/>
  <c r="I39" i="24"/>
  <c r="H39" i="24"/>
  <c r="G39" i="24"/>
  <c r="C39" i="24"/>
  <c r="J38" i="24"/>
  <c r="I38" i="24"/>
  <c r="H38" i="24"/>
  <c r="G38" i="24"/>
  <c r="C38" i="24"/>
  <c r="J37" i="24"/>
  <c r="I37" i="24"/>
  <c r="H37" i="24"/>
  <c r="G37" i="24"/>
  <c r="C37" i="24"/>
  <c r="J36" i="24"/>
  <c r="I36" i="24"/>
  <c r="H36" i="24"/>
  <c r="G36" i="24"/>
  <c r="C36" i="24"/>
  <c r="J35" i="24"/>
  <c r="I35" i="24"/>
  <c r="H35" i="24"/>
  <c r="G35" i="24"/>
  <c r="C35" i="24"/>
  <c r="J34" i="24"/>
  <c r="I34" i="24"/>
  <c r="H34" i="24"/>
  <c r="G34" i="24"/>
  <c r="C34" i="24"/>
  <c r="J33" i="24"/>
  <c r="I33" i="24"/>
  <c r="H33" i="24"/>
  <c r="G33" i="24"/>
  <c r="C33" i="24"/>
  <c r="J32" i="24"/>
  <c r="I32" i="24"/>
  <c r="H32" i="24"/>
  <c r="G32" i="24"/>
  <c r="C32" i="24"/>
  <c r="J31" i="24"/>
  <c r="I31" i="24"/>
  <c r="H31" i="24"/>
  <c r="G31" i="24"/>
  <c r="C31" i="24"/>
  <c r="J30" i="24"/>
  <c r="I30" i="24"/>
  <c r="H30" i="24"/>
  <c r="G30" i="24"/>
  <c r="C30" i="24"/>
  <c r="J29" i="24"/>
  <c r="I29" i="24"/>
  <c r="H29" i="24"/>
  <c r="G29" i="24"/>
  <c r="C29" i="24"/>
  <c r="J28" i="24"/>
  <c r="I28" i="24"/>
  <c r="H28" i="24"/>
  <c r="G28" i="24"/>
  <c r="C28" i="24"/>
  <c r="J27" i="24"/>
  <c r="I27" i="24"/>
  <c r="H27" i="24"/>
  <c r="G27" i="24"/>
  <c r="C27" i="24"/>
  <c r="J26" i="24"/>
  <c r="I26" i="24"/>
  <c r="H26" i="24"/>
  <c r="G26" i="24"/>
  <c r="C26" i="24"/>
  <c r="J25" i="24"/>
  <c r="I25" i="24"/>
  <c r="H25" i="24"/>
  <c r="G25" i="24"/>
  <c r="C25" i="24"/>
  <c r="J24" i="24"/>
  <c r="I24" i="24"/>
  <c r="H24" i="24"/>
  <c r="G24" i="24"/>
  <c r="C24" i="24"/>
  <c r="J23" i="24"/>
  <c r="I23" i="24"/>
  <c r="H23" i="24"/>
  <c r="G23" i="24"/>
  <c r="C23" i="24"/>
  <c r="J22" i="24"/>
  <c r="I22" i="24"/>
  <c r="H22" i="24"/>
  <c r="G22" i="24"/>
  <c r="C22" i="24"/>
  <c r="J21" i="24"/>
  <c r="I21" i="24"/>
  <c r="H21" i="24"/>
  <c r="G21" i="24"/>
  <c r="C21" i="24"/>
  <c r="J20" i="24"/>
  <c r="I20" i="24"/>
  <c r="H20" i="24"/>
  <c r="G20" i="24"/>
  <c r="C20" i="24"/>
  <c r="J19" i="24"/>
  <c r="I19" i="24"/>
  <c r="H19" i="24"/>
  <c r="G19" i="24"/>
  <c r="C19" i="24"/>
  <c r="J18" i="24"/>
  <c r="I18" i="24"/>
  <c r="H18" i="24"/>
  <c r="G18" i="24"/>
  <c r="C18" i="24"/>
  <c r="J17" i="24"/>
  <c r="I17" i="24"/>
  <c r="H17" i="24"/>
  <c r="G17" i="24"/>
  <c r="C17" i="24"/>
  <c r="J16" i="24"/>
  <c r="I16" i="24"/>
  <c r="H16" i="24"/>
  <c r="G16" i="24"/>
  <c r="C16" i="24"/>
  <c r="J15" i="24"/>
  <c r="I15" i="24"/>
  <c r="H15" i="24"/>
  <c r="G15" i="24"/>
  <c r="C15" i="24"/>
  <c r="J14" i="24"/>
  <c r="I14" i="24"/>
  <c r="H14" i="24"/>
  <c r="G14" i="24"/>
  <c r="C14" i="24"/>
  <c r="J13" i="24"/>
  <c r="I13" i="24"/>
  <c r="H13" i="24"/>
  <c r="G13" i="24"/>
  <c r="C13" i="24"/>
  <c r="J12" i="24"/>
  <c r="I12" i="24"/>
  <c r="H12" i="24"/>
  <c r="G12" i="24"/>
  <c r="C12" i="24"/>
  <c r="J11" i="24"/>
  <c r="I11" i="24"/>
  <c r="H11" i="24"/>
  <c r="G11" i="24"/>
  <c r="C11" i="24"/>
  <c r="J10" i="24"/>
  <c r="I10" i="24"/>
  <c r="H10" i="24"/>
  <c r="G10" i="24"/>
  <c r="C10" i="24"/>
  <c r="J9" i="24"/>
  <c r="I9" i="24"/>
  <c r="H9" i="24"/>
  <c r="G9" i="24"/>
  <c r="C9" i="24"/>
  <c r="J8" i="24"/>
  <c r="I8" i="24"/>
  <c r="H8" i="24"/>
  <c r="G8" i="24"/>
  <c r="C8" i="24"/>
  <c r="J7" i="24"/>
  <c r="I7" i="24"/>
  <c r="H7" i="24"/>
  <c r="G7" i="24"/>
  <c r="C7" i="24"/>
  <c r="J6" i="24"/>
  <c r="I6" i="24"/>
  <c r="H6" i="24"/>
  <c r="G6" i="24"/>
  <c r="C6" i="24"/>
  <c r="J5" i="24"/>
  <c r="I5" i="24"/>
  <c r="H5" i="24"/>
  <c r="G5" i="24"/>
  <c r="C5" i="24"/>
  <c r="J4" i="24"/>
  <c r="I4" i="24"/>
  <c r="H4" i="24"/>
  <c r="G4" i="24"/>
  <c r="C4" i="24"/>
  <c r="J3" i="24"/>
  <c r="I3" i="24"/>
  <c r="H3" i="24"/>
  <c r="G3" i="24"/>
  <c r="E3" i="24"/>
  <c r="C3" i="24"/>
  <c r="V392" i="2"/>
  <c r="V391" i="2"/>
  <c r="V390" i="2"/>
  <c r="V389" i="2"/>
  <c r="V388" i="2"/>
  <c r="V387" i="2"/>
  <c r="V386" i="2"/>
  <c r="V385" i="2"/>
  <c r="V384" i="2"/>
  <c r="V383" i="2"/>
  <c r="V382" i="2"/>
  <c r="V381" i="2"/>
  <c r="V380" i="2"/>
  <c r="V379" i="2"/>
  <c r="V378" i="2"/>
  <c r="V377" i="2"/>
  <c r="V376" i="2"/>
  <c r="V375" i="2"/>
  <c r="V374" i="2"/>
  <c r="V373" i="2"/>
  <c r="V372" i="2"/>
  <c r="V371" i="2"/>
  <c r="V370" i="2"/>
  <c r="V369" i="2"/>
  <c r="V368" i="2"/>
  <c r="V367" i="2"/>
  <c r="V366" i="2"/>
  <c r="V365" i="2"/>
  <c r="V364" i="2"/>
  <c r="V363" i="2"/>
  <c r="V362" i="2"/>
  <c r="V361" i="2"/>
  <c r="V360" i="2"/>
  <c r="V359" i="2"/>
  <c r="V358" i="2"/>
  <c r="V357" i="2"/>
  <c r="V356" i="2"/>
  <c r="V355" i="2"/>
  <c r="V354" i="2"/>
  <c r="V353" i="2"/>
  <c r="V352" i="2"/>
  <c r="V351" i="2"/>
  <c r="V350" i="2"/>
  <c r="V349" i="2"/>
  <c r="V348" i="2"/>
  <c r="V347" i="2"/>
  <c r="V346" i="2"/>
  <c r="V345" i="2"/>
  <c r="V344" i="2"/>
  <c r="V343" i="2"/>
  <c r="V342" i="2"/>
  <c r="V341" i="2"/>
  <c r="V340" i="2"/>
  <c r="V339" i="2"/>
  <c r="V338" i="2"/>
  <c r="V337" i="2"/>
  <c r="V336" i="2"/>
  <c r="V335" i="2"/>
  <c r="V334" i="2"/>
  <c r="V333" i="2"/>
  <c r="V332" i="2"/>
  <c r="V331" i="2"/>
  <c r="V330" i="2"/>
  <c r="V329" i="2"/>
  <c r="V328" i="2"/>
  <c r="V327" i="2"/>
  <c r="V326" i="2"/>
  <c r="V325" i="2"/>
  <c r="V324" i="2"/>
  <c r="V323" i="2"/>
  <c r="V322" i="2"/>
  <c r="V321" i="2"/>
  <c r="V320" i="2"/>
  <c r="V319" i="2"/>
  <c r="V318"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79" i="2"/>
  <c r="V278" i="2"/>
  <c r="V277" i="2"/>
  <c r="V276" i="2"/>
  <c r="V275" i="2"/>
  <c r="V274" i="2"/>
  <c r="V273" i="2"/>
  <c r="V272" i="2"/>
  <c r="V271" i="2"/>
  <c r="V270" i="2"/>
  <c r="V269" i="2"/>
  <c r="V268" i="2"/>
  <c r="V267" i="2"/>
  <c r="V266" i="2"/>
  <c r="V265" i="2"/>
  <c r="V264" i="2"/>
  <c r="V263" i="2"/>
  <c r="V262" i="2"/>
  <c r="V261" i="2"/>
  <c r="V260" i="2"/>
  <c r="V259" i="2"/>
  <c r="V258" i="2"/>
  <c r="V257" i="2"/>
  <c r="V256" i="2"/>
  <c r="V255" i="2"/>
  <c r="V254" i="2"/>
  <c r="V253" i="2"/>
  <c r="V252" i="2"/>
  <c r="V251" i="2"/>
  <c r="V250" i="2"/>
  <c r="V249" i="2"/>
  <c r="V248" i="2"/>
  <c r="V247" i="2"/>
  <c r="V246" i="2"/>
  <c r="V245" i="2"/>
  <c r="V244" i="2"/>
  <c r="V243" i="2"/>
  <c r="V242" i="2"/>
  <c r="V241" i="2"/>
  <c r="V240" i="2"/>
  <c r="V239" i="2"/>
  <c r="V238" i="2"/>
  <c r="V237" i="2"/>
  <c r="V236" i="2"/>
  <c r="V235" i="2"/>
  <c r="V234" i="2"/>
  <c r="V233" i="2"/>
  <c r="V232" i="2"/>
  <c r="V231" i="2"/>
  <c r="V230" i="2"/>
  <c r="V229" i="2"/>
  <c r="V228" i="2"/>
  <c r="V227" i="2"/>
  <c r="V226" i="2"/>
  <c r="V225" i="2"/>
  <c r="V224" i="2"/>
  <c r="V223" i="2"/>
  <c r="V222" i="2"/>
  <c r="V221" i="2"/>
  <c r="V220" i="2"/>
  <c r="V219" i="2"/>
  <c r="V218" i="2"/>
  <c r="V217" i="2"/>
  <c r="V216" i="2"/>
  <c r="V215" i="2"/>
  <c r="V214" i="2"/>
  <c r="V213" i="2"/>
  <c r="V212" i="2"/>
  <c r="V211" i="2"/>
  <c r="V210" i="2"/>
  <c r="V209" i="2"/>
  <c r="V208" i="2"/>
  <c r="V207" i="2"/>
  <c r="V206" i="2"/>
  <c r="V205" i="2"/>
  <c r="V204" i="2"/>
  <c r="V203" i="2"/>
  <c r="V202" i="2"/>
  <c r="V201" i="2"/>
  <c r="V200" i="2"/>
  <c r="V199" i="2"/>
  <c r="V198" i="2"/>
  <c r="V197" i="2"/>
  <c r="V196" i="2"/>
  <c r="V195" i="2"/>
  <c r="V194" i="2"/>
  <c r="V193" i="2"/>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152" i="2"/>
  <c r="V151" i="2"/>
  <c r="V150" i="2"/>
  <c r="V149" i="2"/>
  <c r="V148" i="2"/>
  <c r="V147" i="2"/>
  <c r="V146" i="2"/>
  <c r="V145" i="2"/>
  <c r="V144" i="2"/>
  <c r="V143" i="2"/>
  <c r="V142" i="2"/>
  <c r="V141" i="2"/>
  <c r="V140"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V102" i="2"/>
  <c r="V101" i="2"/>
  <c r="V100" i="2"/>
  <c r="V99" i="2"/>
  <c r="V98" i="2"/>
  <c r="V97" i="2"/>
  <c r="V96" i="2"/>
  <c r="V95" i="2"/>
  <c r="V94" i="2"/>
  <c r="V93" i="2"/>
  <c r="V92" i="2"/>
  <c r="V91" i="2"/>
  <c r="V90" i="2"/>
  <c r="V89" i="2"/>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V5" i="2"/>
  <c r="V4" i="2"/>
  <c r="V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R19" i="2"/>
  <c r="R20" i="2"/>
  <c r="R21" i="2"/>
  <c r="R22" i="2"/>
  <c r="R23" i="2"/>
  <c r="R24" i="2"/>
  <c r="R25" i="2"/>
  <c r="R41" i="2"/>
  <c r="R42" i="2"/>
  <c r="R43" i="2"/>
  <c r="R44" i="2"/>
  <c r="R45" i="2"/>
  <c r="R46" i="2"/>
  <c r="R47" i="2"/>
  <c r="R63" i="2"/>
  <c r="R64" i="2"/>
  <c r="R65" i="2"/>
  <c r="R66" i="2"/>
  <c r="R67" i="2"/>
  <c r="R68" i="2"/>
  <c r="R69" i="2"/>
  <c r="R85" i="2"/>
  <c r="R86" i="2"/>
  <c r="R87" i="2"/>
  <c r="R88" i="2"/>
  <c r="R89" i="2"/>
  <c r="R90" i="2"/>
  <c r="R91" i="2"/>
  <c r="R107" i="2"/>
  <c r="R108" i="2"/>
  <c r="R109" i="2"/>
  <c r="R110" i="2"/>
  <c r="R111" i="2"/>
  <c r="R112" i="2"/>
  <c r="R113" i="2"/>
  <c r="R129" i="2"/>
  <c r="R130" i="2"/>
  <c r="R131" i="2"/>
  <c r="R132" i="2"/>
  <c r="R133" i="2"/>
  <c r="R134" i="2"/>
  <c r="R135" i="2"/>
  <c r="R151" i="2"/>
  <c r="R152" i="2"/>
  <c r="R153" i="2"/>
  <c r="R154" i="2"/>
  <c r="R156" i="2"/>
  <c r="R157" i="2"/>
  <c r="R173" i="2"/>
  <c r="R174" i="2"/>
  <c r="R175" i="2"/>
  <c r="R176" i="2"/>
  <c r="R177" i="2"/>
  <c r="R178" i="2"/>
  <c r="R179" i="2"/>
  <c r="R195" i="2"/>
  <c r="R196" i="2"/>
  <c r="R197" i="2"/>
  <c r="R198" i="2"/>
  <c r="R199" i="2"/>
  <c r="R200" i="2"/>
  <c r="R201" i="2"/>
  <c r="R217" i="2"/>
  <c r="R218" i="2"/>
  <c r="R219" i="2"/>
  <c r="R220" i="2"/>
  <c r="R221" i="2"/>
  <c r="R222" i="2"/>
  <c r="R223" i="2"/>
  <c r="R239" i="2"/>
  <c r="R240" i="2"/>
  <c r="R241" i="2"/>
  <c r="R242" i="2"/>
  <c r="R243" i="2"/>
  <c r="R244" i="2"/>
  <c r="R245" i="2"/>
  <c r="R261" i="2"/>
  <c r="R262" i="2"/>
  <c r="R263" i="2"/>
  <c r="R264" i="2"/>
  <c r="R265" i="2"/>
  <c r="R266" i="2"/>
  <c r="R267" i="2"/>
  <c r="R283" i="2"/>
  <c r="R284" i="2"/>
  <c r="R285" i="2"/>
  <c r="R286" i="2"/>
  <c r="R287" i="2"/>
  <c r="R288" i="2"/>
  <c r="R289" i="2"/>
  <c r="R305" i="2"/>
  <c r="R306" i="2"/>
  <c r="R307" i="2"/>
  <c r="R308" i="2"/>
  <c r="R309" i="2"/>
  <c r="R310" i="2"/>
  <c r="R311" i="2"/>
  <c r="R327" i="2"/>
  <c r="R328" i="2"/>
  <c r="R329" i="2"/>
  <c r="R330" i="2"/>
  <c r="R331" i="2"/>
  <c r="R332" i="2"/>
  <c r="R333" i="2"/>
  <c r="R349" i="2"/>
  <c r="R350" i="2"/>
  <c r="R351" i="2"/>
  <c r="R352" i="2"/>
  <c r="R353" i="2"/>
  <c r="R354" i="2"/>
  <c r="R355" i="2"/>
  <c r="R371" i="2"/>
  <c r="R372" i="2"/>
  <c r="R373" i="2"/>
  <c r="R374" i="2"/>
  <c r="R375" i="2"/>
  <c r="R376" i="2"/>
  <c r="R377" i="2"/>
  <c r="O6" i="2"/>
  <c r="O7" i="2"/>
  <c r="O8" i="2"/>
  <c r="O14" i="2"/>
  <c r="O17" i="2"/>
  <c r="O24" i="2"/>
  <c r="O25" i="2"/>
  <c r="O26" i="2"/>
  <c r="O27" i="2"/>
  <c r="O28" i="2"/>
  <c r="O29" i="2"/>
  <c r="O30" i="2"/>
  <c r="O36" i="2"/>
  <c r="O39" i="2"/>
  <c r="O50" i="2"/>
  <c r="O51" i="2"/>
  <c r="O52" i="2"/>
  <c r="O58" i="2"/>
  <c r="O61" i="2"/>
  <c r="O70" i="2"/>
  <c r="O71" i="2"/>
  <c r="O72" i="2"/>
  <c r="O73" i="2"/>
  <c r="O74" i="2"/>
  <c r="O80" i="2"/>
  <c r="O83" i="2"/>
  <c r="O94" i="2"/>
  <c r="O95" i="2"/>
  <c r="O96" i="2"/>
  <c r="O102" i="2"/>
  <c r="O105" i="2"/>
  <c r="O115" i="2"/>
  <c r="O116" i="2"/>
  <c r="O117" i="2"/>
  <c r="O118" i="2"/>
  <c r="O124" i="2"/>
  <c r="O127" i="2"/>
  <c r="O134" i="2"/>
  <c r="O135" i="2"/>
  <c r="O138" i="2"/>
  <c r="O139" i="2"/>
  <c r="O140" i="2"/>
  <c r="O146" i="2"/>
  <c r="O149" i="2"/>
  <c r="O161" i="2"/>
  <c r="O162" i="2"/>
  <c r="O168" i="2"/>
  <c r="O171" i="2"/>
  <c r="O172" i="2"/>
  <c r="O178" i="2"/>
  <c r="O179" i="2"/>
  <c r="O180" i="2"/>
  <c r="O181" i="2"/>
  <c r="O183" i="2"/>
  <c r="O184" i="2"/>
  <c r="O190" i="2"/>
  <c r="O193" i="2"/>
  <c r="O194" i="2"/>
  <c r="O205" i="2"/>
  <c r="O206" i="2"/>
  <c r="O212" i="2"/>
  <c r="O215" i="2"/>
  <c r="O216" i="2"/>
  <c r="O222" i="2"/>
  <c r="O223" i="2"/>
  <c r="O224" i="2"/>
  <c r="O225" i="2"/>
  <c r="O227" i="2"/>
  <c r="O228" i="2"/>
  <c r="O234" i="2"/>
  <c r="O237" i="2"/>
  <c r="O238" i="2"/>
  <c r="O249" i="2"/>
  <c r="O250" i="2"/>
  <c r="O256" i="2"/>
  <c r="O259" i="2"/>
  <c r="O260" i="2"/>
  <c r="O266" i="2"/>
  <c r="O267" i="2"/>
  <c r="O268" i="2"/>
  <c r="O269" i="2"/>
  <c r="O271" i="2"/>
  <c r="O272" i="2"/>
  <c r="O278" i="2"/>
  <c r="O281" i="2"/>
  <c r="O282" i="2"/>
  <c r="O293" i="2"/>
  <c r="O294" i="2"/>
  <c r="O300" i="2"/>
  <c r="O303" i="2"/>
  <c r="O304" i="2"/>
  <c r="O310" i="2"/>
  <c r="O311" i="2"/>
  <c r="O312" i="2"/>
  <c r="O313" i="2"/>
  <c r="O315" i="2"/>
  <c r="O316" i="2"/>
  <c r="O322" i="2"/>
  <c r="O325" i="2"/>
  <c r="O326" i="2"/>
  <c r="O337" i="2"/>
  <c r="O338" i="2"/>
  <c r="O344" i="2"/>
  <c r="O347" i="2"/>
  <c r="O348" i="2"/>
  <c r="O354" i="2"/>
  <c r="O355" i="2"/>
  <c r="O356" i="2"/>
  <c r="O357" i="2"/>
  <c r="O359" i="2"/>
  <c r="O360" i="2"/>
  <c r="O366" i="2"/>
  <c r="O369" i="2"/>
  <c r="O370" i="2"/>
  <c r="O381" i="2"/>
  <c r="O382" i="2"/>
  <c r="O388" i="2"/>
  <c r="O391" i="2"/>
  <c r="O392"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R392" i="2"/>
  <c r="R391" i="2"/>
  <c r="R390" i="2"/>
  <c r="R389" i="2"/>
  <c r="R388" i="2"/>
  <c r="R387" i="2"/>
  <c r="R386" i="2"/>
  <c r="R385" i="2"/>
  <c r="R384" i="2"/>
  <c r="R383" i="2"/>
  <c r="R382" i="2"/>
  <c r="R381" i="2"/>
  <c r="R380" i="2"/>
  <c r="R379" i="2"/>
  <c r="R378" i="2"/>
  <c r="R370" i="2"/>
  <c r="R369" i="2"/>
  <c r="R368" i="2"/>
  <c r="R367" i="2"/>
  <c r="R366" i="2"/>
  <c r="R365" i="2"/>
  <c r="R364" i="2"/>
  <c r="R363" i="2"/>
  <c r="R362" i="2"/>
  <c r="R361" i="2"/>
  <c r="R360" i="2"/>
  <c r="R359" i="2"/>
  <c r="R358" i="2"/>
  <c r="R357" i="2"/>
  <c r="R356" i="2"/>
  <c r="R348" i="2"/>
  <c r="R347" i="2"/>
  <c r="R346" i="2"/>
  <c r="R345" i="2"/>
  <c r="R344" i="2"/>
  <c r="R343" i="2"/>
  <c r="R342" i="2"/>
  <c r="R341" i="2"/>
  <c r="R340" i="2"/>
  <c r="R339" i="2"/>
  <c r="R338" i="2"/>
  <c r="R337" i="2"/>
  <c r="R336" i="2"/>
  <c r="R335" i="2"/>
  <c r="R334" i="2"/>
  <c r="R326" i="2"/>
  <c r="R325" i="2"/>
  <c r="R324" i="2"/>
  <c r="R323" i="2"/>
  <c r="R322" i="2"/>
  <c r="R321" i="2"/>
  <c r="R320" i="2"/>
  <c r="R319" i="2"/>
  <c r="R318" i="2"/>
  <c r="R317" i="2"/>
  <c r="R316" i="2"/>
  <c r="R315" i="2"/>
  <c r="R314" i="2"/>
  <c r="R313" i="2"/>
  <c r="R312" i="2"/>
  <c r="R304" i="2"/>
  <c r="R303" i="2"/>
  <c r="R302" i="2"/>
  <c r="R301" i="2"/>
  <c r="R300" i="2"/>
  <c r="R299" i="2"/>
  <c r="R298" i="2"/>
  <c r="R297" i="2"/>
  <c r="R296" i="2"/>
  <c r="R295" i="2"/>
  <c r="R294" i="2"/>
  <c r="R293" i="2"/>
  <c r="R292" i="2"/>
  <c r="R291" i="2"/>
  <c r="R290" i="2"/>
  <c r="R282" i="2"/>
  <c r="R281" i="2"/>
  <c r="R280" i="2"/>
  <c r="R279" i="2"/>
  <c r="R278" i="2"/>
  <c r="R277" i="2"/>
  <c r="R276" i="2"/>
  <c r="R275" i="2"/>
  <c r="R274" i="2"/>
  <c r="R273" i="2"/>
  <c r="R272" i="2"/>
  <c r="R271" i="2"/>
  <c r="R270" i="2"/>
  <c r="R269" i="2"/>
  <c r="R268" i="2"/>
  <c r="R260" i="2"/>
  <c r="R259" i="2"/>
  <c r="R258" i="2"/>
  <c r="R257" i="2"/>
  <c r="R256" i="2"/>
  <c r="R255" i="2"/>
  <c r="R254" i="2"/>
  <c r="R253" i="2"/>
  <c r="R252" i="2"/>
  <c r="R251" i="2"/>
  <c r="R250" i="2"/>
  <c r="R249" i="2"/>
  <c r="R248" i="2"/>
  <c r="R247" i="2"/>
  <c r="R246" i="2"/>
  <c r="R238" i="2"/>
  <c r="R237" i="2"/>
  <c r="R236" i="2"/>
  <c r="R235" i="2"/>
  <c r="R234" i="2"/>
  <c r="R233" i="2"/>
  <c r="R232" i="2"/>
  <c r="R231" i="2"/>
  <c r="R230" i="2"/>
  <c r="R229" i="2"/>
  <c r="R228" i="2"/>
  <c r="R227" i="2"/>
  <c r="R226" i="2"/>
  <c r="R225" i="2"/>
  <c r="R224" i="2"/>
  <c r="R216" i="2"/>
  <c r="R215" i="2"/>
  <c r="R214" i="2"/>
  <c r="R213" i="2"/>
  <c r="R212" i="2"/>
  <c r="R211" i="2"/>
  <c r="R210" i="2"/>
  <c r="R209" i="2"/>
  <c r="R208" i="2"/>
  <c r="R207" i="2"/>
  <c r="R206" i="2"/>
  <c r="R205" i="2"/>
  <c r="R204" i="2"/>
  <c r="R203" i="2"/>
  <c r="R202" i="2"/>
  <c r="R194" i="2"/>
  <c r="R193" i="2"/>
  <c r="R192" i="2"/>
  <c r="R191" i="2"/>
  <c r="R190" i="2"/>
  <c r="R189" i="2"/>
  <c r="R188" i="2"/>
  <c r="R187" i="2"/>
  <c r="R186" i="2"/>
  <c r="R185" i="2"/>
  <c r="R184" i="2"/>
  <c r="R183" i="2"/>
  <c r="R182" i="2"/>
  <c r="R181" i="2"/>
  <c r="R180" i="2"/>
  <c r="R172" i="2"/>
  <c r="R171" i="2"/>
  <c r="R170" i="2"/>
  <c r="R169" i="2"/>
  <c r="R168" i="2"/>
  <c r="R167" i="2"/>
  <c r="R166" i="2"/>
  <c r="R165" i="2"/>
  <c r="R164" i="2"/>
  <c r="R163" i="2"/>
  <c r="R162" i="2"/>
  <c r="R161" i="2"/>
  <c r="R160" i="2"/>
  <c r="R159" i="2"/>
  <c r="R158" i="2"/>
  <c r="R150" i="2"/>
  <c r="R149" i="2"/>
  <c r="R148" i="2"/>
  <c r="R147" i="2"/>
  <c r="R146" i="2"/>
  <c r="R145" i="2"/>
  <c r="R144" i="2"/>
  <c r="R143" i="2"/>
  <c r="R142" i="2"/>
  <c r="R141" i="2"/>
  <c r="R140" i="2"/>
  <c r="R139" i="2"/>
  <c r="R138" i="2"/>
  <c r="R137" i="2"/>
  <c r="R136" i="2"/>
  <c r="R128" i="2"/>
  <c r="R127" i="2"/>
  <c r="R126" i="2"/>
  <c r="R125" i="2"/>
  <c r="R124" i="2"/>
  <c r="R123" i="2"/>
  <c r="R122" i="2"/>
  <c r="R121" i="2"/>
  <c r="R120" i="2"/>
  <c r="R119" i="2"/>
  <c r="R118" i="2"/>
  <c r="R117" i="2"/>
  <c r="R116" i="2"/>
  <c r="R115" i="2"/>
  <c r="R114" i="2"/>
  <c r="R106" i="2"/>
  <c r="R105" i="2"/>
  <c r="R104" i="2"/>
  <c r="R103" i="2"/>
  <c r="R102" i="2"/>
  <c r="R101" i="2"/>
  <c r="R100" i="2"/>
  <c r="R99" i="2"/>
  <c r="R98" i="2"/>
  <c r="R97" i="2"/>
  <c r="R96" i="2"/>
  <c r="R95" i="2"/>
  <c r="R94" i="2"/>
  <c r="R93" i="2"/>
  <c r="R92" i="2"/>
  <c r="R84" i="2"/>
  <c r="R83" i="2"/>
  <c r="R82" i="2"/>
  <c r="R81" i="2"/>
  <c r="R80" i="2"/>
  <c r="R79" i="2"/>
  <c r="R78" i="2"/>
  <c r="R77" i="2"/>
  <c r="R76" i="2"/>
  <c r="R75" i="2"/>
  <c r="R74" i="2"/>
  <c r="R73" i="2"/>
  <c r="R72" i="2"/>
  <c r="R71" i="2"/>
  <c r="R70" i="2"/>
  <c r="R62" i="2"/>
  <c r="R61" i="2"/>
  <c r="R60" i="2"/>
  <c r="R59" i="2"/>
  <c r="R58" i="2"/>
  <c r="R57" i="2"/>
  <c r="R56" i="2"/>
  <c r="R55" i="2"/>
  <c r="R54" i="2"/>
  <c r="R53" i="2"/>
  <c r="R52" i="2"/>
  <c r="R51" i="2"/>
  <c r="R50" i="2"/>
  <c r="R49" i="2"/>
  <c r="R48" i="2"/>
  <c r="R40" i="2"/>
  <c r="R39" i="2"/>
  <c r="R38" i="2"/>
  <c r="R37" i="2"/>
  <c r="R36" i="2"/>
  <c r="R35" i="2"/>
  <c r="R34" i="2"/>
  <c r="R33" i="2"/>
  <c r="R32" i="2"/>
  <c r="R31" i="2"/>
  <c r="R30" i="2"/>
  <c r="R29" i="2"/>
  <c r="R28" i="2"/>
  <c r="R27" i="2"/>
  <c r="R26" i="2"/>
  <c r="R18" i="2"/>
  <c r="R17" i="2"/>
  <c r="R16" i="2"/>
  <c r="R15" i="2"/>
  <c r="R14" i="2"/>
  <c r="R13" i="2"/>
  <c r="R12" i="2"/>
  <c r="R11" i="2"/>
  <c r="R10" i="2"/>
  <c r="R9" i="2"/>
  <c r="R8" i="2"/>
  <c r="R7" i="2"/>
  <c r="R6" i="2"/>
  <c r="R5" i="2"/>
  <c r="R4" i="2"/>
  <c r="O390" i="2"/>
  <c r="O389" i="2"/>
  <c r="O387" i="2"/>
  <c r="O386" i="2"/>
  <c r="O385" i="2"/>
  <c r="O384" i="2"/>
  <c r="O383" i="2"/>
  <c r="O380" i="2"/>
  <c r="O379" i="2"/>
  <c r="O378" i="2"/>
  <c r="O377" i="2"/>
  <c r="O376" i="2"/>
  <c r="O375" i="2"/>
  <c r="O374" i="2"/>
  <c r="O373" i="2"/>
  <c r="O372" i="2"/>
  <c r="O371" i="2"/>
  <c r="O368" i="2"/>
  <c r="O367" i="2"/>
  <c r="O365" i="2"/>
  <c r="O364" i="2"/>
  <c r="O363" i="2"/>
  <c r="O362" i="2"/>
  <c r="O361" i="2"/>
  <c r="O358" i="2"/>
  <c r="O353" i="2"/>
  <c r="O352" i="2"/>
  <c r="O351" i="2"/>
  <c r="O350" i="2"/>
  <c r="O349" i="2"/>
  <c r="O346" i="2"/>
  <c r="O345" i="2"/>
  <c r="O343" i="2"/>
  <c r="O342" i="2"/>
  <c r="O341" i="2"/>
  <c r="O340" i="2"/>
  <c r="O339" i="2"/>
  <c r="O336" i="2"/>
  <c r="O335" i="2"/>
  <c r="O334" i="2"/>
  <c r="O333" i="2"/>
  <c r="O332" i="2"/>
  <c r="O331" i="2"/>
  <c r="O330" i="2"/>
  <c r="O329" i="2"/>
  <c r="O328" i="2"/>
  <c r="O327" i="2"/>
  <c r="O324" i="2"/>
  <c r="O323" i="2"/>
  <c r="O321" i="2"/>
  <c r="O320" i="2"/>
  <c r="O319" i="2"/>
  <c r="O318" i="2"/>
  <c r="O317" i="2"/>
  <c r="O314" i="2"/>
  <c r="O309" i="2"/>
  <c r="O308" i="2"/>
  <c r="O307" i="2"/>
  <c r="O306" i="2"/>
  <c r="O305" i="2"/>
  <c r="O302" i="2"/>
  <c r="O301" i="2"/>
  <c r="O299" i="2"/>
  <c r="O298" i="2"/>
  <c r="O297" i="2"/>
  <c r="O296" i="2"/>
  <c r="O295" i="2"/>
  <c r="O292" i="2"/>
  <c r="O291" i="2"/>
  <c r="O290" i="2"/>
  <c r="O289" i="2"/>
  <c r="O288" i="2"/>
  <c r="O287" i="2"/>
  <c r="O286" i="2"/>
  <c r="O285" i="2"/>
  <c r="O284" i="2"/>
  <c r="O283" i="2"/>
  <c r="O280" i="2"/>
  <c r="O279" i="2"/>
  <c r="O277" i="2"/>
  <c r="O276" i="2"/>
  <c r="O275" i="2"/>
  <c r="O274" i="2"/>
  <c r="O273" i="2"/>
  <c r="O270" i="2"/>
  <c r="O265" i="2"/>
  <c r="O264" i="2"/>
  <c r="O263" i="2"/>
  <c r="O262" i="2"/>
  <c r="O261" i="2"/>
  <c r="O258" i="2"/>
  <c r="O257" i="2"/>
  <c r="O255" i="2"/>
  <c r="O254" i="2"/>
  <c r="O253" i="2"/>
  <c r="O252" i="2"/>
  <c r="O251" i="2"/>
  <c r="O248" i="2"/>
  <c r="O247" i="2"/>
  <c r="O246" i="2"/>
  <c r="O245" i="2"/>
  <c r="O244" i="2"/>
  <c r="O243" i="2"/>
  <c r="O242" i="2"/>
  <c r="O241" i="2"/>
  <c r="O240" i="2"/>
  <c r="O239" i="2"/>
  <c r="O236" i="2"/>
  <c r="O235" i="2"/>
  <c r="O233" i="2"/>
  <c r="O232" i="2"/>
  <c r="O231" i="2"/>
  <c r="O230" i="2"/>
  <c r="O229" i="2"/>
  <c r="O226" i="2"/>
  <c r="O221" i="2"/>
  <c r="O220" i="2"/>
  <c r="O219" i="2"/>
  <c r="O218" i="2"/>
  <c r="O217" i="2"/>
  <c r="O214" i="2"/>
  <c r="O213" i="2"/>
  <c r="O211" i="2"/>
  <c r="O210" i="2"/>
  <c r="O209" i="2"/>
  <c r="O208" i="2"/>
  <c r="O207" i="2"/>
  <c r="O204" i="2"/>
  <c r="O203" i="2"/>
  <c r="O202" i="2"/>
  <c r="O201" i="2"/>
  <c r="O200" i="2"/>
  <c r="O199" i="2"/>
  <c r="O198" i="2"/>
  <c r="O197" i="2"/>
  <c r="O196" i="2"/>
  <c r="O195" i="2"/>
  <c r="O192" i="2"/>
  <c r="O191" i="2"/>
  <c r="O189" i="2"/>
  <c r="O188" i="2"/>
  <c r="O187" i="2"/>
  <c r="O186" i="2"/>
  <c r="O185" i="2"/>
  <c r="O182" i="2"/>
  <c r="O177" i="2"/>
  <c r="O176" i="2"/>
  <c r="O175" i="2"/>
  <c r="O174" i="2"/>
  <c r="O173" i="2"/>
  <c r="O170" i="2"/>
  <c r="O169" i="2"/>
  <c r="O167" i="2"/>
  <c r="O166" i="2"/>
  <c r="O165" i="2"/>
  <c r="O164" i="2"/>
  <c r="O163" i="2"/>
  <c r="O160" i="2"/>
  <c r="O159" i="2"/>
  <c r="O158" i="2"/>
  <c r="O157" i="2"/>
  <c r="O156" i="2"/>
  <c r="O154" i="2"/>
  <c r="O153" i="2"/>
  <c r="O152" i="2"/>
  <c r="O151" i="2"/>
  <c r="O150" i="2"/>
  <c r="O148" i="2"/>
  <c r="O147" i="2"/>
  <c r="O145" i="2"/>
  <c r="O144" i="2"/>
  <c r="O143" i="2"/>
  <c r="O142" i="2"/>
  <c r="O141" i="2"/>
  <c r="O137" i="2"/>
  <c r="O136" i="2"/>
  <c r="O133" i="2"/>
  <c r="O132" i="2"/>
  <c r="O131" i="2"/>
  <c r="O130" i="2"/>
  <c r="O129" i="2"/>
  <c r="O128" i="2"/>
  <c r="O126" i="2"/>
  <c r="O125" i="2"/>
  <c r="O123" i="2"/>
  <c r="O122" i="2"/>
  <c r="O121" i="2"/>
  <c r="O120" i="2"/>
  <c r="O119" i="2"/>
  <c r="O114" i="2"/>
  <c r="O113" i="2"/>
  <c r="O112" i="2"/>
  <c r="O111" i="2"/>
  <c r="O110" i="2"/>
  <c r="O109" i="2"/>
  <c r="O108" i="2"/>
  <c r="O107" i="2"/>
  <c r="O106" i="2"/>
  <c r="O104" i="2"/>
  <c r="O103" i="2"/>
  <c r="O101" i="2"/>
  <c r="O100" i="2"/>
  <c r="O99" i="2"/>
  <c r="O98" i="2"/>
  <c r="O97" i="2"/>
  <c r="O93" i="2"/>
  <c r="O92" i="2"/>
  <c r="O91" i="2"/>
  <c r="O90" i="2"/>
  <c r="O89" i="2"/>
  <c r="O88" i="2"/>
  <c r="O87" i="2"/>
  <c r="O86" i="2"/>
  <c r="O85" i="2"/>
  <c r="O84" i="2"/>
  <c r="O82" i="2"/>
  <c r="O81" i="2"/>
  <c r="O79" i="2"/>
  <c r="O78" i="2"/>
  <c r="O77" i="2"/>
  <c r="O76" i="2"/>
  <c r="O75" i="2"/>
  <c r="O69" i="2"/>
  <c r="O68" i="2"/>
  <c r="O67" i="2"/>
  <c r="O66" i="2"/>
  <c r="O65" i="2"/>
  <c r="O64" i="2"/>
  <c r="O63" i="2"/>
  <c r="O62" i="2"/>
  <c r="O60" i="2"/>
  <c r="O59" i="2"/>
  <c r="O57" i="2"/>
  <c r="O56" i="2"/>
  <c r="O55" i="2"/>
  <c r="O54" i="2"/>
  <c r="O53" i="2"/>
  <c r="O49" i="2"/>
  <c r="O48" i="2"/>
  <c r="O47" i="2"/>
  <c r="O46" i="2"/>
  <c r="O45" i="2"/>
  <c r="O44" i="2"/>
  <c r="O43" i="2"/>
  <c r="O42" i="2"/>
  <c r="O41" i="2"/>
  <c r="O40" i="2"/>
  <c r="O38" i="2"/>
  <c r="O37" i="2"/>
  <c r="O35" i="2"/>
  <c r="O34" i="2"/>
  <c r="O33" i="2"/>
  <c r="O32" i="2"/>
  <c r="O31" i="2"/>
  <c r="O23" i="2"/>
  <c r="O22" i="2"/>
  <c r="O21" i="2"/>
  <c r="O20" i="2"/>
  <c r="O19" i="2"/>
  <c r="O18" i="2"/>
  <c r="O16" i="2"/>
  <c r="O15" i="2"/>
  <c r="O13" i="2"/>
  <c r="O12" i="2"/>
  <c r="O11" i="2"/>
  <c r="O10" i="2"/>
  <c r="O9" i="2"/>
  <c r="O5" i="2"/>
  <c r="O4"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N4" i="4"/>
  <c r="F4" i="7"/>
  <c r="E4" i="7"/>
  <c r="D4" i="7"/>
  <c r="C4" i="7"/>
  <c r="K284" i="4"/>
  <c r="K304" i="4"/>
  <c r="G283" i="4"/>
  <c r="K223" i="4"/>
  <c r="I338" i="4"/>
  <c r="D163" i="4"/>
  <c r="H350" i="4"/>
  <c r="L286" i="4"/>
  <c r="M252" i="4"/>
  <c r="D161" i="4"/>
  <c r="I366" i="4"/>
  <c r="L332" i="4"/>
  <c r="J337" i="4"/>
  <c r="G169" i="4"/>
  <c r="C352" i="4"/>
  <c r="L362" i="4"/>
  <c r="C382" i="4"/>
  <c r="F90" i="4"/>
  <c r="F25" i="4"/>
  <c r="E297" i="4"/>
  <c r="K318" i="4"/>
  <c r="I255" i="4"/>
  <c r="C134" i="4"/>
  <c r="E305" i="4"/>
  <c r="D388" i="4"/>
  <c r="E377" i="4"/>
  <c r="H311" i="4"/>
  <c r="G120" i="4"/>
  <c r="E166" i="4"/>
  <c r="M219" i="4"/>
  <c r="E9" i="4"/>
  <c r="I169" i="4"/>
  <c r="H78" i="4"/>
  <c r="F387" i="4"/>
  <c r="E130" i="4"/>
  <c r="L43" i="4"/>
  <c r="C126" i="4"/>
  <c r="I15" i="4"/>
  <c r="F377" i="4"/>
  <c r="L326" i="4"/>
  <c r="K66" i="4"/>
  <c r="M153" i="4"/>
  <c r="F254" i="4"/>
  <c r="I201" i="4"/>
  <c r="D172" i="4"/>
  <c r="J74" i="4"/>
  <c r="H318" i="4"/>
  <c r="E32" i="4"/>
  <c r="K62" i="4"/>
  <c r="D137" i="4"/>
  <c r="F112" i="4"/>
  <c r="C80" i="4"/>
  <c r="C46" i="4"/>
  <c r="D218" i="4"/>
  <c r="K358" i="4"/>
  <c r="M158" i="4"/>
  <c r="M211" i="4"/>
  <c r="H325" i="4"/>
  <c r="F79" i="4"/>
  <c r="I271" i="4"/>
  <c r="G48" i="4"/>
  <c r="L13" i="4"/>
  <c r="G102" i="4"/>
  <c r="K179" i="4"/>
  <c r="I387" i="4"/>
  <c r="M236" i="4"/>
  <c r="C274" i="4"/>
  <c r="G332" i="4"/>
  <c r="D358" i="4"/>
  <c r="L324" i="4"/>
  <c r="F139" i="4"/>
  <c r="C264" i="4"/>
  <c r="K93" i="4"/>
  <c r="D210" i="4"/>
  <c r="D55" i="4"/>
  <c r="G347" i="4"/>
  <c r="H101" i="4"/>
  <c r="H121" i="4"/>
  <c r="K241" i="4"/>
  <c r="K111" i="4"/>
  <c r="D22" i="4"/>
  <c r="C303" i="4"/>
  <c r="K259" i="4"/>
  <c r="H91" i="4"/>
  <c r="I124" i="4"/>
  <c r="L216" i="4"/>
  <c r="E14" i="4"/>
  <c r="E327" i="4"/>
  <c r="H60" i="4"/>
  <c r="H93" i="4"/>
  <c r="I190" i="4"/>
  <c r="E388" i="4"/>
  <c r="E185" i="4"/>
  <c r="C374" i="4"/>
  <c r="D292" i="4"/>
  <c r="I136" i="4"/>
  <c r="I332" i="4"/>
  <c r="M250" i="4"/>
  <c r="H331" i="4"/>
  <c r="L322" i="4"/>
  <c r="D30" i="4"/>
  <c r="C184" i="4"/>
  <c r="F106" i="4"/>
  <c r="D363" i="4"/>
  <c r="J275" i="4"/>
  <c r="E109" i="4"/>
  <c r="D238" i="4"/>
  <c r="I4" i="4"/>
  <c r="J106" i="4"/>
  <c r="F331" i="4"/>
  <c r="H387" i="4"/>
  <c r="J238" i="4"/>
  <c r="F210" i="4"/>
  <c r="F251" i="4"/>
  <c r="K291" i="4"/>
  <c r="G56" i="4"/>
  <c r="F99" i="4"/>
  <c r="K210" i="4"/>
  <c r="L340" i="4"/>
  <c r="D116" i="4"/>
  <c r="I246" i="4"/>
  <c r="K310" i="4"/>
  <c r="H13" i="4"/>
  <c r="J122" i="4"/>
  <c r="C260" i="4"/>
  <c r="K247" i="4"/>
  <c r="L175" i="4"/>
  <c r="H27" i="4"/>
  <c r="K42" i="4"/>
  <c r="I64" i="4"/>
  <c r="J249" i="4"/>
  <c r="C37" i="4"/>
  <c r="F257" i="4"/>
  <c r="K63" i="4"/>
  <c r="E309" i="4"/>
  <c r="F12" i="4"/>
  <c r="I84" i="4"/>
  <c r="L111" i="4"/>
  <c r="J32" i="4"/>
  <c r="I351" i="4"/>
  <c r="K192" i="4"/>
  <c r="G268" i="4"/>
  <c r="H315" i="4"/>
  <c r="L107" i="4"/>
  <c r="H43" i="4"/>
  <c r="J14" i="4"/>
  <c r="I290" i="4"/>
  <c r="H92" i="4"/>
  <c r="G108" i="4"/>
  <c r="M85" i="4"/>
  <c r="D291" i="4"/>
  <c r="E370" i="4"/>
  <c r="J95" i="4"/>
  <c r="M15" i="4"/>
  <c r="H33" i="4"/>
  <c r="D360" i="4"/>
  <c r="H116" i="4"/>
  <c r="D147" i="4"/>
  <c r="G16" i="4"/>
  <c r="K197" i="4"/>
  <c r="F131" i="4"/>
  <c r="K388" i="4"/>
  <c r="H82" i="4"/>
  <c r="G204" i="4"/>
  <c r="I65" i="4"/>
  <c r="F150" i="4"/>
  <c r="D273" i="4"/>
  <c r="I133" i="4"/>
  <c r="J231" i="4"/>
  <c r="F189" i="4"/>
  <c r="F243" i="4"/>
  <c r="E339" i="4"/>
  <c r="M200" i="4"/>
  <c r="F57" i="4"/>
  <c r="C116" i="4"/>
  <c r="K162" i="4"/>
  <c r="K273" i="4"/>
  <c r="H119" i="4"/>
  <c r="J94" i="4"/>
  <c r="D261" i="4"/>
  <c r="E250" i="4"/>
  <c r="G43" i="4"/>
  <c r="K329" i="4"/>
  <c r="F281" i="4"/>
  <c r="C328" i="4"/>
  <c r="J318" i="4"/>
  <c r="D103" i="4"/>
  <c r="M321" i="4"/>
  <c r="I92" i="4"/>
  <c r="K145" i="4"/>
  <c r="L167" i="4"/>
  <c r="F319" i="4"/>
  <c r="J216" i="4"/>
  <c r="C159" i="4"/>
  <c r="M336" i="4"/>
  <c r="C104" i="4"/>
  <c r="E150" i="4"/>
  <c r="G230" i="4"/>
  <c r="G333" i="4"/>
  <c r="E11" i="4"/>
  <c r="L74" i="4"/>
  <c r="D331" i="4"/>
  <c r="H264" i="4"/>
  <c r="I32" i="4"/>
  <c r="D243" i="4"/>
  <c r="E351" i="4"/>
  <c r="C228" i="4"/>
  <c r="C377" i="4"/>
  <c r="J43" i="4"/>
  <c r="J349" i="4"/>
  <c r="C36" i="4"/>
  <c r="L292" i="4"/>
  <c r="G240" i="4"/>
  <c r="H146" i="4"/>
  <c r="J201" i="4"/>
  <c r="I170" i="4"/>
  <c r="L225" i="4"/>
  <c r="C58" i="4"/>
  <c r="J57" i="4"/>
  <c r="C73" i="4"/>
  <c r="G362" i="4"/>
  <c r="J379" i="4"/>
  <c r="H208" i="4"/>
  <c r="F83" i="4"/>
  <c r="J109" i="4"/>
  <c r="J163" i="4"/>
  <c r="G276" i="4"/>
  <c r="H54" i="4"/>
  <c r="K30" i="4"/>
  <c r="L356" i="4"/>
  <c r="G219" i="4"/>
  <c r="H211" i="4"/>
  <c r="M164" i="4"/>
  <c r="J58" i="4"/>
  <c r="I27" i="4"/>
  <c r="C94" i="4"/>
  <c r="E293" i="4"/>
  <c r="G298" i="4"/>
  <c r="J210" i="4"/>
  <c r="J226" i="4"/>
  <c r="L34" i="4"/>
  <c r="F147" i="4"/>
  <c r="K289" i="4"/>
  <c r="J255" i="4"/>
  <c r="C32" i="4"/>
  <c r="I30" i="4"/>
  <c r="E314" i="4"/>
  <c r="M99" i="4"/>
  <c r="E43" i="4"/>
  <c r="E318" i="4"/>
  <c r="K377" i="4"/>
  <c r="E100" i="4"/>
  <c r="E259" i="4"/>
  <c r="D162" i="4"/>
  <c r="L140" i="4"/>
  <c r="J330" i="4"/>
  <c r="J171" i="4"/>
  <c r="H338" i="4"/>
  <c r="M213" i="4"/>
  <c r="L69" i="4"/>
  <c r="E134" i="4"/>
  <c r="F61" i="4"/>
  <c r="I21" i="4"/>
  <c r="D17" i="4"/>
  <c r="M190" i="4"/>
  <c r="M270" i="4"/>
  <c r="E202" i="4"/>
  <c r="C4" i="4"/>
  <c r="D262" i="4"/>
  <c r="E214" i="4"/>
  <c r="F365" i="4"/>
  <c r="F22" i="4"/>
  <c r="G38" i="4"/>
  <c r="C41" i="4"/>
  <c r="L280" i="4"/>
  <c r="I101" i="4"/>
  <c r="I197" i="4"/>
  <c r="H262" i="4"/>
  <c r="C84" i="4"/>
  <c r="H183" i="4"/>
  <c r="C96" i="4"/>
  <c r="D380" i="4"/>
  <c r="D263" i="4"/>
  <c r="D105" i="4"/>
  <c r="E223" i="4"/>
  <c r="J206" i="4"/>
  <c r="M19" i="4"/>
  <c r="J183" i="4"/>
  <c r="H257" i="4"/>
  <c r="J70" i="4"/>
  <c r="K19" i="4"/>
  <c r="E193" i="4"/>
  <c r="M34" i="4"/>
  <c r="D365" i="4"/>
  <c r="L154" i="4"/>
  <c r="M238" i="4"/>
  <c r="H351" i="4"/>
  <c r="L123" i="4"/>
  <c r="F75" i="4"/>
  <c r="L331" i="4"/>
  <c r="D254" i="4"/>
  <c r="F302" i="4"/>
  <c r="I120" i="4"/>
  <c r="D255" i="4"/>
  <c r="F376" i="4"/>
  <c r="C241" i="4"/>
  <c r="K355" i="4"/>
  <c r="F332" i="4"/>
  <c r="J334" i="4"/>
  <c r="K133" i="4"/>
  <c r="F62" i="4"/>
  <c r="H207" i="4"/>
  <c r="F138" i="4"/>
  <c r="I195" i="4"/>
  <c r="J385" i="4"/>
  <c r="H356" i="4"/>
  <c r="J127" i="4"/>
  <c r="J324" i="4"/>
  <c r="L231" i="4"/>
  <c r="H21" i="4"/>
  <c r="G83" i="4"/>
  <c r="K135" i="4"/>
  <c r="H16" i="4"/>
  <c r="J372" i="4"/>
  <c r="L71" i="4"/>
  <c r="L103" i="4"/>
  <c r="H178" i="4"/>
  <c r="F47" i="4"/>
  <c r="G386" i="4"/>
  <c r="M169" i="4"/>
  <c r="G241" i="4"/>
  <c r="D189" i="4"/>
  <c r="M115" i="4"/>
  <c r="E349" i="4"/>
  <c r="F11" i="4"/>
  <c r="E84" i="4"/>
  <c r="K113" i="4"/>
  <c r="C262" i="4"/>
  <c r="L262" i="4"/>
  <c r="G203" i="4"/>
  <c r="E83" i="4"/>
  <c r="K38" i="4"/>
  <c r="H258" i="4"/>
  <c r="I122" i="4"/>
  <c r="G303" i="4"/>
  <c r="M146" i="4"/>
  <c r="J189" i="4"/>
  <c r="M150" i="4"/>
  <c r="E5" i="4"/>
  <c r="K152" i="4"/>
  <c r="J53" i="4"/>
  <c r="H68" i="4"/>
  <c r="L112" i="4"/>
  <c r="E88" i="4"/>
  <c r="J325" i="4"/>
  <c r="C257" i="4"/>
  <c r="C85" i="4"/>
  <c r="F220" i="4"/>
  <c r="H203" i="4"/>
  <c r="G391" i="4"/>
  <c r="C347" i="4"/>
  <c r="E25" i="4"/>
  <c r="M127" i="4"/>
  <c r="F120" i="4"/>
  <c r="C144" i="4"/>
  <c r="D225" i="4"/>
  <c r="K170" i="4"/>
  <c r="D351" i="4"/>
  <c r="I168" i="4"/>
  <c r="K230" i="4"/>
  <c r="K184" i="4"/>
  <c r="M187" i="4"/>
  <c r="M197" i="4"/>
  <c r="C193" i="4"/>
  <c r="H14" i="4"/>
  <c r="F308" i="4"/>
  <c r="M59" i="4"/>
  <c r="M368" i="4"/>
  <c r="E189" i="4"/>
  <c r="F235" i="4"/>
  <c r="C91" i="4"/>
  <c r="L345" i="4"/>
  <c r="K121" i="4"/>
  <c r="G195" i="4"/>
  <c r="M292" i="4"/>
  <c r="H355" i="4"/>
  <c r="M134" i="4"/>
  <c r="G176" i="4"/>
  <c r="L35" i="4"/>
  <c r="G121" i="4"/>
  <c r="I98" i="4"/>
  <c r="I108" i="4"/>
  <c r="J378" i="4"/>
  <c r="M293" i="4"/>
  <c r="M257" i="4"/>
  <c r="F158" i="4"/>
  <c r="H173" i="4"/>
  <c r="G325" i="4"/>
  <c r="J134" i="4"/>
  <c r="K141" i="4"/>
  <c r="C109" i="4"/>
  <c r="L379" i="4"/>
  <c r="H122" i="4"/>
  <c r="H217" i="4"/>
  <c r="K292" i="4"/>
  <c r="I23" i="4"/>
  <c r="L152" i="4"/>
  <c r="F372" i="4"/>
  <c r="M339" i="4"/>
  <c r="I5" i="4"/>
  <c r="H22" i="4"/>
  <c r="J186" i="4"/>
  <c r="I221" i="4"/>
  <c r="M386" i="4"/>
  <c r="L271" i="4"/>
  <c r="I370" i="4"/>
  <c r="E61" i="4"/>
  <c r="G210" i="4"/>
  <c r="L125" i="4"/>
  <c r="I77" i="4"/>
  <c r="H120" i="4"/>
  <c r="L172" i="4"/>
  <c r="E319" i="4"/>
  <c r="I278" i="4"/>
  <c r="I20" i="4"/>
  <c r="H111" i="4"/>
  <c r="J282" i="4"/>
  <c r="H382" i="4"/>
  <c r="F9" i="4"/>
  <c r="C88" i="4"/>
  <c r="M318" i="4"/>
  <c r="E67" i="4"/>
  <c r="J240" i="4"/>
  <c r="M71" i="4"/>
  <c r="D259" i="4"/>
  <c r="M51" i="4"/>
  <c r="C363" i="4"/>
  <c r="M275" i="4"/>
  <c r="I25" i="4"/>
  <c r="M332" i="4"/>
  <c r="J198" i="4"/>
  <c r="D216" i="4"/>
  <c r="I273" i="4"/>
  <c r="E225" i="4"/>
  <c r="J267" i="4"/>
  <c r="I7" i="4"/>
  <c r="M348" i="4"/>
  <c r="C24" i="4"/>
  <c r="C56" i="4"/>
  <c r="M291" i="4"/>
  <c r="L67" i="4"/>
  <c r="E145" i="4"/>
  <c r="D177" i="4"/>
  <c r="J381" i="4"/>
  <c r="F327" i="4"/>
  <c r="E353" i="4"/>
  <c r="M378" i="4"/>
  <c r="M319" i="4"/>
  <c r="H39" i="4"/>
  <c r="L146" i="4"/>
  <c r="I275" i="4"/>
  <c r="M355" i="4"/>
  <c r="C145" i="4"/>
  <c r="E44" i="4"/>
  <c r="K153" i="4"/>
  <c r="D33" i="4"/>
  <c r="F386" i="4"/>
  <c r="C5" i="4"/>
  <c r="G19" i="4"/>
  <c r="L219" i="4"/>
  <c r="F246" i="4"/>
  <c r="H231" i="4"/>
  <c r="E160" i="4"/>
  <c r="M6" i="4"/>
  <c r="H114" i="4"/>
  <c r="E379" i="4"/>
  <c r="M311" i="4"/>
  <c r="M216" i="4"/>
  <c r="C329" i="4"/>
  <c r="E274" i="4"/>
  <c r="F45" i="4"/>
  <c r="J371" i="4"/>
  <c r="D205" i="4"/>
  <c r="C67" i="4"/>
  <c r="M122" i="4"/>
  <c r="K92" i="4"/>
  <c r="M302" i="4"/>
  <c r="E372" i="4"/>
  <c r="G166" i="4"/>
  <c r="D47" i="4"/>
  <c r="H8" i="4"/>
  <c r="E127" i="4"/>
  <c r="H367" i="4"/>
  <c r="I194" i="4"/>
  <c r="F46" i="4"/>
  <c r="H95" i="4"/>
  <c r="D375" i="4"/>
  <c r="D72" i="4"/>
  <c r="I8" i="4"/>
  <c r="I279" i="4"/>
  <c r="J276" i="4"/>
  <c r="E123" i="4"/>
  <c r="E267" i="4"/>
  <c r="E234" i="4"/>
  <c r="J6" i="4"/>
  <c r="I212" i="4"/>
  <c r="D349" i="4"/>
  <c r="I137" i="4"/>
  <c r="E307" i="4"/>
  <c r="E213" i="4"/>
  <c r="G138" i="4"/>
  <c r="I188" i="4"/>
  <c r="E217" i="4"/>
  <c r="I384" i="4"/>
  <c r="H51" i="4"/>
  <c r="G228" i="4"/>
  <c r="J196" i="4"/>
  <c r="C127" i="4"/>
  <c r="C147" i="4"/>
  <c r="J112" i="4"/>
  <c r="K116" i="4"/>
  <c r="E371" i="4"/>
  <c r="K293" i="4"/>
  <c r="C40" i="4"/>
  <c r="M94" i="4"/>
  <c r="C250" i="4"/>
  <c r="J131" i="4"/>
  <c r="F166" i="4"/>
  <c r="M390" i="4"/>
  <c r="D119" i="4"/>
  <c r="L12" i="4"/>
  <c r="G197" i="4"/>
  <c r="E262" i="4"/>
  <c r="L14" i="4"/>
  <c r="E258" i="4"/>
  <c r="F186" i="4"/>
  <c r="M183" i="4"/>
  <c r="F111" i="4"/>
  <c r="H79" i="4"/>
  <c r="K352" i="4"/>
  <c r="H225" i="4"/>
  <c r="F177" i="4"/>
  <c r="M182" i="4"/>
  <c r="J62" i="4"/>
  <c r="J352" i="4"/>
  <c r="D334" i="4"/>
  <c r="M231" i="4"/>
  <c r="L133" i="4"/>
  <c r="L49" i="4"/>
  <c r="I181" i="4"/>
  <c r="F14" i="4"/>
  <c r="M179" i="4"/>
  <c r="G32" i="4"/>
  <c r="C62" i="4"/>
  <c r="G296" i="4"/>
  <c r="I161" i="4"/>
  <c r="M28" i="4"/>
  <c r="M258" i="4"/>
  <c r="L282" i="4"/>
  <c r="L60" i="4"/>
  <c r="D390" i="4"/>
  <c r="F374" i="4"/>
  <c r="J5" i="4"/>
  <c r="D241" i="4"/>
  <c r="M196" i="4"/>
  <c r="D336" i="4"/>
  <c r="D335" i="4"/>
  <c r="L178" i="4"/>
  <c r="M375" i="4"/>
  <c r="C385" i="4"/>
  <c r="G84" i="4"/>
  <c r="G313" i="4"/>
  <c r="M35" i="4"/>
  <c r="D234" i="4"/>
  <c r="M333" i="4"/>
  <c r="H29" i="4"/>
  <c r="M120" i="4"/>
  <c r="H312" i="4"/>
  <c r="K67" i="4"/>
  <c r="C142" i="4"/>
  <c r="C160" i="4"/>
  <c r="E324" i="4"/>
  <c r="F358" i="4"/>
  <c r="M157" i="4"/>
  <c r="G225" i="4"/>
  <c r="G237" i="4"/>
  <c r="I247" i="4"/>
  <c r="D156" i="4"/>
  <c r="H182" i="4"/>
  <c r="J280" i="4"/>
  <c r="J368" i="4"/>
  <c r="L279" i="4"/>
  <c r="M152" i="4"/>
  <c r="M299" i="4"/>
  <c r="I157" i="4"/>
  <c r="G234" i="4"/>
  <c r="J49" i="4"/>
  <c r="L62" i="4"/>
  <c r="I202" i="4"/>
  <c r="E28" i="4"/>
  <c r="K381" i="4"/>
  <c r="H166" i="4"/>
  <c r="K123" i="4"/>
  <c r="L370" i="4"/>
  <c r="C21" i="4"/>
  <c r="K216" i="4"/>
  <c r="C79" i="4"/>
  <c r="J248" i="4"/>
  <c r="G149" i="4"/>
  <c r="K367" i="4"/>
  <c r="H80" i="4"/>
  <c r="J31" i="4"/>
  <c r="M103" i="4"/>
  <c r="C30" i="4"/>
  <c r="E219" i="4"/>
  <c r="G380" i="4"/>
  <c r="E205" i="4"/>
  <c r="E344" i="4"/>
  <c r="K23" i="4"/>
  <c r="G12" i="4"/>
  <c r="K237" i="4"/>
  <c r="E116" i="4"/>
  <c r="M242" i="4"/>
  <c r="M288" i="4"/>
  <c r="C140" i="4"/>
  <c r="E47" i="4"/>
  <c r="J164" i="4"/>
  <c r="M303" i="4"/>
  <c r="I38" i="4"/>
  <c r="K43" i="4"/>
  <c r="I87" i="4"/>
  <c r="H201" i="4"/>
  <c r="C181" i="4"/>
  <c r="G29" i="4"/>
  <c r="K275" i="4"/>
  <c r="I333" i="4"/>
  <c r="F29" i="4"/>
  <c r="D123" i="4"/>
  <c r="D132" i="4"/>
  <c r="L352" i="4"/>
  <c r="K48" i="4"/>
  <c r="J387" i="4"/>
  <c r="G255" i="4"/>
  <c r="L173" i="4"/>
  <c r="G223" i="4"/>
  <c r="D78" i="4"/>
  <c r="G124" i="4"/>
  <c r="F328" i="4"/>
  <c r="H112" i="4"/>
  <c r="M159" i="4"/>
  <c r="F178" i="4"/>
  <c r="L273" i="4"/>
  <c r="F292" i="4"/>
  <c r="K342" i="4"/>
  <c r="K251" i="4"/>
  <c r="J88" i="4"/>
  <c r="M380" i="4"/>
  <c r="D224" i="4"/>
  <c r="G112" i="4"/>
  <c r="G69" i="4"/>
  <c r="L243" i="4"/>
  <c r="L93" i="4"/>
  <c r="H274" i="4"/>
  <c r="E81" i="4"/>
  <c r="I128" i="4"/>
  <c r="C133" i="4"/>
  <c r="C378" i="4"/>
  <c r="D373" i="4"/>
  <c r="D38" i="4"/>
  <c r="I131" i="4"/>
  <c r="J153" i="4"/>
  <c r="D190" i="4"/>
  <c r="C368" i="4"/>
  <c r="K379" i="4"/>
  <c r="L195" i="4"/>
  <c r="G336" i="4"/>
  <c r="F259" i="4"/>
  <c r="M214" i="4"/>
  <c r="E201" i="4"/>
  <c r="D193" i="4"/>
  <c r="G21" i="4"/>
  <c r="F74" i="4"/>
  <c r="C146" i="4"/>
  <c r="J225" i="4"/>
  <c r="J384" i="4"/>
  <c r="C279" i="4"/>
  <c r="L61" i="4"/>
  <c r="I192" i="4"/>
  <c r="M42" i="4"/>
  <c r="M61" i="4"/>
  <c r="I39" i="4"/>
  <c r="I285" i="4"/>
  <c r="K158" i="4"/>
  <c r="F313" i="4"/>
  <c r="M260" i="4"/>
  <c r="M31" i="4"/>
  <c r="D51" i="4"/>
  <c r="L196" i="4"/>
  <c r="E113" i="4"/>
  <c r="C161" i="4"/>
  <c r="H296" i="4"/>
  <c r="E167" i="4"/>
  <c r="C338" i="4"/>
  <c r="M135" i="4"/>
  <c r="E209" i="4"/>
  <c r="K178" i="4"/>
  <c r="E170" i="4"/>
  <c r="C110" i="4"/>
  <c r="H83" i="4"/>
  <c r="F276" i="4"/>
  <c r="E317" i="4"/>
  <c r="C23" i="4"/>
  <c r="K327" i="4"/>
  <c r="M170" i="4"/>
  <c r="D18" i="4"/>
  <c r="E148" i="4"/>
  <c r="F258" i="4"/>
  <c r="I10" i="4"/>
  <c r="K98" i="4"/>
  <c r="G143" i="4"/>
  <c r="G382" i="4"/>
  <c r="D102" i="4"/>
  <c r="C65" i="4"/>
  <c r="G127" i="4"/>
  <c r="G40" i="4"/>
  <c r="K320" i="4"/>
  <c r="K262" i="4"/>
  <c r="M156" i="4"/>
  <c r="F206" i="4"/>
  <c r="H324" i="4"/>
  <c r="G381" i="4"/>
  <c r="H194" i="4"/>
  <c r="L177" i="4"/>
  <c r="E288" i="4"/>
  <c r="L310" i="4"/>
  <c r="E210" i="4"/>
  <c r="F37" i="4"/>
  <c r="C48" i="4"/>
  <c r="M81" i="4"/>
  <c r="G44" i="4"/>
  <c r="D382" i="4"/>
  <c r="I320" i="4"/>
  <c r="H343" i="4"/>
  <c r="M389" i="4"/>
  <c r="E128" i="4"/>
  <c r="I381" i="4"/>
  <c r="E177" i="4"/>
  <c r="M140" i="4"/>
  <c r="K356" i="4"/>
  <c r="J121" i="4"/>
  <c r="F170" i="4"/>
  <c r="C255" i="4"/>
  <c r="I18" i="4"/>
  <c r="J159" i="4"/>
  <c r="M126" i="4"/>
  <c r="L249" i="4"/>
  <c r="L76" i="4"/>
  <c r="L212" i="4"/>
  <c r="E363" i="4"/>
  <c r="F113" i="4"/>
  <c r="F33" i="4"/>
  <c r="I292" i="4"/>
  <c r="J332" i="4"/>
  <c r="I249" i="4"/>
  <c r="I182" i="4"/>
  <c r="H283" i="4"/>
  <c r="D48" i="4"/>
  <c r="E389" i="4"/>
  <c r="E228" i="4"/>
  <c r="G42" i="4"/>
  <c r="J175" i="4"/>
  <c r="L359" i="4"/>
  <c r="E212" i="4"/>
  <c r="K51" i="4"/>
  <c r="D295" i="4"/>
  <c r="L102" i="4"/>
  <c r="M113" i="4"/>
  <c r="H190" i="4"/>
  <c r="H238" i="4"/>
  <c r="D140" i="4"/>
  <c r="G172" i="4"/>
  <c r="C275" i="4"/>
  <c r="F343" i="4"/>
  <c r="C212" i="4"/>
  <c r="G327" i="4"/>
  <c r="K78" i="4"/>
  <c r="F154" i="4"/>
  <c r="C34" i="4"/>
  <c r="I185" i="4"/>
  <c r="F190" i="4"/>
  <c r="K229" i="4"/>
  <c r="E115" i="4"/>
  <c r="G200" i="4"/>
  <c r="I56" i="4"/>
  <c r="C150" i="4"/>
  <c r="H340" i="4"/>
  <c r="H220" i="4"/>
  <c r="F217" i="4"/>
  <c r="M246" i="4"/>
  <c r="H292" i="4"/>
  <c r="G365" i="4"/>
  <c r="I344" i="4"/>
  <c r="C198" i="4"/>
  <c r="I325" i="4"/>
  <c r="H10" i="4"/>
  <c r="H32" i="4"/>
  <c r="F375" i="4"/>
  <c r="H85" i="4"/>
  <c r="H168" i="4"/>
  <c r="H25" i="4"/>
  <c r="H26" i="4"/>
  <c r="F104" i="4"/>
  <c r="F174" i="4"/>
  <c r="M128" i="4"/>
  <c r="L20" i="4"/>
  <c r="I143" i="4"/>
  <c r="M224" i="4"/>
  <c r="G367" i="4"/>
  <c r="L265" i="4"/>
  <c r="G158" i="4"/>
  <c r="K76" i="4"/>
  <c r="G31" i="4"/>
  <c r="M48" i="4"/>
  <c r="E175" i="4"/>
  <c r="E15" i="4"/>
  <c r="M271" i="4"/>
  <c r="E263" i="4"/>
  <c r="G294" i="4"/>
  <c r="K182" i="4"/>
  <c r="G201" i="4"/>
  <c r="I41" i="4"/>
  <c r="J331" i="4"/>
  <c r="I70" i="4"/>
  <c r="D384" i="4"/>
  <c r="I269" i="4"/>
  <c r="J377" i="4"/>
  <c r="D271" i="4"/>
  <c r="D31" i="4"/>
  <c r="C294" i="4"/>
  <c r="F249" i="4"/>
  <c r="D204" i="4"/>
  <c r="H133" i="4"/>
  <c r="D63" i="4"/>
  <c r="I53" i="4"/>
  <c r="K359" i="4"/>
  <c r="J44" i="4"/>
  <c r="H299" i="4"/>
  <c r="L151" i="4"/>
  <c r="H366" i="4"/>
  <c r="M29" i="4"/>
  <c r="J142" i="4"/>
  <c r="H96" i="4"/>
  <c r="K115" i="4"/>
  <c r="G41" i="4"/>
  <c r="I173" i="4"/>
  <c r="K257" i="4"/>
  <c r="G106" i="4"/>
  <c r="J218" i="4"/>
  <c r="M87" i="4"/>
  <c r="E218" i="4"/>
  <c r="E255" i="4"/>
  <c r="M243" i="4"/>
  <c r="H58" i="4"/>
  <c r="K382" i="4"/>
  <c r="I183" i="4"/>
  <c r="F351" i="4"/>
  <c r="F128" i="4"/>
  <c r="K114" i="4"/>
  <c r="F55" i="4"/>
  <c r="D134" i="4"/>
  <c r="C360" i="4"/>
  <c r="E331" i="4"/>
  <c r="G351" i="4"/>
  <c r="C136" i="4"/>
  <c r="F333" i="4"/>
  <c r="D196" i="4"/>
  <c r="M121" i="4"/>
  <c r="G167" i="4"/>
  <c r="K307" i="4"/>
  <c r="D37" i="4"/>
  <c r="J369" i="4"/>
  <c r="H334" i="4"/>
  <c r="H189" i="4"/>
  <c r="G357" i="4"/>
  <c r="G247" i="4"/>
  <c r="K298" i="4"/>
  <c r="K185" i="4"/>
  <c r="G295" i="4"/>
  <c r="D385" i="4"/>
  <c r="G358" i="4"/>
  <c r="I40" i="4"/>
  <c r="L198" i="4"/>
  <c r="E215" i="4"/>
  <c r="E176" i="4"/>
  <c r="H365" i="4"/>
  <c r="D379" i="4"/>
  <c r="K24" i="4"/>
  <c r="D142" i="4"/>
  <c r="L55" i="4"/>
  <c r="E168" i="4"/>
  <c r="J370" i="4"/>
  <c r="H176" i="4"/>
  <c r="J328" i="4"/>
  <c r="E105" i="4"/>
  <c r="J72" i="4"/>
  <c r="F109" i="4"/>
  <c r="D157" i="4"/>
  <c r="J215" i="4"/>
  <c r="K180" i="4"/>
  <c r="D277" i="4"/>
  <c r="L109" i="4"/>
  <c r="I63" i="4"/>
  <c r="M154" i="4"/>
  <c r="D367" i="4"/>
  <c r="I58" i="4"/>
  <c r="G111" i="4"/>
  <c r="J241" i="4"/>
  <c r="L203" i="4"/>
  <c r="K296" i="4"/>
  <c r="L40" i="4"/>
  <c r="F133" i="4"/>
  <c r="K50" i="4"/>
  <c r="G9" i="4"/>
  <c r="J264" i="4"/>
  <c r="F253" i="4"/>
  <c r="E290" i="4"/>
  <c r="G109" i="4"/>
  <c r="H205" i="4"/>
  <c r="C114" i="4"/>
  <c r="K109" i="4"/>
  <c r="H34" i="4"/>
  <c r="L290" i="4"/>
  <c r="G58" i="4"/>
  <c r="L15" i="4"/>
  <c r="E21" i="4"/>
  <c r="C373" i="4"/>
  <c r="G33" i="4"/>
  <c r="C188" i="4"/>
  <c r="J376" i="4"/>
  <c r="J42" i="4"/>
  <c r="K29" i="4"/>
  <c r="F145" i="4"/>
  <c r="K155" i="4"/>
  <c r="M133" i="4"/>
  <c r="L188" i="4"/>
  <c r="D75" i="4"/>
  <c r="L337" i="4"/>
  <c r="H97" i="4"/>
  <c r="D187" i="4"/>
  <c r="E326" i="4"/>
  <c r="F290" i="4"/>
  <c r="K198" i="4"/>
  <c r="L84" i="4"/>
  <c r="K52" i="4"/>
  <c r="H272" i="4"/>
  <c r="F21" i="4"/>
  <c r="J12" i="4"/>
  <c r="L298" i="4"/>
  <c r="K21" i="4"/>
  <c r="D124" i="4"/>
  <c r="D303" i="4"/>
  <c r="K334" i="4"/>
  <c r="J154" i="4"/>
  <c r="J173" i="4"/>
  <c r="L115" i="4"/>
  <c r="J188" i="4"/>
  <c r="H172" i="4"/>
  <c r="C31" i="4"/>
  <c r="E27" i="4"/>
  <c r="L98" i="4"/>
  <c r="M123" i="4"/>
  <c r="J269" i="4"/>
  <c r="C277" i="4"/>
  <c r="K333" i="4"/>
  <c r="C206" i="4"/>
  <c r="L83" i="4"/>
  <c r="E226" i="4"/>
  <c r="I293" i="4"/>
  <c r="C121" i="4"/>
  <c r="F207" i="4"/>
  <c r="D328" i="4"/>
  <c r="J128" i="4"/>
  <c r="E269" i="4"/>
  <c r="H52" i="4"/>
  <c r="D294" i="4"/>
  <c r="C233" i="4"/>
  <c r="I371" i="4"/>
  <c r="D84" i="4"/>
  <c r="D296" i="4"/>
  <c r="D288" i="4"/>
  <c r="G125" i="4"/>
  <c r="J284" i="4"/>
  <c r="F129" i="4"/>
  <c r="F275" i="4"/>
  <c r="G137" i="4"/>
  <c r="E147" i="4"/>
  <c r="I103" i="4"/>
  <c r="G353" i="4"/>
  <c r="C358" i="4"/>
  <c r="C156" i="4"/>
  <c r="K350" i="4"/>
  <c r="J242" i="4"/>
  <c r="G115" i="4"/>
  <c r="K40" i="4"/>
  <c r="M316" i="4"/>
  <c r="D341" i="4"/>
  <c r="D324" i="4"/>
  <c r="J263" i="4"/>
  <c r="D268" i="4"/>
  <c r="H273" i="4"/>
  <c r="H263" i="4"/>
  <c r="F35" i="4"/>
  <c r="G185" i="4"/>
  <c r="D80" i="4"/>
  <c r="K331" i="4"/>
  <c r="L346" i="4"/>
  <c r="F141" i="4"/>
  <c r="H322" i="4"/>
  <c r="G266" i="4"/>
  <c r="M289" i="4"/>
  <c r="M25" i="4"/>
  <c r="I60" i="4"/>
  <c r="G5" i="4"/>
  <c r="C348" i="4"/>
  <c r="H305" i="4"/>
  <c r="F156" i="4"/>
  <c r="I123" i="4"/>
  <c r="I357" i="4"/>
  <c r="F367" i="4"/>
  <c r="K325" i="4"/>
  <c r="I289" i="4"/>
  <c r="E146" i="4"/>
  <c r="G360" i="4"/>
  <c r="L184" i="4"/>
  <c r="E341" i="4"/>
  <c r="E337" i="4"/>
  <c r="L11" i="4"/>
  <c r="G299" i="4"/>
  <c r="C102" i="4"/>
  <c r="J68" i="4"/>
  <c r="G259" i="4"/>
  <c r="L320" i="4"/>
  <c r="F263" i="4"/>
  <c r="C81" i="4"/>
  <c r="C301" i="4"/>
  <c r="C163" i="4"/>
  <c r="E277" i="4"/>
  <c r="H72" i="4"/>
  <c r="M36" i="4"/>
  <c r="G226" i="4"/>
  <c r="K112" i="4"/>
  <c r="L254" i="4"/>
  <c r="E276" i="4"/>
  <c r="C157" i="4"/>
  <c r="I9" i="4"/>
  <c r="L260" i="4"/>
  <c r="H371" i="4"/>
  <c r="C186" i="4"/>
  <c r="I165" i="4"/>
  <c r="E95" i="4"/>
  <c r="D168" i="4"/>
  <c r="D79" i="4"/>
  <c r="C17" i="4"/>
  <c r="C390" i="4"/>
  <c r="F309" i="4"/>
  <c r="H104" i="4"/>
  <c r="I167" i="4"/>
  <c r="H206" i="4"/>
  <c r="I383" i="4"/>
  <c r="J23" i="4"/>
  <c r="E96" i="4"/>
  <c r="F149" i="4"/>
  <c r="I153" i="4"/>
  <c r="H378" i="4"/>
  <c r="I213" i="4"/>
  <c r="H202" i="4"/>
  <c r="M7" i="4"/>
  <c r="D96" i="4"/>
  <c r="D253" i="4"/>
  <c r="G232" i="4"/>
  <c r="I99" i="4"/>
  <c r="C307" i="4"/>
  <c r="M40" i="4"/>
  <c r="L23" i="4"/>
  <c r="K254" i="4"/>
  <c r="I19" i="4"/>
  <c r="G258" i="4"/>
  <c r="D280" i="4"/>
  <c r="H233" i="4"/>
  <c r="M151" i="4"/>
  <c r="E246" i="4"/>
  <c r="L147" i="4"/>
  <c r="F223" i="4"/>
  <c r="D315" i="4"/>
  <c r="G54" i="4"/>
  <c r="J110" i="4"/>
  <c r="J93" i="4"/>
  <c r="K86" i="4"/>
  <c r="F357" i="4"/>
  <c r="H251" i="4"/>
  <c r="G199" i="4"/>
  <c r="D158" i="4"/>
  <c r="M166" i="4"/>
  <c r="C309" i="4"/>
  <c r="C271" i="4"/>
  <c r="G65" i="4"/>
  <c r="F231" i="4"/>
  <c r="F197" i="4"/>
  <c r="K278" i="4"/>
  <c r="H212" i="4"/>
  <c r="C337" i="4"/>
  <c r="L307" i="4"/>
  <c r="G214" i="4"/>
  <c r="H159" i="4"/>
  <c r="K225" i="4"/>
  <c r="C201" i="4"/>
  <c r="K69" i="4"/>
  <c r="L129" i="4"/>
  <c r="C100" i="4"/>
  <c r="J20" i="4"/>
  <c r="G148" i="4"/>
  <c r="E178" i="4"/>
  <c r="H385" i="4"/>
  <c r="G261" i="4"/>
  <c r="I48" i="4"/>
  <c r="L122" i="4"/>
  <c r="E310" i="4"/>
  <c r="C11" i="4"/>
  <c r="I135" i="4"/>
  <c r="L192" i="4"/>
  <c r="F23" i="4"/>
  <c r="E35" i="4"/>
  <c r="H162" i="4"/>
  <c r="I196" i="4"/>
  <c r="H115" i="4"/>
  <c r="I130" i="4"/>
  <c r="L304" i="4"/>
  <c r="J79" i="4"/>
  <c r="I361" i="4"/>
  <c r="D369" i="4"/>
  <c r="H66" i="4"/>
  <c r="I304" i="4"/>
  <c r="I163" i="4"/>
  <c r="C89" i="4"/>
  <c r="F146" i="4"/>
  <c r="K209" i="4"/>
  <c r="I14" i="4"/>
  <c r="G168" i="4"/>
  <c r="F70" i="4"/>
  <c r="E227" i="4"/>
  <c r="D290" i="4"/>
  <c r="G179" i="4"/>
  <c r="I159" i="4"/>
  <c r="D131" i="4"/>
  <c r="L334" i="4"/>
  <c r="F40" i="4"/>
  <c r="F13" i="4"/>
  <c r="M363" i="4"/>
  <c r="C170" i="4"/>
  <c r="H320" i="4"/>
  <c r="F209" i="4"/>
  <c r="J120" i="4"/>
  <c r="F123" i="4"/>
  <c r="D203" i="4"/>
  <c r="E122" i="4"/>
  <c r="H18" i="4"/>
  <c r="J260" i="4"/>
  <c r="L7" i="4"/>
  <c r="H150" i="4"/>
  <c r="G320" i="4"/>
  <c r="H102" i="4"/>
  <c r="H229" i="4"/>
  <c r="L33" i="4"/>
  <c r="C324" i="4"/>
  <c r="C325" i="4"/>
  <c r="J320" i="4"/>
  <c r="D100" i="4"/>
  <c r="H381" i="4"/>
  <c r="F5" i="4"/>
  <c r="M241" i="4"/>
  <c r="L143" i="4"/>
  <c r="M50" i="4"/>
  <c r="D332" i="4"/>
  <c r="D199" i="4"/>
  <c r="E154" i="4"/>
  <c r="L144" i="4"/>
  <c r="E303" i="4"/>
  <c r="I138" i="4"/>
  <c r="J144" i="4"/>
  <c r="I324" i="4"/>
  <c r="I110" i="4"/>
  <c r="I388" i="4"/>
  <c r="J279" i="4"/>
  <c r="H335" i="4"/>
  <c r="D149" i="4"/>
  <c r="L170" i="4"/>
  <c r="M322" i="4"/>
  <c r="D5" i="4"/>
  <c r="E97" i="4"/>
  <c r="L205" i="4"/>
  <c r="H363" i="4"/>
  <c r="M199" i="4"/>
  <c r="D250" i="4"/>
  <c r="J265" i="4"/>
  <c r="M278" i="4"/>
  <c r="H269" i="4"/>
  <c r="G180" i="4"/>
  <c r="J250" i="4"/>
  <c r="E169" i="4"/>
  <c r="F188" i="4"/>
  <c r="F227" i="4"/>
  <c r="G377" i="4"/>
  <c r="J262" i="4"/>
  <c r="E368" i="4"/>
  <c r="H241" i="4"/>
  <c r="D321" i="4"/>
  <c r="L185" i="4"/>
  <c r="G26" i="4"/>
  <c r="H24" i="4"/>
  <c r="M118" i="4"/>
  <c r="L261" i="4"/>
  <c r="I281" i="4"/>
  <c r="K226" i="4"/>
  <c r="D126" i="4"/>
  <c r="E179" i="4"/>
  <c r="K376" i="4"/>
  <c r="D70" i="4"/>
  <c r="G62" i="4"/>
  <c r="F204" i="4"/>
  <c r="J96" i="4"/>
  <c r="I239" i="4"/>
  <c r="J37" i="4"/>
  <c r="J336" i="4"/>
  <c r="M308" i="4"/>
  <c r="D329" i="4"/>
  <c r="J271" i="4"/>
  <c r="J274" i="4"/>
  <c r="C125" i="4"/>
  <c r="L267" i="4"/>
  <c r="I277" i="4"/>
  <c r="C33" i="4"/>
  <c r="G24" i="4"/>
  <c r="J366" i="4"/>
  <c r="H309" i="4"/>
  <c r="D350" i="4"/>
  <c r="D186" i="4"/>
  <c r="D281" i="4"/>
  <c r="G187" i="4"/>
  <c r="E375" i="4"/>
  <c r="M210" i="4"/>
  <c r="E194" i="4"/>
  <c r="G364" i="4"/>
  <c r="F119" i="4"/>
  <c r="H389" i="4"/>
  <c r="C113" i="4"/>
  <c r="J340" i="4"/>
  <c r="D383" i="4"/>
  <c r="D145" i="4"/>
  <c r="F34" i="4"/>
  <c r="M12" i="4"/>
  <c r="J281" i="4"/>
  <c r="I378" i="4"/>
  <c r="J102" i="4"/>
  <c r="C190" i="4"/>
  <c r="C248" i="4"/>
  <c r="M141" i="4"/>
  <c r="M189" i="4"/>
  <c r="C200" i="4"/>
  <c r="C6" i="4"/>
  <c r="G245" i="4"/>
  <c r="D302" i="4"/>
  <c r="K314" i="4"/>
  <c r="M259" i="4"/>
  <c r="K366" i="4"/>
  <c r="J169" i="4"/>
  <c r="G345" i="4"/>
  <c r="G198" i="4"/>
  <c r="H98" i="4"/>
  <c r="G135" i="4"/>
  <c r="I29" i="4"/>
  <c r="D300" i="4"/>
  <c r="G264" i="4"/>
  <c r="L68" i="4"/>
  <c r="G341" i="4"/>
  <c r="D151" i="4"/>
  <c r="L245" i="4"/>
  <c r="G145" i="4"/>
  <c r="C321" i="4"/>
  <c r="H210" i="4"/>
  <c r="M221" i="4"/>
  <c r="I312" i="4"/>
  <c r="M385" i="4"/>
  <c r="J114" i="4"/>
  <c r="E56" i="4"/>
  <c r="D192" i="4"/>
  <c r="F126" i="4"/>
  <c r="L135" i="4"/>
  <c r="K150" i="4"/>
  <c r="H158" i="4"/>
  <c r="I80" i="4"/>
  <c r="E77" i="4"/>
  <c r="F234" i="4"/>
  <c r="L270" i="4"/>
  <c r="E308" i="4"/>
  <c r="L381" i="4"/>
  <c r="J22" i="4"/>
  <c r="K344" i="4"/>
  <c r="H278" i="4"/>
  <c r="I11" i="4"/>
  <c r="J229" i="4"/>
  <c r="G269" i="4"/>
  <c r="L22" i="4"/>
  <c r="M38" i="4"/>
  <c r="K261" i="4"/>
  <c r="M142" i="4"/>
  <c r="D64" i="4"/>
  <c r="K297" i="4"/>
  <c r="H142" i="4"/>
  <c r="D356" i="4"/>
  <c r="C226" i="4"/>
  <c r="L37" i="4"/>
  <c r="I311" i="4"/>
  <c r="I222" i="4"/>
  <c r="M342" i="4"/>
  <c r="K302" i="4"/>
  <c r="C371" i="4"/>
  <c r="D337" i="4"/>
  <c r="J353" i="4"/>
  <c r="G256" i="4"/>
  <c r="H73" i="4"/>
  <c r="M165" i="4"/>
  <c r="I79" i="4"/>
  <c r="F346" i="4"/>
  <c r="F221" i="4"/>
  <c r="D27" i="4"/>
  <c r="M227" i="4"/>
  <c r="M280" i="4"/>
  <c r="L24" i="4"/>
  <c r="I43" i="4"/>
  <c r="J123" i="4"/>
  <c r="I218" i="4"/>
  <c r="D120" i="4"/>
  <c r="G206" i="4"/>
  <c r="E174" i="4"/>
  <c r="D144" i="4"/>
  <c r="H100" i="4"/>
  <c r="C111" i="4"/>
  <c r="G331" i="4"/>
  <c r="F58" i="4"/>
  <c r="H216" i="4"/>
  <c r="I210" i="4"/>
  <c r="F225" i="4"/>
  <c r="M329" i="4"/>
  <c r="D301" i="4"/>
  <c r="M254" i="4"/>
  <c r="K169" i="4"/>
  <c r="C227" i="4"/>
  <c r="H90" i="4"/>
  <c r="H268" i="4"/>
  <c r="L139" i="4"/>
  <c r="M361" i="4"/>
  <c r="J345" i="4"/>
  <c r="E335" i="4"/>
  <c r="G249" i="4"/>
  <c r="L116" i="4"/>
  <c r="G270" i="4"/>
  <c r="K101" i="4"/>
  <c r="J380" i="4"/>
  <c r="C203" i="4"/>
  <c r="G99" i="4"/>
  <c r="G211" i="4"/>
  <c r="J9" i="4"/>
  <c r="C311" i="4"/>
  <c r="C68" i="4"/>
  <c r="L293" i="4"/>
  <c r="J107" i="4"/>
  <c r="J316" i="4"/>
  <c r="I158" i="4"/>
  <c r="G373" i="4"/>
  <c r="F52" i="4"/>
  <c r="H240" i="4"/>
  <c r="J24" i="4"/>
  <c r="M283" i="4"/>
  <c r="J235" i="4"/>
  <c r="D376" i="4"/>
  <c r="J167" i="4"/>
  <c r="J243" i="4"/>
  <c r="J100" i="4"/>
  <c r="E190" i="4"/>
  <c r="C383" i="4"/>
  <c r="E138" i="4"/>
  <c r="H349" i="4"/>
  <c r="D242" i="4"/>
  <c r="F261" i="4"/>
  <c r="F54" i="4"/>
  <c r="G85" i="4"/>
  <c r="F245" i="4"/>
  <c r="I214" i="4"/>
  <c r="L36" i="4"/>
  <c r="D312" i="4"/>
  <c r="C249" i="4"/>
  <c r="C29" i="4"/>
  <c r="K147" i="4"/>
  <c r="K186" i="4"/>
  <c r="C179" i="4"/>
  <c r="J302" i="4"/>
  <c r="E384" i="4"/>
  <c r="G80" i="4"/>
  <c r="C105" i="4"/>
  <c r="J143" i="4"/>
  <c r="C98" i="4"/>
  <c r="E141" i="4"/>
  <c r="D10" i="4"/>
  <c r="J170" i="4"/>
  <c r="C297" i="4"/>
  <c r="E311" i="4"/>
  <c r="D117" i="4"/>
  <c r="L209" i="4"/>
  <c r="E345" i="4"/>
  <c r="E191" i="4"/>
  <c r="D26" i="4"/>
  <c r="I205" i="4"/>
  <c r="F94" i="4"/>
  <c r="M377" i="4"/>
  <c r="I284" i="4"/>
  <c r="I263" i="4"/>
  <c r="I295" i="4"/>
  <c r="I215" i="4"/>
  <c r="F373" i="4"/>
  <c r="G98" i="4"/>
  <c r="F15" i="4"/>
  <c r="E338" i="4"/>
  <c r="I132" i="4"/>
  <c r="L95" i="4"/>
  <c r="D13" i="4"/>
  <c r="L193" i="4"/>
  <c r="E298" i="4"/>
  <c r="G359" i="4"/>
  <c r="J363" i="4"/>
  <c r="M64" i="4"/>
  <c r="G170" i="4"/>
  <c r="I291" i="4"/>
  <c r="E251" i="4"/>
  <c r="K128" i="4"/>
  <c r="D74" i="4"/>
  <c r="I174" i="4"/>
  <c r="I296" i="4"/>
  <c r="J295" i="4"/>
  <c r="M218" i="4"/>
  <c r="I216" i="4"/>
  <c r="G183" i="4"/>
  <c r="I294" i="4"/>
  <c r="M14" i="4"/>
  <c r="C43" i="4"/>
  <c r="D286" i="4"/>
  <c r="J290" i="4"/>
  <c r="J298" i="4"/>
  <c r="M161" i="4"/>
  <c r="F42" i="4"/>
  <c r="I233" i="4"/>
  <c r="E172" i="4"/>
  <c r="C194" i="4"/>
  <c r="G113" i="4"/>
  <c r="D322" i="4"/>
  <c r="J391" i="4"/>
  <c r="I307" i="4"/>
  <c r="J168" i="4"/>
  <c r="F388" i="4"/>
  <c r="L127" i="4"/>
  <c r="I386" i="4"/>
  <c r="K49" i="4"/>
  <c r="H74" i="4"/>
  <c r="K89" i="4"/>
  <c r="E362" i="4"/>
  <c r="C153" i="4"/>
  <c r="K132" i="4"/>
  <c r="L248" i="4"/>
  <c r="F311" i="4"/>
  <c r="D169" i="4"/>
  <c r="J383" i="4"/>
  <c r="E381" i="4"/>
  <c r="I51" i="4"/>
  <c r="H23" i="4"/>
  <c r="J87" i="4"/>
  <c r="M76" i="4"/>
  <c r="F96" i="4"/>
  <c r="M139" i="4"/>
  <c r="H138" i="4"/>
  <c r="E144" i="4"/>
  <c r="E330" i="4"/>
  <c r="L230" i="4"/>
  <c r="M369" i="4"/>
  <c r="L105" i="4"/>
  <c r="M290" i="4"/>
  <c r="H124" i="4"/>
  <c r="H145" i="4"/>
  <c r="M345" i="4"/>
  <c r="D223" i="4"/>
  <c r="G8" i="4"/>
  <c r="L176" i="4"/>
  <c r="E203" i="4"/>
  <c r="J16" i="4"/>
  <c r="C118" i="4"/>
  <c r="F191" i="4"/>
  <c r="I17" i="4"/>
  <c r="L364" i="4"/>
  <c r="F108" i="4"/>
  <c r="K157" i="4"/>
  <c r="K129" i="4"/>
  <c r="E231" i="4"/>
  <c r="H376" i="4"/>
  <c r="G116" i="4"/>
  <c r="C278" i="4"/>
  <c r="L256" i="4"/>
  <c r="H384" i="4"/>
  <c r="I299" i="4"/>
  <c r="H164" i="4"/>
  <c r="H266" i="4"/>
  <c r="C191" i="4"/>
  <c r="C167" i="4"/>
  <c r="G150" i="4"/>
  <c r="L252" i="4"/>
  <c r="C246" i="4"/>
  <c r="D50" i="4"/>
  <c r="G349" i="4"/>
  <c r="D333" i="4"/>
  <c r="L321" i="4"/>
  <c r="J329" i="4"/>
  <c r="L204" i="4"/>
  <c r="M341" i="4"/>
  <c r="G306" i="4"/>
  <c r="H256" i="4"/>
  <c r="E316" i="4"/>
  <c r="K268" i="4"/>
  <c r="K330" i="4"/>
  <c r="J335" i="4"/>
  <c r="G184" i="4"/>
  <c r="L274" i="4"/>
  <c r="K61" i="4"/>
  <c r="I88" i="4"/>
  <c r="F310" i="4"/>
  <c r="J138" i="4"/>
  <c r="E284" i="4"/>
  <c r="M300" i="4"/>
  <c r="G304" i="4"/>
  <c r="D267" i="4"/>
  <c r="G75" i="4"/>
  <c r="C49" i="4"/>
  <c r="M60" i="4"/>
  <c r="E26" i="4"/>
  <c r="F360" i="4"/>
  <c r="K187" i="4"/>
  <c r="E301" i="4"/>
  <c r="D201" i="4"/>
  <c r="H160" i="4"/>
  <c r="F167" i="4"/>
  <c r="K301" i="4"/>
  <c r="I46" i="4"/>
  <c r="I243" i="4"/>
  <c r="F340" i="4"/>
  <c r="J83" i="4"/>
  <c r="D99" i="4"/>
  <c r="H136" i="4"/>
  <c r="F341" i="4"/>
  <c r="L100" i="4"/>
  <c r="L319" i="4"/>
  <c r="M324" i="4"/>
  <c r="C300" i="4"/>
  <c r="F213" i="4"/>
  <c r="D283" i="4"/>
  <c r="I240" i="4"/>
  <c r="F369" i="4"/>
  <c r="E17" i="4"/>
  <c r="E364" i="4"/>
  <c r="D244" i="4"/>
  <c r="F134" i="4"/>
  <c r="M317" i="4"/>
  <c r="M233" i="4"/>
  <c r="E120" i="4"/>
  <c r="M132" i="4"/>
  <c r="C182" i="4"/>
  <c r="L80" i="4"/>
  <c r="L26" i="4"/>
  <c r="D357" i="4"/>
  <c r="K37" i="4"/>
  <c r="H209" i="4"/>
  <c r="E257" i="4"/>
  <c r="L294" i="4"/>
  <c r="C315" i="4"/>
  <c r="C355" i="4"/>
  <c r="M66" i="4"/>
  <c r="J52" i="4"/>
  <c r="M62" i="4"/>
  <c r="D179" i="4"/>
  <c r="D127" i="4"/>
  <c r="H291" i="4"/>
  <c r="J18" i="4"/>
  <c r="E137" i="4"/>
  <c r="L264" i="4"/>
  <c r="E252" i="4"/>
  <c r="D215" i="4"/>
  <c r="C229" i="4"/>
  <c r="F8" i="4"/>
  <c r="K142" i="4"/>
  <c r="M105" i="4"/>
  <c r="E391" i="4"/>
  <c r="F335" i="4"/>
  <c r="J136" i="4"/>
  <c r="G244" i="4"/>
  <c r="J277" i="4"/>
  <c r="I76" i="4"/>
  <c r="E283" i="4"/>
  <c r="L303" i="4"/>
  <c r="K317" i="4"/>
  <c r="K105" i="4"/>
  <c r="D81" i="4"/>
  <c r="H17" i="4"/>
  <c r="C306" i="4"/>
  <c r="J190" i="4"/>
  <c r="L228" i="4"/>
  <c r="I90" i="4"/>
  <c r="C95" i="4"/>
  <c r="G262" i="4"/>
  <c r="D93" i="4"/>
  <c r="F344" i="4"/>
  <c r="D180" i="4"/>
  <c r="I385" i="4"/>
  <c r="F175" i="4"/>
  <c r="C112" i="4"/>
  <c r="K99" i="4"/>
  <c r="G356" i="4"/>
  <c r="L314" i="4"/>
  <c r="K279" i="4"/>
  <c r="M273" i="4"/>
  <c r="J257" i="4"/>
  <c r="F193" i="4"/>
  <c r="I69" i="4"/>
  <c r="I85" i="4"/>
  <c r="K15" i="4"/>
  <c r="M143" i="4"/>
  <c r="L316" i="4"/>
  <c r="L157" i="4"/>
  <c r="G163" i="4"/>
  <c r="D230" i="4"/>
  <c r="D12" i="4"/>
  <c r="J82" i="4"/>
  <c r="J8" i="4"/>
  <c r="G371" i="4"/>
  <c r="I245" i="4"/>
  <c r="H252" i="4"/>
  <c r="J158" i="4"/>
  <c r="J161" i="4"/>
  <c r="E71" i="4"/>
  <c r="I228" i="4"/>
  <c r="F274" i="4"/>
  <c r="M57" i="4"/>
  <c r="G114" i="4"/>
  <c r="F179" i="4"/>
  <c r="I81" i="4"/>
  <c r="D65" i="4"/>
  <c r="C332" i="4"/>
  <c r="H342" i="4"/>
  <c r="K151" i="4"/>
  <c r="G64" i="4"/>
  <c r="C220" i="4"/>
  <c r="D194" i="4"/>
  <c r="K160" i="4"/>
  <c r="D87" i="4"/>
  <c r="F36" i="4"/>
  <c r="G378" i="4"/>
  <c r="M54" i="4"/>
  <c r="F18" i="4"/>
  <c r="L120" i="4"/>
  <c r="H165" i="4"/>
  <c r="L325" i="4"/>
  <c r="F115" i="4"/>
  <c r="C253" i="4"/>
  <c r="J139" i="4"/>
  <c r="E357" i="4"/>
  <c r="I365" i="4"/>
  <c r="J30" i="4"/>
  <c r="F173" i="4"/>
  <c r="L366" i="4"/>
  <c r="E302" i="4"/>
  <c r="I113" i="4"/>
  <c r="K200" i="4"/>
  <c r="C341" i="4"/>
  <c r="L5" i="4"/>
  <c r="D136" i="4"/>
  <c r="F348" i="4"/>
  <c r="G49" i="4"/>
  <c r="I317" i="4"/>
  <c r="C237" i="4"/>
  <c r="I326" i="4"/>
  <c r="G215" i="4"/>
  <c r="J285" i="4"/>
  <c r="F181" i="4"/>
  <c r="K346" i="4"/>
  <c r="D311" i="4"/>
  <c r="C284" i="4"/>
  <c r="J151" i="4"/>
  <c r="G89" i="4"/>
  <c r="G23" i="4"/>
  <c r="J270" i="4"/>
  <c r="H149" i="4"/>
  <c r="J149" i="4"/>
  <c r="D368" i="4"/>
  <c r="C204" i="4"/>
  <c r="E36" i="4"/>
  <c r="D208" i="4"/>
  <c r="J259" i="4"/>
  <c r="L124" i="4"/>
  <c r="L301" i="4"/>
  <c r="H55" i="4"/>
  <c r="C282" i="4"/>
  <c r="C223" i="4"/>
  <c r="D155" i="4"/>
  <c r="K202" i="4"/>
  <c r="H379" i="4"/>
  <c r="M17" i="4"/>
  <c r="L38" i="4"/>
  <c r="M58" i="4"/>
  <c r="K220" i="4"/>
  <c r="H118" i="4"/>
  <c r="D282" i="4"/>
  <c r="I288" i="4"/>
  <c r="J60" i="4"/>
  <c r="J27" i="4"/>
  <c r="L313" i="4"/>
  <c r="H87" i="4"/>
  <c r="F82" i="4"/>
  <c r="F68" i="4"/>
  <c r="F295" i="4"/>
  <c r="D138" i="4"/>
  <c r="C97" i="4"/>
  <c r="H38" i="4"/>
  <c r="J75" i="4"/>
  <c r="E53" i="4"/>
  <c r="M21" i="4"/>
  <c r="I270" i="4"/>
  <c r="K10" i="4"/>
  <c r="E208" i="4"/>
  <c r="J150" i="4"/>
  <c r="C381" i="4"/>
  <c r="I209" i="4"/>
  <c r="C238" i="4"/>
  <c r="H280" i="4"/>
  <c r="F216" i="4"/>
  <c r="K57" i="4"/>
  <c r="J65" i="4"/>
  <c r="J297" i="4"/>
  <c r="D279" i="4"/>
  <c r="C292" i="4"/>
  <c r="L159" i="4"/>
  <c r="H282" i="4"/>
  <c r="F182" i="4"/>
  <c r="D90" i="4"/>
  <c r="M80" i="4"/>
  <c r="I340" i="4"/>
  <c r="E328" i="4"/>
  <c r="J358" i="4"/>
  <c r="G155" i="4"/>
  <c r="M110" i="4"/>
  <c r="J64" i="4"/>
  <c r="J146" i="4"/>
  <c r="F44" i="4"/>
  <c r="E195" i="4"/>
  <c r="K75" i="4"/>
  <c r="K384" i="4"/>
  <c r="I211" i="4"/>
  <c r="M220" i="4"/>
  <c r="H191" i="4"/>
  <c r="F229" i="4"/>
  <c r="E354" i="4"/>
  <c r="L156" i="4"/>
  <c r="L150" i="4"/>
  <c r="I180" i="4"/>
  <c r="G246" i="4"/>
  <c r="D159" i="4"/>
  <c r="J272" i="4"/>
  <c r="M235" i="4"/>
  <c r="I100" i="4"/>
  <c r="J283" i="4"/>
  <c r="E117" i="4"/>
  <c r="M312" i="4"/>
  <c r="H228" i="4"/>
  <c r="J251" i="4"/>
  <c r="J294" i="4"/>
  <c r="J179" i="4"/>
  <c r="L82" i="4"/>
  <c r="K8" i="4"/>
  <c r="I267" i="4"/>
  <c r="C75" i="4"/>
  <c r="D257" i="4"/>
  <c r="M269" i="4"/>
  <c r="H163" i="4"/>
  <c r="M265" i="4"/>
  <c r="J291" i="4"/>
  <c r="K107" i="4"/>
  <c r="L148" i="4"/>
  <c r="F266" i="4"/>
  <c r="I119" i="4"/>
  <c r="F355" i="4"/>
  <c r="F366" i="4"/>
  <c r="J19" i="4"/>
  <c r="F107" i="4"/>
  <c r="G34" i="4"/>
  <c r="H277" i="4"/>
  <c r="C272" i="4"/>
  <c r="M144" i="4"/>
  <c r="M79" i="4"/>
  <c r="F155" i="4"/>
  <c r="F368" i="4"/>
  <c r="D76" i="4"/>
  <c r="E31" i="4"/>
  <c r="E247" i="4"/>
  <c r="I62" i="4"/>
  <c r="C12" i="4"/>
  <c r="F381" i="4"/>
  <c r="L208" i="4"/>
  <c r="L276" i="4"/>
  <c r="L239" i="4"/>
  <c r="F297" i="4"/>
  <c r="E249" i="4"/>
  <c r="M63" i="4"/>
  <c r="I364" i="4"/>
  <c r="D146" i="4"/>
  <c r="K372" i="4"/>
  <c r="D141" i="4"/>
  <c r="J29" i="4"/>
  <c r="E39" i="4"/>
  <c r="C19" i="4"/>
  <c r="I139" i="4"/>
  <c r="L347" i="4"/>
  <c r="I94" i="4"/>
  <c r="C135" i="4"/>
  <c r="H373" i="4"/>
  <c r="C376" i="4"/>
  <c r="K201" i="4"/>
  <c r="K137" i="4"/>
  <c r="F236" i="4"/>
  <c r="G207" i="4"/>
  <c r="F20" i="4"/>
  <c r="H346" i="4"/>
  <c r="H37" i="4"/>
  <c r="D237" i="4"/>
  <c r="J205" i="4"/>
  <c r="G96" i="4"/>
  <c r="H368" i="4"/>
  <c r="C57" i="4"/>
  <c r="H198" i="4"/>
  <c r="D104" i="4"/>
  <c r="K5" i="4"/>
  <c r="M16" i="4"/>
  <c r="H130" i="4"/>
  <c r="G194" i="4"/>
  <c r="H192" i="4"/>
  <c r="J45" i="4"/>
  <c r="J299" i="4"/>
  <c r="K108" i="4"/>
  <c r="L59" i="4"/>
  <c r="M251" i="4"/>
  <c r="I345" i="4"/>
  <c r="D91" i="4"/>
  <c r="C288" i="4"/>
  <c r="K117" i="4"/>
  <c r="I151" i="4"/>
  <c r="F242" i="4"/>
  <c r="I86" i="4"/>
  <c r="G209" i="4"/>
  <c r="C8" i="4"/>
  <c r="I129" i="4"/>
  <c r="K148" i="4"/>
  <c r="M75" i="4"/>
  <c r="C175" i="4"/>
  <c r="H235" i="4"/>
  <c r="D305" i="4"/>
  <c r="J301" i="4"/>
  <c r="M366" i="4"/>
  <c r="H9" i="4"/>
  <c r="C283" i="4"/>
  <c r="C172" i="4"/>
  <c r="L351" i="4"/>
  <c r="F161" i="4"/>
  <c r="D240" i="4"/>
  <c r="G253" i="4"/>
  <c r="M22" i="4"/>
  <c r="G287" i="4"/>
  <c r="E4" i="4"/>
  <c r="K248" i="4"/>
  <c r="D345" i="4"/>
  <c r="G272" i="4"/>
  <c r="F159" i="4"/>
  <c r="K258" i="4"/>
  <c r="G190" i="4"/>
  <c r="D274" i="4"/>
  <c r="M198" i="4"/>
  <c r="I134" i="4"/>
  <c r="K349" i="4"/>
  <c r="G286" i="4"/>
  <c r="C165" i="4"/>
  <c r="C370" i="4"/>
  <c r="F105" i="4"/>
  <c r="H41" i="4"/>
  <c r="C234" i="4"/>
  <c r="L136" i="4"/>
  <c r="C101" i="4"/>
  <c r="L235" i="4"/>
  <c r="H77" i="4"/>
  <c r="M163" i="4"/>
  <c r="K378" i="4"/>
  <c r="G59" i="4"/>
  <c r="I376" i="4"/>
  <c r="I314" i="4"/>
  <c r="D14" i="4"/>
  <c r="F39" i="4"/>
  <c r="M382" i="4"/>
  <c r="K243" i="4"/>
  <c r="H301" i="4"/>
  <c r="K7" i="4"/>
  <c r="K246" i="4"/>
  <c r="L373" i="4"/>
  <c r="L242" i="4"/>
  <c r="G130" i="4"/>
  <c r="J286" i="4"/>
  <c r="L278" i="4"/>
  <c r="F183" i="4"/>
  <c r="D9" i="4"/>
  <c r="J71" i="4"/>
  <c r="D175" i="4"/>
  <c r="E118" i="4"/>
  <c r="J38" i="4"/>
  <c r="J56" i="4"/>
  <c r="L39" i="4"/>
  <c r="C74" i="4"/>
  <c r="G139" i="4"/>
  <c r="G129" i="4"/>
  <c r="C387" i="4"/>
  <c r="M298" i="4"/>
  <c r="E366" i="4"/>
  <c r="F125" i="4"/>
  <c r="D111" i="4"/>
  <c r="G326" i="4"/>
  <c r="G159" i="4"/>
  <c r="E292" i="4"/>
  <c r="L333" i="4"/>
  <c r="K20" i="4"/>
  <c r="K54" i="4"/>
  <c r="D98" i="4"/>
  <c r="I391" i="4"/>
  <c r="I356" i="4"/>
  <c r="K240" i="4"/>
  <c r="F390" i="4"/>
  <c r="M340" i="4"/>
  <c r="G372" i="4"/>
  <c r="I266" i="4"/>
  <c r="C63" i="4"/>
  <c r="K272" i="4"/>
  <c r="E112" i="4"/>
  <c r="D275" i="4"/>
  <c r="L44" i="4"/>
  <c r="H319" i="4"/>
  <c r="I323" i="4"/>
  <c r="M330" i="4"/>
  <c r="G354" i="4"/>
  <c r="D272" i="4"/>
  <c r="K80" i="4"/>
  <c r="L317" i="4"/>
  <c r="D260" i="4"/>
  <c r="J130" i="4"/>
  <c r="K191" i="4"/>
  <c r="G133" i="4"/>
  <c r="M347" i="4"/>
  <c r="J207" i="4"/>
  <c r="M272" i="4"/>
  <c r="M370" i="4"/>
  <c r="F140" i="4"/>
  <c r="C207" i="4"/>
  <c r="K285" i="4"/>
  <c r="L161" i="4"/>
  <c r="D307" i="4"/>
  <c r="L361" i="4"/>
  <c r="K106" i="4"/>
  <c r="J13" i="4"/>
  <c r="G30" i="4"/>
  <c r="G213" i="4"/>
  <c r="F4" i="4"/>
  <c r="L223" i="4"/>
  <c r="F10" i="4"/>
  <c r="C115" i="4"/>
  <c r="D252" i="4"/>
  <c r="F192" i="4"/>
  <c r="J350" i="4"/>
  <c r="F228" i="4"/>
  <c r="K53" i="4"/>
  <c r="K171" i="4"/>
  <c r="D342" i="4"/>
  <c r="G177" i="4"/>
  <c r="H76" i="4"/>
  <c r="J199" i="4"/>
  <c r="K26" i="4"/>
  <c r="C164" i="4"/>
  <c r="D42" i="4"/>
  <c r="L296" i="4"/>
  <c r="G100" i="4"/>
  <c r="G76" i="4"/>
  <c r="H46" i="4"/>
  <c r="J15" i="4"/>
  <c r="L315" i="4"/>
  <c r="L199" i="4"/>
  <c r="G20" i="4"/>
  <c r="M364" i="4"/>
  <c r="M178" i="4"/>
  <c r="E256" i="4"/>
  <c r="F326" i="4"/>
  <c r="M70" i="4"/>
  <c r="F184" i="4"/>
  <c r="G174" i="4"/>
  <c r="L88" i="4"/>
  <c r="I276" i="4"/>
  <c r="E68" i="4"/>
  <c r="C259" i="4"/>
  <c r="H390" i="4"/>
  <c r="D245" i="4"/>
  <c r="I83" i="4"/>
  <c r="M304" i="4"/>
  <c r="H103" i="4"/>
  <c r="L272" i="4"/>
  <c r="F279" i="4"/>
  <c r="L227" i="4"/>
  <c r="F38" i="4"/>
  <c r="C323" i="4"/>
  <c r="L234" i="4"/>
  <c r="F17" i="4"/>
  <c r="H170" i="4"/>
  <c r="H308" i="4"/>
  <c r="J313" i="4"/>
  <c r="L312" i="4"/>
  <c r="I22" i="4"/>
  <c r="I115" i="4"/>
  <c r="K91" i="4"/>
  <c r="D94" i="4"/>
  <c r="E352" i="4"/>
  <c r="C211" i="4"/>
  <c r="L305" i="4"/>
  <c r="C344" i="4"/>
  <c r="E182" i="4"/>
  <c r="J357" i="4"/>
  <c r="K231" i="4"/>
  <c r="D195" i="4"/>
  <c r="E238" i="4"/>
  <c r="H357" i="4"/>
  <c r="I352" i="4"/>
  <c r="M244" i="4"/>
  <c r="D115" i="4"/>
  <c r="L41" i="4"/>
  <c r="K335" i="4"/>
  <c r="E206" i="4"/>
  <c r="G346" i="4"/>
  <c r="L17" i="4"/>
  <c r="D340" i="4"/>
  <c r="H57" i="4"/>
  <c r="E87" i="4"/>
  <c r="C389" i="4"/>
  <c r="K196" i="4"/>
  <c r="G285" i="4"/>
  <c r="M145" i="4"/>
  <c r="K274" i="4"/>
  <c r="H260" i="4"/>
  <c r="H81" i="4"/>
  <c r="I334" i="4"/>
  <c r="J373" i="4"/>
  <c r="L91" i="4"/>
  <c r="I147" i="4"/>
  <c r="F60" i="4"/>
  <c r="G282" i="4"/>
  <c r="J287" i="4"/>
  <c r="C304" i="4"/>
  <c r="I377" i="4"/>
  <c r="D258" i="4"/>
  <c r="E46" i="4"/>
  <c r="L104" i="4"/>
  <c r="H219" i="4"/>
  <c r="H12" i="4"/>
  <c r="L207" i="4"/>
  <c r="C305" i="4"/>
  <c r="M130" i="4"/>
  <c r="I140" i="4"/>
  <c r="F337" i="4"/>
  <c r="K213" i="4"/>
  <c r="E74" i="4"/>
  <c r="I308" i="4"/>
  <c r="G107" i="4"/>
  <c r="I348" i="4"/>
  <c r="E99" i="4"/>
  <c r="L180" i="4"/>
  <c r="F370" i="4"/>
  <c r="D228" i="4"/>
  <c r="K18" i="4"/>
  <c r="L29" i="4"/>
  <c r="I105" i="4"/>
  <c r="J187" i="4"/>
  <c r="K348" i="4"/>
  <c r="I203" i="4"/>
  <c r="H254" i="4"/>
  <c r="M295" i="4"/>
  <c r="D69" i="4"/>
  <c r="I13" i="4"/>
  <c r="J317" i="4"/>
  <c r="C342" i="4"/>
  <c r="L300" i="4"/>
  <c r="F67" i="4"/>
  <c r="I244" i="4"/>
  <c r="E343" i="4"/>
  <c r="H213" i="4"/>
  <c r="M188" i="4"/>
  <c r="G374" i="4"/>
  <c r="L275" i="4"/>
  <c r="K102" i="4"/>
  <c r="L257" i="4"/>
  <c r="E383" i="4"/>
  <c r="L253" i="4"/>
  <c r="J219" i="4"/>
  <c r="H386" i="4"/>
  <c r="G128" i="4"/>
  <c r="C379" i="4"/>
  <c r="H193" i="4"/>
  <c r="H276" i="4"/>
  <c r="G352" i="4"/>
  <c r="M155" i="4"/>
  <c r="E48" i="4"/>
  <c r="D114" i="4"/>
  <c r="C10" i="4"/>
  <c r="I298" i="4"/>
  <c r="H69" i="4"/>
  <c r="D15" i="4"/>
  <c r="J195" i="4"/>
  <c r="E173" i="4"/>
  <c r="I250" i="4"/>
  <c r="E329" i="4"/>
  <c r="J25" i="4"/>
  <c r="F43" i="4"/>
  <c r="H234" i="4"/>
  <c r="J133" i="4"/>
  <c r="M160" i="4"/>
  <c r="K212" i="4"/>
  <c r="L10" i="4"/>
  <c r="E151" i="4"/>
  <c r="J343" i="4"/>
  <c r="M334" i="4"/>
  <c r="M88" i="4"/>
  <c r="I283" i="4"/>
  <c r="L229" i="4"/>
  <c r="F349" i="4"/>
  <c r="D391" i="4"/>
  <c r="K364" i="4"/>
  <c r="D372" i="4"/>
  <c r="C192" i="4"/>
  <c r="C28" i="4"/>
  <c r="F312" i="4"/>
  <c r="E20" i="4"/>
  <c r="M191" i="4"/>
  <c r="K337" i="4"/>
  <c r="G273" i="4"/>
  <c r="D362" i="4"/>
  <c r="C168" i="4"/>
  <c r="I241" i="4"/>
  <c r="J365" i="4"/>
  <c r="E333" i="4"/>
  <c r="G363" i="4"/>
  <c r="K84" i="4"/>
  <c r="D212" i="4"/>
  <c r="D249" i="4"/>
  <c r="L342" i="4"/>
  <c r="J333" i="4"/>
  <c r="C132" i="4"/>
  <c r="G369" i="4"/>
  <c r="F270" i="4"/>
  <c r="K341" i="4"/>
  <c r="G141" i="4"/>
  <c r="D265" i="4"/>
  <c r="M175" i="4"/>
  <c r="J308" i="4"/>
  <c r="C240" i="4"/>
  <c r="K219" i="4"/>
  <c r="M90" i="4"/>
  <c r="D160" i="4"/>
  <c r="F338" i="4"/>
  <c r="D298" i="4"/>
  <c r="I95" i="4"/>
  <c r="E204" i="4"/>
  <c r="D107" i="4"/>
  <c r="I47" i="4"/>
  <c r="C16" i="4"/>
  <c r="G171" i="4"/>
  <c r="I97" i="4"/>
  <c r="C86" i="4"/>
  <c r="J360" i="4"/>
  <c r="L132" i="4"/>
  <c r="F143" i="4"/>
  <c r="E91" i="4"/>
  <c r="K31" i="4"/>
  <c r="H140" i="4"/>
  <c r="J78" i="4"/>
  <c r="L386" i="4"/>
  <c r="K131" i="4"/>
  <c r="E73" i="4"/>
  <c r="H126" i="4"/>
  <c r="K380" i="4"/>
  <c r="K206" i="4"/>
  <c r="F117" i="4"/>
  <c r="D35" i="4"/>
  <c r="J97" i="4"/>
  <c r="F114" i="4"/>
  <c r="K58" i="4"/>
  <c r="C208" i="4"/>
  <c r="J309" i="4"/>
  <c r="K391" i="4"/>
  <c r="G265" i="4"/>
  <c r="J50" i="4"/>
  <c r="L363" i="4"/>
  <c r="G196" i="4"/>
  <c r="G178" i="4"/>
  <c r="K217" i="4"/>
  <c r="K260" i="4"/>
  <c r="J41" i="4"/>
  <c r="K303" i="4"/>
  <c r="K264" i="4"/>
  <c r="M217" i="4"/>
  <c r="L241" i="4"/>
  <c r="K249" i="4"/>
  <c r="E171" i="4"/>
  <c r="G104" i="4"/>
  <c r="H110" i="4"/>
  <c r="M387" i="4"/>
  <c r="C176" i="4"/>
  <c r="I55" i="4"/>
  <c r="J234" i="4"/>
  <c r="E196" i="4"/>
  <c r="I237" i="4"/>
  <c r="J327" i="4"/>
  <c r="M359" i="4"/>
  <c r="C375" i="4"/>
  <c r="H64" i="4"/>
  <c r="K28" i="4"/>
  <c r="H179" i="4"/>
  <c r="D19" i="4"/>
  <c r="C216" i="4"/>
  <c r="J321" i="4"/>
  <c r="I74" i="4"/>
  <c r="E332" i="4"/>
  <c r="G218" i="4"/>
  <c r="D270" i="4"/>
  <c r="M43" i="4"/>
  <c r="G388" i="4"/>
  <c r="D150" i="4"/>
  <c r="M13" i="4"/>
  <c r="I149" i="4"/>
  <c r="H106" i="4"/>
  <c r="D83" i="4"/>
  <c r="H221" i="4"/>
  <c r="L25" i="4"/>
  <c r="D113" i="4"/>
  <c r="C205" i="4"/>
  <c r="L268" i="4"/>
  <c r="M297" i="4"/>
  <c r="M282" i="4"/>
  <c r="I109" i="4"/>
  <c r="G117" i="4"/>
  <c r="F316" i="4"/>
  <c r="J278" i="4"/>
  <c r="C64" i="4"/>
  <c r="I330" i="4"/>
  <c r="C266" i="4"/>
  <c r="M343" i="4"/>
  <c r="G63" i="4"/>
  <c r="E264" i="4"/>
  <c r="I236" i="4"/>
  <c r="E278" i="4"/>
  <c r="H147" i="4"/>
  <c r="K222" i="4"/>
  <c r="L236" i="4"/>
  <c r="H113" i="4"/>
  <c r="E294" i="4"/>
  <c r="C82" i="4"/>
  <c r="H330" i="4"/>
  <c r="I272" i="4"/>
  <c r="M287" i="4"/>
  <c r="I6" i="4"/>
  <c r="C322" i="4"/>
  <c r="D325" i="4"/>
  <c r="C330" i="4"/>
  <c r="I145" i="4"/>
  <c r="F69" i="4"/>
  <c r="M23" i="4"/>
  <c r="K125" i="4"/>
  <c r="D171" i="4"/>
  <c r="K387" i="4"/>
  <c r="I251" i="4"/>
  <c r="J103" i="4"/>
  <c r="J165" i="4"/>
  <c r="D217" i="4"/>
  <c r="F78" i="4"/>
  <c r="E313" i="4"/>
  <c r="K164" i="4"/>
  <c r="I342" i="4"/>
  <c r="K45" i="4"/>
  <c r="I256" i="4"/>
  <c r="J322" i="4"/>
  <c r="H139" i="4"/>
  <c r="D165" i="4"/>
  <c r="J51" i="4"/>
  <c r="J73" i="4"/>
  <c r="G334" i="4"/>
  <c r="J307" i="4"/>
  <c r="F86" i="4"/>
  <c r="M20" i="4"/>
  <c r="H364" i="4"/>
  <c r="F50" i="4"/>
  <c r="H289" i="4"/>
  <c r="K33" i="4"/>
  <c r="G35" i="4"/>
  <c r="G229" i="4"/>
  <c r="D269" i="4"/>
  <c r="H297" i="4"/>
  <c r="M313" i="4"/>
  <c r="M194" i="4"/>
  <c r="D308" i="4"/>
  <c r="K143" i="4"/>
  <c r="I280" i="4"/>
  <c r="M39" i="4"/>
  <c r="L78" i="4"/>
  <c r="F135" i="4"/>
  <c r="M100" i="4"/>
  <c r="C169" i="4"/>
  <c r="K253" i="4"/>
  <c r="D24" i="4"/>
  <c r="G67" i="4"/>
  <c r="H310" i="4"/>
  <c r="J180" i="4"/>
  <c r="G51" i="4"/>
  <c r="E22" i="4"/>
  <c r="C171" i="4"/>
  <c r="I225" i="4"/>
  <c r="J176" i="4"/>
  <c r="C158" i="4"/>
  <c r="M203" i="4"/>
  <c r="K35" i="4"/>
  <c r="J390" i="4"/>
  <c r="J101" i="4"/>
  <c r="E265" i="4"/>
  <c r="D89" i="4"/>
  <c r="G6" i="4"/>
  <c r="G86" i="4"/>
  <c r="C242" i="4"/>
  <c r="L291" i="4"/>
  <c r="L160" i="4"/>
  <c r="F26" i="4"/>
  <c r="F49" i="4"/>
  <c r="H5" i="4"/>
  <c r="I150" i="4"/>
  <c r="K172" i="4"/>
  <c r="G94" i="4"/>
  <c r="E188" i="4"/>
  <c r="K353" i="4"/>
  <c r="F30" i="4"/>
  <c r="K77" i="4"/>
  <c r="E66" i="4"/>
  <c r="L210" i="4"/>
  <c r="C178" i="4"/>
  <c r="H236" i="4"/>
  <c r="L355" i="4"/>
  <c r="L297" i="4"/>
  <c r="C359" i="4"/>
  <c r="K96" i="4"/>
  <c r="G315" i="4"/>
  <c r="M267" i="4"/>
  <c r="F85" i="4"/>
  <c r="L9" i="4"/>
  <c r="F116" i="4"/>
  <c r="E155" i="4"/>
  <c r="L158" i="4"/>
  <c r="J247" i="4"/>
  <c r="M129" i="4"/>
  <c r="L277" i="4"/>
  <c r="F81" i="4"/>
  <c r="E157" i="4"/>
  <c r="G311" i="4"/>
  <c r="F342" i="4"/>
  <c r="E12" i="4"/>
  <c r="K110" i="4"/>
  <c r="K281" i="4"/>
  <c r="E207" i="4"/>
  <c r="G132" i="4"/>
  <c r="E38" i="4"/>
  <c r="I117" i="4"/>
  <c r="D239" i="4"/>
  <c r="F282" i="4"/>
  <c r="E360" i="4"/>
  <c r="J182" i="4"/>
  <c r="I121" i="4"/>
  <c r="L63" i="4"/>
  <c r="J341" i="4"/>
  <c r="I369" i="4"/>
  <c r="E57" i="4"/>
  <c r="H317" i="4"/>
  <c r="L382" i="4"/>
  <c r="G119" i="4"/>
  <c r="L58" i="4"/>
  <c r="E323" i="4"/>
  <c r="M73" i="4"/>
  <c r="G173" i="4"/>
  <c r="C42" i="4"/>
  <c r="M354" i="4"/>
  <c r="L18" i="4"/>
  <c r="D178" i="4"/>
  <c r="H129" i="4"/>
  <c r="H28" i="4"/>
  <c r="L201" i="4"/>
  <c r="G118" i="4"/>
  <c r="G39" i="4"/>
  <c r="L97" i="4"/>
  <c r="F362" i="4"/>
  <c r="M186" i="4"/>
  <c r="L385" i="4"/>
  <c r="F303" i="4"/>
  <c r="J221" i="4"/>
  <c r="F88" i="4"/>
  <c r="J160" i="4"/>
  <c r="I282" i="4"/>
  <c r="C187" i="4"/>
  <c r="C55" i="4"/>
  <c r="M10" i="4"/>
  <c r="E374" i="4"/>
  <c r="L263" i="4"/>
  <c r="J268" i="4"/>
  <c r="C224" i="4"/>
  <c r="E24" i="4"/>
  <c r="C122" i="4"/>
  <c r="F277" i="4"/>
  <c r="C155" i="4"/>
  <c r="F278" i="4"/>
  <c r="I155" i="4"/>
  <c r="H186" i="4"/>
  <c r="G340" i="4"/>
  <c r="C108" i="4"/>
  <c r="D346" i="4"/>
  <c r="M5" i="4"/>
  <c r="C273" i="4"/>
  <c r="E300" i="4"/>
  <c r="M83" i="4"/>
  <c r="D92" i="4"/>
  <c r="K244" i="4"/>
  <c r="C244" i="4"/>
  <c r="F64" i="4"/>
  <c r="L162" i="4"/>
  <c r="M268" i="4"/>
  <c r="I16" i="4"/>
  <c r="K328" i="4"/>
  <c r="F102" i="4"/>
  <c r="L128" i="4"/>
  <c r="I96" i="4"/>
  <c r="E159" i="4"/>
  <c r="E321" i="4"/>
  <c r="K286" i="4"/>
  <c r="H303" i="4"/>
  <c r="M131" i="4"/>
  <c r="L349" i="4"/>
  <c r="M223" i="4"/>
  <c r="K161" i="4"/>
  <c r="I254" i="4"/>
  <c r="G366" i="4"/>
  <c r="H175" i="4"/>
  <c r="C210" i="4"/>
  <c r="F363" i="4"/>
  <c r="F31" i="4"/>
  <c r="I257" i="4"/>
  <c r="G330" i="4"/>
  <c r="H267" i="4"/>
  <c r="C349" i="4"/>
  <c r="F56" i="4"/>
  <c r="H253" i="4"/>
  <c r="D355" i="4"/>
  <c r="C320" i="4"/>
  <c r="K183" i="4"/>
  <c r="I141" i="4"/>
  <c r="C130" i="4"/>
  <c r="H174" i="4"/>
  <c r="E183" i="4"/>
  <c r="M95" i="4"/>
  <c r="C195" i="4"/>
  <c r="H99" i="4"/>
  <c r="C213" i="4"/>
  <c r="H44" i="4"/>
  <c r="M209" i="4"/>
  <c r="F152" i="4"/>
  <c r="J375" i="4"/>
  <c r="E59" i="4"/>
  <c r="J17" i="4"/>
  <c r="M44" i="4"/>
  <c r="M55" i="4"/>
  <c r="H67" i="4"/>
  <c r="J177" i="4"/>
  <c r="C39" i="4"/>
  <c r="L378" i="4"/>
  <c r="M119" i="4"/>
  <c r="K46" i="4"/>
  <c r="K190" i="4"/>
  <c r="L89" i="4"/>
  <c r="L284" i="4"/>
  <c r="H152" i="4"/>
  <c r="G144" i="4"/>
  <c r="F354" i="4"/>
  <c r="H362" i="4"/>
  <c r="M107" i="4"/>
  <c r="C119" i="4"/>
  <c r="C235" i="4"/>
  <c r="M226" i="4"/>
  <c r="M305" i="4"/>
  <c r="L145" i="4"/>
  <c r="K339" i="4"/>
  <c r="G192" i="4"/>
  <c r="H105" i="4"/>
  <c r="I93" i="4"/>
  <c r="K234" i="4"/>
  <c r="K154" i="4"/>
  <c r="M148" i="4"/>
  <c r="H372" i="4"/>
  <c r="H180" i="4"/>
  <c r="J90" i="4"/>
  <c r="E280" i="4"/>
  <c r="J359" i="4"/>
  <c r="D176" i="4"/>
  <c r="C343" i="4"/>
  <c r="H135" i="4"/>
  <c r="I261" i="4"/>
  <c r="D118" i="4"/>
  <c r="E304" i="4"/>
  <c r="I125" i="4"/>
  <c r="M296" i="4"/>
  <c r="E299" i="4"/>
  <c r="L258" i="4"/>
  <c r="D248" i="4"/>
  <c r="M286" i="4"/>
  <c r="C296" i="4"/>
  <c r="K39" i="4"/>
  <c r="I322" i="4"/>
  <c r="I67" i="4"/>
  <c r="G175" i="4"/>
  <c r="G379" i="4"/>
  <c r="J293" i="4"/>
  <c r="E23" i="4"/>
  <c r="G329" i="4"/>
  <c r="K176" i="4"/>
  <c r="F95" i="4"/>
  <c r="H48" i="4"/>
  <c r="L57" i="4"/>
  <c r="F151" i="4"/>
  <c r="G321" i="4"/>
  <c r="F350" i="4"/>
  <c r="D197" i="4"/>
  <c r="I373" i="4"/>
  <c r="M357" i="4"/>
  <c r="K373" i="4"/>
  <c r="H332" i="4"/>
  <c r="K175" i="4"/>
  <c r="I309" i="4"/>
  <c r="K41" i="4"/>
  <c r="K79" i="4"/>
  <c r="K238" i="4"/>
  <c r="D130" i="4"/>
  <c r="E306" i="4"/>
  <c r="E152" i="4"/>
  <c r="H307" i="4"/>
  <c r="K70" i="4"/>
  <c r="K166" i="4"/>
  <c r="F273" i="4"/>
  <c r="L215" i="4"/>
  <c r="F382" i="4"/>
  <c r="C357" i="4"/>
  <c r="G93" i="4"/>
  <c r="G385" i="4"/>
  <c r="H304" i="4"/>
  <c r="E312" i="4"/>
  <c r="E287" i="4"/>
  <c r="K88" i="4"/>
  <c r="J258" i="4"/>
  <c r="M49" i="4"/>
  <c r="M180" i="4"/>
  <c r="F137" i="4"/>
  <c r="L323" i="4"/>
  <c r="F239" i="4"/>
  <c r="I229" i="4"/>
  <c r="F294" i="4"/>
  <c r="H339" i="4"/>
  <c r="E340" i="4"/>
  <c r="M185" i="4"/>
  <c r="H70" i="4"/>
  <c r="K71" i="4"/>
  <c r="L357" i="4"/>
  <c r="G257" i="4"/>
  <c r="I230" i="4"/>
  <c r="K313" i="4"/>
  <c r="K174" i="4"/>
  <c r="L54" i="4"/>
  <c r="L318" i="4"/>
  <c r="K95" i="4"/>
  <c r="H218" i="4"/>
  <c r="E296" i="4"/>
  <c r="F298" i="4"/>
  <c r="D153" i="4"/>
  <c r="L285" i="4"/>
  <c r="I354" i="4"/>
  <c r="L226" i="4"/>
  <c r="F41" i="4"/>
  <c r="J99" i="4"/>
  <c r="L183" i="4"/>
  <c r="F264" i="4"/>
  <c r="J300" i="4"/>
  <c r="G368" i="4"/>
  <c r="I355" i="4"/>
  <c r="C245" i="4"/>
  <c r="H196" i="4"/>
  <c r="F195" i="4"/>
  <c r="I219" i="4"/>
  <c r="H137" i="4"/>
  <c r="L341" i="4"/>
  <c r="H47" i="4"/>
  <c r="G17" i="4"/>
  <c r="L174" i="4"/>
  <c r="D133" i="4"/>
  <c r="K167" i="4"/>
  <c r="F194" i="4"/>
  <c r="L31" i="4"/>
  <c r="H329" i="4"/>
  <c r="D359" i="4"/>
  <c r="I204" i="4"/>
  <c r="M331" i="4"/>
  <c r="G317" i="4"/>
  <c r="E346" i="4"/>
  <c r="L348" i="4"/>
  <c r="K323" i="4"/>
  <c r="D66" i="4"/>
  <c r="J35" i="4"/>
  <c r="E373" i="4"/>
  <c r="F24" i="4"/>
  <c r="I114" i="4"/>
  <c r="H15" i="4"/>
  <c r="E260" i="4"/>
  <c r="J63" i="4"/>
  <c r="H94" i="4"/>
  <c r="C316" i="4"/>
  <c r="C183" i="4"/>
  <c r="G79" i="4"/>
  <c r="C313" i="4"/>
  <c r="M53" i="4"/>
  <c r="K156" i="4"/>
  <c r="M68" i="4"/>
  <c r="J347" i="4"/>
  <c r="K204" i="4"/>
  <c r="G95" i="4"/>
  <c r="G22" i="4"/>
  <c r="G88" i="4"/>
  <c r="K280" i="4"/>
  <c r="D21" i="4"/>
  <c r="H294" i="4"/>
  <c r="J147" i="4"/>
  <c r="C14" i="4"/>
  <c r="F248" i="4"/>
  <c r="F250" i="4"/>
  <c r="L269" i="4"/>
  <c r="G188" i="4"/>
  <c r="H84" i="4"/>
  <c r="K97" i="4"/>
  <c r="L266" i="4"/>
  <c r="D164" i="4"/>
  <c r="I300" i="4"/>
  <c r="E49" i="4"/>
  <c r="H157" i="4"/>
  <c r="D101" i="4"/>
  <c r="E358" i="4"/>
  <c r="L384" i="4"/>
  <c r="D88" i="4"/>
  <c r="D364" i="4"/>
  <c r="E180" i="4"/>
  <c r="G11" i="4"/>
  <c r="I198" i="4"/>
  <c r="M181" i="4"/>
  <c r="J80" i="4"/>
  <c r="G205" i="4"/>
  <c r="G181" i="4"/>
  <c r="C27" i="4"/>
  <c r="I12" i="4"/>
  <c r="J246" i="4"/>
  <c r="G105" i="4"/>
  <c r="G221" i="4"/>
  <c r="G131" i="4"/>
  <c r="M261" i="4"/>
  <c r="G355" i="4"/>
  <c r="M360" i="4"/>
  <c r="C199" i="4"/>
  <c r="M93" i="4"/>
  <c r="K321" i="4"/>
  <c r="J33" i="4"/>
  <c r="K17" i="4"/>
  <c r="M281" i="4"/>
  <c r="M106" i="4"/>
  <c r="J311" i="4"/>
  <c r="F185" i="4"/>
  <c r="I287" i="4"/>
  <c r="J7" i="4"/>
  <c r="K256" i="4"/>
  <c r="M26" i="4"/>
  <c r="K173" i="4"/>
  <c r="M249" i="4"/>
  <c r="E54" i="4"/>
  <c r="K13" i="4"/>
  <c r="M111" i="4"/>
  <c r="E350" i="4"/>
  <c r="K386" i="4"/>
  <c r="M193" i="4"/>
  <c r="J239" i="4"/>
  <c r="L101" i="4"/>
  <c r="H248" i="4"/>
  <c r="I349" i="4"/>
  <c r="K136" i="4"/>
  <c r="M108" i="4"/>
  <c r="H316" i="4"/>
  <c r="I262" i="4"/>
  <c r="E41" i="4"/>
  <c r="I154" i="4"/>
  <c r="K360" i="4"/>
  <c r="E286" i="4"/>
  <c r="K119" i="4"/>
  <c r="D318" i="4"/>
  <c r="F215" i="4"/>
  <c r="G156" i="4"/>
  <c r="D39" i="4"/>
  <c r="I175" i="4"/>
  <c r="G134" i="4"/>
  <c r="E376" i="4"/>
  <c r="I35" i="4"/>
  <c r="L110" i="4"/>
  <c r="C261" i="4"/>
  <c r="L169" i="4"/>
  <c r="D370" i="4"/>
  <c r="D206" i="4"/>
  <c r="M362" i="4"/>
  <c r="G324" i="4"/>
  <c r="H143" i="4"/>
  <c r="K277" i="4"/>
  <c r="L259" i="4"/>
  <c r="M228" i="4"/>
  <c r="H348" i="4"/>
  <c r="D58" i="4"/>
  <c r="E187" i="4"/>
  <c r="H388" i="4"/>
  <c r="G101" i="4"/>
  <c r="G212" i="4"/>
  <c r="G243" i="4"/>
  <c r="J89" i="4"/>
  <c r="L220" i="4"/>
  <c r="F142" i="4"/>
  <c r="G361" i="4"/>
  <c r="C154" i="4"/>
  <c r="K144" i="4"/>
  <c r="F77" i="4"/>
  <c r="J214" i="4"/>
  <c r="M109" i="4"/>
  <c r="I75" i="4"/>
  <c r="I112" i="4"/>
  <c r="K168" i="4"/>
  <c r="J232" i="4"/>
  <c r="I78" i="4"/>
  <c r="I199" i="4"/>
  <c r="J312" i="4"/>
  <c r="M45" i="4"/>
  <c r="L187" i="4"/>
  <c r="F103" i="4"/>
  <c r="G126" i="4"/>
  <c r="C7" i="4"/>
  <c r="K315" i="4"/>
  <c r="H197" i="4"/>
  <c r="L73" i="4"/>
  <c r="G231" i="4"/>
  <c r="M98" i="4"/>
  <c r="D183" i="4"/>
  <c r="E65" i="4"/>
  <c r="K235" i="4"/>
  <c r="M327" i="4"/>
  <c r="L99" i="4"/>
  <c r="G74" i="4"/>
  <c r="H300" i="4"/>
  <c r="M328" i="4"/>
  <c r="K224" i="4"/>
  <c r="F72" i="4"/>
  <c r="J55" i="4"/>
  <c r="L197" i="4"/>
  <c r="F293" i="4"/>
  <c r="J28" i="4"/>
  <c r="D256" i="4"/>
  <c r="L75" i="4"/>
  <c r="J296" i="4"/>
  <c r="M335" i="4"/>
  <c r="E121" i="4"/>
  <c r="F247" i="4"/>
  <c r="E78" i="4"/>
  <c r="E114" i="4"/>
  <c r="J69" i="4"/>
  <c r="E291" i="4"/>
  <c r="G90" i="4"/>
  <c r="F163" i="4"/>
  <c r="L238" i="4"/>
  <c r="F202" i="4"/>
  <c r="M284" i="4"/>
  <c r="G186" i="4"/>
  <c r="J104" i="4"/>
  <c r="M379" i="4"/>
  <c r="E101" i="4"/>
  <c r="I220" i="4"/>
  <c r="E131" i="4"/>
  <c r="F230" i="4"/>
  <c r="C326" i="4"/>
  <c r="E241" i="4"/>
  <c r="K312" i="4"/>
  <c r="E50" i="4"/>
  <c r="F196" i="4"/>
  <c r="G263" i="4"/>
  <c r="J152" i="4"/>
  <c r="F27" i="4"/>
  <c r="G50" i="4"/>
  <c r="G92" i="4"/>
  <c r="K146" i="4"/>
  <c r="F272" i="4"/>
  <c r="H61" i="4"/>
  <c r="K245" i="4"/>
  <c r="K120" i="4"/>
  <c r="K371" i="4"/>
  <c r="C369" i="4"/>
  <c r="J117" i="4"/>
  <c r="G52" i="4"/>
  <c r="L308" i="4"/>
  <c r="C180" i="4"/>
  <c r="J157" i="4"/>
  <c r="E64" i="4"/>
  <c r="C18" i="4"/>
  <c r="E254" i="4"/>
  <c r="C331" i="4"/>
  <c r="L94" i="4"/>
  <c r="H127" i="4"/>
  <c r="I274" i="4"/>
  <c r="F136" i="4"/>
  <c r="E270" i="4"/>
  <c r="M102" i="4"/>
  <c r="E133" i="4"/>
  <c r="F385" i="4"/>
  <c r="G292" i="4"/>
  <c r="D154" i="4"/>
  <c r="E98" i="4"/>
  <c r="G339" i="4"/>
  <c r="F255" i="4"/>
  <c r="F325" i="4"/>
  <c r="K276" i="4"/>
  <c r="H321" i="4"/>
  <c r="K103" i="4"/>
  <c r="D45" i="4"/>
  <c r="D229" i="4"/>
  <c r="G389" i="4"/>
  <c r="E192" i="4"/>
  <c r="I189" i="4"/>
  <c r="D122" i="4"/>
  <c r="G301" i="4"/>
  <c r="F352" i="4"/>
  <c r="E365" i="4"/>
  <c r="L141" i="4"/>
  <c r="G224" i="4"/>
  <c r="M116" i="4"/>
  <c r="M338" i="4"/>
  <c r="J54" i="4"/>
  <c r="C60" i="4"/>
  <c r="L50" i="4"/>
  <c r="E233" i="4"/>
  <c r="L218" i="4"/>
  <c r="F66" i="4"/>
  <c r="I223" i="4"/>
  <c r="H108" i="4"/>
  <c r="D139" i="4"/>
  <c r="D8" i="4"/>
  <c r="E162" i="4"/>
  <c r="K357" i="4"/>
  <c r="K83" i="4"/>
  <c r="E272" i="4"/>
  <c r="I358" i="4"/>
  <c r="J230" i="4"/>
  <c r="F76" i="4"/>
  <c r="L179" i="4"/>
  <c r="E367" i="4"/>
  <c r="E273" i="4"/>
  <c r="G248" i="4"/>
  <c r="J254" i="4"/>
  <c r="L287" i="4"/>
  <c r="K295" i="4"/>
  <c r="E103" i="4"/>
  <c r="I50" i="4"/>
  <c r="J319" i="4"/>
  <c r="C83" i="4"/>
  <c r="L106" i="4"/>
  <c r="K126" i="4"/>
  <c r="I31" i="4"/>
  <c r="L21" i="4"/>
  <c r="J21" i="4"/>
  <c r="I234" i="4"/>
  <c r="I191" i="4"/>
  <c r="F299" i="4"/>
  <c r="F318" i="4"/>
  <c r="L306" i="4"/>
  <c r="E244" i="4"/>
  <c r="M320" i="4"/>
  <c r="M18" i="4"/>
  <c r="J326" i="4"/>
  <c r="H336" i="4"/>
  <c r="D285" i="4"/>
  <c r="J129" i="4"/>
  <c r="L360" i="4"/>
  <c r="K255" i="4"/>
  <c r="K4" i="4"/>
  <c r="C78" i="4"/>
  <c r="L376" i="4"/>
  <c r="L118" i="4"/>
  <c r="H293" i="4"/>
  <c r="K383" i="4"/>
  <c r="M184" i="4"/>
  <c r="M174" i="4"/>
  <c r="F320" i="4"/>
  <c r="E62" i="4"/>
  <c r="D227" i="4"/>
  <c r="H141" i="4"/>
  <c r="L90" i="4"/>
  <c r="D214" i="4"/>
  <c r="C51" i="4"/>
  <c r="C124" i="4"/>
  <c r="E70" i="4"/>
  <c r="E271" i="4"/>
  <c r="J273" i="4"/>
  <c r="H326" i="4"/>
  <c r="D86" i="4"/>
  <c r="I184" i="4"/>
  <c r="I44" i="4"/>
  <c r="L390" i="4"/>
  <c r="K68" i="4"/>
  <c r="F289" i="4"/>
  <c r="K56" i="4"/>
  <c r="C372" i="4"/>
  <c r="F48" i="4"/>
  <c r="M264" i="4"/>
  <c r="F306" i="4"/>
  <c r="F180" i="4"/>
  <c r="M201" i="4"/>
  <c r="L168" i="4"/>
  <c r="I264" i="4"/>
  <c r="G318" i="4"/>
  <c r="M37" i="4"/>
  <c r="K211" i="4"/>
  <c r="J388" i="4"/>
  <c r="C327" i="4"/>
  <c r="M8" i="4"/>
  <c r="M309" i="4"/>
  <c r="L81" i="4"/>
  <c r="M205" i="4"/>
  <c r="C209" i="4"/>
  <c r="D106" i="4"/>
  <c r="J224" i="4"/>
  <c r="L130" i="4"/>
  <c r="K375" i="4"/>
  <c r="I310" i="4"/>
  <c r="M46" i="4"/>
  <c r="F28" i="4"/>
  <c r="G60" i="4"/>
  <c r="H65" i="4"/>
  <c r="C70" i="4"/>
  <c r="D211" i="4"/>
  <c r="K90" i="4"/>
  <c r="J213" i="4"/>
  <c r="C276" i="4"/>
  <c r="E51" i="4"/>
  <c r="K9" i="4"/>
  <c r="E69" i="4"/>
  <c r="I24" i="4"/>
  <c r="F265" i="4"/>
  <c r="L214" i="4"/>
  <c r="G216" i="4"/>
  <c r="D389" i="4"/>
  <c r="J253" i="4"/>
  <c r="I337" i="4"/>
  <c r="C196" i="4"/>
  <c r="M352" i="4"/>
  <c r="E229" i="4"/>
  <c r="E248" i="4"/>
  <c r="K221" i="4"/>
  <c r="G314" i="4"/>
  <c r="L194" i="4"/>
  <c r="H327" i="4"/>
  <c r="H374" i="4"/>
  <c r="E142" i="4"/>
  <c r="E237" i="4"/>
  <c r="I172" i="4"/>
  <c r="K118" i="4"/>
  <c r="K124" i="4"/>
  <c r="M230" i="4"/>
  <c r="E285" i="4"/>
  <c r="I313" i="4"/>
  <c r="D354" i="4"/>
  <c r="E52" i="4"/>
  <c r="H287" i="4"/>
  <c r="H71" i="4"/>
  <c r="D129" i="4"/>
  <c r="C317" i="4"/>
  <c r="F84" i="4"/>
  <c r="K208" i="4"/>
  <c r="C256" i="4"/>
  <c r="H134" i="4"/>
  <c r="E232" i="4"/>
  <c r="L45" i="4"/>
  <c r="F226" i="4"/>
  <c r="G254" i="4"/>
  <c r="D323" i="4"/>
  <c r="M367" i="4"/>
  <c r="H328" i="4"/>
  <c r="I248" i="4"/>
  <c r="L371" i="4"/>
  <c r="J382" i="4"/>
  <c r="M89" i="4"/>
  <c r="L353" i="4"/>
  <c r="M315" i="4"/>
  <c r="K354" i="4"/>
  <c r="J348" i="4"/>
  <c r="D167" i="4"/>
  <c r="G87" i="4"/>
  <c r="E42" i="4"/>
  <c r="G47" i="4"/>
  <c r="C310" i="4"/>
  <c r="F199" i="4"/>
  <c r="G61" i="4"/>
  <c r="J155" i="4"/>
  <c r="I49" i="4"/>
  <c r="H285" i="4"/>
  <c r="L206" i="4"/>
  <c r="H323" i="4"/>
  <c r="L42" i="4"/>
  <c r="G72" i="4"/>
  <c r="H261" i="4"/>
  <c r="K74" i="4"/>
  <c r="E156" i="4"/>
  <c r="G136" i="4"/>
  <c r="F91" i="4"/>
  <c r="H232" i="4"/>
  <c r="E29" i="4"/>
  <c r="J91" i="4"/>
  <c r="L295" i="4"/>
  <c r="K365" i="4"/>
  <c r="M27" i="4"/>
  <c r="F238" i="4"/>
  <c r="L377" i="4"/>
  <c r="F287" i="4"/>
  <c r="G161" i="4"/>
  <c r="F59" i="4"/>
  <c r="M376" i="4"/>
  <c r="F301" i="4"/>
  <c r="E18" i="4"/>
  <c r="M274" i="4"/>
  <c r="M192" i="4"/>
  <c r="E390" i="4"/>
  <c r="K82" i="4"/>
  <c r="M74" i="4"/>
  <c r="C93" i="4"/>
  <c r="H281" i="4"/>
  <c r="J11" i="4"/>
  <c r="F345" i="4"/>
  <c r="E63" i="4"/>
  <c r="F132" i="4"/>
  <c r="J126" i="4"/>
  <c r="J236" i="4"/>
  <c r="M11" i="4"/>
  <c r="J67" i="4"/>
  <c r="F268" i="4"/>
  <c r="I232" i="4"/>
  <c r="K250" i="4"/>
  <c r="D82" i="4"/>
  <c r="H6" i="4"/>
  <c r="G387" i="4"/>
  <c r="C308" i="4"/>
  <c r="F324" i="4"/>
  <c r="L48" i="4"/>
  <c r="J386" i="4"/>
  <c r="L302" i="4"/>
  <c r="J98" i="4"/>
  <c r="M30" i="4"/>
  <c r="C120" i="4"/>
  <c r="F89" i="4"/>
  <c r="L289" i="4"/>
  <c r="I341" i="4"/>
  <c r="I82" i="4"/>
  <c r="J261" i="4"/>
  <c r="K194" i="4"/>
  <c r="L182" i="4"/>
  <c r="F98" i="4"/>
  <c r="E7" i="4"/>
  <c r="H345" i="4"/>
  <c r="M97" i="4"/>
  <c r="I57" i="4"/>
  <c r="F322" i="4"/>
  <c r="H360" i="4"/>
  <c r="G238" i="4"/>
  <c r="L327" i="4"/>
  <c r="F300" i="4"/>
  <c r="M91" i="4"/>
  <c r="E369" i="4"/>
  <c r="I52" i="4"/>
  <c r="K326" i="4"/>
  <c r="I126" i="4"/>
  <c r="I61" i="4"/>
  <c r="J48" i="4"/>
  <c r="G235" i="4"/>
  <c r="F219" i="4"/>
  <c r="M262" i="4"/>
  <c r="J208" i="4"/>
  <c r="K189" i="4"/>
  <c r="H306" i="4"/>
  <c r="E40" i="4"/>
  <c r="F305" i="4"/>
  <c r="M365" i="4"/>
  <c r="C202" i="4"/>
  <c r="M52" i="4"/>
  <c r="D41" i="4"/>
  <c r="G157" i="4"/>
  <c r="C269" i="4"/>
  <c r="K316" i="4"/>
  <c r="K385" i="4"/>
  <c r="K32" i="4"/>
  <c r="G300" i="4"/>
  <c r="L288" i="4"/>
  <c r="I45" i="4"/>
  <c r="G53" i="4"/>
  <c r="D284" i="4"/>
  <c r="G28" i="4"/>
  <c r="F32" i="4"/>
  <c r="M172" i="4"/>
  <c r="M358" i="4"/>
  <c r="D313" i="4"/>
  <c r="C254" i="4"/>
  <c r="C386" i="4"/>
  <c r="J10" i="4"/>
  <c r="C354" i="4"/>
  <c r="I68" i="4"/>
  <c r="I187" i="4"/>
  <c r="L190" i="4"/>
  <c r="I102" i="4"/>
  <c r="K159" i="4"/>
  <c r="C143" i="4"/>
  <c r="C280" i="4"/>
  <c r="L86" i="4"/>
  <c r="M147" i="4"/>
  <c r="H177" i="4"/>
  <c r="F380" i="4"/>
  <c r="G123" i="4"/>
  <c r="L255" i="4"/>
  <c r="D247" i="4"/>
  <c r="J266" i="4"/>
  <c r="L224" i="4"/>
  <c r="F315" i="4"/>
  <c r="I372" i="4"/>
  <c r="J217" i="4"/>
  <c r="G233" i="4"/>
  <c r="D320" i="4"/>
  <c r="G91" i="4"/>
  <c r="G10" i="4"/>
  <c r="K363" i="4"/>
  <c r="L350" i="4"/>
  <c r="D128" i="4"/>
  <c r="M124" i="4"/>
  <c r="M168" i="4"/>
  <c r="J204" i="4"/>
  <c r="H36" i="4"/>
  <c r="I208" i="4"/>
  <c r="J132" i="4"/>
  <c r="K165" i="4"/>
  <c r="K267" i="4"/>
  <c r="L65" i="4"/>
  <c r="I73" i="4"/>
  <c r="G153" i="4"/>
  <c r="H286" i="4"/>
  <c r="C66" i="4"/>
  <c r="L244" i="4"/>
  <c r="D327" i="4"/>
  <c r="K252" i="4"/>
  <c r="E8" i="4"/>
  <c r="I321" i="4"/>
  <c r="J209" i="4"/>
  <c r="I207" i="4"/>
  <c r="K193" i="4"/>
  <c r="M349" i="4"/>
  <c r="G316" i="4"/>
  <c r="C87" i="4"/>
  <c r="E139" i="4"/>
  <c r="E153" i="4"/>
  <c r="J364" i="4"/>
  <c r="H167" i="4"/>
  <c r="L30" i="4"/>
  <c r="H279" i="4"/>
  <c r="H265" i="4"/>
  <c r="J303" i="4"/>
  <c r="K282" i="4"/>
  <c r="L85" i="4"/>
  <c r="C353" i="4"/>
  <c r="K343" i="4"/>
  <c r="E110" i="4"/>
  <c r="M384" i="4"/>
  <c r="E165" i="4"/>
  <c r="F304" i="4"/>
  <c r="E199" i="4"/>
  <c r="E10" i="4"/>
  <c r="E79" i="4"/>
  <c r="G275" i="4"/>
  <c r="G267" i="4"/>
  <c r="L28" i="4"/>
  <c r="I390" i="4"/>
  <c r="I178" i="4"/>
  <c r="J237" i="4"/>
  <c r="G309" i="4"/>
  <c r="K322" i="4"/>
  <c r="F157" i="4"/>
  <c r="H181" i="4"/>
  <c r="E125" i="4"/>
  <c r="J314" i="4"/>
  <c r="F200" i="4"/>
  <c r="F176" i="4"/>
  <c r="M206" i="4"/>
  <c r="L375" i="4"/>
  <c r="L137" i="4"/>
  <c r="D95" i="4"/>
  <c r="G293" i="4"/>
  <c r="L47" i="4"/>
  <c r="I160" i="4"/>
  <c r="K149" i="4"/>
  <c r="D213" i="4"/>
  <c r="G18" i="4"/>
  <c r="D43" i="4"/>
  <c r="L66" i="4"/>
  <c r="D182" i="4"/>
  <c r="G78" i="4"/>
  <c r="M256" i="4"/>
  <c r="J61" i="4"/>
  <c r="L117" i="4"/>
  <c r="M177" i="4"/>
  <c r="D387" i="4"/>
  <c r="C123" i="4"/>
  <c r="H156" i="4"/>
  <c r="G13" i="4"/>
  <c r="H242" i="4"/>
  <c r="C38" i="4"/>
  <c r="J115" i="4"/>
  <c r="C258" i="4"/>
  <c r="I91" i="4"/>
  <c r="K228" i="4"/>
  <c r="F288" i="4"/>
  <c r="G310" i="4"/>
  <c r="K140" i="4"/>
  <c r="I380" i="4"/>
  <c r="L155" i="4"/>
  <c r="H125" i="4"/>
  <c r="L77" i="4"/>
  <c r="G288" i="4"/>
  <c r="E315" i="4"/>
  <c r="K72" i="4"/>
  <c r="F371" i="4"/>
  <c r="C384" i="4"/>
  <c r="L64" i="4"/>
  <c r="C236" i="4"/>
  <c r="E82" i="4"/>
  <c r="D233" i="4"/>
  <c r="L232" i="4"/>
  <c r="L131" i="4"/>
  <c r="C350" i="4"/>
  <c r="J252" i="4"/>
  <c r="E104" i="4"/>
  <c r="D220" i="4"/>
  <c r="H290" i="4"/>
  <c r="J39" i="4"/>
  <c r="D53" i="4"/>
  <c r="K22" i="4"/>
  <c r="M208" i="4"/>
  <c r="I59" i="4"/>
  <c r="I268" i="4"/>
  <c r="G27" i="4"/>
  <c r="H333" i="4"/>
  <c r="H295" i="4"/>
  <c r="K389" i="4"/>
  <c r="I26" i="4"/>
  <c r="F336" i="4"/>
  <c r="C231" i="4"/>
  <c r="J354" i="4"/>
  <c r="L142" i="4"/>
  <c r="K27" i="4"/>
  <c r="E222" i="4"/>
  <c r="F283" i="4"/>
  <c r="D61" i="4"/>
  <c r="F127" i="4"/>
  <c r="L221" i="4"/>
  <c r="L191" i="4"/>
  <c r="H375" i="4"/>
  <c r="I297" i="4"/>
  <c r="J92" i="4"/>
  <c r="E55" i="4"/>
  <c r="K14" i="4"/>
  <c r="M204" i="4"/>
  <c r="F165" i="4"/>
  <c r="C99" i="4"/>
  <c r="K188" i="4"/>
  <c r="G217" i="4"/>
  <c r="H49" i="4"/>
  <c r="I335" i="4"/>
  <c r="K205" i="4"/>
  <c r="F384" i="4"/>
  <c r="I347" i="4"/>
  <c r="F291" i="4"/>
  <c r="C289" i="4"/>
  <c r="I200" i="4"/>
  <c r="H358" i="4"/>
  <c r="H255" i="4"/>
  <c r="L171" i="4"/>
  <c r="G291" i="4"/>
  <c r="E140" i="4"/>
  <c r="E132" i="4"/>
  <c r="M237" i="4"/>
  <c r="H377" i="4"/>
  <c r="D381" i="4"/>
  <c r="J362" i="4"/>
  <c r="I152" i="4"/>
  <c r="G375" i="4"/>
  <c r="J59" i="4"/>
  <c r="M56" i="4"/>
  <c r="K11" i="4"/>
  <c r="C247" i="4"/>
  <c r="M67" i="4"/>
  <c r="K130" i="4"/>
  <c r="G337" i="4"/>
  <c r="C232" i="4"/>
  <c r="D200" i="4"/>
  <c r="H188" i="4"/>
  <c r="K271" i="4"/>
  <c r="D112" i="4"/>
  <c r="E359" i="4"/>
  <c r="H88" i="4"/>
  <c r="F168" i="4"/>
  <c r="K36" i="4"/>
  <c r="M84" i="4"/>
  <c r="C137" i="4"/>
  <c r="D231" i="4"/>
  <c r="G322" i="4"/>
  <c r="K214" i="4"/>
  <c r="C286" i="4"/>
  <c r="F237" i="4"/>
  <c r="F240" i="4"/>
  <c r="F198" i="4"/>
  <c r="I260" i="4"/>
  <c r="K232" i="4"/>
  <c r="C61" i="4"/>
  <c r="H224" i="4"/>
  <c r="M372" i="4"/>
  <c r="K134" i="4"/>
  <c r="H53" i="4"/>
  <c r="D34" i="4"/>
  <c r="D316" i="4"/>
  <c r="M307" i="4"/>
  <c r="M78" i="4"/>
  <c r="J193" i="4"/>
  <c r="G57" i="4"/>
  <c r="L126" i="4"/>
  <c r="C54" i="4"/>
  <c r="D185" i="4"/>
  <c r="F97" i="4"/>
  <c r="K266" i="4"/>
  <c r="H361" i="4"/>
  <c r="C268" i="4"/>
  <c r="G278" i="4"/>
  <c r="J166" i="4"/>
  <c r="I318" i="4"/>
  <c r="L108" i="4"/>
  <c r="D326" i="4"/>
  <c r="G182" i="4"/>
  <c r="H59" i="4"/>
  <c r="F160" i="4"/>
  <c r="D6" i="4"/>
  <c r="F378" i="4"/>
  <c r="K236" i="4"/>
  <c r="E266" i="4"/>
  <c r="D278" i="4"/>
  <c r="E239" i="4"/>
  <c r="M388" i="4"/>
  <c r="C149" i="4"/>
  <c r="D366" i="4"/>
  <c r="I359" i="4"/>
  <c r="H227" i="4"/>
  <c r="G202" i="4"/>
  <c r="G110" i="4"/>
  <c r="L380" i="4"/>
  <c r="E243" i="4"/>
  <c r="C298" i="4"/>
  <c r="M323" i="4"/>
  <c r="K374" i="4"/>
  <c r="I379" i="4"/>
  <c r="I42" i="4"/>
  <c r="L186" i="4"/>
  <c r="I253" i="4"/>
  <c r="M112" i="4"/>
  <c r="K270" i="4"/>
  <c r="D226" i="4"/>
  <c r="E279" i="4"/>
  <c r="D54" i="4"/>
  <c r="K207" i="4"/>
  <c r="I164" i="4"/>
  <c r="J137" i="4"/>
  <c r="F171" i="4"/>
  <c r="G302" i="4"/>
  <c r="C346" i="4"/>
  <c r="J361" i="4"/>
  <c r="L246" i="4"/>
  <c r="L56" i="4"/>
  <c r="L383" i="4"/>
  <c r="G15" i="4"/>
  <c r="H359" i="4"/>
  <c r="J310" i="4"/>
  <c r="K199" i="4"/>
  <c r="E85" i="4"/>
  <c r="K370" i="4"/>
  <c r="J116" i="4"/>
  <c r="H246" i="4"/>
  <c r="M176" i="4"/>
  <c r="F211" i="4"/>
  <c r="F317" i="4"/>
  <c r="G289" i="4"/>
  <c r="L344" i="4"/>
  <c r="H185" i="4"/>
  <c r="H215" i="4"/>
  <c r="H151" i="4"/>
  <c r="J135" i="4"/>
  <c r="E336" i="4"/>
  <c r="L336" i="4"/>
  <c r="I54" i="4"/>
  <c r="K263" i="4"/>
  <c r="L358" i="4"/>
  <c r="F124" i="4"/>
  <c r="L53" i="4"/>
  <c r="L189" i="4"/>
  <c r="D371" i="4"/>
  <c r="K65" i="4"/>
  <c r="C22" i="4"/>
  <c r="C295" i="4"/>
  <c r="D62" i="4"/>
  <c r="H62" i="4"/>
  <c r="G323" i="4"/>
  <c r="G146" i="4"/>
  <c r="C13" i="4"/>
  <c r="L367" i="4"/>
  <c r="F51" i="4"/>
  <c r="K16" i="4"/>
  <c r="G319" i="4"/>
  <c r="L202" i="4"/>
  <c r="C221" i="4"/>
  <c r="K340" i="4"/>
  <c r="M247" i="4"/>
  <c r="L240" i="4"/>
  <c r="L72" i="4"/>
  <c r="D59" i="4"/>
  <c r="C35" i="4"/>
  <c r="I127" i="4"/>
  <c r="I89" i="4"/>
  <c r="E136" i="4"/>
  <c r="M171" i="4"/>
  <c r="H153" i="4"/>
  <c r="D52" i="4"/>
  <c r="F269" i="4"/>
  <c r="J374" i="4"/>
  <c r="D232" i="4"/>
  <c r="I265" i="4"/>
  <c r="J118" i="4"/>
  <c r="M373" i="4"/>
  <c r="L16" i="4"/>
  <c r="C25" i="4"/>
  <c r="L79" i="4"/>
  <c r="I148" i="4"/>
  <c r="H353" i="4"/>
  <c r="I238" i="4"/>
  <c r="F364" i="4"/>
  <c r="M266" i="4"/>
  <c r="E361" i="4"/>
  <c r="J145" i="4"/>
  <c r="F122" i="4"/>
  <c r="J77" i="4"/>
  <c r="C263" i="4"/>
  <c r="L113" i="4"/>
  <c r="J223" i="4"/>
  <c r="L138" i="4"/>
  <c r="D304" i="4"/>
  <c r="F121" i="4"/>
  <c r="D16" i="4"/>
  <c r="E198" i="4"/>
  <c r="E92" i="4"/>
  <c r="G277" i="4"/>
  <c r="J323" i="4"/>
  <c r="G260" i="4"/>
  <c r="H298" i="4"/>
  <c r="C53" i="4"/>
  <c r="K139" i="4"/>
  <c r="F130" i="4"/>
  <c r="H199" i="4"/>
  <c r="M253" i="4"/>
  <c r="E242" i="4"/>
  <c r="F284" i="4"/>
  <c r="G140" i="4"/>
  <c r="D352" i="4"/>
  <c r="I305" i="4"/>
  <c r="H341" i="4"/>
  <c r="H148" i="4"/>
  <c r="J233" i="4"/>
  <c r="G338" i="4"/>
  <c r="E200" i="4"/>
  <c r="E6" i="4"/>
  <c r="G81" i="4"/>
  <c r="I329" i="4"/>
  <c r="K347" i="4"/>
  <c r="C52" i="4"/>
  <c r="M222" i="4"/>
  <c r="D314" i="4"/>
  <c r="L217" i="4"/>
  <c r="H284" i="4"/>
  <c r="H7" i="4"/>
  <c r="K215" i="4"/>
  <c r="F244" i="4"/>
  <c r="K34" i="4"/>
  <c r="C219" i="4"/>
  <c r="L211" i="4"/>
  <c r="D143" i="4"/>
  <c r="F144" i="4"/>
  <c r="K218" i="4"/>
  <c r="K177" i="4"/>
  <c r="D191" i="4"/>
  <c r="C162" i="4"/>
  <c r="D287" i="4"/>
  <c r="I224" i="4"/>
  <c r="M279" i="4"/>
  <c r="J292" i="4"/>
  <c r="J81" i="4"/>
  <c r="F212" i="4"/>
  <c r="H247" i="4"/>
  <c r="D85" i="4"/>
  <c r="G164" i="4"/>
  <c r="K361" i="4"/>
  <c r="H222" i="4"/>
  <c r="J105" i="4"/>
  <c r="F169" i="4"/>
  <c r="J304" i="4"/>
  <c r="M47" i="4"/>
  <c r="M255" i="4"/>
  <c r="I362" i="4"/>
  <c r="F53" i="4"/>
  <c r="D353" i="4"/>
  <c r="C72" i="4"/>
  <c r="J244" i="4"/>
  <c r="L389" i="4"/>
  <c r="G308" i="4"/>
  <c r="J172" i="4"/>
  <c r="M41" i="4"/>
  <c r="C351" i="4"/>
  <c r="C92" i="4"/>
  <c r="K227" i="4"/>
  <c r="L335" i="4"/>
  <c r="L165" i="4"/>
  <c r="H123" i="4"/>
  <c r="C128" i="4"/>
  <c r="K283" i="4"/>
  <c r="L374" i="4"/>
  <c r="H244" i="4"/>
  <c r="F153" i="4"/>
  <c r="H249" i="4"/>
  <c r="D68" i="4"/>
  <c r="L283" i="4"/>
  <c r="C26" i="4"/>
  <c r="E37" i="4"/>
  <c r="D181" i="4"/>
  <c r="H117" i="4"/>
  <c r="K369" i="4"/>
  <c r="J288" i="4"/>
  <c r="L19" i="4"/>
  <c r="K288" i="4"/>
  <c r="L6" i="4"/>
  <c r="E111" i="4"/>
  <c r="E94" i="4"/>
  <c r="I374" i="4"/>
  <c r="E385" i="4"/>
  <c r="E30" i="4"/>
  <c r="M117" i="4"/>
  <c r="F233" i="4"/>
  <c r="G208" i="4"/>
  <c r="I368" i="4"/>
  <c r="H89" i="4"/>
  <c r="C222" i="4"/>
  <c r="M337" i="4"/>
  <c r="F222" i="4"/>
  <c r="H239" i="4"/>
  <c r="L247" i="4"/>
  <c r="D29" i="4"/>
  <c r="H204" i="4"/>
  <c r="C138" i="4"/>
  <c r="D56" i="4"/>
  <c r="J47" i="4"/>
  <c r="I226" i="4"/>
  <c r="G160" i="4"/>
  <c r="G328" i="4"/>
  <c r="C148" i="4"/>
  <c r="D289" i="4"/>
  <c r="I107" i="4"/>
  <c r="M77" i="4"/>
  <c r="G66" i="4"/>
  <c r="I339" i="4"/>
  <c r="G307" i="4"/>
  <c r="F164" i="4"/>
  <c r="K195" i="4"/>
  <c r="H200" i="4"/>
  <c r="M351" i="4"/>
  <c r="J389" i="4"/>
  <c r="C214" i="4"/>
  <c r="C215" i="4"/>
  <c r="L329" i="4"/>
  <c r="C90" i="4"/>
  <c r="K338" i="4"/>
  <c r="F100" i="4"/>
  <c r="J34" i="4"/>
  <c r="K12" i="4"/>
  <c r="M149" i="4"/>
  <c r="C293" i="4"/>
  <c r="K239" i="4"/>
  <c r="H109" i="4"/>
  <c r="L387" i="4"/>
  <c r="F93" i="4"/>
  <c r="G305" i="4"/>
  <c r="I363" i="4"/>
  <c r="I144" i="4"/>
  <c r="H42" i="4"/>
  <c r="G281" i="4"/>
  <c r="C174" i="4"/>
  <c r="H31" i="4"/>
  <c r="M301" i="4"/>
  <c r="E320" i="4"/>
  <c r="K324" i="4"/>
  <c r="J220" i="4"/>
  <c r="K287" i="4"/>
  <c r="K233" i="4"/>
  <c r="I71" i="4"/>
  <c r="M326" i="4"/>
  <c r="F361" i="4"/>
  <c r="G236" i="4"/>
  <c r="L149" i="4"/>
  <c r="L233" i="4"/>
  <c r="H344" i="4"/>
  <c r="F187" i="4"/>
  <c r="D109" i="4"/>
  <c r="J86" i="4"/>
  <c r="D306" i="4"/>
  <c r="E378" i="4"/>
  <c r="K305" i="4"/>
  <c r="M86" i="4"/>
  <c r="I327" i="4"/>
  <c r="K6" i="4"/>
  <c r="C166" i="4"/>
  <c r="L330" i="4"/>
  <c r="E289" i="4"/>
  <c r="J355" i="4"/>
  <c r="K300" i="4"/>
  <c r="D170" i="4"/>
  <c r="J140" i="4"/>
  <c r="H171" i="4"/>
  <c r="M114" i="4"/>
  <c r="D121" i="4"/>
  <c r="C20" i="4"/>
  <c r="M276" i="4"/>
  <c r="F80" i="4"/>
  <c r="J4" i="4"/>
  <c r="D251" i="4"/>
  <c r="M69" i="4"/>
  <c r="C287" i="4"/>
  <c r="E149" i="4"/>
  <c r="I343" i="4"/>
  <c r="J141" i="4"/>
  <c r="H275" i="4"/>
  <c r="M245" i="4"/>
  <c r="C218" i="4"/>
  <c r="H11" i="4"/>
  <c r="G73" i="4"/>
  <c r="M136" i="4"/>
  <c r="K163" i="4"/>
  <c r="M9" i="4"/>
  <c r="L27" i="4"/>
  <c r="F252" i="4"/>
  <c r="H370" i="4"/>
  <c r="E184" i="4"/>
  <c r="C336" i="4"/>
  <c r="L222" i="4"/>
  <c r="G36" i="4"/>
  <c r="C197" i="4"/>
  <c r="E106" i="4"/>
  <c r="L328" i="4"/>
  <c r="D219" i="4"/>
  <c r="E186" i="4"/>
  <c r="K362" i="4"/>
  <c r="M104" i="4"/>
  <c r="J156" i="4"/>
  <c r="G297" i="4"/>
  <c r="F6" i="4"/>
  <c r="M195" i="4"/>
  <c r="K242" i="4"/>
  <c r="H337" i="4"/>
  <c r="E126" i="4"/>
  <c r="C356" i="4"/>
  <c r="L368" i="4"/>
  <c r="I360" i="4"/>
  <c r="J200" i="4"/>
  <c r="M24" i="4"/>
  <c r="K47" i="4"/>
  <c r="G7" i="4"/>
  <c r="E89" i="4"/>
  <c r="L70" i="4"/>
  <c r="I227" i="4"/>
  <c r="F203" i="4"/>
  <c r="C388" i="4"/>
  <c r="M374" i="4"/>
  <c r="J184" i="4"/>
  <c r="G242" i="4"/>
  <c r="L311" i="4"/>
  <c r="H63" i="4"/>
  <c r="H40" i="4"/>
  <c r="C131" i="4"/>
  <c r="I316" i="4"/>
  <c r="H107" i="4"/>
  <c r="E93" i="4"/>
  <c r="D25" i="4"/>
  <c r="H230" i="4"/>
  <c r="F296" i="4"/>
  <c r="C270" i="4"/>
  <c r="E86" i="4"/>
  <c r="M239" i="4"/>
  <c r="D246" i="4"/>
  <c r="D60" i="4"/>
  <c r="E334" i="4"/>
  <c r="G45" i="4"/>
  <c r="H302" i="4"/>
  <c r="I104" i="4"/>
  <c r="L354" i="4"/>
  <c r="E135" i="4"/>
  <c r="H243" i="4"/>
  <c r="M125" i="4"/>
  <c r="D207" i="4"/>
  <c r="E211" i="4"/>
  <c r="J222" i="4"/>
  <c r="L52" i="4"/>
  <c r="I375" i="4"/>
  <c r="F218" i="4"/>
  <c r="G165" i="4"/>
  <c r="M344" i="4"/>
  <c r="I302" i="4"/>
  <c r="F208" i="4"/>
  <c r="D264" i="4"/>
  <c r="C117" i="4"/>
  <c r="D339" i="4"/>
  <c r="K85" i="4"/>
  <c r="D310" i="4"/>
  <c r="F286" i="4"/>
  <c r="E90" i="4"/>
  <c r="F347" i="4"/>
  <c r="G4" i="4"/>
  <c r="G250" i="4"/>
  <c r="J162" i="4"/>
  <c r="D110" i="4"/>
  <c r="F359" i="4"/>
  <c r="I186" i="4"/>
  <c r="M294" i="4"/>
  <c r="C106" i="4"/>
  <c r="L92" i="4"/>
  <c r="J148" i="4"/>
  <c r="E16" i="4"/>
  <c r="F330" i="4"/>
  <c r="F148" i="4"/>
  <c r="E13" i="4"/>
  <c r="K127" i="4"/>
  <c r="G274" i="4"/>
  <c r="J346" i="4"/>
  <c r="C59" i="4"/>
  <c r="M381" i="4"/>
  <c r="M138" i="4"/>
  <c r="H270" i="4"/>
  <c r="C173" i="4"/>
  <c r="G25" i="4"/>
  <c r="C151" i="4"/>
  <c r="D221" i="4"/>
  <c r="D374" i="4"/>
  <c r="F353" i="4"/>
  <c r="K104" i="4"/>
  <c r="M306" i="4"/>
  <c r="D28" i="4"/>
  <c r="D309" i="4"/>
  <c r="L164" i="4"/>
  <c r="I242" i="4"/>
  <c r="F224" i="4"/>
  <c r="E355" i="4"/>
  <c r="E80" i="4"/>
  <c r="D71" i="4"/>
  <c r="I176" i="4"/>
  <c r="E19" i="4"/>
  <c r="M383" i="4"/>
  <c r="K308" i="4"/>
  <c r="J119" i="4"/>
  <c r="J342" i="4"/>
  <c r="E240" i="4"/>
  <c r="D148" i="4"/>
  <c r="H169" i="4"/>
  <c r="I146" i="4"/>
  <c r="D67" i="4"/>
  <c r="G97" i="4"/>
  <c r="H314" i="4"/>
  <c r="D40" i="4"/>
  <c r="F118" i="4"/>
  <c r="H132" i="4"/>
  <c r="F383" i="4"/>
  <c r="D266" i="4"/>
  <c r="D347" i="4"/>
  <c r="M356" i="4"/>
  <c r="K122" i="4"/>
  <c r="E143" i="4"/>
  <c r="I350" i="4"/>
  <c r="D23" i="4"/>
  <c r="E347" i="4"/>
  <c r="C76" i="4"/>
  <c r="G147" i="4"/>
  <c r="I353" i="4"/>
  <c r="M225" i="4"/>
  <c r="G191" i="4"/>
  <c r="H161" i="4"/>
  <c r="J356" i="4"/>
  <c r="L200" i="4"/>
  <c r="H45" i="4"/>
  <c r="J351" i="4"/>
  <c r="C217" i="4"/>
  <c r="J181" i="4"/>
  <c r="M310" i="4"/>
  <c r="D209" i="4"/>
  <c r="J256" i="4"/>
  <c r="C335" i="4"/>
  <c r="D276" i="4"/>
  <c r="F329" i="4"/>
  <c r="E163" i="4"/>
  <c r="L51" i="4"/>
  <c r="C299" i="4"/>
  <c r="M167" i="4"/>
  <c r="C141" i="4"/>
  <c r="L87" i="4"/>
  <c r="F285" i="4"/>
  <c r="D108" i="4"/>
  <c r="G227" i="4"/>
  <c r="M32" i="4"/>
  <c r="K87" i="4"/>
  <c r="J178" i="4"/>
  <c r="D348" i="4"/>
  <c r="M207" i="4"/>
  <c r="F321" i="4"/>
  <c r="I171" i="4"/>
  <c r="C334" i="4"/>
  <c r="M353" i="4"/>
  <c r="G384" i="4"/>
  <c r="H347" i="4"/>
  <c r="G350" i="4"/>
  <c r="K368" i="4"/>
  <c r="K309" i="4"/>
  <c r="F101" i="4"/>
  <c r="M234" i="4"/>
  <c r="E295" i="4"/>
  <c r="E76" i="4"/>
  <c r="H226" i="4"/>
  <c r="C267" i="4"/>
  <c r="M215" i="4"/>
  <c r="D20" i="4"/>
  <c r="J227" i="4"/>
  <c r="H313" i="4"/>
  <c r="D344" i="4"/>
  <c r="I336" i="4"/>
  <c r="H383" i="4"/>
  <c r="D44" i="4"/>
  <c r="F339" i="4"/>
  <c r="M240" i="4"/>
  <c r="G335" i="4"/>
  <c r="G220" i="4"/>
  <c r="C302" i="4"/>
  <c r="J192" i="4"/>
  <c r="D202" i="4"/>
  <c r="C189" i="4"/>
  <c r="H56" i="4"/>
  <c r="H155" i="4"/>
  <c r="D343" i="4"/>
  <c r="C239" i="4"/>
  <c r="C339" i="4"/>
  <c r="E253" i="4"/>
  <c r="F232" i="4"/>
  <c r="I315" i="4"/>
  <c r="H214" i="4"/>
  <c r="I286" i="4"/>
  <c r="C281" i="4"/>
  <c r="J211" i="4"/>
  <c r="L388" i="4"/>
  <c r="G151" i="4"/>
  <c r="M65" i="4"/>
  <c r="M101" i="4"/>
  <c r="J185" i="4"/>
  <c r="F323" i="4"/>
  <c r="M371" i="4"/>
  <c r="K138" i="4"/>
  <c r="H128" i="4"/>
  <c r="L114" i="4"/>
  <c r="E235" i="4"/>
  <c r="F260" i="4"/>
  <c r="G284" i="4"/>
  <c r="C225" i="4"/>
  <c r="C362" i="4"/>
  <c r="C380" i="4"/>
  <c r="K294" i="4"/>
  <c r="F389" i="4"/>
  <c r="K203" i="4"/>
  <c r="I328" i="4"/>
  <c r="K306" i="4"/>
  <c r="K336" i="4"/>
  <c r="K319" i="4"/>
  <c r="L372" i="4"/>
  <c r="J315" i="4"/>
  <c r="G239" i="4"/>
  <c r="H352" i="4"/>
  <c r="F356" i="4"/>
  <c r="H288" i="4"/>
  <c r="D236" i="4"/>
  <c r="E158" i="4"/>
  <c r="I346" i="4"/>
  <c r="L181" i="4"/>
  <c r="L391" i="4"/>
  <c r="K345" i="4"/>
  <c r="E275" i="4"/>
  <c r="I382" i="4"/>
  <c r="G271" i="4"/>
  <c r="F262" i="4"/>
  <c r="E281" i="4"/>
  <c r="K290" i="4"/>
  <c r="C285" i="4"/>
  <c r="C251" i="4"/>
  <c r="E236" i="4"/>
  <c r="E348" i="4"/>
  <c r="M277" i="4"/>
  <c r="C365" i="4"/>
  <c r="E230" i="4"/>
  <c r="E387" i="4"/>
  <c r="L166" i="4"/>
  <c r="G370" i="4"/>
  <c r="D297" i="4"/>
  <c r="D152" i="4"/>
  <c r="L338" i="4"/>
  <c r="I162" i="4"/>
  <c r="J367" i="4"/>
  <c r="K332" i="4"/>
  <c r="M202" i="4"/>
  <c r="I111" i="4"/>
  <c r="E322" i="4"/>
  <c r="G280" i="4"/>
  <c r="M314" i="4"/>
  <c r="I206" i="4"/>
  <c r="M325" i="4"/>
  <c r="C290" i="4"/>
  <c r="K94" i="4"/>
  <c r="D4" i="4"/>
  <c r="M92" i="4"/>
  <c r="G348" i="4"/>
  <c r="J338" i="4"/>
  <c r="I306" i="4"/>
  <c r="M346" i="4"/>
  <c r="L365" i="4"/>
  <c r="M391" i="4"/>
  <c r="E60" i="4"/>
  <c r="C9" i="4"/>
  <c r="H271" i="4"/>
  <c r="C265" i="4"/>
  <c r="C15" i="4"/>
  <c r="C230" i="4"/>
  <c r="L32" i="4"/>
  <c r="K390" i="4"/>
  <c r="H380" i="4"/>
  <c r="G252" i="4"/>
  <c r="D184" i="4"/>
  <c r="C319" i="4"/>
  <c r="L8" i="4"/>
  <c r="M229" i="4"/>
  <c r="E107" i="4"/>
  <c r="F162" i="4"/>
  <c r="L250" i="4"/>
  <c r="K59" i="4"/>
  <c r="D188" i="4"/>
  <c r="I301" i="4"/>
  <c r="K269" i="4"/>
  <c r="J174" i="4"/>
  <c r="H354" i="4"/>
  <c r="M248" i="4"/>
  <c r="E161" i="4"/>
  <c r="D198" i="4"/>
  <c r="K265" i="4"/>
  <c r="G152" i="4"/>
  <c r="J125" i="4"/>
  <c r="J245" i="4"/>
  <c r="C243" i="4"/>
  <c r="I303" i="4"/>
  <c r="E382" i="4"/>
  <c r="M173" i="4"/>
  <c r="C44" i="4"/>
  <c r="K100" i="4"/>
  <c r="I389" i="4"/>
  <c r="C252" i="4"/>
  <c r="D386" i="4"/>
  <c r="G122" i="4"/>
  <c r="I217" i="4"/>
  <c r="F214" i="4"/>
  <c r="L309" i="4"/>
  <c r="E268" i="4"/>
  <c r="E119" i="4"/>
  <c r="M285" i="4"/>
  <c r="M350" i="4"/>
  <c r="G343" i="4"/>
  <c r="I367" i="4"/>
  <c r="K60" i="4"/>
  <c r="C47" i="4"/>
  <c r="F307" i="4"/>
  <c r="D338" i="4"/>
  <c r="J76" i="4"/>
  <c r="J36" i="4"/>
  <c r="C333" i="4"/>
  <c r="D135" i="4"/>
  <c r="D330" i="4"/>
  <c r="K351" i="4"/>
  <c r="F271" i="4"/>
  <c r="J46" i="4"/>
  <c r="F267" i="4"/>
  <c r="E245" i="4"/>
  <c r="C366" i="4"/>
  <c r="H223" i="4"/>
  <c r="D49" i="4"/>
  <c r="M72" i="4"/>
  <c r="C291" i="4"/>
  <c r="J306" i="4"/>
  <c r="E282" i="4"/>
  <c r="L251" i="4"/>
  <c r="M232" i="4"/>
  <c r="E261" i="4"/>
  <c r="D166" i="4"/>
  <c r="G162" i="4"/>
  <c r="I166" i="4"/>
  <c r="I258" i="4"/>
  <c r="D235" i="4"/>
  <c r="G103" i="4"/>
  <c r="C312" i="4"/>
  <c r="C77" i="4"/>
  <c r="F256" i="4"/>
  <c r="F172" i="4"/>
  <c r="D173" i="4"/>
  <c r="F241" i="4"/>
  <c r="J305" i="4"/>
  <c r="C69" i="4"/>
  <c r="K25" i="4"/>
  <c r="M212" i="4"/>
  <c r="J228" i="4"/>
  <c r="J191" i="4"/>
  <c r="L153" i="4"/>
  <c r="C391" i="4"/>
  <c r="G251" i="4"/>
  <c r="D299" i="4"/>
  <c r="M263" i="4"/>
  <c r="F110" i="4"/>
  <c r="D293" i="4"/>
  <c r="L213" i="4"/>
  <c r="F73" i="4"/>
  <c r="E34" i="4"/>
  <c r="F334" i="4"/>
  <c r="L343" i="4"/>
  <c r="J202" i="4"/>
  <c r="J40" i="4"/>
  <c r="I34" i="4"/>
  <c r="I116" i="4"/>
  <c r="C340" i="4"/>
  <c r="I319" i="4"/>
  <c r="I331" i="4"/>
  <c r="L96" i="4"/>
  <c r="E45" i="4"/>
  <c r="F65" i="4"/>
  <c r="D378" i="4"/>
  <c r="E224" i="4"/>
  <c r="F314" i="4"/>
  <c r="J339" i="4"/>
  <c r="J108" i="4"/>
  <c r="M96" i="4"/>
  <c r="M137" i="4"/>
  <c r="J26" i="4"/>
  <c r="G71" i="4"/>
  <c r="E181" i="4"/>
  <c r="J194" i="4"/>
  <c r="G279" i="4"/>
  <c r="I177" i="4"/>
  <c r="C318" i="4"/>
  <c r="G82" i="4"/>
  <c r="L339" i="4"/>
  <c r="H250" i="4"/>
  <c r="G312" i="4"/>
  <c r="J203" i="4"/>
  <c r="J212" i="4"/>
  <c r="C345" i="4"/>
  <c r="L121" i="4"/>
  <c r="F205" i="4"/>
  <c r="F391" i="4"/>
  <c r="H184" i="4"/>
  <c r="C314" i="4"/>
  <c r="D222" i="4"/>
  <c r="G70" i="4"/>
  <c r="H195" i="4"/>
  <c r="J85" i="4"/>
  <c r="E220" i="4"/>
  <c r="C139" i="4"/>
  <c r="C71" i="4"/>
  <c r="C129" i="4"/>
  <c r="I72" i="4"/>
  <c r="G290" i="4"/>
  <c r="G383" i="4"/>
  <c r="I28" i="4"/>
  <c r="K64" i="4"/>
  <c r="G46" i="4"/>
  <c r="C107" i="4"/>
  <c r="I235" i="4"/>
  <c r="L281" i="4"/>
  <c r="E356" i="4"/>
  <c r="F87" i="4"/>
  <c r="I33" i="4"/>
  <c r="L46" i="4"/>
  <c r="J124" i="4"/>
  <c r="C103" i="4"/>
  <c r="J344" i="4"/>
  <c r="L299" i="4"/>
  <c r="F63" i="4"/>
  <c r="H19" i="4"/>
  <c r="C177" i="4"/>
  <c r="F19" i="4"/>
  <c r="G68" i="4"/>
  <c r="I193" i="4"/>
  <c r="K73" i="4"/>
  <c r="E221" i="4"/>
  <c r="I36" i="4"/>
  <c r="G189" i="4"/>
  <c r="H259" i="4"/>
  <c r="M162" i="4"/>
  <c r="E386" i="4"/>
  <c r="H75" i="4"/>
  <c r="G14" i="4"/>
  <c r="L369" i="4"/>
  <c r="C364" i="4"/>
  <c r="E108" i="4"/>
  <c r="E124" i="4"/>
  <c r="E129" i="4"/>
  <c r="D32" i="4"/>
  <c r="L119" i="4"/>
  <c r="F92" i="4"/>
  <c r="E325" i="4"/>
  <c r="H144" i="4"/>
  <c r="G77" i="4"/>
  <c r="I231" i="4"/>
  <c r="E380" i="4"/>
  <c r="E72" i="4"/>
  <c r="D73" i="4"/>
  <c r="K181" i="4"/>
  <c r="J113" i="4"/>
  <c r="H391" i="4"/>
  <c r="K55" i="4"/>
  <c r="J84" i="4"/>
  <c r="I156" i="4"/>
  <c r="D11" i="4"/>
  <c r="H4" i="4"/>
  <c r="G142" i="4"/>
  <c r="E197" i="4"/>
  <c r="F280" i="4"/>
  <c r="H187" i="4"/>
  <c r="D319" i="4"/>
  <c r="I106" i="4"/>
  <c r="G342" i="4"/>
  <c r="G390" i="4"/>
  <c r="E342" i="4"/>
  <c r="H35" i="4"/>
  <c r="I179" i="4"/>
  <c r="D97" i="4"/>
  <c r="H30" i="4"/>
  <c r="J111" i="4"/>
  <c r="G344" i="4"/>
  <c r="C45" i="4"/>
  <c r="D377" i="4"/>
  <c r="K81" i="4"/>
  <c r="J197" i="4"/>
  <c r="D57" i="4"/>
  <c r="I259" i="4"/>
  <c r="I66" i="4"/>
  <c r="G222" i="4"/>
  <c r="C361" i="4"/>
  <c r="K44" i="4"/>
  <c r="D174" i="4"/>
  <c r="D317" i="4"/>
  <c r="H154" i="4"/>
  <c r="L134" i="4"/>
  <c r="H245" i="4"/>
  <c r="E102" i="4"/>
  <c r="H131" i="4"/>
  <c r="I118" i="4"/>
  <c r="F71" i="4"/>
  <c r="K299" i="4"/>
  <c r="J289" i="4"/>
  <c r="H237" i="4"/>
  <c r="F201" i="4"/>
  <c r="G154" i="4"/>
  <c r="E216" i="4"/>
  <c r="M33" i="4"/>
  <c r="G37" i="4"/>
  <c r="E75" i="4"/>
  <c r="E58" i="4"/>
  <c r="H50" i="4"/>
  <c r="L163" i="4"/>
  <c r="I252" i="4"/>
  <c r="G193" i="4"/>
  <c r="F7" i="4"/>
  <c r="G376" i="4"/>
  <c r="I37" i="4"/>
  <c r="I142" i="4"/>
  <c r="L237" i="4"/>
  <c r="F16" i="4"/>
  <c r="G55" i="4"/>
  <c r="D125" i="4"/>
  <c r="D7" i="4"/>
  <c r="K311" i="4"/>
  <c r="C50" i="4"/>
  <c r="D361" i="4"/>
  <c r="H20" i="4"/>
  <c r="H369" i="4"/>
  <c r="C185" i="4"/>
  <c r="D77" i="4"/>
  <c r="M4" i="4"/>
  <c r="L4" i="4"/>
  <c r="J66" i="4"/>
  <c r="D46" i="4"/>
  <c r="E33" i="4"/>
  <c r="M82" i="4"/>
  <c r="H86" i="4"/>
  <c r="C367" i="4"/>
  <c r="E164" i="4"/>
  <c r="C152" i="4"/>
  <c r="F379" i="4"/>
  <c r="D36" i="4"/>
  <c r="C3" i="4"/>
  <c r="M392" i="4"/>
  <c r="L392" i="4"/>
  <c r="K392" i="4"/>
  <c r="I392" i="4"/>
  <c r="H392" i="4"/>
  <c r="J392" i="4"/>
  <c r="G392" i="4"/>
  <c r="F392" i="4"/>
  <c r="E392" i="4"/>
  <c r="D392" i="4"/>
  <c r="C392" i="4"/>
  <c r="M3" i="4"/>
  <c r="L3" i="4"/>
  <c r="K3" i="4"/>
  <c r="J3" i="4"/>
  <c r="I3" i="4"/>
  <c r="H3" i="4"/>
  <c r="G3" i="4"/>
  <c r="F3" i="4"/>
  <c r="E3" i="4"/>
  <c r="D3" i="4"/>
  <c r="Y86" i="2"/>
  <c r="Y74" i="2"/>
  <c r="Y271" i="2"/>
  <c r="Y247" i="2"/>
  <c r="Y365" i="2"/>
  <c r="Y224" i="2"/>
  <c r="Y204" i="2"/>
  <c r="H3" i="6"/>
  <c r="Y110" i="2"/>
  <c r="Y40" i="2"/>
  <c r="Y65" i="2"/>
  <c r="Y124" i="2"/>
  <c r="Y369" i="2"/>
  <c r="Y177" i="2"/>
  <c r="Y331" i="2"/>
  <c r="Y183" i="2"/>
  <c r="Y275" i="2"/>
  <c r="Y384" i="2"/>
  <c r="Y187" i="2"/>
  <c r="Y63" i="2"/>
  <c r="Y383" i="2"/>
  <c r="Y379" i="2"/>
  <c r="Y185" i="2"/>
  <c r="Y128" i="2"/>
  <c r="Y116" i="2"/>
  <c r="Y215" i="2"/>
  <c r="Y120" i="2"/>
  <c r="Y281" i="2"/>
  <c r="Y385" i="2"/>
  <c r="Y225" i="2"/>
  <c r="Y272" i="2"/>
  <c r="Y391" i="2"/>
  <c r="Y92" i="2"/>
  <c r="Y300" i="2"/>
  <c r="Y113" i="2"/>
  <c r="Y101" i="2"/>
  <c r="Y208" i="2"/>
  <c r="Y169" i="2"/>
  <c r="Y329" i="2"/>
  <c r="Y11" i="2"/>
  <c r="Y43" i="2"/>
  <c r="Y237" i="2"/>
  <c r="Y249" i="2"/>
  <c r="Y350" i="2"/>
  <c r="Y335" i="2"/>
  <c r="Y125" i="2"/>
  <c r="Y127" i="2"/>
  <c r="Y220" i="2"/>
  <c r="Y256" i="2"/>
  <c r="Y52" i="2"/>
  <c r="Y366" i="2"/>
  <c r="Y136" i="2"/>
  <c r="Y292" i="2"/>
  <c r="Y60" i="2"/>
  <c r="Y139" i="2"/>
  <c r="Y41" i="2"/>
  <c r="Y156" i="2"/>
  <c r="Y99" i="2"/>
  <c r="Y316" i="2"/>
  <c r="Y262" i="2"/>
  <c r="Y32" i="2"/>
  <c r="Y184" i="2"/>
  <c r="Y362" i="2"/>
  <c r="Y61" i="2"/>
  <c r="Y76" i="2"/>
  <c r="Y98" i="2"/>
  <c r="Y302" i="2"/>
  <c r="Y211" i="2"/>
  <c r="Y141" i="2"/>
  <c r="Y308" i="2"/>
  <c r="Y270" i="2"/>
  <c r="Y131" i="2"/>
  <c r="Y312" i="2"/>
  <c r="Y238" i="2"/>
  <c r="Y191" i="2"/>
  <c r="Y118" i="2"/>
  <c r="Y57" i="2"/>
  <c r="Y168" i="2"/>
  <c r="Y34" i="2"/>
  <c r="Y134" i="2"/>
  <c r="Y222" i="2"/>
  <c r="Y287" i="2"/>
  <c r="Y296" i="2"/>
  <c r="Y343" i="2"/>
  <c r="Y363" i="2"/>
  <c r="Y236" i="2"/>
  <c r="Y173" i="2"/>
  <c r="Y176" i="2"/>
  <c r="Y190" i="2"/>
  <c r="Y244" i="2"/>
  <c r="Y5" i="2"/>
  <c r="Y360" i="2"/>
  <c r="Y109" i="2"/>
  <c r="Y88" i="2"/>
  <c r="Y315" i="2"/>
  <c r="Y233" i="2"/>
  <c r="Y228" i="2"/>
  <c r="Y213" i="2"/>
  <c r="Y246" i="2"/>
  <c r="Y314" i="2"/>
  <c r="Y339" i="2"/>
  <c r="Y374" i="2"/>
  <c r="L3" i="6"/>
  <c r="Y299" i="2"/>
  <c r="Y344" i="2"/>
  <c r="Y154" i="2"/>
  <c r="Y328" i="2"/>
  <c r="Y67" i="2"/>
  <c r="Y8" i="2"/>
  <c r="Y158" i="2"/>
  <c r="Y283" i="2"/>
  <c r="Y390" i="2"/>
  <c r="Y282" i="2"/>
  <c r="Y267" i="2"/>
  <c r="Y322" i="2"/>
  <c r="Y81" i="2"/>
  <c r="Y13" i="2"/>
  <c r="Y90" i="2"/>
  <c r="Y243" i="2"/>
  <c r="Y37" i="2"/>
  <c r="Y205" i="2"/>
  <c r="Y347" i="2"/>
  <c r="Y229" i="2"/>
  <c r="Y377" i="2"/>
  <c r="Y375" i="2"/>
  <c r="Y345" i="2"/>
  <c r="Y317" i="2"/>
  <c r="Y178" i="2"/>
  <c r="Y12" i="2"/>
  <c r="Y89" i="2"/>
  <c r="Y107" i="2"/>
  <c r="Y27" i="2"/>
  <c r="Y166" i="2"/>
  <c r="Y216" i="2"/>
  <c r="Y19" i="2"/>
  <c r="Y291" i="2"/>
  <c r="Y58" i="2"/>
  <c r="Y289" i="2"/>
  <c r="Y263" i="2"/>
  <c r="Y44" i="2"/>
  <c r="Y288" i="2"/>
  <c r="Y30" i="2"/>
  <c r="Y31" i="2"/>
  <c r="Y320" i="2"/>
  <c r="Y382" i="2"/>
  <c r="Y140" i="2"/>
  <c r="Y119" i="2"/>
  <c r="Y49" i="2"/>
  <c r="J3" i="6"/>
  <c r="Y340" i="2"/>
  <c r="Y352" i="2"/>
  <c r="Y279" i="2"/>
  <c r="Y240" i="2"/>
  <c r="Y123" i="2"/>
  <c r="Y239" i="2"/>
  <c r="Y348" i="2"/>
  <c r="Y318" i="2"/>
  <c r="Y206" i="2"/>
  <c r="Y70" i="2"/>
  <c r="Y297" i="2"/>
  <c r="Y304" i="2"/>
  <c r="Y294" i="2"/>
  <c r="Y306" i="2"/>
  <c r="Y179" i="2"/>
  <c r="Y290" i="2"/>
  <c r="Y84" i="2"/>
  <c r="Y171" i="2"/>
  <c r="Y91" i="2"/>
  <c r="Y106" i="2"/>
  <c r="Y66" i="2"/>
  <c r="Y280" i="2"/>
  <c r="Y23" i="2"/>
  <c r="Y376" i="2"/>
  <c r="Y214" i="2"/>
  <c r="Y108" i="2"/>
  <c r="Y389" i="2"/>
  <c r="Y200" i="2"/>
  <c r="Y258" i="2"/>
  <c r="Y261" i="2"/>
  <c r="Y153" i="2"/>
  <c r="Y165" i="2"/>
  <c r="Y333" i="2"/>
  <c r="Y380" i="2"/>
  <c r="Y72" i="2"/>
  <c r="Y14" i="2"/>
  <c r="Y358" i="2"/>
  <c r="Y164" i="2"/>
  <c r="Y370" i="2"/>
  <c r="Y42" i="2"/>
  <c r="Y167" i="2"/>
  <c r="Y378" i="2"/>
  <c r="Y105" i="2"/>
  <c r="Y346" i="2"/>
  <c r="Y35" i="2"/>
  <c r="Y198" i="2"/>
  <c r="Y36" i="2"/>
  <c r="Y265" i="2"/>
  <c r="Y7" i="2"/>
  <c r="Y336" i="2"/>
  <c r="Y373" i="2"/>
  <c r="Y97" i="2"/>
  <c r="Y349" i="2"/>
  <c r="Y68" i="2"/>
  <c r="Y188" i="2"/>
  <c r="Y102" i="2"/>
  <c r="Y126" i="2"/>
  <c r="Y29" i="2"/>
  <c r="Y138" i="2"/>
  <c r="Y111" i="2"/>
  <c r="Y241" i="2"/>
  <c r="Y357" i="2"/>
  <c r="Y354" i="2"/>
  <c r="Y172" i="2"/>
  <c r="Y285" i="2"/>
  <c r="Y21" i="2"/>
  <c r="Y133" i="2"/>
  <c r="Y295" i="2"/>
  <c r="Y145" i="2"/>
  <c r="Y186" i="2"/>
  <c r="Y181" i="2"/>
  <c r="Y82" i="2"/>
  <c r="Y189" i="2"/>
  <c r="Y137" i="2"/>
  <c r="Y93" i="2"/>
  <c r="Y325" i="2"/>
  <c r="Y162" i="2"/>
  <c r="Y248" i="2"/>
  <c r="Y223" i="2"/>
  <c r="Y266" i="2"/>
  <c r="Y69" i="2"/>
  <c r="Y114" i="2"/>
  <c r="Y122" i="2"/>
  <c r="Y257" i="2"/>
  <c r="Y351" i="2"/>
  <c r="Y142" i="2"/>
  <c r="Y182" i="2"/>
  <c r="Y273" i="2"/>
  <c r="Y83" i="2"/>
  <c r="Y100" i="2"/>
  <c r="Y53" i="2"/>
  <c r="Y392" i="2"/>
  <c r="Y368" i="2"/>
  <c r="Y147" i="2"/>
  <c r="Y227" i="2"/>
  <c r="Y25" i="2"/>
  <c r="Y201" i="2"/>
  <c r="Y152" i="2"/>
  <c r="Y254" i="2"/>
  <c r="Y203" i="2"/>
  <c r="Y95" i="2"/>
  <c r="Y355" i="2"/>
  <c r="Y73" i="2"/>
  <c r="Y359" i="2"/>
  <c r="Y135" i="2"/>
  <c r="Y197" i="2"/>
  <c r="Y253" i="2"/>
  <c r="Y48" i="2"/>
  <c r="Y112" i="2"/>
  <c r="Y55" i="2"/>
  <c r="Y218" i="2"/>
  <c r="Y364" i="2"/>
  <c r="Y372" i="2"/>
  <c r="Y87" i="2"/>
  <c r="Y104" i="2"/>
  <c r="Y327" i="2"/>
  <c r="A3" i="6"/>
  <c r="Y319" i="2"/>
  <c r="Y129" i="2"/>
  <c r="Y150" i="2"/>
  <c r="Y45" i="2"/>
  <c r="Y321" i="2"/>
  <c r="Y250" i="2"/>
  <c r="Y50" i="2"/>
  <c r="Y15" i="2"/>
  <c r="Y103" i="2"/>
  <c r="Y381" i="2"/>
  <c r="Y38" i="2"/>
  <c r="Y284" i="2"/>
  <c r="Y80" i="2"/>
  <c r="Y242" i="2"/>
  <c r="Y235" i="2"/>
  <c r="Y268" i="2"/>
  <c r="Y144" i="2"/>
  <c r="Y9" i="2"/>
  <c r="Y367" i="2"/>
  <c r="Y313" i="2"/>
  <c r="Y387" i="2"/>
  <c r="Y132" i="2"/>
  <c r="Y115" i="2"/>
  <c r="Y305" i="2"/>
  <c r="Y234" i="2"/>
  <c r="Y199" i="2"/>
  <c r="Y277" i="2"/>
  <c r="Y151" i="2"/>
  <c r="Y157" i="2"/>
  <c r="Y388" i="2"/>
  <c r="Y20" i="2"/>
  <c r="Y193" i="2"/>
  <c r="Y332" i="2"/>
  <c r="Y274" i="2"/>
  <c r="Y309" i="2"/>
  <c r="Y361" i="2"/>
  <c r="Y278" i="2"/>
  <c r="Y356" i="2"/>
  <c r="Y62" i="2"/>
  <c r="Y386" i="2"/>
  <c r="Y143" i="2"/>
  <c r="Y207" i="2"/>
  <c r="Y33" i="2"/>
  <c r="Y353" i="2"/>
  <c r="Y174" i="2"/>
  <c r="Y269" i="2"/>
  <c r="Y298" i="2"/>
  <c r="Y18" i="2"/>
  <c r="Y78" i="2"/>
  <c r="Y161" i="2"/>
  <c r="Y226" i="2"/>
  <c r="Y160" i="2"/>
  <c r="Y260" i="2"/>
  <c r="Y301" i="2"/>
  <c r="Y192" i="2"/>
  <c r="Y6" i="2"/>
  <c r="Y259" i="2"/>
  <c r="Y24" i="2"/>
  <c r="Y130" i="2"/>
  <c r="Y212" i="2"/>
  <c r="Y71" i="2"/>
  <c r="Y303" i="2"/>
  <c r="Y371" i="2"/>
  <c r="Y64" i="2"/>
  <c r="Y159" i="2"/>
  <c r="Y117" i="2"/>
  <c r="Y195" i="2"/>
  <c r="Y338" i="2"/>
  <c r="Y149" i="2"/>
  <c r="Y47" i="2"/>
  <c r="Y94" i="2"/>
  <c r="Y46" i="2"/>
  <c r="Y155" i="2"/>
  <c r="Y209" i="2"/>
  <c r="Y180" i="2"/>
  <c r="Y323" i="2"/>
  <c r="Y175" i="2"/>
  <c r="Y163" i="2"/>
  <c r="Y54" i="2"/>
  <c r="Y341" i="2"/>
  <c r="Y232" i="2"/>
  <c r="Y56" i="2"/>
  <c r="Y337" i="2"/>
  <c r="Y310" i="2"/>
  <c r="Y51" i="2"/>
  <c r="Y231" i="2"/>
  <c r="Y148" i="2"/>
  <c r="Y334" i="2"/>
  <c r="Y330" i="2"/>
  <c r="Y170" i="2"/>
  <c r="Y324" i="2"/>
  <c r="Y85" i="2"/>
  <c r="Y59" i="2"/>
  <c r="Y217" i="2"/>
  <c r="Y252" i="2"/>
  <c r="Y219" i="2"/>
  <c r="Y307" i="2"/>
  <c r="Y10" i="2"/>
  <c r="Y77" i="2"/>
  <c r="Y202" i="2"/>
  <c r="Y342" i="2"/>
  <c r="Y75" i="2"/>
  <c r="Y264" i="2"/>
  <c r="Y276" i="2"/>
  <c r="Y210" i="2"/>
  <c r="Y221" i="2"/>
  <c r="Y16" i="2"/>
  <c r="Y326" i="2"/>
  <c r="Y22" i="2"/>
  <c r="Y255" i="2"/>
  <c r="Y194" i="2"/>
  <c r="Y121" i="2"/>
  <c r="Y96" i="2"/>
  <c r="Y79" i="2"/>
  <c r="Y39" i="2"/>
  <c r="Y28" i="2"/>
  <c r="Y293" i="2"/>
  <c r="Y286" i="2"/>
  <c r="Y196" i="2"/>
  <c r="Y230" i="2"/>
  <c r="Y17" i="2"/>
  <c r="Y311" i="2"/>
  <c r="Y251" i="2"/>
  <c r="Y245" i="2"/>
  <c r="Y26" i="2"/>
  <c r="Y146" i="2"/>
  <c r="O155" i="2" l="1"/>
  <c r="R155" i="2"/>
  <c r="F3" i="6"/>
  <c r="E3" i="6"/>
  <c r="D3" i="6"/>
  <c r="D1034" i="6"/>
  <c r="D1012" i="6"/>
  <c r="D990" i="6"/>
  <c r="D968" i="6"/>
  <c r="D946" i="6"/>
  <c r="D924" i="6"/>
  <c r="D902" i="6"/>
  <c r="D880" i="6"/>
  <c r="D858" i="6"/>
  <c r="D836" i="6"/>
  <c r="D814" i="6"/>
  <c r="D792" i="6"/>
  <c r="D770" i="6"/>
  <c r="D748" i="6"/>
  <c r="D726" i="6"/>
  <c r="D704" i="6"/>
  <c r="D682" i="6"/>
  <c r="D660" i="6"/>
  <c r="D638" i="6"/>
  <c r="D616" i="6"/>
  <c r="D594" i="6"/>
  <c r="D572" i="6"/>
  <c r="D550" i="6"/>
  <c r="D528" i="6"/>
  <c r="D506" i="6"/>
  <c r="D484" i="6"/>
  <c r="D462" i="6"/>
  <c r="D440" i="6"/>
  <c r="D1041" i="6"/>
  <c r="D1019" i="6"/>
  <c r="D997" i="6"/>
  <c r="D975" i="6"/>
  <c r="D953" i="6"/>
  <c r="D931" i="6"/>
  <c r="D909" i="6"/>
  <c r="D887" i="6"/>
  <c r="D865" i="6"/>
  <c r="D843" i="6"/>
  <c r="D821" i="6"/>
  <c r="D799" i="6"/>
  <c r="D777" i="6"/>
  <c r="D755" i="6"/>
  <c r="D733" i="6"/>
  <c r="D711" i="6"/>
  <c r="D689" i="6"/>
  <c r="D667" i="6"/>
  <c r="D1048" i="6"/>
  <c r="D1026" i="6"/>
  <c r="D1004" i="6"/>
  <c r="D982" i="6"/>
  <c r="D960" i="6"/>
  <c r="D938" i="6"/>
  <c r="D916" i="6"/>
  <c r="D894" i="6"/>
  <c r="D872" i="6"/>
  <c r="D850" i="6"/>
  <c r="D828" i="6"/>
  <c r="D806" i="6"/>
  <c r="D784" i="6"/>
  <c r="D762" i="6"/>
  <c r="D740" i="6"/>
  <c r="D718" i="6"/>
  <c r="D696" i="6"/>
  <c r="D674" i="6"/>
  <c r="D652" i="6"/>
  <c r="D630" i="6"/>
  <c r="D608" i="6"/>
  <c r="D586" i="6"/>
  <c r="D564" i="6"/>
  <c r="D542" i="6"/>
  <c r="D520" i="6"/>
  <c r="D498" i="6"/>
  <c r="D476" i="6"/>
  <c r="D454" i="6"/>
  <c r="D432" i="6"/>
  <c r="D1033" i="6"/>
  <c r="D1011" i="6"/>
  <c r="D989" i="6"/>
  <c r="D967" i="6"/>
  <c r="D945" i="6"/>
  <c r="D923" i="6"/>
  <c r="D901" i="6"/>
  <c r="D879" i="6"/>
  <c r="D857" i="6"/>
  <c r="D835" i="6"/>
  <c r="D813" i="6"/>
  <c r="D791" i="6"/>
  <c r="D769" i="6"/>
  <c r="D747" i="6"/>
  <c r="D725" i="6"/>
  <c r="D703" i="6"/>
  <c r="D681" i="6"/>
  <c r="D659" i="6"/>
  <c r="D637" i="6"/>
  <c r="D615" i="6"/>
  <c r="D593" i="6"/>
  <c r="D571" i="6"/>
  <c r="D549" i="6"/>
  <c r="D527" i="6"/>
  <c r="D505" i="6"/>
  <c r="D483" i="6"/>
  <c r="D461" i="6"/>
  <c r="D439" i="6"/>
  <c r="D1040" i="6"/>
  <c r="D1018" i="6"/>
  <c r="D996" i="6"/>
  <c r="D974" i="6"/>
  <c r="D952" i="6"/>
  <c r="D930" i="6"/>
  <c r="D908" i="6"/>
  <c r="D886" i="6"/>
  <c r="D864" i="6"/>
  <c r="D842" i="6"/>
  <c r="D820" i="6"/>
  <c r="D798" i="6"/>
  <c r="D776" i="6"/>
  <c r="D754" i="6"/>
  <c r="D1047" i="6"/>
  <c r="D1025" i="6"/>
  <c r="D1003" i="6"/>
  <c r="D981" i="6"/>
  <c r="D959" i="6"/>
  <c r="D937" i="6"/>
  <c r="D915" i="6"/>
  <c r="D893" i="6"/>
  <c r="D871" i="6"/>
  <c r="D849" i="6"/>
  <c r="D827" i="6"/>
  <c r="D805" i="6"/>
  <c r="D783" i="6"/>
  <c r="D1037" i="6"/>
  <c r="D1007" i="6"/>
  <c r="D977" i="6"/>
  <c r="D947" i="6"/>
  <c r="D917" i="6"/>
  <c r="D885" i="6"/>
  <c r="D855" i="6"/>
  <c r="D825" i="6"/>
  <c r="D795" i="6"/>
  <c r="D765" i="6"/>
  <c r="D756" i="6"/>
  <c r="D719" i="6"/>
  <c r="D709" i="6"/>
  <c r="D683" i="6"/>
  <c r="D673" i="6"/>
  <c r="D656" i="6"/>
  <c r="D631" i="6"/>
  <c r="D605" i="6"/>
  <c r="D580" i="6"/>
  <c r="D554" i="6"/>
  <c r="D529" i="6"/>
  <c r="D503" i="6"/>
  <c r="D478" i="6"/>
  <c r="D452" i="6"/>
  <c r="D1046" i="6"/>
  <c r="D1016" i="6"/>
  <c r="D986" i="6"/>
  <c r="D956" i="6"/>
  <c r="D926" i="6"/>
  <c r="D896" i="6"/>
  <c r="D866" i="6"/>
  <c r="D834" i="6"/>
  <c r="D804" i="6"/>
  <c r="D774" i="6"/>
  <c r="D745" i="6"/>
  <c r="D736" i="6"/>
  <c r="D700" i="6"/>
  <c r="D664" i="6"/>
  <c r="D639" i="6"/>
  <c r="D613" i="6"/>
  <c r="D588" i="6"/>
  <c r="D562" i="6"/>
  <c r="D537" i="6"/>
  <c r="D511" i="6"/>
  <c r="D486" i="6"/>
  <c r="D469" i="6"/>
  <c r="D460" i="6"/>
  <c r="D435" i="6"/>
  <c r="D412" i="6"/>
  <c r="D390" i="6"/>
  <c r="D368" i="6"/>
  <c r="D346" i="6"/>
  <c r="D324" i="6"/>
  <c r="D302" i="6"/>
  <c r="D1027" i="6"/>
  <c r="D995" i="6"/>
  <c r="D965" i="6"/>
  <c r="D935" i="6"/>
  <c r="D905" i="6"/>
  <c r="D875" i="6"/>
  <c r="D845" i="6"/>
  <c r="D815" i="6"/>
  <c r="D785" i="6"/>
  <c r="D727" i="6"/>
  <c r="D717" i="6"/>
  <c r="D691" i="6"/>
  <c r="D647" i="6"/>
  <c r="D621" i="6"/>
  <c r="D596" i="6"/>
  <c r="D579" i="6"/>
  <c r="D570" i="6"/>
  <c r="D545" i="6"/>
  <c r="D519" i="6"/>
  <c r="D494" i="6"/>
  <c r="D468" i="6"/>
  <c r="D443" i="6"/>
  <c r="D419" i="6"/>
  <c r="D397" i="6"/>
  <c r="D375" i="6"/>
  <c r="D353" i="6"/>
  <c r="D331" i="6"/>
  <c r="D309" i="6"/>
  <c r="D1036" i="6"/>
  <c r="D1006" i="6"/>
  <c r="D976" i="6"/>
  <c r="D944" i="6"/>
  <c r="D914" i="6"/>
  <c r="D884" i="6"/>
  <c r="D854" i="6"/>
  <c r="D824" i="6"/>
  <c r="D794" i="6"/>
  <c r="D764" i="6"/>
  <c r="D708" i="6"/>
  <c r="D672" i="6"/>
  <c r="D655" i="6"/>
  <c r="D629" i="6"/>
  <c r="D604" i="6"/>
  <c r="D578" i="6"/>
  <c r="D553" i="6"/>
  <c r="D502" i="6"/>
  <c r="D477" i="6"/>
  <c r="D1045" i="6"/>
  <c r="D1015" i="6"/>
  <c r="D985" i="6"/>
  <c r="D955" i="6"/>
  <c r="D925" i="6"/>
  <c r="D895" i="6"/>
  <c r="D863" i="6"/>
  <c r="D833" i="6"/>
  <c r="D803" i="6"/>
  <c r="D773" i="6"/>
  <c r="D753" i="6"/>
  <c r="D744" i="6"/>
  <c r="D735" i="6"/>
  <c r="D699" i="6"/>
  <c r="D663" i="6"/>
  <c r="D612" i="6"/>
  <c r="D587" i="6"/>
  <c r="D561" i="6"/>
  <c r="D536" i="6"/>
  <c r="D510" i="6"/>
  <c r="D485" i="6"/>
  <c r="D459" i="6"/>
  <c r="D434" i="6"/>
  <c r="D411" i="6"/>
  <c r="D1024" i="6"/>
  <c r="D994" i="6"/>
  <c r="D964" i="6"/>
  <c r="D934" i="6"/>
  <c r="D904" i="6"/>
  <c r="D874" i="6"/>
  <c r="D844" i="6"/>
  <c r="D812" i="6"/>
  <c r="D782" i="6"/>
  <c r="D716" i="6"/>
  <c r="D690" i="6"/>
  <c r="D680" i="6"/>
  <c r="D646" i="6"/>
  <c r="D620" i="6"/>
  <c r="D595" i="6"/>
  <c r="D569" i="6"/>
  <c r="D544" i="6"/>
  <c r="D518" i="6"/>
  <c r="D493" i="6"/>
  <c r="D1042" i="6"/>
  <c r="D1010" i="6"/>
  <c r="D980" i="6"/>
  <c r="D1029" i="6"/>
  <c r="D999" i="6"/>
  <c r="D969" i="6"/>
  <c r="D939" i="6"/>
  <c r="D907" i="6"/>
  <c r="D877" i="6"/>
  <c r="D847" i="6"/>
  <c r="D817" i="6"/>
  <c r="D787" i="6"/>
  <c r="D729" i="6"/>
  <c r="D693" i="6"/>
  <c r="D1030" i="6"/>
  <c r="D983" i="6"/>
  <c r="D891" i="6"/>
  <c r="D818" i="6"/>
  <c r="D802" i="6"/>
  <c r="D759" i="6"/>
  <c r="D731" i="6"/>
  <c r="D654" i="6"/>
  <c r="D619" i="6"/>
  <c r="D584" i="6"/>
  <c r="D515" i="6"/>
  <c r="D491" i="6"/>
  <c r="D480" i="6"/>
  <c r="D467" i="6"/>
  <c r="D457" i="6"/>
  <c r="D447" i="6"/>
  <c r="D427" i="6"/>
  <c r="D401" i="6"/>
  <c r="D1044" i="6"/>
  <c r="D966" i="6"/>
  <c r="D950" i="6"/>
  <c r="D936" i="6"/>
  <c r="D861" i="6"/>
  <c r="D788" i="6"/>
  <c r="D772" i="6"/>
  <c r="D705" i="6"/>
  <c r="D678" i="6"/>
  <c r="D666" i="6"/>
  <c r="D632" i="6"/>
  <c r="D597" i="6"/>
  <c r="D560" i="6"/>
  <c r="D525" i="6"/>
  <c r="D490" i="6"/>
  <c r="D446" i="6"/>
  <c r="D426" i="6"/>
  <c r="D409" i="6"/>
  <c r="D1013" i="6"/>
  <c r="D920" i="6"/>
  <c r="D906" i="6"/>
  <c r="D831" i="6"/>
  <c r="D743" i="6"/>
  <c r="D692" i="6"/>
  <c r="D642" i="6"/>
  <c r="D607" i="6"/>
  <c r="D573" i="6"/>
  <c r="D538" i="6"/>
  <c r="D501" i="6"/>
  <c r="D436" i="6"/>
  <c r="D417" i="6"/>
  <c r="D998" i="6"/>
  <c r="D890" i="6"/>
  <c r="D876" i="6"/>
  <c r="D801" i="6"/>
  <c r="D758" i="6"/>
  <c r="D730" i="6"/>
  <c r="D653" i="6"/>
  <c r="D618" i="6"/>
  <c r="D583" i="6"/>
  <c r="D548" i="6"/>
  <c r="D514" i="6"/>
  <c r="D479" i="6"/>
  <c r="D466" i="6"/>
  <c r="D456" i="6"/>
  <c r="D425" i="6"/>
  <c r="D400" i="6"/>
  <c r="D367" i="6"/>
  <c r="D359" i="6"/>
  <c r="D351" i="6"/>
  <c r="D343" i="6"/>
  <c r="D335" i="6"/>
  <c r="D327" i="6"/>
  <c r="D319" i="6"/>
  <c r="D311" i="6"/>
  <c r="D303" i="6"/>
  <c r="D295" i="6"/>
  <c r="D273" i="6"/>
  <c r="D251" i="6"/>
  <c r="D229" i="6"/>
  <c r="D207" i="6"/>
  <c r="D185" i="6"/>
  <c r="D163" i="6"/>
  <c r="D141" i="6"/>
  <c r="D1043" i="6"/>
  <c r="D963" i="6"/>
  <c r="D949" i="6"/>
  <c r="D933" i="6"/>
  <c r="D860" i="6"/>
  <c r="D846" i="6"/>
  <c r="D771" i="6"/>
  <c r="D715" i="6"/>
  <c r="D688" i="6"/>
  <c r="D677" i="6"/>
  <c r="D665" i="6"/>
  <c r="D628" i="6"/>
  <c r="D559" i="6"/>
  <c r="D535" i="6"/>
  <c r="D524" i="6"/>
  <c r="D1028" i="6"/>
  <c r="D979" i="6"/>
  <c r="D919" i="6"/>
  <c r="D903" i="6"/>
  <c r="D830" i="6"/>
  <c r="D816" i="6"/>
  <c r="D757" i="6"/>
  <c r="D742" i="6"/>
  <c r="D641" i="6"/>
  <c r="D606" i="6"/>
  <c r="D534" i="6"/>
  <c r="D513" i="6"/>
  <c r="D500" i="6"/>
  <c r="D416" i="6"/>
  <c r="D391" i="6"/>
  <c r="D383" i="6"/>
  <c r="D287" i="6"/>
  <c r="D265" i="6"/>
  <c r="D243" i="6"/>
  <c r="D221" i="6"/>
  <c r="D199" i="6"/>
  <c r="D177" i="6"/>
  <c r="D155" i="6"/>
  <c r="D1021" i="6"/>
  <c r="D972" i="6"/>
  <c r="D951" i="6"/>
  <c r="D712" i="6"/>
  <c r="D694" i="6"/>
  <c r="D643" i="6"/>
  <c r="D592" i="6"/>
  <c r="D546" i="6"/>
  <c r="D395" i="6"/>
  <c r="D300" i="6"/>
  <c r="D993" i="6"/>
  <c r="D888" i="6"/>
  <c r="D826" i="6"/>
  <c r="D786" i="6"/>
  <c r="D766" i="6"/>
  <c r="D749" i="6"/>
  <c r="D728" i="6"/>
  <c r="D710" i="6"/>
  <c r="D675" i="6"/>
  <c r="D658" i="6"/>
  <c r="D610" i="6"/>
  <c r="D563" i="6"/>
  <c r="D512" i="6"/>
  <c r="D497" i="6"/>
  <c r="D482" i="6"/>
  <c r="D470" i="6"/>
  <c r="D453" i="6"/>
  <c r="D428" i="6"/>
  <c r="D374" i="6"/>
  <c r="D365" i="6"/>
  <c r="D356" i="6"/>
  <c r="D347" i="6"/>
  <c r="D283" i="6"/>
  <c r="D275" i="6"/>
  <c r="D267" i="6"/>
  <c r="D259" i="6"/>
  <c r="D1020" i="6"/>
  <c r="D948" i="6"/>
  <c r="D928" i="6"/>
  <c r="D910" i="6"/>
  <c r="D868" i="6"/>
  <c r="D848" i="6"/>
  <c r="D808" i="6"/>
  <c r="D625" i="6"/>
  <c r="D576" i="6"/>
  <c r="D530" i="6"/>
  <c r="D415" i="6"/>
  <c r="D405" i="6"/>
  <c r="D385" i="6"/>
  <c r="D337" i="6"/>
  <c r="D328" i="6"/>
  <c r="D318" i="6"/>
  <c r="D291" i="6"/>
  <c r="D250" i="6"/>
  <c r="D242" i="6"/>
  <c r="D1039" i="6"/>
  <c r="D971" i="6"/>
  <c r="D724" i="6"/>
  <c r="D671" i="6"/>
  <c r="D640" i="6"/>
  <c r="D591" i="6"/>
  <c r="D543" i="6"/>
  <c r="D465" i="6"/>
  <c r="D404" i="6"/>
  <c r="D394" i="6"/>
  <c r="D384" i="6"/>
  <c r="D308" i="6"/>
  <c r="D299" i="6"/>
  <c r="D258" i="6"/>
  <c r="D1017" i="6"/>
  <c r="D992" i="6"/>
  <c r="D927" i="6"/>
  <c r="D883" i="6"/>
  <c r="D867" i="6"/>
  <c r="D841" i="6"/>
  <c r="D823" i="6"/>
  <c r="D807" i="6"/>
  <c r="D781" i="6"/>
  <c r="D763" i="6"/>
  <c r="D746" i="6"/>
  <c r="D707" i="6"/>
  <c r="D687" i="6"/>
  <c r="D657" i="6"/>
  <c r="D609" i="6"/>
  <c r="D558" i="6"/>
  <c r="D509" i="6"/>
  <c r="D496" i="6"/>
  <c r="D481" i="6"/>
  <c r="D451" i="6"/>
  <c r="D373" i="6"/>
  <c r="D364" i="6"/>
  <c r="D355" i="6"/>
  <c r="D282" i="6"/>
  <c r="D274" i="6"/>
  <c r="D266" i="6"/>
  <c r="D122" i="6"/>
  <c r="D100" i="6"/>
  <c r="D78" i="6"/>
  <c r="D56" i="6"/>
  <c r="D34" i="6"/>
  <c r="D12" i="6"/>
  <c r="D1038" i="6"/>
  <c r="D970" i="6"/>
  <c r="D943" i="6"/>
  <c r="D761" i="6"/>
  <c r="D624" i="6"/>
  <c r="D575" i="6"/>
  <c r="D1035" i="6"/>
  <c r="D1014" i="6"/>
  <c r="D922" i="6"/>
  <c r="D900" i="6"/>
  <c r="D882" i="6"/>
  <c r="D862" i="6"/>
  <c r="D840" i="6"/>
  <c r="D822" i="6"/>
  <c r="D800" i="6"/>
  <c r="D780" i="6"/>
  <c r="D741" i="6"/>
  <c r="D706" i="6"/>
  <c r="D686" i="6"/>
  <c r="D1031" i="6"/>
  <c r="D984" i="6"/>
  <c r="D940" i="6"/>
  <c r="D1005" i="6"/>
  <c r="D1001" i="6"/>
  <c r="D961" i="6"/>
  <c r="D929" i="6"/>
  <c r="D898" i="6"/>
  <c r="D697" i="6"/>
  <c r="D669" i="6"/>
  <c r="D626" i="6"/>
  <c r="D556" i="6"/>
  <c r="D474" i="6"/>
  <c r="D458" i="6"/>
  <c r="D441" i="6"/>
  <c r="D410" i="6"/>
  <c r="D396" i="6"/>
  <c r="D358" i="6"/>
  <c r="D345" i="6"/>
  <c r="D322" i="6"/>
  <c r="D255" i="6"/>
  <c r="D235" i="6"/>
  <c r="D225" i="6"/>
  <c r="D216" i="6"/>
  <c r="D190" i="6"/>
  <c r="D165" i="6"/>
  <c r="D148" i="6"/>
  <c r="D124" i="6"/>
  <c r="D101" i="6"/>
  <c r="D70" i="6"/>
  <c r="D47" i="6"/>
  <c r="D24" i="6"/>
  <c r="D121" i="6"/>
  <c r="D551" i="6"/>
  <c r="D507" i="6"/>
  <c r="D187" i="6"/>
  <c r="D136" i="6"/>
  <c r="D113" i="6"/>
  <c r="D90" i="6"/>
  <c r="D21" i="6"/>
  <c r="D767" i="6"/>
  <c r="D684" i="6"/>
  <c r="D293" i="6"/>
  <c r="D212" i="6"/>
  <c r="D128" i="6"/>
  <c r="D105" i="6"/>
  <c r="D487" i="6"/>
  <c r="D402" i="6"/>
  <c r="D329" i="6"/>
  <c r="D869" i="6"/>
  <c r="D838" i="6"/>
  <c r="D648" i="6"/>
  <c r="D601" i="6"/>
  <c r="D581" i="6"/>
  <c r="D495" i="6"/>
  <c r="D438" i="6"/>
  <c r="D381" i="6"/>
  <c r="D370" i="6"/>
  <c r="D333" i="6"/>
  <c r="D310" i="6"/>
  <c r="D297" i="6"/>
  <c r="D286" i="6"/>
  <c r="D245" i="6"/>
  <c r="D198" i="6"/>
  <c r="D173" i="6"/>
  <c r="D139" i="6"/>
  <c r="D116" i="6"/>
  <c r="D93" i="6"/>
  <c r="D85" i="6"/>
  <c r="D62" i="6"/>
  <c r="D39" i="6"/>
  <c r="D16" i="6"/>
  <c r="D796" i="6"/>
  <c r="D829" i="6"/>
  <c r="D240" i="6"/>
  <c r="D144" i="6"/>
  <c r="D1032" i="6"/>
  <c r="D1000" i="6"/>
  <c r="D958" i="6"/>
  <c r="D897" i="6"/>
  <c r="D809" i="6"/>
  <c r="D778" i="6"/>
  <c r="D750" i="6"/>
  <c r="D721" i="6"/>
  <c r="D695" i="6"/>
  <c r="D623" i="6"/>
  <c r="D600" i="6"/>
  <c r="D533" i="6"/>
  <c r="D516" i="6"/>
  <c r="D422" i="6"/>
  <c r="D408" i="6"/>
  <c r="D276" i="6"/>
  <c r="D264" i="6"/>
  <c r="D234" i="6"/>
  <c r="D206" i="6"/>
  <c r="D181" i="6"/>
  <c r="D156" i="6"/>
  <c r="D147" i="6"/>
  <c r="D131" i="6"/>
  <c r="D108" i="6"/>
  <c r="D77" i="6"/>
  <c r="D54" i="6"/>
  <c r="D31" i="6"/>
  <c r="D8" i="6"/>
  <c r="D991" i="6"/>
  <c r="D957" i="6"/>
  <c r="D837" i="6"/>
  <c r="D668" i="6"/>
  <c r="D645" i="6"/>
  <c r="D622" i="6"/>
  <c r="D555" i="6"/>
  <c r="D473" i="6"/>
  <c r="D357" i="6"/>
  <c r="D344" i="6"/>
  <c r="D321" i="6"/>
  <c r="D307" i="6"/>
  <c r="D254" i="6"/>
  <c r="D233" i="6"/>
  <c r="D224" i="6"/>
  <c r="D215" i="6"/>
  <c r="D189" i="6"/>
  <c r="D164" i="6"/>
  <c r="D123" i="6"/>
  <c r="D92" i="6"/>
  <c r="D69" i="6"/>
  <c r="D46" i="6"/>
  <c r="D23" i="6"/>
  <c r="D53" i="6"/>
  <c r="D30" i="6"/>
  <c r="D7" i="6"/>
  <c r="D661" i="6"/>
  <c r="D531" i="6"/>
  <c r="D488" i="6"/>
  <c r="D420" i="6"/>
  <c r="D262" i="6"/>
  <c r="D204" i="6"/>
  <c r="D29" i="6"/>
  <c r="D6" i="6"/>
  <c r="D713" i="6"/>
  <c r="D526" i="6"/>
  <c r="D471" i="6"/>
  <c r="D341" i="6"/>
  <c r="D231" i="6"/>
  <c r="D222" i="6"/>
  <c r="D170" i="6"/>
  <c r="D153" i="6"/>
  <c r="D67" i="6"/>
  <c r="D942" i="6"/>
  <c r="D737" i="6"/>
  <c r="D449" i="6"/>
  <c r="D389" i="6"/>
  <c r="D195" i="6"/>
  <c r="D161" i="6"/>
  <c r="D82" i="6"/>
  <c r="D59" i="6"/>
  <c r="D36" i="6"/>
  <c r="D13" i="6"/>
  <c r="D352" i="6"/>
  <c r="D988" i="6"/>
  <c r="D921" i="6"/>
  <c r="D775" i="6"/>
  <c r="D720" i="6"/>
  <c r="D644" i="6"/>
  <c r="D577" i="6"/>
  <c r="D492" i="6"/>
  <c r="D455" i="6"/>
  <c r="D437" i="6"/>
  <c r="D407" i="6"/>
  <c r="D393" i="6"/>
  <c r="D380" i="6"/>
  <c r="D369" i="6"/>
  <c r="D332" i="6"/>
  <c r="D296" i="6"/>
  <c r="D285" i="6"/>
  <c r="D244" i="6"/>
  <c r="D197" i="6"/>
  <c r="D172" i="6"/>
  <c r="D138" i="6"/>
  <c r="D115" i="6"/>
  <c r="D107" i="6"/>
  <c r="D84" i="6"/>
  <c r="D61" i="6"/>
  <c r="D38" i="6"/>
  <c r="D15" i="6"/>
  <c r="D738" i="6"/>
  <c r="D685" i="6"/>
  <c r="D598" i="6"/>
  <c r="D403" i="6"/>
  <c r="D366" i="6"/>
  <c r="D316" i="6"/>
  <c r="D179" i="6"/>
  <c r="D145" i="6"/>
  <c r="D98" i="6"/>
  <c r="D75" i="6"/>
  <c r="D52" i="6"/>
  <c r="D252" i="6"/>
  <c r="D1022" i="6"/>
  <c r="D568" i="6"/>
  <c r="D431" i="6"/>
  <c r="D378" i="6"/>
  <c r="D271" i="6"/>
  <c r="D793" i="6"/>
  <c r="D418" i="6"/>
  <c r="D892" i="6"/>
  <c r="D859" i="6"/>
  <c r="D739" i="6"/>
  <c r="D662" i="6"/>
  <c r="D599" i="6"/>
  <c r="D532" i="6"/>
  <c r="D421" i="6"/>
  <c r="D392" i="6"/>
  <c r="D263" i="6"/>
  <c r="D214" i="6"/>
  <c r="D205" i="6"/>
  <c r="D180" i="6"/>
  <c r="D146" i="6"/>
  <c r="D130" i="6"/>
  <c r="D99" i="6"/>
  <c r="D76" i="6"/>
  <c r="D330" i="6"/>
  <c r="D853" i="6"/>
  <c r="D987" i="6"/>
  <c r="D954" i="6"/>
  <c r="D918" i="6"/>
  <c r="D832" i="6"/>
  <c r="D797" i="6"/>
  <c r="D714" i="6"/>
  <c r="D617" i="6"/>
  <c r="D552" i="6"/>
  <c r="D508" i="6"/>
  <c r="D489" i="6"/>
  <c r="D472" i="6"/>
  <c r="D342" i="6"/>
  <c r="D320" i="6"/>
  <c r="D306" i="6"/>
  <c r="D253" i="6"/>
  <c r="D241" i="6"/>
  <c r="D232" i="6"/>
  <c r="D223" i="6"/>
  <c r="D188" i="6"/>
  <c r="D154" i="6"/>
  <c r="D114" i="6"/>
  <c r="D91" i="6"/>
  <c r="D68" i="6"/>
  <c r="D45" i="6"/>
  <c r="D22" i="6"/>
  <c r="D889" i="6"/>
  <c r="D913" i="6"/>
  <c r="D305" i="6"/>
  <c r="D44" i="6"/>
  <c r="D1023" i="6"/>
  <c r="D856" i="6"/>
  <c r="D768" i="6"/>
  <c r="D636" i="6"/>
  <c r="D574" i="6"/>
  <c r="D450" i="6"/>
  <c r="D433" i="6"/>
  <c r="D406" i="6"/>
  <c r="D379" i="6"/>
  <c r="D354" i="6"/>
  <c r="D317" i="6"/>
  <c r="D294" i="6"/>
  <c r="D284" i="6"/>
  <c r="D272" i="6"/>
  <c r="D213" i="6"/>
  <c r="D196" i="6"/>
  <c r="D171" i="6"/>
  <c r="D162" i="6"/>
  <c r="D137" i="6"/>
  <c r="D129" i="6"/>
  <c r="D106" i="6"/>
  <c r="D83" i="6"/>
  <c r="D60" i="6"/>
  <c r="D37" i="6"/>
  <c r="D14" i="6"/>
  <c r="D635" i="6"/>
  <c r="D811" i="6"/>
  <c r="D752" i="6"/>
  <c r="D676" i="6"/>
  <c r="D603" i="6"/>
  <c r="D540" i="6"/>
  <c r="D521" i="6"/>
  <c r="D424" i="6"/>
  <c r="D361" i="6"/>
  <c r="D278" i="6"/>
  <c r="D237" i="6"/>
  <c r="D218" i="6"/>
  <c r="D183" i="6"/>
  <c r="D158" i="6"/>
  <c r="D133" i="6"/>
  <c r="D110" i="6"/>
  <c r="D87" i="6"/>
  <c r="D64" i="6"/>
  <c r="D33" i="6"/>
  <c r="D10" i="6"/>
  <c r="D839" i="6"/>
  <c r="D670" i="6"/>
  <c r="D582" i="6"/>
  <c r="D371" i="6"/>
  <c r="D348" i="6"/>
  <c r="D298" i="6"/>
  <c r="D1002" i="6"/>
  <c r="D932" i="6"/>
  <c r="D899" i="6"/>
  <c r="D723" i="6"/>
  <c r="D698" i="6"/>
  <c r="D627" i="6"/>
  <c r="D565" i="6"/>
  <c r="D499" i="6"/>
  <c r="D475" i="6"/>
  <c r="D442" i="6"/>
  <c r="D398" i="6"/>
  <c r="D386" i="6"/>
  <c r="D360" i="6"/>
  <c r="D323" i="6"/>
  <c r="D288" i="6"/>
  <c r="D268" i="6"/>
  <c r="D256" i="6"/>
  <c r="D227" i="6"/>
  <c r="D217" i="6"/>
  <c r="D200" i="6"/>
  <c r="D191" i="6"/>
  <c r="D166" i="6"/>
  <c r="D125" i="6"/>
  <c r="D102" i="6"/>
  <c r="D79" i="6"/>
  <c r="D48" i="6"/>
  <c r="D25" i="6"/>
  <c r="D962" i="6"/>
  <c r="D870" i="6"/>
  <c r="D649" i="6"/>
  <c r="D382" i="6"/>
  <c r="D334" i="6"/>
  <c r="D312" i="6"/>
  <c r="D463" i="6"/>
  <c r="D413" i="6"/>
  <c r="D372" i="6"/>
  <c r="D270" i="6"/>
  <c r="D247" i="6"/>
  <c r="D201" i="6"/>
  <c r="D178" i="6"/>
  <c r="D159" i="6"/>
  <c r="D119" i="6"/>
  <c r="D81" i="6"/>
  <c r="D43" i="6"/>
  <c r="D26" i="6"/>
  <c r="D5" i="6"/>
  <c r="D567" i="6"/>
  <c r="D50" i="6"/>
  <c r="D541" i="6"/>
  <c r="D734" i="6"/>
  <c r="D651" i="6"/>
  <c r="D589" i="6"/>
  <c r="D522" i="6"/>
  <c r="D326" i="6"/>
  <c r="D246" i="6"/>
  <c r="D220" i="6"/>
  <c r="D63" i="6"/>
  <c r="D634" i="6"/>
  <c r="D315" i="6"/>
  <c r="D633" i="6"/>
  <c r="D18" i="6"/>
  <c r="D1009" i="6"/>
  <c r="D911" i="6"/>
  <c r="D819" i="6"/>
  <c r="D363" i="6"/>
  <c r="D135" i="6"/>
  <c r="D97" i="6"/>
  <c r="D810" i="6"/>
  <c r="D74" i="6"/>
  <c r="D57" i="6"/>
  <c r="D169" i="6"/>
  <c r="D211" i="6"/>
  <c r="D314" i="6"/>
  <c r="D150" i="6"/>
  <c r="D55" i="6"/>
  <c r="D430" i="6"/>
  <c r="D127" i="6"/>
  <c r="D941" i="6"/>
  <c r="D313" i="6"/>
  <c r="D186" i="6"/>
  <c r="D71" i="6"/>
  <c r="D279" i="6"/>
  <c r="D611" i="6"/>
  <c r="D32" i="6"/>
  <c r="D679" i="6"/>
  <c r="D228" i="6"/>
  <c r="D732" i="6"/>
  <c r="D269" i="6"/>
  <c r="D176" i="6"/>
  <c r="D118" i="6"/>
  <c r="D80" i="6"/>
  <c r="D42" i="6"/>
  <c r="D4" i="6"/>
  <c r="D650" i="6"/>
  <c r="D585" i="6"/>
  <c r="D517" i="6"/>
  <c r="D325" i="6"/>
  <c r="D292" i="6"/>
  <c r="D239" i="6"/>
  <c r="D219" i="6"/>
  <c r="D157" i="6"/>
  <c r="D117" i="6"/>
  <c r="D174" i="6"/>
  <c r="D95" i="6"/>
  <c r="D702" i="6"/>
  <c r="D444" i="6"/>
  <c r="D94" i="6"/>
  <c r="D790" i="6"/>
  <c r="D236" i="6"/>
  <c r="D73" i="6"/>
  <c r="D388" i="6"/>
  <c r="D257" i="6"/>
  <c r="D89" i="6"/>
  <c r="D349" i="6"/>
  <c r="D167" i="6"/>
  <c r="D208" i="6"/>
  <c r="D852" i="6"/>
  <c r="D423" i="6"/>
  <c r="D1008" i="6"/>
  <c r="D566" i="6"/>
  <c r="D17" i="6"/>
  <c r="D557" i="6"/>
  <c r="D448" i="6"/>
  <c r="D362" i="6"/>
  <c r="D290" i="6"/>
  <c r="D152" i="6"/>
  <c r="D134" i="6"/>
  <c r="D96" i="6"/>
  <c r="D58" i="6"/>
  <c r="D41" i="6"/>
  <c r="D20" i="6"/>
  <c r="D881" i="6"/>
  <c r="D445" i="6"/>
  <c r="D238" i="6"/>
  <c r="D112" i="6"/>
  <c r="D289" i="6"/>
  <c r="D151" i="6"/>
  <c r="D973" i="6"/>
  <c r="D35" i="6"/>
  <c r="D350" i="6"/>
  <c r="D168" i="6"/>
  <c r="D149" i="6"/>
  <c r="D72" i="6"/>
  <c r="D209" i="6"/>
  <c r="D760" i="6"/>
  <c r="D88" i="6"/>
  <c r="D249" i="6"/>
  <c r="D143" i="6"/>
  <c r="D203" i="6"/>
  <c r="D722" i="6"/>
  <c r="D194" i="6"/>
  <c r="D175" i="6"/>
  <c r="D40" i="6"/>
  <c r="D978" i="6"/>
  <c r="D399" i="6"/>
  <c r="D261" i="6"/>
  <c r="D19" i="6"/>
  <c r="D504" i="6"/>
  <c r="D193" i="6"/>
  <c r="D132" i="6"/>
  <c r="D878" i="6"/>
  <c r="D260" i="6"/>
  <c r="D192" i="6"/>
  <c r="D111" i="6"/>
  <c r="D701" i="6"/>
  <c r="D281" i="6"/>
  <c r="D873" i="6"/>
  <c r="D51" i="6"/>
  <c r="D779" i="6"/>
  <c r="D387" i="6"/>
  <c r="D109" i="6"/>
  <c r="D429" i="6"/>
  <c r="D126" i="6"/>
  <c r="D340" i="6"/>
  <c r="D789" i="6"/>
  <c r="D614" i="6"/>
  <c r="D547" i="6"/>
  <c r="D280" i="6"/>
  <c r="D230" i="6"/>
  <c r="D210" i="6"/>
  <c r="D377" i="6"/>
  <c r="D49" i="6"/>
  <c r="D851" i="6"/>
  <c r="D602" i="6"/>
  <c r="D539" i="6"/>
  <c r="D464" i="6"/>
  <c r="D414" i="6"/>
  <c r="D376" i="6"/>
  <c r="D339" i="6"/>
  <c r="D277" i="6"/>
  <c r="D248" i="6"/>
  <c r="D160" i="6"/>
  <c r="D142" i="6"/>
  <c r="D120" i="6"/>
  <c r="D86" i="6"/>
  <c r="D912" i="6"/>
  <c r="D27" i="6"/>
  <c r="D9" i="6"/>
  <c r="D751" i="6"/>
  <c r="D226" i="6"/>
  <c r="D66" i="6"/>
  <c r="D202" i="6"/>
  <c r="D523" i="6"/>
  <c r="D28" i="6"/>
  <c r="D140" i="6"/>
  <c r="D336" i="6"/>
  <c r="D104" i="6"/>
  <c r="D103" i="6"/>
  <c r="D65" i="6"/>
  <c r="D182" i="6"/>
  <c r="D590" i="6"/>
  <c r="D184" i="6"/>
  <c r="D11" i="6"/>
  <c r="D338" i="6"/>
  <c r="D304" i="6"/>
  <c r="D301" i="6"/>
  <c r="F1048" i="6"/>
  <c r="F1026" i="6"/>
  <c r="F1004" i="6"/>
  <c r="F982" i="6"/>
  <c r="F960" i="6"/>
  <c r="F938" i="6"/>
  <c r="F916" i="6"/>
  <c r="F894" i="6"/>
  <c r="F872" i="6"/>
  <c r="F850" i="6"/>
  <c r="F828" i="6"/>
  <c r="F806" i="6"/>
  <c r="F784" i="6"/>
  <c r="F762" i="6"/>
  <c r="F740" i="6"/>
  <c r="F718" i="6"/>
  <c r="F696" i="6"/>
  <c r="F674" i="6"/>
  <c r="F652" i="6"/>
  <c r="F630" i="6"/>
  <c r="F608" i="6"/>
  <c r="F586" i="6"/>
  <c r="F564" i="6"/>
  <c r="F542" i="6"/>
  <c r="F520" i="6"/>
  <c r="F498" i="6"/>
  <c r="F476" i="6"/>
  <c r="F454" i="6"/>
  <c r="F432" i="6"/>
  <c r="F1033" i="6"/>
  <c r="F1011" i="6"/>
  <c r="F989" i="6"/>
  <c r="F967" i="6"/>
  <c r="F945" i="6"/>
  <c r="F923" i="6"/>
  <c r="F901" i="6"/>
  <c r="F879" i="6"/>
  <c r="F857" i="6"/>
  <c r="F835" i="6"/>
  <c r="F813" i="6"/>
  <c r="F791" i="6"/>
  <c r="F769" i="6"/>
  <c r="F747" i="6"/>
  <c r="F725" i="6"/>
  <c r="F703" i="6"/>
  <c r="F681" i="6"/>
  <c r="F1040" i="6"/>
  <c r="F1018" i="6"/>
  <c r="F996" i="6"/>
  <c r="F974" i="6"/>
  <c r="F952" i="6"/>
  <c r="F930" i="6"/>
  <c r="F908" i="6"/>
  <c r="F886" i="6"/>
  <c r="F864" i="6"/>
  <c r="F842" i="6"/>
  <c r="F820" i="6"/>
  <c r="F798" i="6"/>
  <c r="F776" i="6"/>
  <c r="F754" i="6"/>
  <c r="F732" i="6"/>
  <c r="F710" i="6"/>
  <c r="F688" i="6"/>
  <c r="F666" i="6"/>
  <c r="F644" i="6"/>
  <c r="F622" i="6"/>
  <c r="F600" i="6"/>
  <c r="F578" i="6"/>
  <c r="F556" i="6"/>
  <c r="F534" i="6"/>
  <c r="F512" i="6"/>
  <c r="F490" i="6"/>
  <c r="F468" i="6"/>
  <c r="F446" i="6"/>
  <c r="F1047" i="6"/>
  <c r="F1025" i="6"/>
  <c r="F1003" i="6"/>
  <c r="F981" i="6"/>
  <c r="F959" i="6"/>
  <c r="F937" i="6"/>
  <c r="F915" i="6"/>
  <c r="F893" i="6"/>
  <c r="F871" i="6"/>
  <c r="F849" i="6"/>
  <c r="F827" i="6"/>
  <c r="F805" i="6"/>
  <c r="F783" i="6"/>
  <c r="F761" i="6"/>
  <c r="F739" i="6"/>
  <c r="F717" i="6"/>
  <c r="F695" i="6"/>
  <c r="F673" i="6"/>
  <c r="F651" i="6"/>
  <c r="F629" i="6"/>
  <c r="F607" i="6"/>
  <c r="F585" i="6"/>
  <c r="F563" i="6"/>
  <c r="F541" i="6"/>
  <c r="F519" i="6"/>
  <c r="F497" i="6"/>
  <c r="F475" i="6"/>
  <c r="F453" i="6"/>
  <c r="F431" i="6"/>
  <c r="F1032" i="6"/>
  <c r="F1010" i="6"/>
  <c r="F988" i="6"/>
  <c r="F966" i="6"/>
  <c r="F944" i="6"/>
  <c r="F922" i="6"/>
  <c r="F900" i="6"/>
  <c r="F878" i="6"/>
  <c r="F856" i="6"/>
  <c r="F834" i="6"/>
  <c r="F812" i="6"/>
  <c r="F790" i="6"/>
  <c r="F768" i="6"/>
  <c r="F746" i="6"/>
  <c r="F1039" i="6"/>
  <c r="F1017" i="6"/>
  <c r="F995" i="6"/>
  <c r="F973" i="6"/>
  <c r="F951" i="6"/>
  <c r="F929" i="6"/>
  <c r="F907" i="6"/>
  <c r="F885" i="6"/>
  <c r="F863" i="6"/>
  <c r="F841" i="6"/>
  <c r="F819" i="6"/>
  <c r="F797" i="6"/>
  <c r="F775" i="6"/>
  <c r="F1046" i="6"/>
  <c r="F1027" i="6"/>
  <c r="F997" i="6"/>
  <c r="F965" i="6"/>
  <c r="F935" i="6"/>
  <c r="F905" i="6"/>
  <c r="F875" i="6"/>
  <c r="F845" i="6"/>
  <c r="F815" i="6"/>
  <c r="F785" i="6"/>
  <c r="F727" i="6"/>
  <c r="F691" i="6"/>
  <c r="F647" i="6"/>
  <c r="F621" i="6"/>
  <c r="F596" i="6"/>
  <c r="F570" i="6"/>
  <c r="F545" i="6"/>
  <c r="F494" i="6"/>
  <c r="F469" i="6"/>
  <c r="F443" i="6"/>
  <c r="F1036" i="6"/>
  <c r="F1006" i="6"/>
  <c r="F976" i="6"/>
  <c r="F946" i="6"/>
  <c r="F914" i="6"/>
  <c r="F884" i="6"/>
  <c r="F854" i="6"/>
  <c r="F824" i="6"/>
  <c r="F794" i="6"/>
  <c r="F764" i="6"/>
  <c r="F755" i="6"/>
  <c r="F708" i="6"/>
  <c r="F682" i="6"/>
  <c r="F672" i="6"/>
  <c r="F655" i="6"/>
  <c r="F604" i="6"/>
  <c r="F579" i="6"/>
  <c r="F553" i="6"/>
  <c r="F528" i="6"/>
  <c r="F502" i="6"/>
  <c r="F477" i="6"/>
  <c r="F451" i="6"/>
  <c r="F426" i="6"/>
  <c r="F404" i="6"/>
  <c r="F382" i="6"/>
  <c r="F360" i="6"/>
  <c r="F338" i="6"/>
  <c r="F316" i="6"/>
  <c r="F1045" i="6"/>
  <c r="F1015" i="6"/>
  <c r="F985" i="6"/>
  <c r="F955" i="6"/>
  <c r="F925" i="6"/>
  <c r="F895" i="6"/>
  <c r="F865" i="6"/>
  <c r="F833" i="6"/>
  <c r="F803" i="6"/>
  <c r="F773" i="6"/>
  <c r="F753" i="6"/>
  <c r="F744" i="6"/>
  <c r="F735" i="6"/>
  <c r="F699" i="6"/>
  <c r="F663" i="6"/>
  <c r="F638" i="6"/>
  <c r="F612" i="6"/>
  <c r="F587" i="6"/>
  <c r="F561" i="6"/>
  <c r="F536" i="6"/>
  <c r="F510" i="6"/>
  <c r="F485" i="6"/>
  <c r="F459" i="6"/>
  <c r="F434" i="6"/>
  <c r="F411" i="6"/>
  <c r="F389" i="6"/>
  <c r="F367" i="6"/>
  <c r="F345" i="6"/>
  <c r="F323" i="6"/>
  <c r="F301" i="6"/>
  <c r="F1024" i="6"/>
  <c r="F994" i="6"/>
  <c r="F964" i="6"/>
  <c r="F934" i="6"/>
  <c r="F904" i="6"/>
  <c r="F874" i="6"/>
  <c r="F844" i="6"/>
  <c r="F814" i="6"/>
  <c r="F782" i="6"/>
  <c r="F726" i="6"/>
  <c r="F716" i="6"/>
  <c r="F690" i="6"/>
  <c r="F680" i="6"/>
  <c r="F646" i="6"/>
  <c r="F620" i="6"/>
  <c r="F595" i="6"/>
  <c r="F569" i="6"/>
  <c r="F544" i="6"/>
  <c r="F527" i="6"/>
  <c r="F518" i="6"/>
  <c r="F493" i="6"/>
  <c r="F467" i="6"/>
  <c r="F1035" i="6"/>
  <c r="F1005" i="6"/>
  <c r="F975" i="6"/>
  <c r="F943" i="6"/>
  <c r="F913" i="6"/>
  <c r="F883" i="6"/>
  <c r="F853" i="6"/>
  <c r="F823" i="6"/>
  <c r="F793" i="6"/>
  <c r="F763" i="6"/>
  <c r="F707" i="6"/>
  <c r="F671" i="6"/>
  <c r="F654" i="6"/>
  <c r="F637" i="6"/>
  <c r="F628" i="6"/>
  <c r="F603" i="6"/>
  <c r="F577" i="6"/>
  <c r="F552" i="6"/>
  <c r="F526" i="6"/>
  <c r="F501" i="6"/>
  <c r="F450" i="6"/>
  <c r="F425" i="6"/>
  <c r="F403" i="6"/>
  <c r="F1044" i="6"/>
  <c r="F1014" i="6"/>
  <c r="F984" i="6"/>
  <c r="F954" i="6"/>
  <c r="F924" i="6"/>
  <c r="F892" i="6"/>
  <c r="F862" i="6"/>
  <c r="F832" i="6"/>
  <c r="F802" i="6"/>
  <c r="F772" i="6"/>
  <c r="F752" i="6"/>
  <c r="F743" i="6"/>
  <c r="F734" i="6"/>
  <c r="F724" i="6"/>
  <c r="F698" i="6"/>
  <c r="F662" i="6"/>
  <c r="F636" i="6"/>
  <c r="F611" i="6"/>
  <c r="F560" i="6"/>
  <c r="F535" i="6"/>
  <c r="F509" i="6"/>
  <c r="F484" i="6"/>
  <c r="F1030" i="6"/>
  <c r="F1000" i="6"/>
  <c r="F970" i="6"/>
  <c r="F1019" i="6"/>
  <c r="F987" i="6"/>
  <c r="F957" i="6"/>
  <c r="F927" i="6"/>
  <c r="F897" i="6"/>
  <c r="F867" i="6"/>
  <c r="F837" i="6"/>
  <c r="F807" i="6"/>
  <c r="F777" i="6"/>
  <c r="F737" i="6"/>
  <c r="F711" i="6"/>
  <c r="F701" i="6"/>
  <c r="F1013" i="6"/>
  <c r="F920" i="6"/>
  <c r="F906" i="6"/>
  <c r="F847" i="6"/>
  <c r="F831" i="6"/>
  <c r="F745" i="6"/>
  <c r="F719" i="6"/>
  <c r="F692" i="6"/>
  <c r="F667" i="6"/>
  <c r="F642" i="6"/>
  <c r="F573" i="6"/>
  <c r="F549" i="6"/>
  <c r="F538" i="6"/>
  <c r="F503" i="6"/>
  <c r="F436" i="6"/>
  <c r="F417" i="6"/>
  <c r="F392" i="6"/>
  <c r="F384" i="6"/>
  <c r="F376" i="6"/>
  <c r="F1029" i="6"/>
  <c r="F998" i="6"/>
  <c r="F980" i="6"/>
  <c r="F890" i="6"/>
  <c r="F876" i="6"/>
  <c r="F817" i="6"/>
  <c r="F801" i="6"/>
  <c r="F758" i="6"/>
  <c r="F730" i="6"/>
  <c r="F653" i="6"/>
  <c r="F618" i="6"/>
  <c r="F583" i="6"/>
  <c r="F548" i="6"/>
  <c r="F514" i="6"/>
  <c r="F479" i="6"/>
  <c r="F466" i="6"/>
  <c r="F456" i="6"/>
  <c r="F400" i="6"/>
  <c r="F359" i="6"/>
  <c r="F351" i="6"/>
  <c r="F343" i="6"/>
  <c r="F335" i="6"/>
  <c r="F327" i="6"/>
  <c r="F319" i="6"/>
  <c r="F311" i="6"/>
  <c r="F303" i="6"/>
  <c r="F295" i="6"/>
  <c r="F1043" i="6"/>
  <c r="F963" i="6"/>
  <c r="F949" i="6"/>
  <c r="F933" i="6"/>
  <c r="F860" i="6"/>
  <c r="F846" i="6"/>
  <c r="F787" i="6"/>
  <c r="F771" i="6"/>
  <c r="F715" i="6"/>
  <c r="F704" i="6"/>
  <c r="F677" i="6"/>
  <c r="F665" i="6"/>
  <c r="F631" i="6"/>
  <c r="F594" i="6"/>
  <c r="F559" i="6"/>
  <c r="F524" i="6"/>
  <c r="F489" i="6"/>
  <c r="F445" i="6"/>
  <c r="F408" i="6"/>
  <c r="F1028" i="6"/>
  <c r="F1012" i="6"/>
  <c r="F979" i="6"/>
  <c r="F919" i="6"/>
  <c r="F903" i="6"/>
  <c r="F830" i="6"/>
  <c r="F816" i="6"/>
  <c r="F742" i="6"/>
  <c r="F689" i="6"/>
  <c r="F641" i="6"/>
  <c r="F606" i="6"/>
  <c r="F572" i="6"/>
  <c r="F537" i="6"/>
  <c r="F500" i="6"/>
  <c r="F435" i="6"/>
  <c r="F416" i="6"/>
  <c r="F391" i="6"/>
  <c r="F383" i="6"/>
  <c r="F375" i="6"/>
  <c r="F287" i="6"/>
  <c r="F265" i="6"/>
  <c r="F243" i="6"/>
  <c r="F221" i="6"/>
  <c r="F199" i="6"/>
  <c r="F177" i="6"/>
  <c r="F155" i="6"/>
  <c r="F993" i="6"/>
  <c r="F889" i="6"/>
  <c r="F873" i="6"/>
  <c r="F800" i="6"/>
  <c r="F786" i="6"/>
  <c r="F757" i="6"/>
  <c r="F729" i="6"/>
  <c r="F702" i="6"/>
  <c r="F617" i="6"/>
  <c r="F593" i="6"/>
  <c r="F582" i="6"/>
  <c r="F547" i="6"/>
  <c r="F513" i="6"/>
  <c r="F1042" i="6"/>
  <c r="F1009" i="6"/>
  <c r="F962" i="6"/>
  <c r="F948" i="6"/>
  <c r="F932" i="6"/>
  <c r="F859" i="6"/>
  <c r="F843" i="6"/>
  <c r="F770" i="6"/>
  <c r="F714" i="6"/>
  <c r="F687" i="6"/>
  <c r="F676" i="6"/>
  <c r="F664" i="6"/>
  <c r="F627" i="6"/>
  <c r="F592" i="6"/>
  <c r="F571" i="6"/>
  <c r="F558" i="6"/>
  <c r="F523" i="6"/>
  <c r="F488" i="6"/>
  <c r="F444" i="6"/>
  <c r="F433" i="6"/>
  <c r="F407" i="6"/>
  <c r="F279" i="6"/>
  <c r="F257" i="6"/>
  <c r="F235" i="6"/>
  <c r="F213" i="6"/>
  <c r="F191" i="6"/>
  <c r="F169" i="6"/>
  <c r="F147" i="6"/>
  <c r="F1002" i="6"/>
  <c r="F941" i="6"/>
  <c r="F1020" i="6"/>
  <c r="F999" i="6"/>
  <c r="F928" i="6"/>
  <c r="F910" i="6"/>
  <c r="F888" i="6"/>
  <c r="F868" i="6"/>
  <c r="F848" i="6"/>
  <c r="F826" i="6"/>
  <c r="F808" i="6"/>
  <c r="F788" i="6"/>
  <c r="F766" i="6"/>
  <c r="F625" i="6"/>
  <c r="F576" i="6"/>
  <c r="F530" i="6"/>
  <c r="F440" i="6"/>
  <c r="F415" i="6"/>
  <c r="F405" i="6"/>
  <c r="F385" i="6"/>
  <c r="F374" i="6"/>
  <c r="F337" i="6"/>
  <c r="F328" i="6"/>
  <c r="F309" i="6"/>
  <c r="F291" i="6"/>
  <c r="F242" i="6"/>
  <c r="F234" i="6"/>
  <c r="F226" i="6"/>
  <c r="F218" i="6"/>
  <c r="F1041" i="6"/>
  <c r="F971" i="6"/>
  <c r="F950" i="6"/>
  <c r="F693" i="6"/>
  <c r="F640" i="6"/>
  <c r="F591" i="6"/>
  <c r="F543" i="6"/>
  <c r="F394" i="6"/>
  <c r="F318" i="6"/>
  <c r="F308" i="6"/>
  <c r="F299" i="6"/>
  <c r="F250" i="6"/>
  <c r="F992" i="6"/>
  <c r="F887" i="6"/>
  <c r="F825" i="6"/>
  <c r="F781" i="6"/>
  <c r="F765" i="6"/>
  <c r="F748" i="6"/>
  <c r="F709" i="6"/>
  <c r="F657" i="6"/>
  <c r="F609" i="6"/>
  <c r="F562" i="6"/>
  <c r="F511" i="6"/>
  <c r="F496" i="6"/>
  <c r="F481" i="6"/>
  <c r="F465" i="6"/>
  <c r="F452" i="6"/>
  <c r="F439" i="6"/>
  <c r="F427" i="6"/>
  <c r="F373" i="6"/>
  <c r="F364" i="6"/>
  <c r="F355" i="6"/>
  <c r="F346" i="6"/>
  <c r="F282" i="6"/>
  <c r="F274" i="6"/>
  <c r="F266" i="6"/>
  <c r="F258" i="6"/>
  <c r="F947" i="6"/>
  <c r="F909" i="6"/>
  <c r="F624" i="6"/>
  <c r="F575" i="6"/>
  <c r="F529" i="6"/>
  <c r="F438" i="6"/>
  <c r="F414" i="6"/>
  <c r="F336" i="6"/>
  <c r="F317" i="6"/>
  <c r="F290" i="6"/>
  <c r="F249" i="6"/>
  <c r="F241" i="6"/>
  <c r="F233" i="6"/>
  <c r="F225" i="6"/>
  <c r="F217" i="6"/>
  <c r="F209" i="6"/>
  <c r="F1038" i="6"/>
  <c r="F723" i="6"/>
  <c r="F670" i="6"/>
  <c r="F639" i="6"/>
  <c r="F590" i="6"/>
  <c r="F464" i="6"/>
  <c r="F424" i="6"/>
  <c r="F393" i="6"/>
  <c r="F326" i="6"/>
  <c r="F307" i="6"/>
  <c r="F298" i="6"/>
  <c r="F176" i="6"/>
  <c r="F168" i="6"/>
  <c r="F160" i="6"/>
  <c r="F152" i="6"/>
  <c r="F144" i="6"/>
  <c r="F136" i="6"/>
  <c r="F114" i="6"/>
  <c r="F92" i="6"/>
  <c r="F70" i="6"/>
  <c r="F48" i="6"/>
  <c r="F26" i="6"/>
  <c r="F1016" i="6"/>
  <c r="F991" i="6"/>
  <c r="F926" i="6"/>
  <c r="F902" i="6"/>
  <c r="F882" i="6"/>
  <c r="F866" i="6"/>
  <c r="F840" i="6"/>
  <c r="F822" i="6"/>
  <c r="F804" i="6"/>
  <c r="F780" i="6"/>
  <c r="F741" i="6"/>
  <c r="F706" i="6"/>
  <c r="F686" i="6"/>
  <c r="F656" i="6"/>
  <c r="F605" i="6"/>
  <c r="F557" i="6"/>
  <c r="F990" i="6"/>
  <c r="F722" i="6"/>
  <c r="F669" i="6"/>
  <c r="F1034" i="6"/>
  <c r="F958" i="6"/>
  <c r="F1037" i="6"/>
  <c r="F809" i="6"/>
  <c r="F778" i="6"/>
  <c r="F750" i="6"/>
  <c r="F721" i="6"/>
  <c r="F601" i="6"/>
  <c r="F533" i="6"/>
  <c r="F516" i="6"/>
  <c r="F422" i="6"/>
  <c r="F310" i="6"/>
  <c r="F276" i="6"/>
  <c r="F264" i="6"/>
  <c r="F181" i="6"/>
  <c r="F156" i="6"/>
  <c r="F131" i="6"/>
  <c r="F108" i="6"/>
  <c r="F85" i="6"/>
  <c r="F77" i="6"/>
  <c r="F54" i="6"/>
  <c r="F31" i="6"/>
  <c r="F8" i="6"/>
  <c r="F15" i="6"/>
  <c r="F378" i="6"/>
  <c r="F161" i="6"/>
  <c r="F59" i="6"/>
  <c r="F13" i="6"/>
  <c r="F942" i="6"/>
  <c r="F684" i="6"/>
  <c r="F615" i="6"/>
  <c r="F329" i="6"/>
  <c r="F261" i="6"/>
  <c r="F550" i="6"/>
  <c r="F470" i="6"/>
  <c r="F363" i="6"/>
  <c r="F251" i="6"/>
  <c r="F20" i="6"/>
  <c r="F760" i="6"/>
  <c r="F683" i="6"/>
  <c r="F634" i="6"/>
  <c r="F448" i="6"/>
  <c r="F668" i="6"/>
  <c r="F623" i="6"/>
  <c r="F555" i="6"/>
  <c r="F473" i="6"/>
  <c r="F457" i="6"/>
  <c r="F409" i="6"/>
  <c r="F395" i="6"/>
  <c r="F357" i="6"/>
  <c r="F344" i="6"/>
  <c r="F321" i="6"/>
  <c r="F254" i="6"/>
  <c r="F224" i="6"/>
  <c r="F215" i="6"/>
  <c r="F206" i="6"/>
  <c r="F189" i="6"/>
  <c r="F164" i="6"/>
  <c r="F123" i="6"/>
  <c r="F100" i="6"/>
  <c r="F69" i="6"/>
  <c r="F46" i="6"/>
  <c r="F23" i="6"/>
  <c r="F5" i="6"/>
  <c r="F881" i="6"/>
  <c r="F921" i="6"/>
  <c r="F645" i="6"/>
  <c r="F580" i="6"/>
  <c r="F492" i="6"/>
  <c r="F437" i="6"/>
  <c r="F380" i="6"/>
  <c r="F369" i="6"/>
  <c r="F332" i="6"/>
  <c r="F296" i="6"/>
  <c r="F285" i="6"/>
  <c r="F244" i="6"/>
  <c r="F197" i="6"/>
  <c r="F172" i="6"/>
  <c r="F138" i="6"/>
  <c r="F115" i="6"/>
  <c r="F84" i="6"/>
  <c r="F61" i="6"/>
  <c r="F38" i="6"/>
  <c r="F855" i="6"/>
  <c r="F212" i="6"/>
  <c r="F912" i="6"/>
  <c r="F1031" i="6"/>
  <c r="F896" i="6"/>
  <c r="F861" i="6"/>
  <c r="F749" i="6"/>
  <c r="F720" i="6"/>
  <c r="F694" i="6"/>
  <c r="F599" i="6"/>
  <c r="F532" i="6"/>
  <c r="F515" i="6"/>
  <c r="F455" i="6"/>
  <c r="F421" i="6"/>
  <c r="F275" i="6"/>
  <c r="F263" i="6"/>
  <c r="F205" i="6"/>
  <c r="F180" i="6"/>
  <c r="F146" i="6"/>
  <c r="F130" i="6"/>
  <c r="F107" i="6"/>
  <c r="F99" i="6"/>
  <c r="F76" i="6"/>
  <c r="F53" i="6"/>
  <c r="F30" i="6"/>
  <c r="F7" i="6"/>
  <c r="F14" i="6"/>
  <c r="F767" i="6"/>
  <c r="F568" i="6"/>
  <c r="F449" i="6"/>
  <c r="F283" i="6"/>
  <c r="F82" i="6"/>
  <c r="F983" i="6"/>
  <c r="F795" i="6"/>
  <c r="F597" i="6"/>
  <c r="F419" i="6"/>
  <c r="F352" i="6"/>
  <c r="F51" i="6"/>
  <c r="F614" i="6"/>
  <c r="F525" i="6"/>
  <c r="F340" i="6"/>
  <c r="F304" i="6"/>
  <c r="F239" i="6"/>
  <c r="F1021" i="6"/>
  <c r="F736" i="6"/>
  <c r="F430" i="6"/>
  <c r="F388" i="6"/>
  <c r="F956" i="6"/>
  <c r="F836" i="6"/>
  <c r="F799" i="6"/>
  <c r="F619" i="6"/>
  <c r="F554" i="6"/>
  <c r="F508" i="6"/>
  <c r="F472" i="6"/>
  <c r="F356" i="6"/>
  <c r="F320" i="6"/>
  <c r="F306" i="6"/>
  <c r="F273" i="6"/>
  <c r="F253" i="6"/>
  <c r="F232" i="6"/>
  <c r="F223" i="6"/>
  <c r="F214" i="6"/>
  <c r="F188" i="6"/>
  <c r="F163" i="6"/>
  <c r="F154" i="6"/>
  <c r="F122" i="6"/>
  <c r="F91" i="6"/>
  <c r="F68" i="6"/>
  <c r="F45" i="6"/>
  <c r="F22" i="6"/>
  <c r="F83" i="6"/>
  <c r="F60" i="6"/>
  <c r="F6" i="6"/>
  <c r="F1022" i="6"/>
  <c r="F635" i="6"/>
  <c r="F293" i="6"/>
  <c r="F271" i="6"/>
  <c r="F195" i="6"/>
  <c r="F128" i="6"/>
  <c r="F660" i="6"/>
  <c r="F487" i="6"/>
  <c r="F365" i="6"/>
  <c r="F315" i="6"/>
  <c r="F203" i="6"/>
  <c r="F178" i="6"/>
  <c r="F120" i="6"/>
  <c r="F97" i="6"/>
  <c r="F74" i="6"/>
  <c r="F712" i="6"/>
  <c r="F506" i="6"/>
  <c r="F418" i="6"/>
  <c r="F230" i="6"/>
  <c r="F186" i="6"/>
  <c r="F112" i="6"/>
  <c r="F89" i="6"/>
  <c r="F66" i="6"/>
  <c r="F43" i="6"/>
  <c r="F978" i="6"/>
  <c r="F659" i="6"/>
  <c r="F567" i="6"/>
  <c r="F377" i="6"/>
  <c r="F1023" i="6"/>
  <c r="F918" i="6"/>
  <c r="F774" i="6"/>
  <c r="F643" i="6"/>
  <c r="F574" i="6"/>
  <c r="F491" i="6"/>
  <c r="F406" i="6"/>
  <c r="F379" i="6"/>
  <c r="F368" i="6"/>
  <c r="F354" i="6"/>
  <c r="F342" i="6"/>
  <c r="F331" i="6"/>
  <c r="F284" i="6"/>
  <c r="F196" i="6"/>
  <c r="F171" i="6"/>
  <c r="F137" i="6"/>
  <c r="F106" i="6"/>
  <c r="F37" i="6"/>
  <c r="F105" i="6"/>
  <c r="F281" i="6"/>
  <c r="F28" i="6"/>
  <c r="F135" i="6"/>
  <c r="F891" i="6"/>
  <c r="F858" i="6"/>
  <c r="F738" i="6"/>
  <c r="F685" i="6"/>
  <c r="F661" i="6"/>
  <c r="F598" i="6"/>
  <c r="F531" i="6"/>
  <c r="F420" i="6"/>
  <c r="F330" i="6"/>
  <c r="F294" i="6"/>
  <c r="F272" i="6"/>
  <c r="F262" i="6"/>
  <c r="F204" i="6"/>
  <c r="F179" i="6"/>
  <c r="F162" i="6"/>
  <c r="F145" i="6"/>
  <c r="F129" i="6"/>
  <c r="F121" i="6"/>
  <c r="F98" i="6"/>
  <c r="F75" i="6"/>
  <c r="F52" i="6"/>
  <c r="F29" i="6"/>
  <c r="F353" i="6"/>
  <c r="F170" i="6"/>
  <c r="F986" i="6"/>
  <c r="F953" i="6"/>
  <c r="F917" i="6"/>
  <c r="F829" i="6"/>
  <c r="F796" i="6"/>
  <c r="F713" i="6"/>
  <c r="F616" i="6"/>
  <c r="F551" i="6"/>
  <c r="F507" i="6"/>
  <c r="F471" i="6"/>
  <c r="F390" i="6"/>
  <c r="F366" i="6"/>
  <c r="F341" i="6"/>
  <c r="F305" i="6"/>
  <c r="F252" i="6"/>
  <c r="F240" i="6"/>
  <c r="F231" i="6"/>
  <c r="F222" i="6"/>
  <c r="F187" i="6"/>
  <c r="F153" i="6"/>
  <c r="F113" i="6"/>
  <c r="F90" i="6"/>
  <c r="F67" i="6"/>
  <c r="F44" i="6"/>
  <c r="F21" i="6"/>
  <c r="F36" i="6"/>
  <c r="F402" i="6"/>
  <c r="F968" i="6"/>
  <c r="F870" i="6"/>
  <c r="F839" i="6"/>
  <c r="F728" i="6"/>
  <c r="F649" i="6"/>
  <c r="F584" i="6"/>
  <c r="F478" i="6"/>
  <c r="F461" i="6"/>
  <c r="F442" i="6"/>
  <c r="F371" i="6"/>
  <c r="F348" i="6"/>
  <c r="F312" i="6"/>
  <c r="F288" i="6"/>
  <c r="F246" i="6"/>
  <c r="F208" i="6"/>
  <c r="F174" i="6"/>
  <c r="F149" i="6"/>
  <c r="F117" i="6"/>
  <c r="F94" i="6"/>
  <c r="F71" i="6"/>
  <c r="F40" i="6"/>
  <c r="F17" i="6"/>
  <c r="F1001" i="6"/>
  <c r="F898" i="6"/>
  <c r="F626" i="6"/>
  <c r="F458" i="6"/>
  <c r="F397" i="6"/>
  <c r="F322" i="6"/>
  <c r="F810" i="6"/>
  <c r="F779" i="6"/>
  <c r="F751" i="6"/>
  <c r="F675" i="6"/>
  <c r="F602" i="6"/>
  <c r="F539" i="6"/>
  <c r="F517" i="6"/>
  <c r="F460" i="6"/>
  <c r="F423" i="6"/>
  <c r="F334" i="6"/>
  <c r="F277" i="6"/>
  <c r="F236" i="6"/>
  <c r="F182" i="6"/>
  <c r="F157" i="6"/>
  <c r="F140" i="6"/>
  <c r="F132" i="6"/>
  <c r="F109" i="6"/>
  <c r="F86" i="6"/>
  <c r="F63" i="6"/>
  <c r="F55" i="6"/>
  <c r="F32" i="6"/>
  <c r="F9" i="6"/>
  <c r="F931" i="6"/>
  <c r="F697" i="6"/>
  <c r="F474" i="6"/>
  <c r="F441" i="6"/>
  <c r="F410" i="6"/>
  <c r="F911" i="6"/>
  <c r="F821" i="6"/>
  <c r="F333" i="6"/>
  <c r="F300" i="6"/>
  <c r="F139" i="6"/>
  <c r="F101" i="6"/>
  <c r="F398" i="6"/>
  <c r="F565" i="6"/>
  <c r="F486" i="6"/>
  <c r="F16" i="6"/>
  <c r="F613" i="6"/>
  <c r="F143" i="6"/>
  <c r="F482" i="6"/>
  <c r="F462" i="6"/>
  <c r="F412" i="6"/>
  <c r="F370" i="6"/>
  <c r="F297" i="6"/>
  <c r="F269" i="6"/>
  <c r="F200" i="6"/>
  <c r="F158" i="6"/>
  <c r="F118" i="6"/>
  <c r="F80" i="6"/>
  <c r="F42" i="6"/>
  <c r="F25" i="6"/>
  <c r="F4" i="6"/>
  <c r="F632" i="6"/>
  <c r="F190" i="6"/>
  <c r="F546" i="6"/>
  <c r="F428" i="6"/>
  <c r="F733" i="6"/>
  <c r="F650" i="6"/>
  <c r="F588" i="6"/>
  <c r="F521" i="6"/>
  <c r="F325" i="6"/>
  <c r="F292" i="6"/>
  <c r="F245" i="6"/>
  <c r="F219" i="6"/>
  <c r="F62" i="6"/>
  <c r="F24" i="6"/>
  <c r="F193" i="6"/>
  <c r="F705" i="6"/>
  <c r="F566" i="6"/>
  <c r="F358" i="6"/>
  <c r="F237" i="6"/>
  <c r="F173" i="6"/>
  <c r="F111" i="6"/>
  <c r="F314" i="6"/>
  <c r="F93" i="6"/>
  <c r="F972" i="6"/>
  <c r="F700" i="6"/>
  <c r="F280" i="6"/>
  <c r="F50" i="6"/>
  <c r="F940" i="6"/>
  <c r="F11" i="6"/>
  <c r="F381" i="6"/>
  <c r="F278" i="6"/>
  <c r="F207" i="6"/>
  <c r="F165" i="6"/>
  <c r="F339" i="6"/>
  <c r="F1008" i="6"/>
  <c r="F818" i="6"/>
  <c r="F401" i="6"/>
  <c r="F362" i="6"/>
  <c r="F198" i="6"/>
  <c r="F134" i="6"/>
  <c r="F96" i="6"/>
  <c r="F58" i="6"/>
  <c r="F899" i="6"/>
  <c r="F268" i="6"/>
  <c r="F194" i="6"/>
  <c r="F175" i="6"/>
  <c r="F79" i="6"/>
  <c r="F41" i="6"/>
  <c r="F977" i="6"/>
  <c r="F211" i="6"/>
  <c r="F150" i="6"/>
  <c r="F56" i="6"/>
  <c r="F350" i="6"/>
  <c r="F877" i="6"/>
  <c r="F72" i="6"/>
  <c r="F387" i="6"/>
  <c r="F167" i="6"/>
  <c r="F88" i="6"/>
  <c r="F483" i="6"/>
  <c r="F255" i="6"/>
  <c r="F347" i="6"/>
  <c r="F104" i="6"/>
  <c r="F184" i="6"/>
  <c r="F87" i="6"/>
  <c r="F851" i="6"/>
  <c r="F248" i="6"/>
  <c r="F731" i="6"/>
  <c r="F633" i="6"/>
  <c r="F1007" i="6"/>
  <c r="F811" i="6"/>
  <c r="F648" i="6"/>
  <c r="F581" i="6"/>
  <c r="F505" i="6"/>
  <c r="F324" i="6"/>
  <c r="F267" i="6"/>
  <c r="F238" i="6"/>
  <c r="F116" i="6"/>
  <c r="F78" i="6"/>
  <c r="F39" i="6"/>
  <c r="F880" i="6"/>
  <c r="F35" i="6"/>
  <c r="F396" i="6"/>
  <c r="F192" i="6"/>
  <c r="F286" i="6"/>
  <c r="F127" i="6"/>
  <c r="F789" i="6"/>
  <c r="F495" i="6"/>
  <c r="F259" i="6"/>
  <c r="F34" i="6"/>
  <c r="F969" i="6"/>
  <c r="F349" i="6"/>
  <c r="F852" i="6"/>
  <c r="F386" i="6"/>
  <c r="F185" i="6"/>
  <c r="F480" i="6"/>
  <c r="F939" i="6"/>
  <c r="F504" i="6"/>
  <c r="F447" i="6"/>
  <c r="F399" i="6"/>
  <c r="F361" i="6"/>
  <c r="F289" i="6"/>
  <c r="F216" i="6"/>
  <c r="F151" i="6"/>
  <c r="F133" i="6"/>
  <c r="F95" i="6"/>
  <c r="F57" i="6"/>
  <c r="F19" i="6"/>
  <c r="F792" i="6"/>
  <c r="F260" i="6"/>
  <c r="F73" i="6"/>
  <c r="F18" i="6"/>
  <c r="F499" i="6"/>
  <c r="F210" i="6"/>
  <c r="F110" i="6"/>
  <c r="F313" i="6"/>
  <c r="F33" i="6"/>
  <c r="F229" i="6"/>
  <c r="F679" i="6"/>
  <c r="F166" i="6"/>
  <c r="F759" i="6"/>
  <c r="F228" i="6"/>
  <c r="F125" i="6"/>
  <c r="F49" i="6"/>
  <c r="F961" i="6"/>
  <c r="F869" i="6"/>
  <c r="F429" i="6"/>
  <c r="F256" i="6"/>
  <c r="F148" i="6"/>
  <c r="F126" i="6"/>
  <c r="F12" i="6"/>
  <c r="F756" i="6"/>
  <c r="F678" i="6"/>
  <c r="F227" i="6"/>
  <c r="F202" i="6"/>
  <c r="F183" i="6"/>
  <c r="F103" i="6"/>
  <c r="F65" i="6"/>
  <c r="F27" i="6"/>
  <c r="F10" i="6"/>
  <c r="F936" i="6"/>
  <c r="F302" i="6"/>
  <c r="F47" i="6"/>
  <c r="F247" i="6"/>
  <c r="F124" i="6"/>
  <c r="F838" i="6"/>
  <c r="F81" i="6"/>
  <c r="F658" i="6"/>
  <c r="F220" i="6"/>
  <c r="F589" i="6"/>
  <c r="F413" i="6"/>
  <c r="F102" i="6"/>
  <c r="F610" i="6"/>
  <c r="F64" i="6"/>
  <c r="F201" i="6"/>
  <c r="F540" i="6"/>
  <c r="F159" i="6"/>
  <c r="F270" i="6"/>
  <c r="F463" i="6"/>
  <c r="F372" i="6"/>
  <c r="F119" i="6"/>
  <c r="F522" i="6"/>
  <c r="F142" i="6"/>
  <c r="F141" i="6"/>
  <c r="E1041" i="6"/>
  <c r="E1019" i="6"/>
  <c r="E997" i="6"/>
  <c r="E975" i="6"/>
  <c r="E953" i="6"/>
  <c r="E931" i="6"/>
  <c r="E909" i="6"/>
  <c r="E887" i="6"/>
  <c r="E865" i="6"/>
  <c r="E843" i="6"/>
  <c r="E821" i="6"/>
  <c r="E799" i="6"/>
  <c r="E777" i="6"/>
  <c r="E755" i="6"/>
  <c r="E733" i="6"/>
  <c r="E711" i="6"/>
  <c r="E689" i="6"/>
  <c r="E667" i="6"/>
  <c r="E645" i="6"/>
  <c r="E623" i="6"/>
  <c r="E601" i="6"/>
  <c r="E579" i="6"/>
  <c r="E557" i="6"/>
  <c r="E535" i="6"/>
  <c r="E513" i="6"/>
  <c r="E491" i="6"/>
  <c r="E469" i="6"/>
  <c r="E447" i="6"/>
  <c r="E1048" i="6"/>
  <c r="E1026" i="6"/>
  <c r="E1004" i="6"/>
  <c r="E982" i="6"/>
  <c r="E960" i="6"/>
  <c r="E938" i="6"/>
  <c r="E916" i="6"/>
  <c r="E894" i="6"/>
  <c r="E872" i="6"/>
  <c r="E850" i="6"/>
  <c r="E828" i="6"/>
  <c r="E806" i="6"/>
  <c r="E784" i="6"/>
  <c r="E762" i="6"/>
  <c r="E740" i="6"/>
  <c r="E718" i="6"/>
  <c r="E696" i="6"/>
  <c r="E674" i="6"/>
  <c r="E1033" i="6"/>
  <c r="E1011" i="6"/>
  <c r="E989" i="6"/>
  <c r="E967" i="6"/>
  <c r="E945" i="6"/>
  <c r="E923" i="6"/>
  <c r="E901" i="6"/>
  <c r="E879" i="6"/>
  <c r="E857" i="6"/>
  <c r="E835" i="6"/>
  <c r="E813" i="6"/>
  <c r="E791" i="6"/>
  <c r="E769" i="6"/>
  <c r="E747" i="6"/>
  <c r="E725" i="6"/>
  <c r="E703" i="6"/>
  <c r="E681" i="6"/>
  <c r="E659" i="6"/>
  <c r="E637" i="6"/>
  <c r="E615" i="6"/>
  <c r="E593" i="6"/>
  <c r="E571" i="6"/>
  <c r="E549" i="6"/>
  <c r="E527" i="6"/>
  <c r="E505" i="6"/>
  <c r="E483" i="6"/>
  <c r="E461" i="6"/>
  <c r="E439" i="6"/>
  <c r="E1040" i="6"/>
  <c r="E1018" i="6"/>
  <c r="E996" i="6"/>
  <c r="E974" i="6"/>
  <c r="E952" i="6"/>
  <c r="E930" i="6"/>
  <c r="E908" i="6"/>
  <c r="E886" i="6"/>
  <c r="E864" i="6"/>
  <c r="E842" i="6"/>
  <c r="E820" i="6"/>
  <c r="E798" i="6"/>
  <c r="E776" i="6"/>
  <c r="E754" i="6"/>
  <c r="E732" i="6"/>
  <c r="E710" i="6"/>
  <c r="E688" i="6"/>
  <c r="E666" i="6"/>
  <c r="E644" i="6"/>
  <c r="E622" i="6"/>
  <c r="E600" i="6"/>
  <c r="E578" i="6"/>
  <c r="E556" i="6"/>
  <c r="E534" i="6"/>
  <c r="E512" i="6"/>
  <c r="E490" i="6"/>
  <c r="E468" i="6"/>
  <c r="E446" i="6"/>
  <c r="E1047" i="6"/>
  <c r="E1025" i="6"/>
  <c r="E1003" i="6"/>
  <c r="E981" i="6"/>
  <c r="E959" i="6"/>
  <c r="E937" i="6"/>
  <c r="E915" i="6"/>
  <c r="E893" i="6"/>
  <c r="E871" i="6"/>
  <c r="E849" i="6"/>
  <c r="E827" i="6"/>
  <c r="E805" i="6"/>
  <c r="E783" i="6"/>
  <c r="E761" i="6"/>
  <c r="E739" i="6"/>
  <c r="E1032" i="6"/>
  <c r="E1010" i="6"/>
  <c r="E988" i="6"/>
  <c r="E966" i="6"/>
  <c r="E944" i="6"/>
  <c r="E922" i="6"/>
  <c r="E900" i="6"/>
  <c r="E878" i="6"/>
  <c r="E856" i="6"/>
  <c r="E834" i="6"/>
  <c r="E812" i="6"/>
  <c r="E790" i="6"/>
  <c r="E768" i="6"/>
  <c r="E1046" i="6"/>
  <c r="E1016" i="6"/>
  <c r="E986" i="6"/>
  <c r="E956" i="6"/>
  <c r="E926" i="6"/>
  <c r="E896" i="6"/>
  <c r="E866" i="6"/>
  <c r="E836" i="6"/>
  <c r="E804" i="6"/>
  <c r="E774" i="6"/>
  <c r="E745" i="6"/>
  <c r="E736" i="6"/>
  <c r="E700" i="6"/>
  <c r="E664" i="6"/>
  <c r="E639" i="6"/>
  <c r="E613" i="6"/>
  <c r="E588" i="6"/>
  <c r="E562" i="6"/>
  <c r="E537" i="6"/>
  <c r="E520" i="6"/>
  <c r="E511" i="6"/>
  <c r="E486" i="6"/>
  <c r="E460" i="6"/>
  <c r="E435" i="6"/>
  <c r="E1027" i="6"/>
  <c r="E995" i="6"/>
  <c r="E965" i="6"/>
  <c r="E935" i="6"/>
  <c r="E905" i="6"/>
  <c r="E875" i="6"/>
  <c r="E845" i="6"/>
  <c r="E815" i="6"/>
  <c r="E785" i="6"/>
  <c r="E727" i="6"/>
  <c r="E717" i="6"/>
  <c r="E691" i="6"/>
  <c r="E647" i="6"/>
  <c r="E630" i="6"/>
  <c r="E621" i="6"/>
  <c r="E596" i="6"/>
  <c r="E570" i="6"/>
  <c r="E545" i="6"/>
  <c r="E519" i="6"/>
  <c r="E494" i="6"/>
  <c r="E443" i="6"/>
  <c r="E419" i="6"/>
  <c r="E397" i="6"/>
  <c r="E375" i="6"/>
  <c r="E353" i="6"/>
  <c r="E331" i="6"/>
  <c r="E309" i="6"/>
  <c r="E1036" i="6"/>
  <c r="E1006" i="6"/>
  <c r="E976" i="6"/>
  <c r="E946" i="6"/>
  <c r="E914" i="6"/>
  <c r="E884" i="6"/>
  <c r="E854" i="6"/>
  <c r="E824" i="6"/>
  <c r="E794" i="6"/>
  <c r="E764" i="6"/>
  <c r="E708" i="6"/>
  <c r="E682" i="6"/>
  <c r="E672" i="6"/>
  <c r="E655" i="6"/>
  <c r="E629" i="6"/>
  <c r="E604" i="6"/>
  <c r="E553" i="6"/>
  <c r="E528" i="6"/>
  <c r="E502" i="6"/>
  <c r="E477" i="6"/>
  <c r="E451" i="6"/>
  <c r="E426" i="6"/>
  <c r="E404" i="6"/>
  <c r="E382" i="6"/>
  <c r="E360" i="6"/>
  <c r="E338" i="6"/>
  <c r="E316" i="6"/>
  <c r="E1045" i="6"/>
  <c r="E1015" i="6"/>
  <c r="E985" i="6"/>
  <c r="E955" i="6"/>
  <c r="E925" i="6"/>
  <c r="E895" i="6"/>
  <c r="E863" i="6"/>
  <c r="E833" i="6"/>
  <c r="E803" i="6"/>
  <c r="E773" i="6"/>
  <c r="E753" i="6"/>
  <c r="E744" i="6"/>
  <c r="E735" i="6"/>
  <c r="E699" i="6"/>
  <c r="E663" i="6"/>
  <c r="E638" i="6"/>
  <c r="E612" i="6"/>
  <c r="E587" i="6"/>
  <c r="E561" i="6"/>
  <c r="E536" i="6"/>
  <c r="E510" i="6"/>
  <c r="E485" i="6"/>
  <c r="E459" i="6"/>
  <c r="E1024" i="6"/>
  <c r="E994" i="6"/>
  <c r="E964" i="6"/>
  <c r="E934" i="6"/>
  <c r="E904" i="6"/>
  <c r="E874" i="6"/>
  <c r="E844" i="6"/>
  <c r="E814" i="6"/>
  <c r="E782" i="6"/>
  <c r="E726" i="6"/>
  <c r="E716" i="6"/>
  <c r="E690" i="6"/>
  <c r="E680" i="6"/>
  <c r="E646" i="6"/>
  <c r="E620" i="6"/>
  <c r="E595" i="6"/>
  <c r="E569" i="6"/>
  <c r="E544" i="6"/>
  <c r="E518" i="6"/>
  <c r="E493" i="6"/>
  <c r="E476" i="6"/>
  <c r="E467" i="6"/>
  <c r="E442" i="6"/>
  <c r="E418" i="6"/>
  <c r="E396" i="6"/>
  <c r="E1035" i="6"/>
  <c r="E1005" i="6"/>
  <c r="E973" i="6"/>
  <c r="E943" i="6"/>
  <c r="E913" i="6"/>
  <c r="E883" i="6"/>
  <c r="E853" i="6"/>
  <c r="E823" i="6"/>
  <c r="E793" i="6"/>
  <c r="E763" i="6"/>
  <c r="E707" i="6"/>
  <c r="E671" i="6"/>
  <c r="E654" i="6"/>
  <c r="E628" i="6"/>
  <c r="E603" i="6"/>
  <c r="E586" i="6"/>
  <c r="E577" i="6"/>
  <c r="E552" i="6"/>
  <c r="E526" i="6"/>
  <c r="E501" i="6"/>
  <c r="E475" i="6"/>
  <c r="E1021" i="6"/>
  <c r="E991" i="6"/>
  <c r="E961" i="6"/>
  <c r="E1038" i="6"/>
  <c r="E1008" i="6"/>
  <c r="E978" i="6"/>
  <c r="E948" i="6"/>
  <c r="E918" i="6"/>
  <c r="E888" i="6"/>
  <c r="E858" i="6"/>
  <c r="E826" i="6"/>
  <c r="E796" i="6"/>
  <c r="E766" i="6"/>
  <c r="E757" i="6"/>
  <c r="E748" i="6"/>
  <c r="E720" i="6"/>
  <c r="E684" i="6"/>
  <c r="E1044" i="6"/>
  <c r="E999" i="6"/>
  <c r="E968" i="6"/>
  <c r="E950" i="6"/>
  <c r="E936" i="6"/>
  <c r="E877" i="6"/>
  <c r="E861" i="6"/>
  <c r="E788" i="6"/>
  <c r="E772" i="6"/>
  <c r="E705" i="6"/>
  <c r="E678" i="6"/>
  <c r="E632" i="6"/>
  <c r="E608" i="6"/>
  <c r="E597" i="6"/>
  <c r="E560" i="6"/>
  <c r="E525" i="6"/>
  <c r="E409" i="6"/>
  <c r="E1013" i="6"/>
  <c r="E920" i="6"/>
  <c r="E906" i="6"/>
  <c r="E847" i="6"/>
  <c r="E831" i="6"/>
  <c r="E743" i="6"/>
  <c r="E719" i="6"/>
  <c r="E692" i="6"/>
  <c r="E642" i="6"/>
  <c r="E607" i="6"/>
  <c r="E573" i="6"/>
  <c r="E538" i="6"/>
  <c r="E503" i="6"/>
  <c r="E436" i="6"/>
  <c r="E417" i="6"/>
  <c r="E392" i="6"/>
  <c r="E384" i="6"/>
  <c r="E376" i="6"/>
  <c r="E368" i="6"/>
  <c r="E288" i="6"/>
  <c r="E1029" i="6"/>
  <c r="E998" i="6"/>
  <c r="E980" i="6"/>
  <c r="E890" i="6"/>
  <c r="E876" i="6"/>
  <c r="E817" i="6"/>
  <c r="E801" i="6"/>
  <c r="E758" i="6"/>
  <c r="E730" i="6"/>
  <c r="E653" i="6"/>
  <c r="E618" i="6"/>
  <c r="E583" i="6"/>
  <c r="E548" i="6"/>
  <c r="E514" i="6"/>
  <c r="E479" i="6"/>
  <c r="E466" i="6"/>
  <c r="E456" i="6"/>
  <c r="E425" i="6"/>
  <c r="E1043" i="6"/>
  <c r="E963" i="6"/>
  <c r="E949" i="6"/>
  <c r="E933" i="6"/>
  <c r="E860" i="6"/>
  <c r="E846" i="6"/>
  <c r="E787" i="6"/>
  <c r="E771" i="6"/>
  <c r="E715" i="6"/>
  <c r="E704" i="6"/>
  <c r="E677" i="6"/>
  <c r="E665" i="6"/>
  <c r="E631" i="6"/>
  <c r="E594" i="6"/>
  <c r="E559" i="6"/>
  <c r="E524" i="6"/>
  <c r="E489" i="6"/>
  <c r="E445" i="6"/>
  <c r="E408" i="6"/>
  <c r="E280" i="6"/>
  <c r="E258" i="6"/>
  <c r="E236" i="6"/>
  <c r="E214" i="6"/>
  <c r="E192" i="6"/>
  <c r="E170" i="6"/>
  <c r="E148" i="6"/>
  <c r="E1028" i="6"/>
  <c r="E1012" i="6"/>
  <c r="E979" i="6"/>
  <c r="E919" i="6"/>
  <c r="E903" i="6"/>
  <c r="E830" i="6"/>
  <c r="E816" i="6"/>
  <c r="E742" i="6"/>
  <c r="E652" i="6"/>
  <c r="E641" i="6"/>
  <c r="E606" i="6"/>
  <c r="E572" i="6"/>
  <c r="E993" i="6"/>
  <c r="E889" i="6"/>
  <c r="E873" i="6"/>
  <c r="E800" i="6"/>
  <c r="E786" i="6"/>
  <c r="E729" i="6"/>
  <c r="E702" i="6"/>
  <c r="E651" i="6"/>
  <c r="E617" i="6"/>
  <c r="E582" i="6"/>
  <c r="E547" i="6"/>
  <c r="E478" i="6"/>
  <c r="E465" i="6"/>
  <c r="E455" i="6"/>
  <c r="E424" i="6"/>
  <c r="E399" i="6"/>
  <c r="E374" i="6"/>
  <c r="E366" i="6"/>
  <c r="E358" i="6"/>
  <c r="E350" i="6"/>
  <c r="E342" i="6"/>
  <c r="E334" i="6"/>
  <c r="E326" i="6"/>
  <c r="E318" i="6"/>
  <c r="E310" i="6"/>
  <c r="E302" i="6"/>
  <c r="E294" i="6"/>
  <c r="E272" i="6"/>
  <c r="E250" i="6"/>
  <c r="E228" i="6"/>
  <c r="E206" i="6"/>
  <c r="E184" i="6"/>
  <c r="E162" i="6"/>
  <c r="E140" i="6"/>
  <c r="E1037" i="6"/>
  <c r="E990" i="6"/>
  <c r="E957" i="6"/>
  <c r="E1042" i="6"/>
  <c r="E972" i="6"/>
  <c r="E749" i="6"/>
  <c r="E728" i="6"/>
  <c r="E675" i="6"/>
  <c r="E658" i="6"/>
  <c r="E610" i="6"/>
  <c r="E563" i="6"/>
  <c r="E515" i="6"/>
  <c r="E497" i="6"/>
  <c r="E482" i="6"/>
  <c r="E470" i="6"/>
  <c r="E453" i="6"/>
  <c r="E428" i="6"/>
  <c r="E365" i="6"/>
  <c r="E356" i="6"/>
  <c r="E347" i="6"/>
  <c r="E319" i="6"/>
  <c r="E283" i="6"/>
  <c r="E275" i="6"/>
  <c r="E267" i="6"/>
  <c r="E259" i="6"/>
  <c r="E251" i="6"/>
  <c r="E1020" i="6"/>
  <c r="E928" i="6"/>
  <c r="E910" i="6"/>
  <c r="E868" i="6"/>
  <c r="E848" i="6"/>
  <c r="E808" i="6"/>
  <c r="E625" i="6"/>
  <c r="E576" i="6"/>
  <c r="E530" i="6"/>
  <c r="E440" i="6"/>
  <c r="E415" i="6"/>
  <c r="E405" i="6"/>
  <c r="E385" i="6"/>
  <c r="E337" i="6"/>
  <c r="E328" i="6"/>
  <c r="E291" i="6"/>
  <c r="E242" i="6"/>
  <c r="E1039" i="6"/>
  <c r="E971" i="6"/>
  <c r="E724" i="6"/>
  <c r="E693" i="6"/>
  <c r="E673" i="6"/>
  <c r="E640" i="6"/>
  <c r="E591" i="6"/>
  <c r="E543" i="6"/>
  <c r="E394" i="6"/>
  <c r="E308" i="6"/>
  <c r="E299" i="6"/>
  <c r="E1017" i="6"/>
  <c r="E992" i="6"/>
  <c r="E927" i="6"/>
  <c r="E885" i="6"/>
  <c r="E867" i="6"/>
  <c r="E841" i="6"/>
  <c r="E825" i="6"/>
  <c r="E807" i="6"/>
  <c r="E781" i="6"/>
  <c r="E765" i="6"/>
  <c r="E746" i="6"/>
  <c r="E709" i="6"/>
  <c r="E687" i="6"/>
  <c r="E657" i="6"/>
  <c r="E609" i="6"/>
  <c r="E558" i="6"/>
  <c r="E509" i="6"/>
  <c r="E496" i="6"/>
  <c r="E481" i="6"/>
  <c r="E452" i="6"/>
  <c r="E427" i="6"/>
  <c r="E373" i="6"/>
  <c r="E364" i="6"/>
  <c r="E355" i="6"/>
  <c r="E346" i="6"/>
  <c r="E327" i="6"/>
  <c r="E282" i="6"/>
  <c r="E274" i="6"/>
  <c r="E266" i="6"/>
  <c r="E970" i="6"/>
  <c r="E947" i="6"/>
  <c r="E907" i="6"/>
  <c r="E624" i="6"/>
  <c r="E575" i="6"/>
  <c r="E542" i="6"/>
  <c r="E529" i="6"/>
  <c r="E438" i="6"/>
  <c r="E414" i="6"/>
  <c r="E403" i="6"/>
  <c r="E383" i="6"/>
  <c r="E345" i="6"/>
  <c r="E336" i="6"/>
  <c r="E317" i="6"/>
  <c r="E290" i="6"/>
  <c r="E257" i="6"/>
  <c r="E249" i="6"/>
  <c r="E241" i="6"/>
  <c r="E233" i="6"/>
  <c r="E225" i="6"/>
  <c r="E217" i="6"/>
  <c r="E209" i="6"/>
  <c r="E201" i="6"/>
  <c r="E193" i="6"/>
  <c r="E185" i="6"/>
  <c r="E129" i="6"/>
  <c r="E107" i="6"/>
  <c r="E85" i="6"/>
  <c r="E63" i="6"/>
  <c r="E41" i="6"/>
  <c r="E19" i="6"/>
  <c r="E723" i="6"/>
  <c r="E670" i="6"/>
  <c r="E636" i="6"/>
  <c r="E590" i="6"/>
  <c r="E541" i="6"/>
  <c r="E969" i="6"/>
  <c r="E942" i="6"/>
  <c r="E760" i="6"/>
  <c r="E1007" i="6"/>
  <c r="E1030" i="6"/>
  <c r="E869" i="6"/>
  <c r="E838" i="6"/>
  <c r="E648" i="6"/>
  <c r="E581" i="6"/>
  <c r="E495" i="6"/>
  <c r="E381" i="6"/>
  <c r="E370" i="6"/>
  <c r="E333" i="6"/>
  <c r="E297" i="6"/>
  <c r="E286" i="6"/>
  <c r="E245" i="6"/>
  <c r="E207" i="6"/>
  <c r="E198" i="6"/>
  <c r="E173" i="6"/>
  <c r="E139" i="6"/>
  <c r="E116" i="6"/>
  <c r="E93" i="6"/>
  <c r="E62" i="6"/>
  <c r="E39" i="6"/>
  <c r="E16" i="6"/>
  <c r="E829" i="6"/>
  <c r="E240" i="6"/>
  <c r="E90" i="6"/>
  <c r="E737" i="6"/>
  <c r="E449" i="6"/>
  <c r="E378" i="6"/>
  <c r="E212" i="6"/>
  <c r="E161" i="6"/>
  <c r="E59" i="6"/>
  <c r="E983" i="6"/>
  <c r="E592" i="6"/>
  <c r="E402" i="6"/>
  <c r="E329" i="6"/>
  <c r="E169" i="6"/>
  <c r="E74" i="6"/>
  <c r="E51" i="6"/>
  <c r="E941" i="6"/>
  <c r="E550" i="6"/>
  <c r="E363" i="6"/>
  <c r="E1034" i="6"/>
  <c r="E1000" i="6"/>
  <c r="E958" i="6"/>
  <c r="E924" i="6"/>
  <c r="E897" i="6"/>
  <c r="E809" i="6"/>
  <c r="E778" i="6"/>
  <c r="E750" i="6"/>
  <c r="E721" i="6"/>
  <c r="E695" i="6"/>
  <c r="E533" i="6"/>
  <c r="E516" i="6"/>
  <c r="E422" i="6"/>
  <c r="E276" i="6"/>
  <c r="E264" i="6"/>
  <c r="E234" i="6"/>
  <c r="E181" i="6"/>
  <c r="E156" i="6"/>
  <c r="E147" i="6"/>
  <c r="E131" i="6"/>
  <c r="E108" i="6"/>
  <c r="E77" i="6"/>
  <c r="E54" i="6"/>
  <c r="E31" i="6"/>
  <c r="E8" i="6"/>
  <c r="E153" i="6"/>
  <c r="E912" i="6"/>
  <c r="E862" i="6"/>
  <c r="E837" i="6"/>
  <c r="E668" i="6"/>
  <c r="E555" i="6"/>
  <c r="E473" i="6"/>
  <c r="E457" i="6"/>
  <c r="E395" i="6"/>
  <c r="E357" i="6"/>
  <c r="E344" i="6"/>
  <c r="E321" i="6"/>
  <c r="E307" i="6"/>
  <c r="E254" i="6"/>
  <c r="E224" i="6"/>
  <c r="E215" i="6"/>
  <c r="E189" i="6"/>
  <c r="E164" i="6"/>
  <c r="E123" i="6"/>
  <c r="E100" i="6"/>
  <c r="E92" i="6"/>
  <c r="E69" i="6"/>
  <c r="E46" i="6"/>
  <c r="E23" i="6"/>
  <c r="E855" i="6"/>
  <c r="E271" i="6"/>
  <c r="E203" i="6"/>
  <c r="E921" i="6"/>
  <c r="E802" i="6"/>
  <c r="E775" i="6"/>
  <c r="E580" i="6"/>
  <c r="E492" i="6"/>
  <c r="E437" i="6"/>
  <c r="E407" i="6"/>
  <c r="E393" i="6"/>
  <c r="E380" i="6"/>
  <c r="E369" i="6"/>
  <c r="E332" i="6"/>
  <c r="E296" i="6"/>
  <c r="E285" i="6"/>
  <c r="E244" i="6"/>
  <c r="E197" i="6"/>
  <c r="E172" i="6"/>
  <c r="E155" i="6"/>
  <c r="E138" i="6"/>
  <c r="E115" i="6"/>
  <c r="E84" i="6"/>
  <c r="E61" i="6"/>
  <c r="E38" i="6"/>
  <c r="E15" i="6"/>
  <c r="E122" i="6"/>
  <c r="E91" i="6"/>
  <c r="E68" i="6"/>
  <c r="E984" i="6"/>
  <c r="E713" i="6"/>
  <c r="E616" i="6"/>
  <c r="E390" i="6"/>
  <c r="E341" i="6"/>
  <c r="E305" i="6"/>
  <c r="E231" i="6"/>
  <c r="E187" i="6"/>
  <c r="E136" i="6"/>
  <c r="E113" i="6"/>
  <c r="E67" i="6"/>
  <c r="E635" i="6"/>
  <c r="E389" i="6"/>
  <c r="E293" i="6"/>
  <c r="E195" i="6"/>
  <c r="E128" i="6"/>
  <c r="E105" i="6"/>
  <c r="E82" i="6"/>
  <c r="E13" i="6"/>
  <c r="E281" i="6"/>
  <c r="E261" i="6"/>
  <c r="E221" i="6"/>
  <c r="E120" i="6"/>
  <c r="E97" i="6"/>
  <c r="E614" i="6"/>
  <c r="E523" i="6"/>
  <c r="E464" i="6"/>
  <c r="E1031" i="6"/>
  <c r="E892" i="6"/>
  <c r="E859" i="6"/>
  <c r="E741" i="6"/>
  <c r="E694" i="6"/>
  <c r="E662" i="6"/>
  <c r="E599" i="6"/>
  <c r="E532" i="6"/>
  <c r="E421" i="6"/>
  <c r="E343" i="6"/>
  <c r="E263" i="6"/>
  <c r="E205" i="6"/>
  <c r="E180" i="6"/>
  <c r="E146" i="6"/>
  <c r="E130" i="6"/>
  <c r="E99" i="6"/>
  <c r="E76" i="6"/>
  <c r="E53" i="6"/>
  <c r="E30" i="6"/>
  <c r="E7" i="6"/>
  <c r="E114" i="6"/>
  <c r="E45" i="6"/>
  <c r="E22" i="6"/>
  <c r="E551" i="6"/>
  <c r="E507" i="6"/>
  <c r="E471" i="6"/>
  <c r="E432" i="6"/>
  <c r="E252" i="6"/>
  <c r="E222" i="6"/>
  <c r="E21" i="6"/>
  <c r="E1022" i="6"/>
  <c r="E767" i="6"/>
  <c r="E568" i="6"/>
  <c r="E431" i="6"/>
  <c r="E144" i="6"/>
  <c r="E36" i="6"/>
  <c r="E795" i="6"/>
  <c r="E660" i="6"/>
  <c r="E487" i="6"/>
  <c r="E352" i="6"/>
  <c r="E315" i="6"/>
  <c r="E152" i="6"/>
  <c r="E28" i="6"/>
  <c r="E5" i="6"/>
  <c r="E712" i="6"/>
  <c r="E506" i="6"/>
  <c r="E340" i="6"/>
  <c r="E987" i="6"/>
  <c r="E954" i="6"/>
  <c r="E832" i="6"/>
  <c r="E797" i="6"/>
  <c r="E714" i="6"/>
  <c r="E686" i="6"/>
  <c r="E619" i="6"/>
  <c r="E554" i="6"/>
  <c r="E508" i="6"/>
  <c r="E472" i="6"/>
  <c r="E454" i="6"/>
  <c r="E434" i="6"/>
  <c r="E320" i="6"/>
  <c r="E306" i="6"/>
  <c r="E295" i="6"/>
  <c r="E273" i="6"/>
  <c r="E253" i="6"/>
  <c r="E243" i="6"/>
  <c r="E232" i="6"/>
  <c r="E223" i="6"/>
  <c r="E188" i="6"/>
  <c r="E163" i="6"/>
  <c r="E154" i="6"/>
  <c r="E917" i="6"/>
  <c r="E882" i="6"/>
  <c r="E1023" i="6"/>
  <c r="E770" i="6"/>
  <c r="E643" i="6"/>
  <c r="E574" i="6"/>
  <c r="E450" i="6"/>
  <c r="E433" i="6"/>
  <c r="E406" i="6"/>
  <c r="E391" i="6"/>
  <c r="E379" i="6"/>
  <c r="E367" i="6"/>
  <c r="E354" i="6"/>
  <c r="E284" i="6"/>
  <c r="E213" i="6"/>
  <c r="E196" i="6"/>
  <c r="E171" i="6"/>
  <c r="E137" i="6"/>
  <c r="E106" i="6"/>
  <c r="E83" i="6"/>
  <c r="E60" i="6"/>
  <c r="E37" i="6"/>
  <c r="E14" i="6"/>
  <c r="E44" i="6"/>
  <c r="E822" i="6"/>
  <c r="E178" i="6"/>
  <c r="E891" i="6"/>
  <c r="E738" i="6"/>
  <c r="E685" i="6"/>
  <c r="E661" i="6"/>
  <c r="E598" i="6"/>
  <c r="E531" i="6"/>
  <c r="E488" i="6"/>
  <c r="E420" i="6"/>
  <c r="E330" i="6"/>
  <c r="E262" i="6"/>
  <c r="E204" i="6"/>
  <c r="E179" i="6"/>
  <c r="E145" i="6"/>
  <c r="E121" i="6"/>
  <c r="E98" i="6"/>
  <c r="E75" i="6"/>
  <c r="E52" i="6"/>
  <c r="E29" i="6"/>
  <c r="E6" i="6"/>
  <c r="E951" i="6"/>
  <c r="E1002" i="6"/>
  <c r="E932" i="6"/>
  <c r="E899" i="6"/>
  <c r="E780" i="6"/>
  <c r="E698" i="6"/>
  <c r="E627" i="6"/>
  <c r="E565" i="6"/>
  <c r="E499" i="6"/>
  <c r="E412" i="6"/>
  <c r="E398" i="6"/>
  <c r="E386" i="6"/>
  <c r="E335" i="6"/>
  <c r="E323" i="6"/>
  <c r="E300" i="6"/>
  <c r="E268" i="6"/>
  <c r="E256" i="6"/>
  <c r="E227" i="6"/>
  <c r="E200" i="6"/>
  <c r="E191" i="6"/>
  <c r="E166" i="6"/>
  <c r="E141" i="6"/>
  <c r="E125" i="6"/>
  <c r="E102" i="6"/>
  <c r="E79" i="6"/>
  <c r="E56" i="6"/>
  <c r="E48" i="6"/>
  <c r="E25" i="6"/>
  <c r="E779" i="6"/>
  <c r="E722" i="6"/>
  <c r="E539" i="6"/>
  <c r="E498" i="6"/>
  <c r="E423" i="6"/>
  <c r="E962" i="6"/>
  <c r="E870" i="6"/>
  <c r="E839" i="6"/>
  <c r="E649" i="6"/>
  <c r="E584" i="6"/>
  <c r="E411" i="6"/>
  <c r="E371" i="6"/>
  <c r="E348" i="6"/>
  <c r="E312" i="6"/>
  <c r="E298" i="6"/>
  <c r="E246" i="6"/>
  <c r="E208" i="6"/>
  <c r="E174" i="6"/>
  <c r="E149" i="6"/>
  <c r="E117" i="6"/>
  <c r="E94" i="6"/>
  <c r="E71" i="6"/>
  <c r="E40" i="6"/>
  <c r="E17" i="6"/>
  <c r="E810" i="6"/>
  <c r="E751" i="6"/>
  <c r="E602" i="6"/>
  <c r="E564" i="6"/>
  <c r="E517" i="6"/>
  <c r="E359" i="6"/>
  <c r="E1014" i="6"/>
  <c r="E734" i="6"/>
  <c r="E656" i="6"/>
  <c r="E589" i="6"/>
  <c r="E522" i="6"/>
  <c r="E220" i="6"/>
  <c r="E64" i="6"/>
  <c r="E500" i="6"/>
  <c r="E1009" i="6"/>
  <c r="E911" i="6"/>
  <c r="E819" i="6"/>
  <c r="E177" i="6"/>
  <c r="E135" i="6"/>
  <c r="E101" i="6"/>
  <c r="E633" i="6"/>
  <c r="E626" i="6"/>
  <c r="E72" i="6"/>
  <c r="E126" i="6"/>
  <c r="E546" i="6"/>
  <c r="E32" i="6"/>
  <c r="E462" i="6"/>
  <c r="E410" i="6"/>
  <c r="E269" i="6"/>
  <c r="E199" i="6"/>
  <c r="E176" i="6"/>
  <c r="E158" i="6"/>
  <c r="E118" i="6"/>
  <c r="E80" i="6"/>
  <c r="E42" i="6"/>
  <c r="E4" i="6"/>
  <c r="E977" i="6"/>
  <c r="E73" i="6"/>
  <c r="E701" i="6"/>
  <c r="E441" i="6"/>
  <c r="E314" i="6"/>
  <c r="E150" i="6"/>
  <c r="E210" i="6"/>
  <c r="E12" i="6"/>
  <c r="E143" i="6"/>
  <c r="E104" i="6"/>
  <c r="E902" i="6"/>
  <c r="E650" i="6"/>
  <c r="E585" i="6"/>
  <c r="E521" i="6"/>
  <c r="E458" i="6"/>
  <c r="E325" i="6"/>
  <c r="E292" i="6"/>
  <c r="E239" i="6"/>
  <c r="E219" i="6"/>
  <c r="E157" i="6"/>
  <c r="E24" i="6"/>
  <c r="E448" i="6"/>
  <c r="E362" i="6"/>
  <c r="E134" i="6"/>
  <c r="E96" i="6"/>
  <c r="E58" i="6"/>
  <c r="E706" i="6"/>
  <c r="E57" i="6"/>
  <c r="E444" i="6"/>
  <c r="E566" i="6"/>
  <c r="E287" i="6"/>
  <c r="E211" i="6"/>
  <c r="E168" i="6"/>
  <c r="E235" i="6"/>
  <c r="E127" i="6"/>
  <c r="E789" i="6"/>
  <c r="E683" i="6"/>
  <c r="E50" i="6"/>
  <c r="E852" i="6"/>
  <c r="E304" i="6"/>
  <c r="E11" i="6"/>
  <c r="E818" i="6"/>
  <c r="E401" i="6"/>
  <c r="E20" i="6"/>
  <c r="E611" i="6"/>
  <c r="E898" i="6"/>
  <c r="E731" i="6"/>
  <c r="E400" i="6"/>
  <c r="E218" i="6"/>
  <c r="E194" i="6"/>
  <c r="E175" i="6"/>
  <c r="E361" i="6"/>
  <c r="E289" i="6"/>
  <c r="E151" i="6"/>
  <c r="E792" i="6"/>
  <c r="E260" i="6"/>
  <c r="E111" i="6"/>
  <c r="E35" i="6"/>
  <c r="E89" i="6"/>
  <c r="E230" i="6"/>
  <c r="E34" i="6"/>
  <c r="E429" i="6"/>
  <c r="E88" i="6"/>
  <c r="E255" i="6"/>
  <c r="E940" i="6"/>
  <c r="E66" i="6"/>
  <c r="E377" i="6"/>
  <c r="E1001" i="6"/>
  <c r="E881" i="6"/>
  <c r="E811" i="6"/>
  <c r="E634" i="6"/>
  <c r="E567" i="6"/>
  <c r="E324" i="6"/>
  <c r="E265" i="6"/>
  <c r="E238" i="6"/>
  <c r="E112" i="6"/>
  <c r="E78" i="6"/>
  <c r="E504" i="6"/>
  <c r="E322" i="6"/>
  <c r="E216" i="6"/>
  <c r="E133" i="6"/>
  <c r="E95" i="6"/>
  <c r="E132" i="6"/>
  <c r="E880" i="6"/>
  <c r="E351" i="6"/>
  <c r="E237" i="6"/>
  <c r="E18" i="6"/>
  <c r="E388" i="6"/>
  <c r="E55" i="6"/>
  <c r="E430" i="6"/>
  <c r="E190" i="6"/>
  <c r="E110" i="6"/>
  <c r="E33" i="6"/>
  <c r="E311" i="6"/>
  <c r="E229" i="6"/>
  <c r="E70" i="6"/>
  <c r="E759" i="6"/>
  <c r="E480" i="6"/>
  <c r="E278" i="6"/>
  <c r="E697" i="6"/>
  <c r="E484" i="6"/>
  <c r="E387" i="6"/>
  <c r="E349" i="6"/>
  <c r="E313" i="6"/>
  <c r="E186" i="6"/>
  <c r="E167" i="6"/>
  <c r="E109" i="6"/>
  <c r="E279" i="6"/>
  <c r="E679" i="6"/>
  <c r="E939" i="6"/>
  <c r="E851" i="6"/>
  <c r="E605" i="6"/>
  <c r="E540" i="6"/>
  <c r="E474" i="6"/>
  <c r="E416" i="6"/>
  <c r="E339" i="6"/>
  <c r="E303" i="6"/>
  <c r="E277" i="6"/>
  <c r="E248" i="6"/>
  <c r="E160" i="6"/>
  <c r="E142" i="6"/>
  <c r="E124" i="6"/>
  <c r="E86" i="6"/>
  <c r="E103" i="6"/>
  <c r="E27" i="6"/>
  <c r="E929" i="6"/>
  <c r="E752" i="6"/>
  <c r="E756" i="6"/>
  <c r="E676" i="6"/>
  <c r="E226" i="6"/>
  <c r="E202" i="6"/>
  <c r="E183" i="6"/>
  <c r="E65" i="6"/>
  <c r="E10" i="6"/>
  <c r="E840" i="6"/>
  <c r="E669" i="6"/>
  <c r="E270" i="6"/>
  <c r="E87" i="6"/>
  <c r="E247" i="6"/>
  <c r="E81" i="6"/>
  <c r="E9" i="6"/>
  <c r="E47" i="6"/>
  <c r="E165" i="6"/>
  <c r="E43" i="6"/>
  <c r="E413" i="6"/>
  <c r="E372" i="6"/>
  <c r="E119" i="6"/>
  <c r="E182" i="6"/>
  <c r="E26" i="6"/>
  <c r="E301" i="6"/>
  <c r="E49" i="6"/>
  <c r="E463" i="6"/>
  <c r="E159" i="6"/>
</calcChain>
</file>

<file path=xl/sharedStrings.xml><?xml version="1.0" encoding="utf-8"?>
<sst xmlns="http://schemas.openxmlformats.org/spreadsheetml/2006/main" count="18049" uniqueCount="3591">
  <si>
    <r>
      <rPr>
        <b/>
        <sz val="14"/>
        <color rgb="FF1F4E78"/>
        <rFont val="Arial"/>
        <family val="2"/>
      </rPr>
      <t xml:space="preserve">NACS </t>
    </r>
    <r>
      <rPr>
        <b/>
        <sz val="14"/>
        <color rgb="FF1F4E78"/>
        <rFont val="Noto Sans CJK SC"/>
        <family val="2"/>
      </rPr>
      <t xml:space="preserve">数据收集模板 </t>
    </r>
    <r>
      <rPr>
        <b/>
        <sz val="14"/>
        <color rgb="FF1F4E78"/>
        <rFont val="Arial"/>
        <family val="2"/>
      </rPr>
      <t>v1.0</t>
    </r>
  </si>
  <si>
    <t>用途</t>
  </si>
  <si>
    <r>
      <rPr>
        <sz val="11"/>
        <color theme="1"/>
        <rFont val="Noto Sans CJK SC"/>
        <family val="2"/>
      </rPr>
      <t xml:space="preserve">本模板用于收集香港 </t>
    </r>
    <r>
      <rPr>
        <sz val="11"/>
        <color theme="1"/>
        <rFont val="Calibri"/>
        <family val="2"/>
        <charset val="1"/>
      </rPr>
      <t xml:space="preserve">IPO </t>
    </r>
    <r>
      <rPr>
        <sz val="11"/>
        <color theme="1"/>
        <rFont val="Noto Sans CJK SC"/>
        <family val="2"/>
      </rPr>
      <t xml:space="preserve">基石投资量化模型 </t>
    </r>
    <r>
      <rPr>
        <sz val="11"/>
        <color theme="1"/>
        <rFont val="Calibri"/>
        <family val="2"/>
        <charset val="1"/>
      </rPr>
      <t xml:space="preserve">(NACS) </t>
    </r>
    <r>
      <rPr>
        <sz val="11"/>
        <color theme="1"/>
        <rFont val="Noto Sans CJK SC"/>
        <family val="2"/>
      </rPr>
      <t>的回测原始数据。</t>
    </r>
  </si>
  <si>
    <r>
      <rPr>
        <sz val="11"/>
        <color theme="1"/>
        <rFont val="Noto Sans CJK SC"/>
        <family val="2"/>
      </rPr>
      <t>覆盖范围</t>
    </r>
    <r>
      <rPr>
        <sz val="11"/>
        <color theme="1"/>
        <rFont val="Calibri"/>
        <family val="2"/>
        <charset val="1"/>
      </rPr>
      <t xml:space="preserve">: 2022-01-01 </t>
    </r>
    <r>
      <rPr>
        <sz val="11"/>
        <color theme="1"/>
        <rFont val="Noto Sans CJK SC"/>
        <family val="2"/>
      </rPr>
      <t xml:space="preserve">至 </t>
    </r>
    <r>
      <rPr>
        <sz val="11"/>
        <color theme="1"/>
        <rFont val="Calibri"/>
        <family val="2"/>
        <charset val="1"/>
      </rPr>
      <t xml:space="preserve">2026-04-30 </t>
    </r>
    <r>
      <rPr>
        <sz val="11"/>
        <color theme="1"/>
        <rFont val="Noto Sans CJK SC"/>
        <family val="2"/>
      </rPr>
      <t xml:space="preserve">期间在 </t>
    </r>
    <r>
      <rPr>
        <sz val="11"/>
        <color theme="1"/>
        <rFont val="Calibri"/>
        <family val="2"/>
        <charset val="1"/>
      </rPr>
      <t xml:space="preserve">HKEX </t>
    </r>
    <r>
      <rPr>
        <sz val="11"/>
        <color theme="1"/>
        <rFont val="Noto Sans CJK SC"/>
        <family val="2"/>
      </rPr>
      <t xml:space="preserve">主板上市的全部新股 </t>
    </r>
    <r>
      <rPr>
        <sz val="11"/>
        <color theme="1"/>
        <rFont val="Calibri"/>
        <family val="2"/>
        <charset val="1"/>
      </rPr>
      <t>(~250</t>
    </r>
    <r>
      <rPr>
        <sz val="11"/>
        <color theme="1"/>
        <rFont val="Noto Sans CJK SC"/>
        <family val="2"/>
      </rPr>
      <t>只</t>
    </r>
    <r>
      <rPr>
        <sz val="11"/>
        <color theme="1"/>
        <rFont val="Calibri"/>
        <family val="2"/>
        <charset val="1"/>
      </rPr>
      <t>)</t>
    </r>
    <r>
      <rPr>
        <sz val="11"/>
        <color theme="1"/>
        <rFont val="Noto Sans CJK SC"/>
        <family val="2"/>
      </rPr>
      <t>。</t>
    </r>
  </si>
  <si>
    <t>工作流</t>
  </si>
  <si>
    <r>
      <rPr>
        <sz val="11"/>
        <color theme="1"/>
        <rFont val="Noto Sans CJK SC"/>
        <family val="2"/>
      </rPr>
      <t xml:space="preserve">步骤 </t>
    </r>
    <r>
      <rPr>
        <sz val="11"/>
        <color theme="1"/>
        <rFont val="Calibri"/>
        <family val="2"/>
        <charset val="1"/>
      </rPr>
      <t xml:space="preserve">1: </t>
    </r>
    <r>
      <rPr>
        <sz val="11"/>
        <color theme="1"/>
        <rFont val="Noto Sans CJK SC"/>
        <family val="2"/>
      </rPr>
      <t xml:space="preserve">在 </t>
    </r>
    <r>
      <rPr>
        <sz val="11"/>
        <color theme="1"/>
        <rFont val="Calibri"/>
        <family val="2"/>
        <charset val="1"/>
      </rPr>
      <t xml:space="preserve">sheet [01_ipo_master] </t>
    </r>
    <r>
      <rPr>
        <sz val="11"/>
        <color theme="1"/>
        <rFont val="Noto Sans CJK SC"/>
        <family val="2"/>
      </rPr>
      <t xml:space="preserve">用 </t>
    </r>
    <r>
      <rPr>
        <sz val="11"/>
        <color theme="1"/>
        <rFont val="Calibri"/>
        <family val="2"/>
        <charset val="1"/>
      </rPr>
      <t xml:space="preserve">Wind WSET </t>
    </r>
    <r>
      <rPr>
        <sz val="11"/>
        <color theme="1"/>
        <rFont val="Noto Sans CJK SC"/>
        <family val="2"/>
      </rPr>
      <t xml:space="preserve">函数批量拉出该期间所有 </t>
    </r>
    <r>
      <rPr>
        <sz val="11"/>
        <color theme="1"/>
        <rFont val="Calibri"/>
        <family val="2"/>
        <charset val="1"/>
      </rPr>
      <t xml:space="preserve">IPO </t>
    </r>
    <r>
      <rPr>
        <sz val="11"/>
        <color theme="1"/>
        <rFont val="Noto Sans CJK SC"/>
        <family val="2"/>
      </rPr>
      <t>的代码列表。</t>
    </r>
  </si>
  <si>
    <r>
      <rPr>
        <sz val="11"/>
        <color theme="1"/>
        <rFont val="Noto Sans CJK SC"/>
        <family val="2"/>
      </rPr>
      <t xml:space="preserve">步骤 </t>
    </r>
    <r>
      <rPr>
        <sz val="11"/>
        <color theme="1"/>
        <rFont val="Calibri"/>
        <family val="2"/>
        <charset val="1"/>
      </rPr>
      <t xml:space="preserve">2: </t>
    </r>
    <r>
      <rPr>
        <sz val="11"/>
        <color theme="1"/>
        <rFont val="Noto Sans CJK SC"/>
        <family val="2"/>
      </rPr>
      <t xml:space="preserve">用 </t>
    </r>
    <r>
      <rPr>
        <sz val="11"/>
        <color theme="1"/>
        <rFont val="Calibri"/>
        <family val="2"/>
        <charset val="1"/>
      </rPr>
      <t xml:space="preserve">Wind WSS </t>
    </r>
    <r>
      <rPr>
        <sz val="11"/>
        <color theme="1"/>
        <rFont val="Noto Sans CJK SC"/>
        <family val="2"/>
      </rPr>
      <t xml:space="preserve">函数为每只 </t>
    </r>
    <r>
      <rPr>
        <sz val="11"/>
        <color theme="1"/>
        <rFont val="Calibri"/>
        <family val="2"/>
        <charset val="1"/>
      </rPr>
      <t xml:space="preserve">IPO </t>
    </r>
    <r>
      <rPr>
        <sz val="11"/>
        <color theme="1"/>
        <rFont val="Noto Sans CJK SC"/>
        <family val="2"/>
      </rPr>
      <t xml:space="preserve">拉横截面字段 </t>
    </r>
    <r>
      <rPr>
        <sz val="11"/>
        <color theme="1"/>
        <rFont val="Calibri"/>
        <family val="2"/>
        <charset val="1"/>
      </rPr>
      <t>(</t>
    </r>
    <r>
      <rPr>
        <sz val="11"/>
        <color theme="1"/>
        <rFont val="Noto Sans CJK SC"/>
        <family val="2"/>
      </rPr>
      <t>发行价</t>
    </r>
    <r>
      <rPr>
        <sz val="11"/>
        <color theme="1"/>
        <rFont val="Calibri"/>
        <family val="2"/>
        <charset val="1"/>
      </rPr>
      <t>/</t>
    </r>
    <r>
      <rPr>
        <sz val="11"/>
        <color theme="1"/>
        <rFont val="Noto Sans CJK SC"/>
        <family val="2"/>
      </rPr>
      <t>募资额</t>
    </r>
    <r>
      <rPr>
        <sz val="11"/>
        <color theme="1"/>
        <rFont val="Calibri"/>
        <family val="2"/>
        <charset val="1"/>
      </rPr>
      <t>/</t>
    </r>
    <r>
      <rPr>
        <sz val="11"/>
        <color theme="1"/>
        <rFont val="Noto Sans CJK SC"/>
        <family val="2"/>
      </rPr>
      <t>认购倍数等</t>
    </r>
    <r>
      <rPr>
        <sz val="11"/>
        <color theme="1"/>
        <rFont val="Calibri"/>
        <family val="2"/>
        <charset val="1"/>
      </rPr>
      <t>)</t>
    </r>
    <r>
      <rPr>
        <sz val="11"/>
        <color theme="1"/>
        <rFont val="Noto Sans CJK SC"/>
        <family val="2"/>
      </rPr>
      <t>。</t>
    </r>
  </si>
  <si>
    <r>
      <rPr>
        <sz val="11"/>
        <color theme="1"/>
        <rFont val="Noto Sans CJK SC"/>
        <family val="2"/>
      </rPr>
      <t xml:space="preserve">步骤 </t>
    </r>
    <r>
      <rPr>
        <sz val="11"/>
        <color theme="1"/>
        <rFont val="Calibri"/>
        <family val="2"/>
        <charset val="1"/>
      </rPr>
      <t xml:space="preserve">3: </t>
    </r>
    <r>
      <rPr>
        <sz val="11"/>
        <color theme="1"/>
        <rFont val="Noto Sans CJK SC"/>
        <family val="2"/>
      </rPr>
      <t xml:space="preserve">在 </t>
    </r>
    <r>
      <rPr>
        <sz val="11"/>
        <color theme="1"/>
        <rFont val="Calibri"/>
        <family val="2"/>
        <charset val="1"/>
      </rPr>
      <t xml:space="preserve">sheet [02_ipo_cornerstones] </t>
    </r>
    <r>
      <rPr>
        <sz val="11"/>
        <color theme="1"/>
        <rFont val="Noto Sans CJK SC"/>
        <family val="2"/>
      </rPr>
      <t>手填或半自动填写每只</t>
    </r>
    <r>
      <rPr>
        <sz val="11"/>
        <color theme="1"/>
        <rFont val="Calibri"/>
        <family val="2"/>
        <charset val="1"/>
      </rPr>
      <t>IPO</t>
    </r>
    <r>
      <rPr>
        <sz val="11"/>
        <color theme="1"/>
        <rFont val="Noto Sans CJK SC"/>
        <family val="2"/>
      </rPr>
      <t xml:space="preserve">的基石明细 </t>
    </r>
    <r>
      <rPr>
        <sz val="11"/>
        <color theme="1"/>
        <rFont val="Calibri"/>
        <family val="2"/>
        <charset val="1"/>
      </rPr>
      <t>(</t>
    </r>
    <r>
      <rPr>
        <sz val="11"/>
        <color theme="1"/>
        <rFont val="Noto Sans CJK SC"/>
        <family val="2"/>
      </rPr>
      <t>招股书原文</t>
    </r>
    <r>
      <rPr>
        <sz val="11"/>
        <color theme="1"/>
        <rFont val="Calibri"/>
        <family val="2"/>
        <charset val="1"/>
      </rPr>
      <t>+ticket size)</t>
    </r>
    <r>
      <rPr>
        <sz val="11"/>
        <color theme="1"/>
        <rFont val="Noto Sans CJK SC"/>
        <family val="2"/>
      </rPr>
      <t>。</t>
    </r>
  </si>
  <si>
    <r>
      <rPr>
        <sz val="11"/>
        <color theme="1"/>
        <rFont val="Noto Sans CJK SC"/>
        <family val="2"/>
      </rPr>
      <t xml:space="preserve">步骤 </t>
    </r>
    <r>
      <rPr>
        <sz val="11"/>
        <color theme="1"/>
        <rFont val="Calibri"/>
        <family val="2"/>
        <charset val="1"/>
      </rPr>
      <t xml:space="preserve">4: </t>
    </r>
    <r>
      <rPr>
        <sz val="11"/>
        <color theme="1"/>
        <rFont val="Noto Sans CJK SC"/>
        <family val="2"/>
      </rPr>
      <t xml:space="preserve">在 </t>
    </r>
    <r>
      <rPr>
        <sz val="11"/>
        <color theme="1"/>
        <rFont val="Calibri"/>
        <family val="2"/>
        <charset val="1"/>
      </rPr>
      <t xml:space="preserve">sheet [03_company_fundamentals] </t>
    </r>
    <r>
      <rPr>
        <sz val="11"/>
        <color theme="1"/>
        <rFont val="Noto Sans CJK SC"/>
        <family val="2"/>
      </rPr>
      <t xml:space="preserve">填写公司基本面 </t>
    </r>
    <r>
      <rPr>
        <sz val="11"/>
        <color theme="1"/>
        <rFont val="Calibri"/>
        <family val="2"/>
        <charset val="1"/>
      </rPr>
      <t>(</t>
    </r>
    <r>
      <rPr>
        <sz val="11"/>
        <color theme="1"/>
        <rFont val="Noto Sans CJK SC"/>
        <family val="2"/>
      </rPr>
      <t>招股书披露的</t>
    </r>
    <r>
      <rPr>
        <sz val="11"/>
        <color theme="1"/>
        <rFont val="Calibri"/>
        <family val="2"/>
        <charset val="1"/>
      </rPr>
      <t>3</t>
    </r>
    <r>
      <rPr>
        <sz val="11"/>
        <color theme="1"/>
        <rFont val="Noto Sans CJK SC"/>
        <family val="2"/>
      </rPr>
      <t>年财务</t>
    </r>
    <r>
      <rPr>
        <sz val="11"/>
        <color theme="1"/>
        <rFont val="Calibri"/>
        <family val="2"/>
        <charset val="1"/>
      </rPr>
      <t>)</t>
    </r>
    <r>
      <rPr>
        <sz val="11"/>
        <color theme="1"/>
        <rFont val="Noto Sans CJK SC"/>
        <family val="2"/>
      </rPr>
      <t>。</t>
    </r>
  </si>
  <si>
    <r>
      <rPr>
        <sz val="11"/>
        <color theme="1"/>
        <rFont val="Noto Sans CJK SC"/>
        <family val="2"/>
      </rPr>
      <t xml:space="preserve">步骤 </t>
    </r>
    <r>
      <rPr>
        <sz val="11"/>
        <color theme="1"/>
        <rFont val="Calibri"/>
        <family val="2"/>
        <charset val="1"/>
      </rPr>
      <t xml:space="preserve">5: </t>
    </r>
    <r>
      <rPr>
        <sz val="11"/>
        <color theme="1"/>
        <rFont val="Noto Sans CJK SC"/>
        <family val="2"/>
      </rPr>
      <t xml:space="preserve">在 </t>
    </r>
    <r>
      <rPr>
        <sz val="11"/>
        <color theme="1"/>
        <rFont val="Calibri"/>
        <family val="2"/>
        <charset val="1"/>
      </rPr>
      <t xml:space="preserve">sheet [04_ccass_unlocks] </t>
    </r>
    <r>
      <rPr>
        <sz val="11"/>
        <color theme="1"/>
        <rFont val="Noto Sans CJK SC"/>
        <family val="2"/>
      </rPr>
      <t>填</t>
    </r>
    <r>
      <rPr>
        <sz val="11"/>
        <color theme="1"/>
        <rFont val="Calibri"/>
        <family val="2"/>
        <charset val="1"/>
      </rPr>
      <t>CCASS</t>
    </r>
    <r>
      <rPr>
        <sz val="11"/>
        <color theme="1"/>
        <rFont val="Noto Sans CJK SC"/>
        <family val="2"/>
      </rPr>
      <t>解禁日前后的持仓变动。</t>
    </r>
  </si>
  <si>
    <r>
      <rPr>
        <sz val="11"/>
        <color theme="1"/>
        <rFont val="Noto Sans CJK SC"/>
        <family val="2"/>
      </rPr>
      <t xml:space="preserve">步骤 </t>
    </r>
    <r>
      <rPr>
        <sz val="11"/>
        <color theme="1"/>
        <rFont val="Calibri"/>
        <family val="2"/>
        <charset val="1"/>
      </rPr>
      <t xml:space="preserve">6: sheet [05_hsi_macro] </t>
    </r>
    <r>
      <rPr>
        <sz val="11"/>
        <color theme="1"/>
        <rFont val="Noto Sans CJK SC"/>
        <family val="2"/>
      </rPr>
      <t xml:space="preserve">用 </t>
    </r>
    <r>
      <rPr>
        <sz val="11"/>
        <color theme="1"/>
        <rFont val="Calibri"/>
        <family val="2"/>
        <charset val="1"/>
      </rPr>
      <t xml:space="preserve">Wind WSD </t>
    </r>
    <r>
      <rPr>
        <sz val="11"/>
        <color theme="1"/>
        <rFont val="Noto Sans CJK SC"/>
        <family val="2"/>
      </rPr>
      <t>拉恒指日频</t>
    </r>
    <r>
      <rPr>
        <sz val="11"/>
        <color theme="1"/>
        <rFont val="Calibri"/>
        <family val="2"/>
        <charset val="1"/>
      </rPr>
      <t xml:space="preserve">; sheet [06_price_index] </t>
    </r>
    <r>
      <rPr>
        <sz val="11"/>
        <color theme="1"/>
        <rFont val="Noto Sans CJK SC"/>
        <family val="2"/>
      </rPr>
      <t>列出每只</t>
    </r>
    <r>
      <rPr>
        <sz val="11"/>
        <color theme="1"/>
        <rFont val="Calibri"/>
        <family val="2"/>
        <charset val="1"/>
      </rPr>
      <t>IPO</t>
    </r>
    <r>
      <rPr>
        <sz val="11"/>
        <color theme="1"/>
        <rFont val="Noto Sans CJK SC"/>
        <family val="2"/>
      </rPr>
      <t>要拉的价格区间</t>
    </r>
    <r>
      <rPr>
        <sz val="11"/>
        <color theme="1"/>
        <rFont val="Calibri"/>
        <family val="2"/>
        <charset val="1"/>
      </rPr>
      <t xml:space="preserve">, </t>
    </r>
    <r>
      <rPr>
        <sz val="11"/>
        <color theme="1"/>
        <rFont val="Noto Sans CJK SC"/>
        <family val="2"/>
      </rPr>
      <t>价格数据保存到独立</t>
    </r>
    <r>
      <rPr>
        <sz val="11"/>
        <color theme="1"/>
        <rFont val="Calibri"/>
        <family val="2"/>
        <charset val="1"/>
      </rPr>
      <t>CSV</t>
    </r>
    <r>
      <rPr>
        <sz val="11"/>
        <color theme="1"/>
        <rFont val="Noto Sans CJK SC"/>
        <family val="2"/>
      </rPr>
      <t>文件。</t>
    </r>
  </si>
  <si>
    <r>
      <rPr>
        <sz val="11"/>
        <color theme="1"/>
        <rFont val="Noto Sans CJK SC"/>
        <family val="2"/>
      </rPr>
      <t xml:space="preserve">步骤 </t>
    </r>
    <r>
      <rPr>
        <sz val="11"/>
        <color theme="1"/>
        <rFont val="Calibri"/>
        <family val="2"/>
        <charset val="1"/>
      </rPr>
      <t xml:space="preserve">7: </t>
    </r>
    <r>
      <rPr>
        <sz val="11"/>
        <color theme="1"/>
        <rFont val="Noto Sans CJK SC"/>
        <family val="2"/>
      </rPr>
      <t>全部填好后</t>
    </r>
    <r>
      <rPr>
        <sz val="11"/>
        <color theme="1"/>
        <rFont val="Calibri"/>
        <family val="2"/>
        <charset val="1"/>
      </rPr>
      <t xml:space="preserve">, </t>
    </r>
    <r>
      <rPr>
        <sz val="11"/>
        <color theme="1"/>
        <rFont val="Noto Sans CJK SC"/>
        <family val="2"/>
      </rPr>
      <t xml:space="preserve">把整份 </t>
    </r>
    <r>
      <rPr>
        <sz val="11"/>
        <color theme="1"/>
        <rFont val="Calibri"/>
        <family val="2"/>
        <charset val="1"/>
      </rPr>
      <t xml:space="preserve">xlsx </t>
    </r>
    <r>
      <rPr>
        <sz val="11"/>
        <color theme="1"/>
        <rFont val="Noto Sans CJK SC"/>
        <family val="2"/>
      </rPr>
      <t>发给我</t>
    </r>
    <r>
      <rPr>
        <sz val="11"/>
        <color theme="1"/>
        <rFont val="Calibri"/>
        <family val="2"/>
        <charset val="1"/>
      </rPr>
      <t xml:space="preserve">, </t>
    </r>
    <r>
      <rPr>
        <sz val="11"/>
        <color theme="1"/>
        <rFont val="Noto Sans CJK SC"/>
        <family val="2"/>
      </rPr>
      <t xml:space="preserve">我来跑 </t>
    </r>
    <r>
      <rPr>
        <sz val="11"/>
        <color theme="1"/>
        <rFont val="Calibri"/>
        <family val="2"/>
        <charset val="1"/>
      </rPr>
      <t xml:space="preserve">loader </t>
    </r>
    <r>
      <rPr>
        <sz val="11"/>
        <color theme="1"/>
        <rFont val="Noto Sans CJK SC"/>
        <family val="2"/>
      </rPr>
      <t xml:space="preserve">灌库 </t>
    </r>
    <r>
      <rPr>
        <sz val="11"/>
        <color theme="1"/>
        <rFont val="Calibri"/>
        <family val="2"/>
        <charset val="1"/>
      </rPr>
      <t xml:space="preserve">+ </t>
    </r>
    <r>
      <rPr>
        <sz val="11"/>
        <color theme="1"/>
        <rFont val="Noto Sans CJK SC"/>
        <family val="2"/>
      </rPr>
      <t>回测。</t>
    </r>
  </si>
  <si>
    <t>颜色规则</t>
  </si>
  <si>
    <r>
      <rPr>
        <sz val="11"/>
        <color theme="1"/>
        <rFont val="Noto Sans CJK SC"/>
        <family val="2"/>
      </rPr>
      <t xml:space="preserve">• 浅橙底 </t>
    </r>
    <r>
      <rPr>
        <sz val="11"/>
        <color theme="1"/>
        <rFont val="Calibri"/>
        <family val="2"/>
        <charset val="1"/>
      </rPr>
      <t xml:space="preserve">= </t>
    </r>
    <r>
      <rPr>
        <sz val="11"/>
        <color theme="1"/>
        <rFont val="Noto Sans CJK SC"/>
        <family val="2"/>
      </rPr>
      <t xml:space="preserve">必填字段 </t>
    </r>
    <r>
      <rPr>
        <sz val="11"/>
        <color theme="1"/>
        <rFont val="Calibri"/>
        <family val="2"/>
        <charset val="1"/>
      </rPr>
      <t>(</t>
    </r>
    <r>
      <rPr>
        <sz val="11"/>
        <color theme="1"/>
        <rFont val="Noto Sans CJK SC"/>
        <family val="2"/>
      </rPr>
      <t>缺失会影响回测有效性</t>
    </r>
    <r>
      <rPr>
        <sz val="11"/>
        <color theme="1"/>
        <rFont val="Calibri"/>
        <family val="2"/>
        <charset val="1"/>
      </rPr>
      <t>)</t>
    </r>
  </si>
  <si>
    <r>
      <rPr>
        <sz val="11"/>
        <color theme="1"/>
        <rFont val="Noto Sans CJK SC"/>
        <family val="2"/>
      </rPr>
      <t xml:space="preserve">• 浅绿底 </t>
    </r>
    <r>
      <rPr>
        <sz val="11"/>
        <color theme="1"/>
        <rFont val="Calibri"/>
        <family val="2"/>
        <charset val="1"/>
      </rPr>
      <t xml:space="preserve">= </t>
    </r>
    <r>
      <rPr>
        <sz val="11"/>
        <color theme="1"/>
        <rFont val="Noto Sans CJK SC"/>
        <family val="2"/>
      </rPr>
      <t xml:space="preserve">选填字段 </t>
    </r>
    <r>
      <rPr>
        <sz val="11"/>
        <color theme="1"/>
        <rFont val="Calibri"/>
        <family val="2"/>
        <charset val="1"/>
      </rPr>
      <t>(</t>
    </r>
    <r>
      <rPr>
        <sz val="11"/>
        <color theme="1"/>
        <rFont val="Noto Sans CJK SC"/>
        <family val="2"/>
      </rPr>
      <t>缺失模型用类型先验代偿</t>
    </r>
    <r>
      <rPr>
        <sz val="11"/>
        <color theme="1"/>
        <rFont val="Calibri"/>
        <family val="2"/>
        <charset val="1"/>
      </rPr>
      <t>)</t>
    </r>
  </si>
  <si>
    <r>
      <rPr>
        <sz val="11"/>
        <color theme="1"/>
        <rFont val="Noto Sans CJK SC"/>
        <family val="2"/>
      </rPr>
      <t xml:space="preserve">• 浅黄底 </t>
    </r>
    <r>
      <rPr>
        <sz val="11"/>
        <color theme="1"/>
        <rFont val="Calibri"/>
        <family val="2"/>
        <charset val="1"/>
      </rPr>
      <t xml:space="preserve">= </t>
    </r>
    <r>
      <rPr>
        <sz val="11"/>
        <color theme="1"/>
        <rFont val="Noto Sans CJK SC"/>
        <family val="2"/>
      </rPr>
      <t xml:space="preserve">已预填 </t>
    </r>
    <r>
      <rPr>
        <sz val="11"/>
        <color theme="1"/>
        <rFont val="Calibri"/>
        <family val="2"/>
        <charset val="1"/>
      </rPr>
      <t xml:space="preserve">Wind </t>
    </r>
    <r>
      <rPr>
        <sz val="11"/>
        <color theme="1"/>
        <rFont val="Noto Sans CJK SC"/>
        <family val="2"/>
      </rPr>
      <t>公式</t>
    </r>
    <r>
      <rPr>
        <sz val="11"/>
        <color theme="1"/>
        <rFont val="Calibri"/>
        <family val="2"/>
        <charset val="1"/>
      </rPr>
      <t xml:space="preserve">, </t>
    </r>
    <r>
      <rPr>
        <sz val="11"/>
        <color theme="1"/>
        <rFont val="Noto Sans CJK SC"/>
        <family val="2"/>
      </rPr>
      <t>建议放上股票代码后下拖到全部行</t>
    </r>
  </si>
  <si>
    <r>
      <rPr>
        <sz val="11"/>
        <color theme="1"/>
        <rFont val="Noto Sans CJK SC"/>
        <family val="2"/>
      </rPr>
      <t xml:space="preserve">• 浅灰底 </t>
    </r>
    <r>
      <rPr>
        <sz val="11"/>
        <color theme="1"/>
        <rFont val="Calibri"/>
        <family val="2"/>
        <charset val="1"/>
      </rPr>
      <t xml:space="preserve">= </t>
    </r>
    <r>
      <rPr>
        <sz val="11"/>
        <color theme="1"/>
        <rFont val="Noto Sans CJK SC"/>
        <family val="2"/>
      </rPr>
      <t xml:space="preserve">示例行 </t>
    </r>
    <r>
      <rPr>
        <sz val="11"/>
        <color theme="1"/>
        <rFont val="Calibri"/>
        <family val="2"/>
        <charset val="1"/>
      </rPr>
      <t>(</t>
    </r>
    <r>
      <rPr>
        <sz val="11"/>
        <color theme="1"/>
        <rFont val="Noto Sans CJK SC"/>
        <family val="2"/>
      </rPr>
      <t xml:space="preserve">华勤技术 </t>
    </r>
    <r>
      <rPr>
        <sz val="11"/>
        <color theme="1"/>
        <rFont val="Calibri"/>
        <family val="2"/>
        <charset val="1"/>
      </rPr>
      <t xml:space="preserve">03296.HK), </t>
    </r>
    <r>
      <rPr>
        <sz val="11"/>
        <color theme="1"/>
        <rFont val="Noto Sans CJK SC"/>
        <family val="2"/>
      </rPr>
      <t>不要修改</t>
    </r>
  </si>
  <si>
    <r>
      <rPr>
        <sz val="11"/>
        <color theme="1"/>
        <rFont val="Noto Sans CJK SC"/>
        <family val="2"/>
      </rPr>
      <t xml:space="preserve">• 蓝色字 </t>
    </r>
    <r>
      <rPr>
        <sz val="11"/>
        <color theme="1"/>
        <rFont val="Calibri"/>
        <family val="2"/>
        <charset val="1"/>
      </rPr>
      <t xml:space="preserve">= </t>
    </r>
    <r>
      <rPr>
        <sz val="11"/>
        <color theme="1"/>
        <rFont val="Noto Sans CJK SC"/>
        <family val="2"/>
      </rPr>
      <t>应该手填的硬编码值</t>
    </r>
    <r>
      <rPr>
        <sz val="11"/>
        <color theme="1"/>
        <rFont val="Calibri"/>
        <family val="2"/>
        <charset val="1"/>
      </rPr>
      <t xml:space="preserve">; </t>
    </r>
    <r>
      <rPr>
        <sz val="11"/>
        <color theme="1"/>
        <rFont val="Noto Sans CJK SC"/>
        <family val="2"/>
      </rPr>
      <t xml:space="preserve">黑色字 </t>
    </r>
    <r>
      <rPr>
        <sz val="11"/>
        <color theme="1"/>
        <rFont val="Calibri"/>
        <family val="2"/>
        <charset val="1"/>
      </rPr>
      <t xml:space="preserve">= </t>
    </r>
    <r>
      <rPr>
        <sz val="11"/>
        <color theme="1"/>
        <rFont val="Noto Sans CJK SC"/>
        <family val="2"/>
      </rPr>
      <t>公式</t>
    </r>
    <r>
      <rPr>
        <sz val="11"/>
        <color theme="1"/>
        <rFont val="Calibri"/>
        <family val="2"/>
        <charset val="1"/>
      </rPr>
      <t xml:space="preserve">; </t>
    </r>
    <r>
      <rPr>
        <sz val="11"/>
        <color theme="1"/>
        <rFont val="Noto Sans CJK SC"/>
        <family val="2"/>
      </rPr>
      <t xml:space="preserve">绿色字 </t>
    </r>
    <r>
      <rPr>
        <sz val="11"/>
        <color theme="1"/>
        <rFont val="Calibri"/>
        <family val="2"/>
        <charset val="1"/>
      </rPr>
      <t xml:space="preserve">= </t>
    </r>
    <r>
      <rPr>
        <sz val="11"/>
        <color theme="1"/>
        <rFont val="Noto Sans CJK SC"/>
        <family val="2"/>
      </rPr>
      <t>派生计算</t>
    </r>
  </si>
  <si>
    <t>关键提醒</t>
  </si>
  <si>
    <r>
      <rPr>
        <sz val="11"/>
        <color theme="1"/>
        <rFont val="Noto Sans CJK SC"/>
        <family val="2"/>
      </rPr>
      <t xml:space="preserve">⚠ 必须勾选 </t>
    </r>
    <r>
      <rPr>
        <sz val="11"/>
        <color theme="1"/>
        <rFont val="Calibri"/>
        <family val="2"/>
        <charset val="1"/>
      </rPr>
      <t>Wind "</t>
    </r>
    <r>
      <rPr>
        <sz val="11"/>
        <color theme="1"/>
        <rFont val="Noto Sans CJK SC"/>
        <family val="2"/>
      </rPr>
      <t>包含已退市</t>
    </r>
    <r>
      <rPr>
        <sz val="11"/>
        <color theme="1"/>
        <rFont val="Calibri"/>
        <family val="2"/>
        <charset val="1"/>
      </rPr>
      <t>/</t>
    </r>
    <r>
      <rPr>
        <sz val="11"/>
        <color theme="1"/>
        <rFont val="Noto Sans CJK SC"/>
        <family val="2"/>
      </rPr>
      <t>已私有化</t>
    </r>
    <r>
      <rPr>
        <sz val="11"/>
        <color theme="1"/>
        <rFont val="Calibri"/>
        <family val="2"/>
        <charset val="1"/>
      </rPr>
      <t xml:space="preserve">" </t>
    </r>
    <r>
      <rPr>
        <sz val="11"/>
        <color theme="1"/>
        <rFont val="Noto Sans CJK SC"/>
        <family val="2"/>
      </rPr>
      <t>选项</t>
    </r>
    <r>
      <rPr>
        <sz val="11"/>
        <color theme="1"/>
        <rFont val="Calibri"/>
        <family val="2"/>
        <charset val="1"/>
      </rPr>
      <t xml:space="preserve">, </t>
    </r>
    <r>
      <rPr>
        <sz val="11"/>
        <color theme="1"/>
        <rFont val="Noto Sans CJK SC"/>
        <family val="2"/>
      </rPr>
      <t>否则会引入幸存者偏差。</t>
    </r>
  </si>
  <si>
    <r>
      <rPr>
        <sz val="11"/>
        <color theme="1"/>
        <rFont val="Noto Sans CJK SC"/>
        <family val="2"/>
      </rPr>
      <t xml:space="preserve">⚠ 基石原文名称 </t>
    </r>
    <r>
      <rPr>
        <sz val="11"/>
        <color theme="1"/>
        <rFont val="Calibri"/>
        <family val="2"/>
        <charset val="1"/>
      </rPr>
      <t xml:space="preserve">(B2 </t>
    </r>
    <r>
      <rPr>
        <sz val="11"/>
        <color theme="1"/>
        <rFont val="Noto Sans CJK SC"/>
        <family val="2"/>
      </rPr>
      <t>字段</t>
    </r>
    <r>
      <rPr>
        <sz val="11"/>
        <color theme="1"/>
        <rFont val="Calibri"/>
        <family val="2"/>
        <charset val="1"/>
      </rPr>
      <t xml:space="preserve">) </t>
    </r>
    <r>
      <rPr>
        <sz val="11"/>
        <color theme="1"/>
        <rFont val="Noto Sans CJK SC"/>
        <family val="2"/>
      </rPr>
      <t>不要做归一</t>
    </r>
    <r>
      <rPr>
        <sz val="11"/>
        <color theme="1"/>
        <rFont val="Calibri"/>
        <family val="2"/>
        <charset val="1"/>
      </rPr>
      <t xml:space="preserve">, </t>
    </r>
    <r>
      <rPr>
        <sz val="11"/>
        <color theme="1"/>
        <rFont val="Noto Sans CJK SC"/>
        <family val="2"/>
      </rPr>
      <t>招股书原文复制即可</t>
    </r>
    <r>
      <rPr>
        <sz val="11"/>
        <color theme="1"/>
        <rFont val="Calibri"/>
        <family val="2"/>
        <charset val="1"/>
      </rPr>
      <t xml:space="preserve">, </t>
    </r>
    <r>
      <rPr>
        <sz val="11"/>
        <color theme="1"/>
        <rFont val="Noto Sans CJK SC"/>
        <family val="2"/>
      </rPr>
      <t>别名映射由我们处理。</t>
    </r>
  </si>
  <si>
    <r>
      <rPr>
        <sz val="11"/>
        <color theme="1"/>
        <rFont val="Noto Sans CJK SC"/>
        <family val="2"/>
      </rPr>
      <t>⚠ 认购金额单位务必统一</t>
    </r>
    <r>
      <rPr>
        <sz val="11"/>
        <color theme="1"/>
        <rFont val="Calibri"/>
        <family val="2"/>
        <charset val="1"/>
      </rPr>
      <t xml:space="preserve">. </t>
    </r>
    <r>
      <rPr>
        <sz val="11"/>
        <color theme="1"/>
        <rFont val="Noto Sans CJK SC"/>
        <family val="2"/>
      </rPr>
      <t xml:space="preserve">推荐 </t>
    </r>
    <r>
      <rPr>
        <sz val="11"/>
        <color theme="1"/>
        <rFont val="Calibri"/>
        <family val="2"/>
        <charset val="1"/>
      </rPr>
      <t xml:space="preserve">HKD; </t>
    </r>
    <r>
      <rPr>
        <sz val="11"/>
        <color theme="1"/>
        <rFont val="Noto Sans CJK SC"/>
        <family val="2"/>
      </rPr>
      <t>如用</t>
    </r>
    <r>
      <rPr>
        <sz val="11"/>
        <color theme="1"/>
        <rFont val="Calibri"/>
        <family val="2"/>
        <charset val="1"/>
      </rPr>
      <t>USD</t>
    </r>
    <r>
      <rPr>
        <sz val="11"/>
        <color theme="1"/>
        <rFont val="Noto Sans CJK SC"/>
        <family val="2"/>
      </rPr>
      <t xml:space="preserve">请在 </t>
    </r>
    <r>
      <rPr>
        <sz val="11"/>
        <color theme="1"/>
        <rFont val="Calibri"/>
        <family val="2"/>
        <charset val="1"/>
      </rPr>
      <t xml:space="preserve">[02_ipo_cornerstones] sheet </t>
    </r>
    <r>
      <rPr>
        <sz val="11"/>
        <color theme="1"/>
        <rFont val="Noto Sans CJK SC"/>
        <family val="2"/>
      </rPr>
      <t>单独标注列。</t>
    </r>
  </si>
  <si>
    <r>
      <rPr>
        <sz val="11"/>
        <color theme="1"/>
        <rFont val="Calibri"/>
        <family val="2"/>
        <charset val="1"/>
      </rPr>
      <t xml:space="preserve">⚠ A+H </t>
    </r>
    <r>
      <rPr>
        <sz val="11"/>
        <color theme="1"/>
        <rFont val="Noto Sans CJK SC"/>
        <family val="2"/>
      </rPr>
      <t xml:space="preserve">公司一定用 </t>
    </r>
    <r>
      <rPr>
        <sz val="11"/>
        <color theme="1"/>
        <rFont val="Calibri"/>
        <family val="2"/>
        <charset val="1"/>
      </rPr>
      <t xml:space="preserve">H </t>
    </r>
    <r>
      <rPr>
        <sz val="11"/>
        <color theme="1"/>
        <rFont val="Noto Sans CJK SC"/>
        <family val="2"/>
      </rPr>
      <t xml:space="preserve">股代码 </t>
    </r>
    <r>
      <rPr>
        <sz val="11"/>
        <color theme="1"/>
        <rFont val="Calibri"/>
        <family val="2"/>
        <charset val="1"/>
      </rPr>
      <t>(</t>
    </r>
    <r>
      <rPr>
        <sz val="11"/>
        <color theme="1"/>
        <rFont val="Noto Sans CJK SC"/>
        <family val="2"/>
      </rPr>
      <t xml:space="preserve">如 </t>
    </r>
    <r>
      <rPr>
        <sz val="11"/>
        <color theme="1"/>
        <rFont val="Calibri"/>
        <family val="2"/>
        <charset val="1"/>
      </rPr>
      <t xml:space="preserve">03296.HK) </t>
    </r>
    <r>
      <rPr>
        <sz val="11"/>
        <color theme="1"/>
        <rFont val="Noto Sans CJK SC"/>
        <family val="2"/>
      </rPr>
      <t xml:space="preserve">不要用 </t>
    </r>
    <r>
      <rPr>
        <sz val="11"/>
        <color theme="1"/>
        <rFont val="Calibri"/>
        <family val="2"/>
        <charset val="1"/>
      </rPr>
      <t xml:space="preserve">A </t>
    </r>
    <r>
      <rPr>
        <sz val="11"/>
        <color theme="1"/>
        <rFont val="Noto Sans CJK SC"/>
        <family val="2"/>
      </rPr>
      <t xml:space="preserve">股代码 </t>
    </r>
    <r>
      <rPr>
        <sz val="11"/>
        <color theme="1"/>
        <rFont val="Calibri"/>
        <family val="2"/>
        <charset val="1"/>
      </rPr>
      <t>(603296.SH)</t>
    </r>
    <r>
      <rPr>
        <sz val="11"/>
        <color theme="1"/>
        <rFont val="Noto Sans CJK SC"/>
        <family val="2"/>
      </rPr>
      <t>。</t>
    </r>
  </si>
  <si>
    <r>
      <rPr>
        <sz val="11"/>
        <color theme="1"/>
        <rFont val="Noto Sans CJK SC"/>
        <family val="2"/>
      </rPr>
      <t>⚠ 基石名单看招股书最终版</t>
    </r>
    <r>
      <rPr>
        <sz val="11"/>
        <color theme="1"/>
        <rFont val="Calibri"/>
        <family val="2"/>
        <charset val="1"/>
      </rPr>
      <t xml:space="preserve">, </t>
    </r>
    <r>
      <rPr>
        <sz val="11"/>
        <color theme="1"/>
        <rFont val="Noto Sans CJK SC"/>
        <family val="2"/>
      </rPr>
      <t xml:space="preserve">不是聆讯材料 </t>
    </r>
    <r>
      <rPr>
        <sz val="11"/>
        <color theme="1"/>
        <rFont val="Calibri"/>
        <family val="2"/>
        <charset val="1"/>
      </rPr>
      <t>(</t>
    </r>
    <r>
      <rPr>
        <sz val="11"/>
        <color theme="1"/>
        <rFont val="Noto Sans CJK SC"/>
        <family val="2"/>
      </rPr>
      <t>基石可能在路演期间增减</t>
    </r>
    <r>
      <rPr>
        <sz val="11"/>
        <color theme="1"/>
        <rFont val="Calibri"/>
        <family val="2"/>
        <charset val="1"/>
      </rPr>
      <t>)</t>
    </r>
    <r>
      <rPr>
        <sz val="11"/>
        <color theme="1"/>
        <rFont val="Noto Sans CJK SC"/>
        <family val="2"/>
      </rPr>
      <t>。</t>
    </r>
  </si>
  <si>
    <r>
      <rPr>
        <b/>
        <sz val="12"/>
        <color rgb="FF1F4E78"/>
        <rFont val="Arial"/>
        <family val="2"/>
      </rPr>
      <t xml:space="preserve">Sheet </t>
    </r>
    <r>
      <rPr>
        <b/>
        <sz val="12"/>
        <color rgb="FF1F4E78"/>
        <rFont val="Noto Sans CJK SC"/>
        <family val="2"/>
      </rPr>
      <t>一览</t>
    </r>
  </si>
  <si>
    <r>
      <rPr>
        <sz val="11"/>
        <color theme="1"/>
        <rFont val="Calibri"/>
        <family val="2"/>
        <charset val="1"/>
      </rPr>
      <t xml:space="preserve">• 00_README                 — </t>
    </r>
    <r>
      <rPr>
        <sz val="11"/>
        <color theme="1"/>
        <rFont val="Noto Sans CJK SC"/>
        <family val="2"/>
      </rPr>
      <t>本说明</t>
    </r>
  </si>
  <si>
    <r>
      <rPr>
        <sz val="11"/>
        <color theme="1"/>
        <rFont val="Calibri"/>
        <family val="2"/>
        <charset val="1"/>
      </rPr>
      <t>• 01_ipo_master            — IPO</t>
    </r>
    <r>
      <rPr>
        <sz val="11"/>
        <color theme="1"/>
        <rFont val="Noto Sans CJK SC"/>
        <family val="2"/>
      </rPr>
      <t xml:space="preserve">主表 </t>
    </r>
    <r>
      <rPr>
        <sz val="11"/>
        <color theme="1"/>
        <rFont val="Calibri"/>
        <family val="2"/>
        <charset val="1"/>
      </rPr>
      <t>(</t>
    </r>
    <r>
      <rPr>
        <sz val="11"/>
        <color theme="1"/>
        <rFont val="Noto Sans CJK SC"/>
        <family val="2"/>
      </rPr>
      <t>每只</t>
    </r>
    <r>
      <rPr>
        <sz val="11"/>
        <color theme="1"/>
        <rFont val="Calibri"/>
        <family val="2"/>
        <charset val="1"/>
      </rPr>
      <t>IPO</t>
    </r>
    <r>
      <rPr>
        <sz val="11"/>
        <color theme="1"/>
        <rFont val="Noto Sans CJK SC"/>
        <family val="2"/>
      </rPr>
      <t>一行</t>
    </r>
    <r>
      <rPr>
        <sz val="11"/>
        <color theme="1"/>
        <rFont val="Calibri"/>
        <family val="2"/>
        <charset val="1"/>
      </rPr>
      <t>, ~250</t>
    </r>
    <r>
      <rPr>
        <sz val="11"/>
        <color theme="1"/>
        <rFont val="Noto Sans CJK SC"/>
        <family val="2"/>
      </rPr>
      <t>行</t>
    </r>
    <r>
      <rPr>
        <sz val="11"/>
        <color theme="1"/>
        <rFont val="Calibri"/>
        <family val="2"/>
        <charset val="1"/>
      </rPr>
      <t>)</t>
    </r>
  </si>
  <si>
    <t>stock_code</t>
  </si>
  <si>
    <t>company_name_zh</t>
  </si>
  <si>
    <t>listing_date</t>
  </si>
  <si>
    <t>pricing_date</t>
  </si>
  <si>
    <t>listing_chapter</t>
  </si>
  <si>
    <t>is_a_h</t>
  </si>
  <si>
    <t>a_share_code</t>
  </si>
  <si>
    <t>gics_l2</t>
  </si>
  <si>
    <t>offer_price_hkd</t>
  </si>
  <si>
    <t>offer_price_low</t>
  </si>
  <si>
    <t>offer_price_high</t>
  </si>
  <si>
    <t>offering_size_hkd</t>
  </si>
  <si>
    <t>intl_oversub</t>
  </si>
  <si>
    <t>public_oversub</t>
  </si>
  <si>
    <t>clawback_triggered</t>
  </si>
  <si>
    <t>greenshoe_pct</t>
  </si>
  <si>
    <t>sponsor_primary</t>
  </si>
  <si>
    <t>joint_sponsor_count</t>
  </si>
  <si>
    <t>sponsor_tier</t>
  </si>
  <si>
    <t>auditor_tier</t>
  </si>
  <si>
    <t>pe_at_offer</t>
  </si>
  <si>
    <t>pe_peer_median</t>
  </si>
  <si>
    <t>last_round_premium</t>
  </si>
  <si>
    <t>lockup_months</t>
  </si>
  <si>
    <t>is_delisted</t>
  </si>
  <si>
    <t>delisting_date</t>
  </si>
  <si>
    <t>data_quality_notes</t>
  </si>
  <si>
    <r>
      <rPr>
        <i/>
        <sz val="9"/>
        <color rgb="FF666666"/>
        <rFont val="Arial"/>
        <family val="2"/>
      </rPr>
      <t>Wind</t>
    </r>
    <r>
      <rPr>
        <i/>
        <sz val="9"/>
        <color rgb="FF666666"/>
        <rFont val="Noto Sans CJK SC"/>
        <family val="2"/>
      </rPr>
      <t>代码
  ★必填</t>
    </r>
  </si>
  <si>
    <t>证券中文简称
  ★必填</t>
  </si>
  <si>
    <r>
      <rPr>
        <i/>
        <sz val="9"/>
        <color rgb="FF666666"/>
        <rFont val="Arial"/>
        <family val="2"/>
      </rPr>
      <t>ipo_listdate
yyyy-mm-dd  ★</t>
    </r>
    <r>
      <rPr>
        <i/>
        <sz val="9"/>
        <color rgb="FF666666"/>
        <rFont val="Noto Sans CJK SC"/>
        <family val="2"/>
      </rPr>
      <t>必填</t>
    </r>
  </si>
  <si>
    <r>
      <rPr>
        <i/>
        <sz val="9"/>
        <color rgb="FF666666"/>
        <rFont val="Arial"/>
        <family val="2"/>
      </rPr>
      <t>ipo_setdate
yyyy-mm-dd  ★</t>
    </r>
    <r>
      <rPr>
        <i/>
        <sz val="9"/>
        <color rgb="FF666666"/>
        <rFont val="Noto Sans CJK SC"/>
        <family val="2"/>
      </rPr>
      <t>必填</t>
    </r>
  </si>
  <si>
    <r>
      <rPr>
        <i/>
        <sz val="9"/>
        <color rgb="FF666666"/>
        <rFont val="Arial"/>
        <family val="2"/>
      </rPr>
      <t>(</t>
    </r>
    <r>
      <rPr>
        <i/>
        <sz val="9"/>
        <color rgb="FF666666"/>
        <rFont val="Noto Sans CJK SC"/>
        <family val="2"/>
      </rPr>
      <t>枚举</t>
    </r>
    <r>
      <rPr>
        <i/>
        <sz val="9"/>
        <color rgb="FF666666"/>
        <rFont val="Arial"/>
        <family val="2"/>
      </rPr>
      <t>)
  ★</t>
    </r>
    <r>
      <rPr>
        <i/>
        <sz val="9"/>
        <color rgb="FF666666"/>
        <rFont val="Noto Sans CJK SC"/>
        <family val="2"/>
      </rPr>
      <t>必填</t>
    </r>
  </si>
  <si>
    <r>
      <rPr>
        <i/>
        <sz val="9"/>
        <color rgb="FF666666"/>
        <rFont val="Arial"/>
        <family val="2"/>
      </rPr>
      <t>AH</t>
    </r>
    <r>
      <rPr>
        <i/>
        <sz val="9"/>
        <color rgb="FF666666"/>
        <rFont val="Noto Sans CJK SC"/>
        <family val="2"/>
      </rPr>
      <t xml:space="preserve">双重上市
</t>
    </r>
    <r>
      <rPr>
        <i/>
        <sz val="9"/>
        <color rgb="FF666666"/>
        <rFont val="Arial"/>
        <family val="2"/>
      </rPr>
      <t>0/1  ★</t>
    </r>
    <r>
      <rPr>
        <i/>
        <sz val="9"/>
        <color rgb="FF666666"/>
        <rFont val="Noto Sans CJK SC"/>
        <family val="2"/>
      </rPr>
      <t>必填</t>
    </r>
  </si>
  <si>
    <r>
      <rPr>
        <i/>
        <sz val="9"/>
        <color rgb="FF666666"/>
        <rFont val="Noto Sans CJK SC"/>
        <family val="2"/>
      </rPr>
      <t>对应</t>
    </r>
    <r>
      <rPr>
        <i/>
        <sz val="9"/>
        <color rgb="FF666666"/>
        <rFont val="Arial"/>
        <family val="2"/>
      </rPr>
      <t>A</t>
    </r>
    <r>
      <rPr>
        <i/>
        <sz val="9"/>
        <color rgb="FF666666"/>
        <rFont val="Noto Sans CJK SC"/>
        <family val="2"/>
      </rPr>
      <t>股代码
  ○选填</t>
    </r>
  </si>
  <si>
    <r>
      <rPr>
        <i/>
        <sz val="9"/>
        <color rgb="FF666666"/>
        <rFont val="Noto Sans CJK SC"/>
        <family val="2"/>
      </rPr>
      <t>行业</t>
    </r>
    <r>
      <rPr>
        <i/>
        <sz val="9"/>
        <color rgb="FF666666"/>
        <rFont val="Arial"/>
        <family val="2"/>
      </rPr>
      <t>GICSL2
  ★</t>
    </r>
    <r>
      <rPr>
        <i/>
        <sz val="9"/>
        <color rgb="FF666666"/>
        <rFont val="Noto Sans CJK SC"/>
        <family val="2"/>
      </rPr>
      <t>必填</t>
    </r>
  </si>
  <si>
    <r>
      <rPr>
        <i/>
        <sz val="9"/>
        <color rgb="FF666666"/>
        <rFont val="Arial"/>
        <family val="2"/>
      </rPr>
      <t>ipo_price
HKD  ★</t>
    </r>
    <r>
      <rPr>
        <i/>
        <sz val="9"/>
        <color rgb="FF666666"/>
        <rFont val="Noto Sans CJK SC"/>
        <family val="2"/>
      </rPr>
      <t>必填</t>
    </r>
  </si>
  <si>
    <r>
      <rPr>
        <i/>
        <sz val="9"/>
        <color rgb="FF666666"/>
        <rFont val="Arial"/>
        <family val="2"/>
      </rPr>
      <t>ipo_offerprice_low
HKD  ○</t>
    </r>
    <r>
      <rPr>
        <i/>
        <sz val="9"/>
        <color rgb="FF666666"/>
        <rFont val="Noto Sans CJK SC"/>
        <family val="2"/>
      </rPr>
      <t>选填</t>
    </r>
  </si>
  <si>
    <r>
      <rPr>
        <i/>
        <sz val="9"/>
        <color rgb="FF666666"/>
        <rFont val="Arial"/>
        <family val="2"/>
      </rPr>
      <t>ipo_offerprice_high
HKD  ○</t>
    </r>
    <r>
      <rPr>
        <i/>
        <sz val="9"/>
        <color rgb="FF666666"/>
        <rFont val="Noto Sans CJK SC"/>
        <family val="2"/>
      </rPr>
      <t>选填</t>
    </r>
  </si>
  <si>
    <r>
      <rPr>
        <i/>
        <sz val="9"/>
        <color rgb="FF666666"/>
        <rFont val="Arial"/>
        <family val="2"/>
      </rPr>
      <t>ipo_amount
HKD  ★</t>
    </r>
    <r>
      <rPr>
        <i/>
        <sz val="9"/>
        <color rgb="FF666666"/>
        <rFont val="Noto Sans CJK SC"/>
        <family val="2"/>
      </rPr>
      <t>必填</t>
    </r>
  </si>
  <si>
    <r>
      <rPr>
        <i/>
        <sz val="9"/>
        <color rgb="FF666666"/>
        <rFont val="Arial"/>
        <family val="2"/>
      </rPr>
      <t xml:space="preserve">ipo_intoversub
</t>
    </r>
    <r>
      <rPr>
        <i/>
        <sz val="9"/>
        <color rgb="FF666666"/>
        <rFont val="Noto Sans CJK SC"/>
        <family val="2"/>
      </rPr>
      <t>倍  ★必填</t>
    </r>
  </si>
  <si>
    <r>
      <rPr>
        <i/>
        <sz val="9"/>
        <color rgb="FF666666"/>
        <rFont val="Arial"/>
        <family val="2"/>
      </rPr>
      <t xml:space="preserve">ipo_puboversub
</t>
    </r>
    <r>
      <rPr>
        <i/>
        <sz val="9"/>
        <color rgb="FF666666"/>
        <rFont val="Noto Sans CJK SC"/>
        <family val="2"/>
      </rPr>
      <t>倍  ★必填</t>
    </r>
  </si>
  <si>
    <r>
      <rPr>
        <i/>
        <sz val="9"/>
        <color rgb="FF666666"/>
        <rFont val="Arial"/>
        <family val="2"/>
      </rPr>
      <t>(</t>
    </r>
    <r>
      <rPr>
        <i/>
        <sz val="9"/>
        <color rgb="FF666666"/>
        <rFont val="Noto Sans CJK SC"/>
        <family val="2"/>
      </rPr>
      <t>派生</t>
    </r>
    <r>
      <rPr>
        <i/>
        <sz val="9"/>
        <color rgb="FF666666"/>
        <rFont val="Arial"/>
        <family val="2"/>
      </rPr>
      <t>)
0/1  ★</t>
    </r>
    <r>
      <rPr>
        <i/>
        <sz val="9"/>
        <color rgb="FF666666"/>
        <rFont val="Noto Sans CJK SC"/>
        <family val="2"/>
      </rPr>
      <t>必填</t>
    </r>
  </si>
  <si>
    <r>
      <rPr>
        <i/>
        <sz val="9"/>
        <color rgb="FF666666"/>
        <rFont val="Arial"/>
        <family val="2"/>
      </rPr>
      <t xml:space="preserve">ipo_oversinl_pct
</t>
    </r>
    <r>
      <rPr>
        <i/>
        <sz val="9"/>
        <color rgb="FF666666"/>
        <rFont val="Noto Sans CJK SC"/>
        <family val="2"/>
      </rPr>
      <t>比例  ○选填</t>
    </r>
  </si>
  <si>
    <r>
      <rPr>
        <i/>
        <sz val="9"/>
        <color rgb="FF666666"/>
        <rFont val="Arial"/>
        <family val="2"/>
      </rPr>
      <t>ipo_underwriter
  ★</t>
    </r>
    <r>
      <rPr>
        <i/>
        <sz val="9"/>
        <color rgb="FF666666"/>
        <rFont val="Noto Sans CJK SC"/>
        <family val="2"/>
      </rPr>
      <t>必填</t>
    </r>
  </si>
  <si>
    <r>
      <rPr>
        <i/>
        <sz val="9"/>
        <color rgb="FF666666"/>
        <rFont val="Arial"/>
        <family val="2"/>
      </rPr>
      <t>(</t>
    </r>
    <r>
      <rPr>
        <i/>
        <sz val="9"/>
        <color rgb="FF666666"/>
        <rFont val="Noto Sans CJK SC"/>
        <family val="2"/>
      </rPr>
      <t>派生</t>
    </r>
    <r>
      <rPr>
        <i/>
        <sz val="9"/>
        <color rgb="FF666666"/>
        <rFont val="Arial"/>
        <family val="2"/>
      </rPr>
      <t>:</t>
    </r>
    <r>
      <rPr>
        <i/>
        <sz val="9"/>
        <color rgb="FF666666"/>
        <rFont val="Noto Sans CJK SC"/>
        <family val="2"/>
      </rPr>
      <t>计数</t>
    </r>
    <r>
      <rPr>
        <i/>
        <sz val="9"/>
        <color rgb="FF666666"/>
        <rFont val="Arial"/>
        <family val="2"/>
      </rPr>
      <t>+</t>
    </r>
    <r>
      <rPr>
        <i/>
        <sz val="9"/>
        <color rgb="FF666666"/>
        <rFont val="Noto Sans CJK SC"/>
        <family val="2"/>
      </rPr>
      <t>号</t>
    </r>
    <r>
      <rPr>
        <i/>
        <sz val="9"/>
        <color rgb="FF666666"/>
        <rFont val="Arial"/>
        <family val="2"/>
      </rPr>
      <t xml:space="preserve">)
</t>
    </r>
    <r>
      <rPr>
        <i/>
        <sz val="9"/>
        <color rgb="FF666666"/>
        <rFont val="Noto Sans CJK SC"/>
        <family val="2"/>
      </rPr>
      <t>整数  ○选填</t>
    </r>
  </si>
  <si>
    <r>
      <rPr>
        <i/>
        <sz val="9"/>
        <color rgb="FF666666"/>
        <rFont val="Arial"/>
        <family val="2"/>
      </rPr>
      <t>(</t>
    </r>
    <r>
      <rPr>
        <i/>
        <sz val="9"/>
        <color rgb="FF666666"/>
        <rFont val="Noto Sans CJK SC"/>
        <family val="2"/>
      </rPr>
      <t>枚举</t>
    </r>
    <r>
      <rPr>
        <i/>
        <sz val="9"/>
        <color rgb="FF666666"/>
        <rFont val="Arial"/>
        <family val="2"/>
      </rPr>
      <t>1/2/3)
1/2/3  ★</t>
    </r>
    <r>
      <rPr>
        <i/>
        <sz val="9"/>
        <color rgb="FF666666"/>
        <rFont val="Noto Sans CJK SC"/>
        <family val="2"/>
      </rPr>
      <t>必填</t>
    </r>
  </si>
  <si>
    <r>
      <rPr>
        <i/>
        <sz val="9"/>
        <color rgb="FF666666"/>
        <rFont val="Arial"/>
        <family val="2"/>
      </rPr>
      <t>(</t>
    </r>
    <r>
      <rPr>
        <i/>
        <sz val="9"/>
        <color rgb="FF666666"/>
        <rFont val="Noto Sans CJK SC"/>
        <family val="2"/>
      </rPr>
      <t>枚举</t>
    </r>
    <r>
      <rPr>
        <i/>
        <sz val="9"/>
        <color rgb="FF666666"/>
        <rFont val="Arial"/>
        <family val="2"/>
      </rPr>
      <t>1/2/3)
1/2/3  ○</t>
    </r>
    <r>
      <rPr>
        <i/>
        <sz val="9"/>
        <color rgb="FF666666"/>
        <rFont val="Noto Sans CJK SC"/>
        <family val="2"/>
      </rPr>
      <t>选填</t>
    </r>
  </si>
  <si>
    <r>
      <rPr>
        <i/>
        <sz val="9"/>
        <color rgb="FF666666"/>
        <rFont val="Arial"/>
        <family val="2"/>
      </rPr>
      <t xml:space="preserve">ipo_pe
</t>
    </r>
    <r>
      <rPr>
        <i/>
        <sz val="9"/>
        <color rgb="FF666666"/>
        <rFont val="Noto Sans CJK SC"/>
        <family val="2"/>
      </rPr>
      <t>倍  ○选填</t>
    </r>
  </si>
  <si>
    <r>
      <rPr>
        <i/>
        <sz val="9"/>
        <color rgb="FF666666"/>
        <rFont val="Arial"/>
        <family val="2"/>
      </rPr>
      <t>(</t>
    </r>
    <r>
      <rPr>
        <i/>
        <sz val="9"/>
        <color rgb="FF666666"/>
        <rFont val="Noto Sans CJK SC"/>
        <family val="2"/>
      </rPr>
      <t>招股书</t>
    </r>
    <r>
      <rPr>
        <i/>
        <sz val="9"/>
        <color rgb="FF666666"/>
        <rFont val="Arial"/>
        <family val="2"/>
      </rPr>
      <t>:Pre-IPO</t>
    </r>
    <r>
      <rPr>
        <i/>
        <sz val="9"/>
        <color rgb="FF666666"/>
        <rFont val="Noto Sans CJK SC"/>
        <family val="2"/>
      </rPr>
      <t>最后一轮</t>
    </r>
    <r>
      <rPr>
        <i/>
        <sz val="9"/>
        <color rgb="FF666666"/>
        <rFont val="Arial"/>
        <family val="2"/>
      </rPr>
      <t xml:space="preserve">)
</t>
    </r>
    <r>
      <rPr>
        <i/>
        <sz val="9"/>
        <color rgb="FF666666"/>
        <rFont val="Noto Sans CJK SC"/>
        <family val="2"/>
      </rPr>
      <t>比例  ○选填</t>
    </r>
  </si>
  <si>
    <t>招股书锁定期
月  ○选填</t>
  </si>
  <si>
    <r>
      <rPr>
        <i/>
        <sz val="9"/>
        <color rgb="FF666666"/>
        <rFont val="Noto Sans CJK SC"/>
        <family val="2"/>
      </rPr>
      <t xml:space="preserve">退市状态
</t>
    </r>
    <r>
      <rPr>
        <i/>
        <sz val="9"/>
        <color rgb="FF666666"/>
        <rFont val="Arial"/>
        <family val="2"/>
      </rPr>
      <t>0/1  ★</t>
    </r>
    <r>
      <rPr>
        <i/>
        <sz val="9"/>
        <color rgb="FF666666"/>
        <rFont val="Noto Sans CJK SC"/>
        <family val="2"/>
      </rPr>
      <t>必填</t>
    </r>
  </si>
  <si>
    <r>
      <rPr>
        <i/>
        <sz val="9"/>
        <color rgb="FF666666"/>
        <rFont val="Noto Sans CJK SC"/>
        <family val="2"/>
      </rPr>
      <t xml:space="preserve">退市日期
</t>
    </r>
    <r>
      <rPr>
        <i/>
        <sz val="9"/>
        <color rgb="FF666666"/>
        <rFont val="Arial"/>
        <family val="2"/>
      </rPr>
      <t>yyyy-mm-dd  ○</t>
    </r>
    <r>
      <rPr>
        <i/>
        <sz val="9"/>
        <color rgb="FF666666"/>
        <rFont val="Noto Sans CJK SC"/>
        <family val="2"/>
      </rPr>
      <t>选填</t>
    </r>
  </si>
  <si>
    <r>
      <rPr>
        <i/>
        <sz val="9"/>
        <color rgb="FF666666"/>
        <rFont val="Arial"/>
        <family val="2"/>
      </rPr>
      <t>(</t>
    </r>
    <r>
      <rPr>
        <i/>
        <sz val="9"/>
        <color rgb="FF666666"/>
        <rFont val="Noto Sans CJK SC"/>
        <family val="2"/>
      </rPr>
      <t>备注</t>
    </r>
    <r>
      <rPr>
        <i/>
        <sz val="9"/>
        <color rgb="FF666666"/>
        <rFont val="Arial"/>
        <family val="2"/>
      </rPr>
      <t>)
  ○</t>
    </r>
    <r>
      <rPr>
        <i/>
        <sz val="9"/>
        <color rgb="FF666666"/>
        <rFont val="Noto Sans CJK SC"/>
        <family val="2"/>
      </rPr>
      <t>选填</t>
    </r>
  </si>
  <si>
    <t>03296.HK</t>
  </si>
  <si>
    <t>华勤技术</t>
  </si>
  <si>
    <t>2026-04-23</t>
  </si>
  <si>
    <t>a_plus_h</t>
  </si>
  <si>
    <t>603296.SH</t>
  </si>
  <si>
    <t>TECH_HARDWARE</t>
  </si>
  <si>
    <r>
      <rPr>
        <sz val="10"/>
        <color rgb="FF0000FF"/>
        <rFont val="Noto Sans CJK SC"/>
        <family val="2"/>
      </rPr>
      <t>中金公司</t>
    </r>
    <r>
      <rPr>
        <sz val="10"/>
        <color rgb="FF0000FF"/>
        <rFont val="Arial"/>
        <family val="2"/>
      </rPr>
      <t>+</t>
    </r>
    <r>
      <rPr>
        <sz val="10"/>
        <color rgb="FF0000FF"/>
        <rFont val="Noto Sans CJK SC"/>
        <family val="2"/>
      </rPr>
      <t>美银证券</t>
    </r>
  </si>
  <si>
    <t>ticket_size estimated</t>
  </si>
  <si>
    <t>ipo_listing_date</t>
  </si>
  <si>
    <t>cornerstone_raw_name</t>
  </si>
  <si>
    <t>cornerstone_full_name</t>
  </si>
  <si>
    <t>ticket_amount_value</t>
  </si>
  <si>
    <t>ticket_amount_ccy</t>
  </si>
  <si>
    <t>affiliation_disclosed</t>
  </si>
  <si>
    <t>notes</t>
  </si>
  <si>
    <r>
      <rPr>
        <i/>
        <sz val="9"/>
        <color rgb="FF666666"/>
        <rFont val="Arial"/>
        <family val="2"/>
      </rPr>
      <t>(</t>
    </r>
    <r>
      <rPr>
        <i/>
        <sz val="9"/>
        <color rgb="FF666666"/>
        <rFont val="Noto Sans CJK SC"/>
        <family val="2"/>
      </rPr>
      <t>关联</t>
    </r>
    <r>
      <rPr>
        <i/>
        <sz val="9"/>
        <color rgb="FF666666"/>
        <rFont val="Arial"/>
        <family val="2"/>
      </rPr>
      <t>)
yyyy-mm-dd  ★</t>
    </r>
    <r>
      <rPr>
        <i/>
        <sz val="9"/>
        <color rgb="FF666666"/>
        <rFont val="Noto Sans CJK SC"/>
        <family val="2"/>
      </rPr>
      <t>必填</t>
    </r>
  </si>
  <si>
    <r>
      <rPr>
        <i/>
        <sz val="9"/>
        <color rgb="FF666666"/>
        <rFont val="Noto Sans CJK SC"/>
        <family val="2"/>
      </rPr>
      <t>招股书原文</t>
    </r>
    <r>
      <rPr>
        <i/>
        <sz val="9"/>
        <color rgb="FF666666"/>
        <rFont val="Arial"/>
        <family val="2"/>
      </rPr>
      <t>(</t>
    </r>
    <r>
      <rPr>
        <i/>
        <sz val="9"/>
        <color rgb="FF666666"/>
        <rFont val="Noto Sans CJK SC"/>
        <family val="2"/>
      </rPr>
      <t>不要归一</t>
    </r>
    <r>
      <rPr>
        <i/>
        <sz val="9"/>
        <color rgb="FF666666"/>
        <rFont val="Arial"/>
        <family val="2"/>
      </rPr>
      <t>)
  ★</t>
    </r>
    <r>
      <rPr>
        <i/>
        <sz val="9"/>
        <color rgb="FF666666"/>
        <rFont val="Noto Sans CJK SC"/>
        <family val="2"/>
      </rPr>
      <t>必填</t>
    </r>
  </si>
  <si>
    <r>
      <rPr>
        <i/>
        <sz val="9"/>
        <color rgb="FF666666"/>
        <rFont val="Noto Sans CJK SC"/>
        <family val="2"/>
      </rPr>
      <t>全称</t>
    </r>
    <r>
      <rPr>
        <i/>
        <sz val="9"/>
        <color rgb="FF666666"/>
        <rFont val="Arial"/>
        <family val="2"/>
      </rPr>
      <t>/</t>
    </r>
    <r>
      <rPr>
        <i/>
        <sz val="9"/>
        <color rgb="FF666666"/>
        <rFont val="Noto Sans CJK SC"/>
        <family val="2"/>
      </rPr>
      <t>带说明
  ○选填</t>
    </r>
  </si>
  <si>
    <t>认购金额数值
  ★必填</t>
  </si>
  <si>
    <r>
      <rPr>
        <i/>
        <sz val="9"/>
        <color rgb="FF666666"/>
        <rFont val="Noto Sans CJK SC"/>
        <family val="2"/>
      </rPr>
      <t xml:space="preserve">币种
</t>
    </r>
    <r>
      <rPr>
        <i/>
        <sz val="9"/>
        <color rgb="FF666666"/>
        <rFont val="Arial"/>
        <family val="2"/>
      </rPr>
      <t>HKD/USD  ★</t>
    </r>
    <r>
      <rPr>
        <i/>
        <sz val="9"/>
        <color rgb="FF666666"/>
        <rFont val="Noto Sans CJK SC"/>
        <family val="2"/>
      </rPr>
      <t>必填</t>
    </r>
  </si>
  <si>
    <t>锁定期
月  ★必填</t>
  </si>
  <si>
    <t>备注
  ○选填</t>
  </si>
  <si>
    <t>JPMAMAPL</t>
  </si>
  <si>
    <t>JPMAMAPL (J.P. Morgan AM Asia Pac)</t>
  </si>
  <si>
    <t>HKD</t>
  </si>
  <si>
    <t>prospectus_2026-04-15</t>
  </si>
  <si>
    <t>UBS AM Singapore</t>
  </si>
  <si>
    <t>Aurora SF</t>
  </si>
  <si>
    <t>revenue_n3</t>
  </si>
  <si>
    <t>revenue_n2</t>
  </si>
  <si>
    <t>revenue_n1</t>
  </si>
  <si>
    <t>net_profit_n3</t>
  </si>
  <si>
    <t>net_profit_n2</t>
  </si>
  <si>
    <t>net_profit_n1</t>
  </si>
  <si>
    <t>gross_margin_n3</t>
  </si>
  <si>
    <t>gross_margin_n2</t>
  </si>
  <si>
    <t>gross_margin_n1</t>
  </si>
  <si>
    <t>roe_avg_3y</t>
  </si>
  <si>
    <t>net_debt_to_ebitda</t>
  </si>
  <si>
    <t>fcf_positive_years_3y</t>
  </si>
  <si>
    <t>top1_customer_pct_n1</t>
  </si>
  <si>
    <r>
      <rPr>
        <i/>
        <sz val="9"/>
        <color rgb="FF666666"/>
        <rFont val="Noto Sans CJK SC"/>
        <family val="2"/>
      </rPr>
      <t>近</t>
    </r>
    <r>
      <rPr>
        <i/>
        <sz val="9"/>
        <color rgb="FF666666"/>
        <rFont val="Arial"/>
        <family val="2"/>
      </rPr>
      <t>3</t>
    </r>
    <r>
      <rPr>
        <i/>
        <sz val="9"/>
        <color rgb="FF666666"/>
        <rFont val="Noto Sans CJK SC"/>
        <family val="2"/>
      </rPr>
      <t xml:space="preserve">年自由现金流为正的年数
</t>
    </r>
    <r>
      <rPr>
        <i/>
        <sz val="9"/>
        <color rgb="FF666666"/>
        <rFont val="Arial"/>
        <family val="2"/>
      </rPr>
      <t>0-3  ○</t>
    </r>
    <r>
      <rPr>
        <i/>
        <sz val="9"/>
        <color rgb="FF666666"/>
        <rFont val="Noto Sans CJK SC"/>
        <family val="2"/>
      </rPr>
      <t>选填</t>
    </r>
  </si>
  <si>
    <r>
      <rPr>
        <i/>
        <sz val="9"/>
        <color rgb="FF666666"/>
        <rFont val="Arial"/>
        <family val="2"/>
      </rPr>
      <t xml:space="preserve">N-1 </t>
    </r>
    <r>
      <rPr>
        <i/>
        <sz val="9"/>
        <color rgb="FF666666"/>
        <rFont val="Noto Sans CJK SC"/>
        <family val="2"/>
      </rPr>
      <t xml:space="preserve">年第一大客户收入占比
</t>
    </r>
    <r>
      <rPr>
        <i/>
        <sz val="9"/>
        <color rgb="FF666666"/>
        <rFont val="Arial"/>
        <family val="2"/>
      </rPr>
      <t>%  ○</t>
    </r>
    <r>
      <rPr>
        <i/>
        <sz val="9"/>
        <color rgb="FF666666"/>
        <rFont val="Noto Sans CJK SC"/>
        <family val="2"/>
      </rPr>
      <t>选填</t>
    </r>
  </si>
  <si>
    <t>unlock_date</t>
  </si>
  <si>
    <t>trade_date</t>
  </si>
  <si>
    <t>hsi_close</t>
  </si>
  <si>
    <t>hscei_close</t>
  </si>
  <si>
    <t>hibor_3m</t>
  </si>
  <si>
    <r>
      <rPr>
        <i/>
        <sz val="9"/>
        <color rgb="FF666666"/>
        <rFont val="Arial"/>
        <family val="2"/>
      </rPr>
      <t>yyyy-mm-dd
★</t>
    </r>
    <r>
      <rPr>
        <i/>
        <sz val="9"/>
        <color rgb="FF666666"/>
        <rFont val="Noto Sans CJK SC"/>
        <family val="2"/>
      </rPr>
      <t>必填</t>
    </r>
  </si>
  <si>
    <r>
      <rPr>
        <i/>
        <sz val="9"/>
        <color rgb="FF666666"/>
        <rFont val="Arial"/>
        <family val="2"/>
      </rPr>
      <t>Wind: HSI.HI close
★</t>
    </r>
    <r>
      <rPr>
        <i/>
        <sz val="9"/>
        <color rgb="FF666666"/>
        <rFont val="Noto Sans CJK SC"/>
        <family val="2"/>
      </rPr>
      <t>必填</t>
    </r>
  </si>
  <si>
    <t>=WSD("HSI.HI","close,amt","2022-01-01","2026-04-30","")</t>
  </si>
  <si>
    <t>price_window_start</t>
  </si>
  <si>
    <t>price_window_end</t>
  </si>
  <si>
    <t>csv_filename</t>
  </si>
  <si>
    <t>wind_formula_template</t>
  </si>
  <si>
    <r>
      <rPr>
        <i/>
        <sz val="9"/>
        <color rgb="FF666666"/>
        <rFont val="Arial"/>
        <family val="2"/>
      </rPr>
      <t>Wind</t>
    </r>
    <r>
      <rPr>
        <i/>
        <sz val="9"/>
        <color rgb="FF666666"/>
        <rFont val="Noto Sans CJK SC"/>
        <family val="2"/>
      </rPr>
      <t>代码
★必填</t>
    </r>
  </si>
  <si>
    <r>
      <rPr>
        <i/>
        <sz val="9"/>
        <color rgb="FF666666"/>
        <rFont val="Noto Sans CJK SC"/>
        <family val="2"/>
      </rPr>
      <t>上市日</t>
    </r>
    <r>
      <rPr>
        <i/>
        <sz val="9"/>
        <color rgb="FF666666"/>
        <rFont val="Arial"/>
        <family val="2"/>
      </rPr>
      <t>(</t>
    </r>
    <r>
      <rPr>
        <i/>
        <sz val="9"/>
        <color rgb="FF666666"/>
        <rFont val="Noto Sans CJK SC"/>
        <family val="2"/>
      </rPr>
      <t>从</t>
    </r>
    <r>
      <rPr>
        <i/>
        <sz val="9"/>
        <color rgb="FF666666"/>
        <rFont val="Arial"/>
        <family val="2"/>
      </rPr>
      <t>sheet01</t>
    </r>
    <r>
      <rPr>
        <i/>
        <sz val="9"/>
        <color rgb="FF666666"/>
        <rFont val="Noto Sans CJK SC"/>
        <family val="2"/>
      </rPr>
      <t>拷过来</t>
    </r>
    <r>
      <rPr>
        <i/>
        <sz val="9"/>
        <color rgb="FF666666"/>
        <rFont val="Arial"/>
        <family val="2"/>
      </rPr>
      <t>)
★</t>
    </r>
    <r>
      <rPr>
        <i/>
        <sz val="9"/>
        <color rgb="FF666666"/>
        <rFont val="Noto Sans CJK SC"/>
        <family val="2"/>
      </rPr>
      <t>必填</t>
    </r>
  </si>
  <si>
    <r>
      <rPr>
        <i/>
        <sz val="9"/>
        <color rgb="FF666666"/>
        <rFont val="Arial"/>
        <family val="2"/>
      </rPr>
      <t>(</t>
    </r>
    <r>
      <rPr>
        <i/>
        <sz val="9"/>
        <color rgb="FF666666"/>
        <rFont val="Noto Sans CJK SC"/>
        <family val="2"/>
      </rPr>
      <t>派生</t>
    </r>
    <r>
      <rPr>
        <i/>
        <sz val="9"/>
        <color rgb="FF666666"/>
        <rFont val="Arial"/>
        <family val="2"/>
      </rPr>
      <t>:</t>
    </r>
    <r>
      <rPr>
        <i/>
        <sz val="9"/>
        <color rgb="FF666666"/>
        <rFont val="Noto Sans CJK SC"/>
        <family val="2"/>
      </rPr>
      <t>上市前</t>
    </r>
    <r>
      <rPr>
        <i/>
        <sz val="9"/>
        <color rgb="FF666666"/>
        <rFont val="Arial"/>
        <family val="2"/>
      </rPr>
      <t>5</t>
    </r>
    <r>
      <rPr>
        <i/>
        <sz val="9"/>
        <color rgb="FF666666"/>
        <rFont val="Noto Sans CJK SC"/>
        <family val="2"/>
      </rPr>
      <t>天</t>
    </r>
    <r>
      <rPr>
        <i/>
        <sz val="9"/>
        <color rgb="FF666666"/>
        <rFont val="Arial"/>
        <family val="2"/>
      </rPr>
      <t xml:space="preserve">)
</t>
    </r>
  </si>
  <si>
    <r>
      <rPr>
        <i/>
        <sz val="9"/>
        <color rgb="FF666666"/>
        <rFont val="Arial"/>
        <family val="2"/>
      </rPr>
      <t>(</t>
    </r>
    <r>
      <rPr>
        <i/>
        <sz val="9"/>
        <color rgb="FF666666"/>
        <rFont val="Noto Sans CJK SC"/>
        <family val="2"/>
      </rPr>
      <t>派生</t>
    </r>
    <r>
      <rPr>
        <i/>
        <sz val="9"/>
        <color rgb="FF666666"/>
        <rFont val="Arial"/>
        <family val="2"/>
      </rPr>
      <t>:</t>
    </r>
    <r>
      <rPr>
        <i/>
        <sz val="9"/>
        <color rgb="FF666666"/>
        <rFont val="Noto Sans CJK SC"/>
        <family val="2"/>
      </rPr>
      <t>上市后</t>
    </r>
    <r>
      <rPr>
        <i/>
        <sz val="9"/>
        <color rgb="FF666666"/>
        <rFont val="Arial"/>
        <family val="2"/>
      </rPr>
      <t>400</t>
    </r>
    <r>
      <rPr>
        <i/>
        <sz val="9"/>
        <color rgb="FF666666"/>
        <rFont val="Noto Sans CJK SC"/>
        <family val="2"/>
      </rPr>
      <t>天</t>
    </r>
    <r>
      <rPr>
        <i/>
        <sz val="9"/>
        <color rgb="FF666666"/>
        <rFont val="Arial"/>
        <family val="2"/>
      </rPr>
      <t xml:space="preserve">)
</t>
    </r>
  </si>
  <si>
    <r>
      <rPr>
        <i/>
        <sz val="9"/>
        <color rgb="FF666666"/>
        <rFont val="Arial"/>
        <family val="2"/>
      </rPr>
      <t>(</t>
    </r>
    <r>
      <rPr>
        <i/>
        <sz val="9"/>
        <color rgb="FF666666"/>
        <rFont val="Noto Sans CJK SC"/>
        <family val="2"/>
      </rPr>
      <t>派生</t>
    </r>
    <r>
      <rPr>
        <i/>
        <sz val="9"/>
        <color rgb="FF666666"/>
        <rFont val="Arial"/>
        <family val="2"/>
      </rPr>
      <t xml:space="preserve">)
</t>
    </r>
  </si>
  <si>
    <t>2026-04-18</t>
  </si>
  <si>
    <t>2027-05-28</t>
  </si>
  <si>
    <t>03296_HK.csv</t>
  </si>
  <si>
    <t>=WSD("03296.HK","close,amt,trade_status","2026-04-18","2027-05-28","")</t>
  </si>
  <si>
    <r>
      <rPr>
        <i/>
        <sz val="9"/>
        <color rgb="FF666666"/>
        <rFont val="Noto Sans CJK SC"/>
        <family val="2"/>
      </rPr>
      <t>工作流</t>
    </r>
    <r>
      <rPr>
        <i/>
        <sz val="9"/>
        <color rgb="FF666666"/>
        <rFont val="Arial"/>
        <family val="2"/>
      </rPr>
      <t xml:space="preserve">: </t>
    </r>
    <r>
      <rPr>
        <i/>
        <sz val="9"/>
        <color rgb="FF666666"/>
        <rFont val="Noto Sans CJK SC"/>
        <family val="2"/>
      </rPr>
      <t xml:space="preserve">把 </t>
    </r>
    <r>
      <rPr>
        <i/>
        <sz val="9"/>
        <color rgb="FF666666"/>
        <rFont val="Arial"/>
        <family val="2"/>
      </rPr>
      <t xml:space="preserve">sheet01 </t>
    </r>
    <r>
      <rPr>
        <i/>
        <sz val="9"/>
        <color rgb="FF666666"/>
        <rFont val="Noto Sans CJK SC"/>
        <family val="2"/>
      </rPr>
      <t xml:space="preserve">的全部 </t>
    </r>
    <r>
      <rPr>
        <i/>
        <sz val="9"/>
        <color rgb="FF666666"/>
        <rFont val="Arial"/>
        <family val="2"/>
      </rPr>
      <t xml:space="preserve">(stock_code, listing_date) </t>
    </r>
    <r>
      <rPr>
        <i/>
        <sz val="9"/>
        <color rgb="FF666666"/>
        <rFont val="Noto Sans CJK SC"/>
        <family val="2"/>
      </rPr>
      <t xml:space="preserve">拷贝到 </t>
    </r>
    <r>
      <rPr>
        <i/>
        <sz val="9"/>
        <color rgb="FF666666"/>
        <rFont val="Arial"/>
        <family val="2"/>
      </rPr>
      <t xml:space="preserve">A/B </t>
    </r>
    <r>
      <rPr>
        <i/>
        <sz val="9"/>
        <color rgb="FF666666"/>
        <rFont val="Noto Sans CJK SC"/>
        <family val="2"/>
      </rPr>
      <t>列</t>
    </r>
    <r>
      <rPr>
        <i/>
        <sz val="9"/>
        <color rgb="FF666666"/>
        <rFont val="Arial"/>
        <family val="2"/>
      </rPr>
      <t>, F</t>
    </r>
    <r>
      <rPr>
        <i/>
        <sz val="9"/>
        <color rgb="FF666666"/>
        <rFont val="Noto Sans CJK SC"/>
        <family val="2"/>
      </rPr>
      <t xml:space="preserve">列会自动生成 </t>
    </r>
    <r>
      <rPr>
        <i/>
        <sz val="9"/>
        <color rgb="FF666666"/>
        <rFont val="Arial"/>
        <family val="2"/>
      </rPr>
      <t xml:space="preserve">Wind </t>
    </r>
    <r>
      <rPr>
        <i/>
        <sz val="9"/>
        <color rgb="FF666666"/>
        <rFont val="Noto Sans CJK SC"/>
        <family val="2"/>
      </rPr>
      <t>公式</t>
    </r>
    <r>
      <rPr>
        <i/>
        <sz val="9"/>
        <color rgb="FF666666"/>
        <rFont val="Arial"/>
        <family val="2"/>
      </rPr>
      <t xml:space="preserve">. </t>
    </r>
    <r>
      <rPr>
        <i/>
        <sz val="9"/>
        <color rgb="FF666666"/>
        <rFont val="Noto Sans CJK SC"/>
        <family val="2"/>
      </rPr>
      <t xml:space="preserve">把每个公式输出粘贴到独立 </t>
    </r>
    <r>
      <rPr>
        <i/>
        <sz val="9"/>
        <color rgb="FF666666"/>
        <rFont val="Arial"/>
        <family val="2"/>
      </rPr>
      <t xml:space="preserve">CSV </t>
    </r>
    <r>
      <rPr>
        <i/>
        <sz val="9"/>
        <color rgb="FF666666"/>
        <rFont val="Noto Sans CJK SC"/>
        <family val="2"/>
      </rPr>
      <t>文件</t>
    </r>
    <r>
      <rPr>
        <i/>
        <sz val="9"/>
        <color rgb="FF666666"/>
        <rFont val="Arial"/>
        <family val="2"/>
      </rPr>
      <t xml:space="preserve">, </t>
    </r>
    <r>
      <rPr>
        <i/>
        <sz val="9"/>
        <color rgb="FF666666"/>
        <rFont val="Noto Sans CJK SC"/>
        <family val="2"/>
      </rPr>
      <t xml:space="preserve">文件名用 </t>
    </r>
    <r>
      <rPr>
        <i/>
        <sz val="9"/>
        <color rgb="FF666666"/>
        <rFont val="Arial"/>
        <family val="2"/>
      </rPr>
      <t xml:space="preserve">E </t>
    </r>
    <r>
      <rPr>
        <i/>
        <sz val="9"/>
        <color rgb="FF666666"/>
        <rFont val="Noto Sans CJK SC"/>
        <family val="2"/>
      </rPr>
      <t>列的命名规则</t>
    </r>
    <r>
      <rPr>
        <i/>
        <sz val="9"/>
        <color rgb="FF666666"/>
        <rFont val="Arial"/>
        <family val="2"/>
      </rPr>
      <t>.</t>
    </r>
  </si>
  <si>
    <t>字段名</t>
  </si>
  <si>
    <t>类型</t>
  </si>
  <si>
    <t>取值说明</t>
  </si>
  <si>
    <t>枚举</t>
  </si>
  <si>
    <t>main_board_profitable / a_plus_h / main_board_unprofitable / 18a / 18c_commercial / 18c_precommercial / secondary / spac</t>
  </si>
  <si>
    <r>
      <rPr>
        <sz val="10"/>
        <rFont val="Arial"/>
        <family val="2"/>
      </rPr>
      <t>1=</t>
    </r>
    <r>
      <rPr>
        <sz val="10"/>
        <rFont val="Noto Sans CJK SC"/>
        <family val="2"/>
      </rPr>
      <t>中金</t>
    </r>
    <r>
      <rPr>
        <sz val="10"/>
        <rFont val="Arial"/>
        <family val="2"/>
      </rPr>
      <t>/MS/GS/UBS/JPM/</t>
    </r>
    <r>
      <rPr>
        <sz val="10"/>
        <rFont val="Noto Sans CJK SC"/>
        <family val="2"/>
      </rPr>
      <t>华泰国际</t>
    </r>
    <r>
      <rPr>
        <sz val="10"/>
        <rFont val="Arial"/>
        <family val="2"/>
      </rPr>
      <t>; 2=</t>
    </r>
    <r>
      <rPr>
        <sz val="10"/>
        <rFont val="Noto Sans CJK SC"/>
        <family val="2"/>
      </rPr>
      <t>海通国际</t>
    </r>
    <r>
      <rPr>
        <sz val="10"/>
        <rFont val="Arial"/>
        <family val="2"/>
      </rPr>
      <t>/</t>
    </r>
    <r>
      <rPr>
        <sz val="10"/>
        <rFont val="Noto Sans CJK SC"/>
        <family val="2"/>
      </rPr>
      <t>招银国际</t>
    </r>
    <r>
      <rPr>
        <sz val="10"/>
        <rFont val="Arial"/>
        <family val="2"/>
      </rPr>
      <t>/</t>
    </r>
    <r>
      <rPr>
        <sz val="10"/>
        <rFont val="Noto Sans CJK SC"/>
        <family val="2"/>
      </rPr>
      <t>农银国际</t>
    </r>
    <r>
      <rPr>
        <sz val="10"/>
        <rFont val="Arial"/>
        <family val="2"/>
      </rPr>
      <t>/</t>
    </r>
    <r>
      <rPr>
        <sz val="10"/>
        <rFont val="Noto Sans CJK SC"/>
        <family val="2"/>
      </rPr>
      <t>建银国际</t>
    </r>
    <r>
      <rPr>
        <sz val="10"/>
        <rFont val="Arial"/>
        <family val="2"/>
      </rPr>
      <t>; 3=</t>
    </r>
    <r>
      <rPr>
        <sz val="10"/>
        <rFont val="Noto Sans CJK SC"/>
        <family val="2"/>
      </rPr>
      <t>其他</t>
    </r>
  </si>
  <si>
    <r>
      <rPr>
        <sz val="10"/>
        <rFont val="Arial"/>
        <family val="2"/>
      </rPr>
      <t xml:space="preserve">1=PwC/EY/KPMG/Deloitte </t>
    </r>
    <r>
      <rPr>
        <sz val="10"/>
        <rFont val="Noto Sans CJK SC"/>
        <family val="2"/>
      </rPr>
      <t>四大</t>
    </r>
    <r>
      <rPr>
        <sz val="10"/>
        <rFont val="Arial"/>
        <family val="2"/>
      </rPr>
      <t>; 2=</t>
    </r>
    <r>
      <rPr>
        <sz val="10"/>
        <rFont val="Noto Sans CJK SC"/>
        <family val="2"/>
      </rPr>
      <t>本地大所</t>
    </r>
    <r>
      <rPr>
        <sz val="10"/>
        <rFont val="Arial"/>
        <family val="2"/>
      </rPr>
      <t>; 3=</t>
    </r>
    <r>
      <rPr>
        <sz val="10"/>
        <rFont val="Noto Sans CJK SC"/>
        <family val="2"/>
      </rPr>
      <t>其他</t>
    </r>
  </si>
  <si>
    <r>
      <rPr>
        <sz val="10"/>
        <rFont val="Arial"/>
        <family val="2"/>
      </rPr>
      <t>1=</t>
    </r>
    <r>
      <rPr>
        <sz val="10"/>
        <rFont val="Noto Sans CJK SC"/>
        <family val="2"/>
      </rPr>
      <t>招股书披露与发行人</t>
    </r>
    <r>
      <rPr>
        <sz val="10"/>
        <rFont val="Arial"/>
        <family val="2"/>
      </rPr>
      <t>/</t>
    </r>
    <r>
      <rPr>
        <sz val="10"/>
        <rFont val="Noto Sans CJK SC"/>
        <family val="2"/>
      </rPr>
      <t>控股股东</t>
    </r>
    <r>
      <rPr>
        <sz val="10"/>
        <rFont val="Arial"/>
        <family val="2"/>
      </rPr>
      <t>/</t>
    </r>
    <r>
      <rPr>
        <sz val="10"/>
        <rFont val="Noto Sans CJK SC"/>
        <family val="2"/>
      </rPr>
      <t>保荐人有关连</t>
    </r>
    <r>
      <rPr>
        <sz val="10"/>
        <rFont val="Arial"/>
        <family val="2"/>
      </rPr>
      <t>; 0=</t>
    </r>
    <r>
      <rPr>
        <sz val="10"/>
        <rFont val="Noto Sans CJK SC"/>
        <family val="2"/>
      </rPr>
      <t>明确无关连</t>
    </r>
    <r>
      <rPr>
        <sz val="10"/>
        <rFont val="Arial"/>
        <family val="2"/>
      </rPr>
      <t>; unknown=</t>
    </r>
    <r>
      <rPr>
        <sz val="10"/>
        <rFont val="Noto Sans CJK SC"/>
        <family val="2"/>
      </rPr>
      <t>招股书未提</t>
    </r>
  </si>
  <si>
    <r>
      <rPr>
        <sz val="10"/>
        <rFont val="Arial"/>
        <family val="2"/>
      </rPr>
      <t>HKD / USD / CNY (USD</t>
    </r>
    <r>
      <rPr>
        <sz val="10"/>
        <rFont val="Noto Sans CJK SC"/>
        <family val="2"/>
      </rPr>
      <t>和</t>
    </r>
    <r>
      <rPr>
        <sz val="10"/>
        <rFont val="Arial"/>
        <family val="2"/>
      </rPr>
      <t>CNY</t>
    </r>
    <r>
      <rPr>
        <sz val="10"/>
        <rFont val="Noto Sans CJK SC"/>
        <family val="2"/>
      </rPr>
      <t>会按招股日中间价转</t>
    </r>
    <r>
      <rPr>
        <sz val="10"/>
        <rFont val="Arial"/>
        <family val="2"/>
      </rPr>
      <t>HKD)</t>
    </r>
  </si>
  <si>
    <t>数值</t>
  </si>
  <si>
    <r>
      <rPr>
        <sz val="10"/>
        <rFont val="Noto Sans CJK SC"/>
        <family val="2"/>
      </rPr>
      <t>国际配售认购倍数</t>
    </r>
    <r>
      <rPr>
        <sz val="10"/>
        <rFont val="Arial"/>
        <family val="2"/>
      </rPr>
      <t xml:space="preserve">. &lt;1.5x </t>
    </r>
    <r>
      <rPr>
        <sz val="10"/>
        <rFont val="Noto Sans CJK SC"/>
        <family val="2"/>
      </rPr>
      <t xml:space="preserve">会触发 </t>
    </r>
    <r>
      <rPr>
        <sz val="10"/>
        <rFont val="Arial"/>
        <family val="2"/>
      </rPr>
      <t xml:space="preserve">Layer 1 </t>
    </r>
    <r>
      <rPr>
        <sz val="10"/>
        <rFont val="Noto Sans CJK SC"/>
        <family val="2"/>
      </rPr>
      <t>否决条款</t>
    </r>
  </si>
  <si>
    <r>
      <rPr>
        <sz val="10"/>
        <rFont val="Noto Sans CJK SC"/>
        <family val="2"/>
      </rPr>
      <t>公开发售认购倍数</t>
    </r>
    <r>
      <rPr>
        <sz val="10"/>
        <rFont val="Arial"/>
        <family val="2"/>
      </rPr>
      <t xml:space="preserve">. </t>
    </r>
    <r>
      <rPr>
        <sz val="10"/>
        <rFont val="Noto Sans CJK SC"/>
        <family val="2"/>
      </rPr>
      <t>单看不重要</t>
    </r>
    <r>
      <rPr>
        <sz val="10"/>
        <rFont val="Arial"/>
        <family val="2"/>
      </rPr>
      <t xml:space="preserve">, </t>
    </r>
    <r>
      <rPr>
        <sz val="10"/>
        <rFont val="Noto Sans CJK SC"/>
        <family val="2"/>
      </rPr>
      <t>但与</t>
    </r>
    <r>
      <rPr>
        <sz val="10"/>
        <rFont val="Arial"/>
        <family val="2"/>
      </rPr>
      <t>intl</t>
    </r>
    <r>
      <rPr>
        <sz val="10"/>
        <rFont val="Noto Sans CJK SC"/>
        <family val="2"/>
      </rPr>
      <t>严重背离时</t>
    </r>
    <r>
      <rPr>
        <sz val="10"/>
        <rFont val="Arial"/>
        <family val="2"/>
      </rPr>
      <t>(</t>
    </r>
    <r>
      <rPr>
        <sz val="10"/>
        <rFont val="Noto Sans CJK SC"/>
        <family val="2"/>
      </rPr>
      <t>如</t>
    </r>
    <r>
      <rPr>
        <sz val="10"/>
        <rFont val="Arial"/>
        <family val="2"/>
      </rPr>
      <t>&gt;100x</t>
    </r>
    <r>
      <rPr>
        <sz val="10"/>
        <rFont val="Noto Sans CJK SC"/>
        <family val="2"/>
      </rPr>
      <t>但</t>
    </r>
    <r>
      <rPr>
        <sz val="10"/>
        <rFont val="Arial"/>
        <family val="2"/>
      </rPr>
      <t>intl&lt;3x)</t>
    </r>
    <r>
      <rPr>
        <sz val="10"/>
        <rFont val="Noto Sans CJK SC"/>
        <family val="2"/>
      </rPr>
      <t>是危险信号</t>
    </r>
  </si>
  <si>
    <t>布尔</t>
  </si>
  <si>
    <r>
      <rPr>
        <sz val="10"/>
        <rFont val="Noto Sans CJK SC"/>
        <family val="2"/>
      </rPr>
      <t>机制</t>
    </r>
    <r>
      <rPr>
        <sz val="10"/>
        <rFont val="Arial"/>
        <family val="2"/>
      </rPr>
      <t>A</t>
    </r>
    <r>
      <rPr>
        <sz val="10"/>
        <rFont val="Noto Sans CJK SC"/>
        <family val="2"/>
      </rPr>
      <t>可能触发</t>
    </r>
    <r>
      <rPr>
        <sz val="10"/>
        <rFont val="Arial"/>
        <family val="2"/>
      </rPr>
      <t>(</t>
    </r>
    <r>
      <rPr>
        <sz val="10"/>
        <rFont val="Noto Sans CJK SC"/>
        <family val="2"/>
      </rPr>
      <t>超额时</t>
    </r>
    <r>
      <rPr>
        <sz val="10"/>
        <rFont val="Arial"/>
        <family val="2"/>
      </rPr>
      <t xml:space="preserve">), </t>
    </r>
    <r>
      <rPr>
        <sz val="10"/>
        <rFont val="Noto Sans CJK SC"/>
        <family val="2"/>
      </rPr>
      <t>机制</t>
    </r>
    <r>
      <rPr>
        <sz val="10"/>
        <rFont val="Arial"/>
        <family val="2"/>
      </rPr>
      <t>B</t>
    </r>
    <r>
      <rPr>
        <sz val="10"/>
        <rFont val="Noto Sans CJK SC"/>
        <family val="2"/>
      </rPr>
      <t>永远</t>
    </r>
    <r>
      <rPr>
        <sz val="10"/>
        <rFont val="Arial"/>
        <family val="2"/>
      </rPr>
      <t>False</t>
    </r>
  </si>
  <si>
    <r>
      <rPr>
        <sz val="10"/>
        <rFont val="Noto Sans CJK SC"/>
        <family val="2"/>
      </rPr>
      <t>绿鞋占发行规模比例</t>
    </r>
    <r>
      <rPr>
        <sz val="10"/>
        <rFont val="Arial"/>
        <family val="2"/>
      </rPr>
      <t xml:space="preserve">, </t>
    </r>
    <r>
      <rPr>
        <sz val="10"/>
        <rFont val="Noto Sans CJK SC"/>
        <family val="2"/>
      </rPr>
      <t>通常</t>
    </r>
    <r>
      <rPr>
        <sz val="10"/>
        <rFont val="Arial"/>
        <family val="2"/>
      </rPr>
      <t>0.15</t>
    </r>
  </si>
  <si>
    <r>
      <rPr>
        <sz val="10"/>
        <rFont val="Arial"/>
        <family val="2"/>
      </rPr>
      <t>(</t>
    </r>
    <r>
      <rPr>
        <sz val="10"/>
        <rFont val="Noto Sans CJK SC"/>
        <family val="2"/>
      </rPr>
      <t>发行估值</t>
    </r>
    <r>
      <rPr>
        <sz val="10"/>
        <rFont val="Arial"/>
        <family val="2"/>
      </rPr>
      <t>/Pre-IPO</t>
    </r>
    <r>
      <rPr>
        <sz val="10"/>
        <rFont val="Noto Sans CJK SC"/>
        <family val="2"/>
      </rPr>
      <t>最后一轮估值</t>
    </r>
    <r>
      <rPr>
        <sz val="10"/>
        <rFont val="Arial"/>
        <family val="2"/>
      </rPr>
      <t>)-1. A+H</t>
    </r>
    <r>
      <rPr>
        <sz val="10"/>
        <rFont val="Noto Sans CJK SC"/>
        <family val="2"/>
      </rPr>
      <t xml:space="preserve">公司常用 </t>
    </r>
    <r>
      <rPr>
        <sz val="10"/>
        <rFont val="Arial"/>
        <family val="2"/>
      </rPr>
      <t>H</t>
    </r>
    <r>
      <rPr>
        <sz val="10"/>
        <rFont val="Noto Sans CJK SC"/>
        <family val="2"/>
      </rPr>
      <t>股发行价</t>
    </r>
    <r>
      <rPr>
        <sz val="10"/>
        <rFont val="Arial"/>
        <family val="2"/>
      </rPr>
      <t>/A</t>
    </r>
    <r>
      <rPr>
        <sz val="10"/>
        <rFont val="Noto Sans CJK SC"/>
        <family val="2"/>
      </rPr>
      <t>股价格</t>
    </r>
    <r>
      <rPr>
        <sz val="10"/>
        <rFont val="Arial"/>
        <family val="2"/>
      </rPr>
      <t>-1</t>
    </r>
  </si>
  <si>
    <r>
      <rPr>
        <sz val="10"/>
        <rFont val="Noto Sans CJK SC"/>
        <family val="2"/>
      </rPr>
      <t>基石锁定期</t>
    </r>
    <r>
      <rPr>
        <sz val="10"/>
        <rFont val="Arial"/>
        <family val="2"/>
      </rPr>
      <t>(</t>
    </r>
    <r>
      <rPr>
        <sz val="10"/>
        <rFont val="Noto Sans CJK SC"/>
        <family val="2"/>
      </rPr>
      <t>月</t>
    </r>
    <r>
      <rPr>
        <sz val="10"/>
        <rFont val="Arial"/>
        <family val="2"/>
      </rPr>
      <t xml:space="preserve">), </t>
    </r>
    <r>
      <rPr>
        <sz val="10"/>
        <rFont val="Noto Sans CJK SC"/>
        <family val="2"/>
      </rPr>
      <t>通常</t>
    </r>
    <r>
      <rPr>
        <sz val="10"/>
        <rFont val="Arial"/>
        <family val="2"/>
      </rPr>
      <t xml:space="preserve">6, </t>
    </r>
    <r>
      <rPr>
        <sz val="10"/>
        <rFont val="Noto Sans CJK SC"/>
        <family val="2"/>
      </rPr>
      <t>部分项目分批解锁取最长</t>
    </r>
  </si>
  <si>
    <r>
      <rPr>
        <sz val="10"/>
        <rFont val="Noto Sans CJK SC"/>
        <family val="2"/>
      </rPr>
      <t>回测时不剔除</t>
    </r>
    <r>
      <rPr>
        <sz val="10"/>
        <rFont val="Arial"/>
        <family val="2"/>
      </rPr>
      <t xml:space="preserve">, </t>
    </r>
    <r>
      <rPr>
        <sz val="10"/>
        <rFont val="Noto Sans CJK SC"/>
        <family val="2"/>
      </rPr>
      <t>用于反幸存者偏差</t>
    </r>
  </si>
  <si>
    <r>
      <rPr>
        <b/>
        <sz val="10"/>
        <color rgb="FFFFFFFF"/>
        <rFont val="Arial"/>
        <family val="2"/>
      </rPr>
      <t>Wind</t>
    </r>
    <r>
      <rPr>
        <b/>
        <sz val="10"/>
        <color rgb="FFFFFFFF"/>
        <rFont val="Noto Sans CJK SC"/>
        <family val="2"/>
      </rPr>
      <t>公式</t>
    </r>
  </si>
  <si>
    <t>目标字段</t>
  </si>
  <si>
    <t>说明</t>
  </si>
  <si>
    <r>
      <rPr>
        <sz val="10"/>
        <color rgb="FF000000"/>
        <rFont val="Noto Sans CJK SC"/>
        <family val="2"/>
      </rPr>
      <t xml:space="preserve">拉 </t>
    </r>
    <r>
      <rPr>
        <sz val="10"/>
        <color rgb="FF000000"/>
        <rFont val="Arial"/>
        <family val="2"/>
      </rPr>
      <t xml:space="preserve">2022-2026/4 </t>
    </r>
    <r>
      <rPr>
        <sz val="10"/>
        <color rgb="FF000000"/>
        <rFont val="Noto Sans CJK SC"/>
        <family val="2"/>
      </rPr>
      <t>全部</t>
    </r>
    <r>
      <rPr>
        <sz val="10"/>
        <color rgb="FF000000"/>
        <rFont val="Arial"/>
        <family val="2"/>
      </rPr>
      <t>HK</t>
    </r>
    <r>
      <rPr>
        <sz val="10"/>
        <color rgb="FF000000"/>
        <rFont val="Noto Sans CJK SC"/>
        <family val="2"/>
      </rPr>
      <t>主板</t>
    </r>
    <r>
      <rPr>
        <sz val="10"/>
        <color rgb="FF000000"/>
        <rFont val="Arial"/>
        <family val="2"/>
      </rPr>
      <t>IPO</t>
    </r>
    <r>
      <rPr>
        <sz val="10"/>
        <color rgb="FF000000"/>
        <rFont val="Noto Sans CJK SC"/>
        <family val="2"/>
      </rPr>
      <t>列表</t>
    </r>
  </si>
  <si>
    <t>是否包含已退市</t>
  </si>
  <si>
    <r>
      <rPr>
        <sz val="10"/>
        <color rgb="FFC00000"/>
        <rFont val="Noto Sans CJK SC"/>
        <family val="2"/>
      </rPr>
      <t>勾选</t>
    </r>
    <r>
      <rPr>
        <sz val="10"/>
        <color rgb="FFC00000"/>
        <rFont val="Arial"/>
        <family val="2"/>
      </rPr>
      <t>Wind</t>
    </r>
    <r>
      <rPr>
        <sz val="10"/>
        <color rgb="FFC00000"/>
        <rFont val="Noto Sans CJK SC"/>
        <family val="2"/>
      </rPr>
      <t xml:space="preserve">函数选项 </t>
    </r>
    <r>
      <rPr>
        <sz val="10"/>
        <color rgb="FFC00000"/>
        <rFont val="Arial"/>
        <family val="2"/>
      </rPr>
      <t>includesuspended=1</t>
    </r>
  </si>
  <si>
    <t>右键函数→选项→包含已退市</t>
  </si>
  <si>
    <r>
      <rPr>
        <sz val="10"/>
        <color rgb="FF000000"/>
        <rFont val="Noto Sans CJK SC"/>
        <family val="2"/>
      </rPr>
      <t>单只</t>
    </r>
    <r>
      <rPr>
        <sz val="10"/>
        <color rgb="FF000000"/>
        <rFont val="Arial"/>
        <family val="2"/>
      </rPr>
      <t>IPO</t>
    </r>
    <r>
      <rPr>
        <sz val="10"/>
        <color rgb="FF000000"/>
        <rFont val="Noto Sans CJK SC"/>
        <family val="2"/>
      </rPr>
      <t>横截面字段</t>
    </r>
  </si>
  <si>
    <t>=WSS("03296.HK","ipo_listdate,ipo_setdate,ipo_price,ipo_amount,ipo_intoversub,ipo_puboversub,ipo_pe")</t>
  </si>
  <si>
    <t>多个字段一次拉</t>
  </si>
  <si>
    <r>
      <rPr>
        <sz val="10"/>
        <color rgb="FF000000"/>
        <rFont val="Noto Sans CJK SC"/>
        <family val="2"/>
      </rPr>
      <t>推荐做法</t>
    </r>
    <r>
      <rPr>
        <sz val="10"/>
        <color rgb="FF000000"/>
        <rFont val="Arial"/>
        <family val="2"/>
      </rPr>
      <t xml:space="preserve">: </t>
    </r>
    <r>
      <rPr>
        <sz val="10"/>
        <color rgb="FF000000"/>
        <rFont val="Noto Sans CJK SC"/>
        <family val="2"/>
      </rPr>
      <t>把整列字段名用逗号串联</t>
    </r>
    <r>
      <rPr>
        <sz val="10"/>
        <color rgb="FF000000"/>
        <rFont val="Arial"/>
        <family val="2"/>
      </rPr>
      <t xml:space="preserve">, </t>
    </r>
    <r>
      <rPr>
        <sz val="10"/>
        <color rgb="FF000000"/>
        <rFont val="Noto Sans CJK SC"/>
        <family val="2"/>
      </rPr>
      <t>一次性拉</t>
    </r>
  </si>
  <si>
    <t>发行价</t>
  </si>
  <si>
    <t>=WSS($A3,"ipo_price")</t>
  </si>
  <si>
    <t>募资总额</t>
  </si>
  <si>
    <t>=WSS($A3,"ipo_amount")</t>
  </si>
  <si>
    <r>
      <rPr>
        <sz val="10"/>
        <color rgb="FF000000"/>
        <rFont val="Noto Sans CJK SC"/>
        <family val="2"/>
      </rPr>
      <t>通常</t>
    </r>
    <r>
      <rPr>
        <sz val="10"/>
        <color rgb="FF000000"/>
        <rFont val="Arial"/>
        <family val="2"/>
      </rPr>
      <t>HKD</t>
    </r>
    <r>
      <rPr>
        <sz val="10"/>
        <color rgb="FF000000"/>
        <rFont val="Noto Sans CJK SC"/>
        <family val="2"/>
      </rPr>
      <t>口径</t>
    </r>
    <r>
      <rPr>
        <sz val="10"/>
        <color rgb="FF000000"/>
        <rFont val="Arial"/>
        <family val="2"/>
      </rPr>
      <t xml:space="preserve">, </t>
    </r>
    <r>
      <rPr>
        <sz val="10"/>
        <color rgb="FF000000"/>
        <rFont val="Noto Sans CJK SC"/>
        <family val="2"/>
      </rPr>
      <t>但要确认单位</t>
    </r>
  </si>
  <si>
    <t>国际配售倍数</t>
  </si>
  <si>
    <t>=WSS($A3,"ipo_intoversub")</t>
  </si>
  <si>
    <r>
      <rPr>
        <sz val="10"/>
        <color rgb="FF000000"/>
        <rFont val="Noto Sans CJK SC"/>
        <family val="2"/>
      </rPr>
      <t>如显示空白</t>
    </r>
    <r>
      <rPr>
        <sz val="10"/>
        <color rgb="FF000000"/>
        <rFont val="Arial"/>
        <family val="2"/>
      </rPr>
      <t xml:space="preserve">, </t>
    </r>
    <r>
      <rPr>
        <sz val="10"/>
        <color rgb="FF000000"/>
        <rFont val="Noto Sans CJK SC"/>
        <family val="2"/>
      </rPr>
      <t>用配售结果公告补</t>
    </r>
  </si>
  <si>
    <t>公开发售倍数</t>
  </si>
  <si>
    <t>=WSS($A3,"ipo_puboversub")</t>
  </si>
  <si>
    <r>
      <rPr>
        <sz val="10"/>
        <color rgb="FF000000"/>
        <rFont val="Noto Sans CJK SC"/>
        <family val="2"/>
      </rPr>
      <t>发行</t>
    </r>
    <r>
      <rPr>
        <sz val="10"/>
        <color rgb="FF000000"/>
        <rFont val="Arial"/>
        <family val="2"/>
      </rPr>
      <t>PE</t>
    </r>
  </si>
  <si>
    <t>=WSS($A3,"ipo_pe")</t>
  </si>
  <si>
    <t>保荐人</t>
  </si>
  <si>
    <t>=WSS($A3,"ipo_underwriter")</t>
  </si>
  <si>
    <r>
      <rPr>
        <sz val="10"/>
        <color rgb="FF000000"/>
        <rFont val="Noto Sans CJK SC"/>
        <family val="2"/>
      </rPr>
      <t>行业</t>
    </r>
    <r>
      <rPr>
        <sz val="10"/>
        <color rgb="FF000000"/>
        <rFont val="Arial"/>
        <family val="2"/>
      </rPr>
      <t>GICS</t>
    </r>
  </si>
  <si>
    <t>=WSS($A3,"sec_gicsindustryname2")</t>
  </si>
  <si>
    <t>退市状态</t>
  </si>
  <si>
    <t>=WSS($A3,"sec_status")</t>
  </si>
  <si>
    <r>
      <rPr>
        <sz val="10"/>
        <color rgb="FF000000"/>
        <rFont val="Noto Sans CJK SC"/>
        <family val="2"/>
      </rPr>
      <t>返回值映射</t>
    </r>
    <r>
      <rPr>
        <sz val="10"/>
        <color rgb="FF000000"/>
        <rFont val="Arial"/>
        <family val="2"/>
      </rPr>
      <t>: "</t>
    </r>
    <r>
      <rPr>
        <sz val="10"/>
        <color rgb="FF000000"/>
        <rFont val="Noto Sans CJK SC"/>
        <family val="2"/>
      </rPr>
      <t>退市</t>
    </r>
    <r>
      <rPr>
        <sz val="10"/>
        <color rgb="FF000000"/>
        <rFont val="Arial"/>
        <family val="2"/>
      </rPr>
      <t>"-&gt;1, "</t>
    </r>
    <r>
      <rPr>
        <sz val="10"/>
        <color rgb="FF000000"/>
        <rFont val="Noto Sans CJK SC"/>
        <family val="2"/>
      </rPr>
      <t>正常</t>
    </r>
    <r>
      <rPr>
        <sz val="10"/>
        <color rgb="FF000000"/>
        <rFont val="Arial"/>
        <family val="2"/>
      </rPr>
      <t>"-&gt;0</t>
    </r>
  </si>
  <si>
    <t>退市日期</t>
  </si>
  <si>
    <t>=WSS($A3,"delist_date")</t>
  </si>
  <si>
    <t>基石明细</t>
  </si>
  <si>
    <r>
      <rPr>
        <sz val="10"/>
        <color rgb="FFC00000"/>
        <rFont val="Arial"/>
        <family val="2"/>
      </rPr>
      <t xml:space="preserve">Wind </t>
    </r>
    <r>
      <rPr>
        <sz val="10"/>
        <color rgb="FFC00000"/>
        <rFont val="Noto Sans CJK SC"/>
        <family val="2"/>
      </rPr>
      <t>没有现成函数</t>
    </r>
  </si>
  <si>
    <t>ipo_cornerstones</t>
  </si>
  <si>
    <r>
      <rPr>
        <sz val="10"/>
        <color rgb="FF000000"/>
        <rFont val="Noto Sans CJK SC"/>
        <family val="2"/>
      </rPr>
      <t>需手工从招股书中复制</t>
    </r>
    <r>
      <rPr>
        <sz val="10"/>
        <color rgb="FF000000"/>
        <rFont val="Arial"/>
        <family val="2"/>
      </rPr>
      <t xml:space="preserve">. </t>
    </r>
    <r>
      <rPr>
        <sz val="10"/>
        <color rgb="FF000000"/>
        <rFont val="Noto Sans CJK SC"/>
        <family val="2"/>
      </rPr>
      <t xml:space="preserve">招股书在 </t>
    </r>
    <r>
      <rPr>
        <sz val="10"/>
        <color rgb="FF000000"/>
        <rFont val="Arial"/>
        <family val="2"/>
      </rPr>
      <t xml:space="preserve">HKEX </t>
    </r>
    <r>
      <rPr>
        <sz val="10"/>
        <color rgb="FF000000"/>
        <rFont val="Noto Sans CJK SC"/>
        <family val="2"/>
      </rPr>
      <t xml:space="preserve">披露易 </t>
    </r>
    <r>
      <rPr>
        <sz val="10"/>
        <color rgb="FF000000"/>
        <rFont val="Arial"/>
        <family val="2"/>
      </rPr>
      <t xml:space="preserve">(https://www.hkexnews.hk) </t>
    </r>
    <r>
      <rPr>
        <sz val="10"/>
        <color rgb="FF000000"/>
        <rFont val="Noto Sans CJK SC"/>
        <family val="2"/>
      </rPr>
      <t>下载</t>
    </r>
    <r>
      <rPr>
        <sz val="10"/>
        <color rgb="FF000000"/>
        <rFont val="Arial"/>
        <family val="2"/>
      </rPr>
      <t xml:space="preserve">. </t>
    </r>
    <r>
      <rPr>
        <sz val="10"/>
        <color rgb="FF000000"/>
        <rFont val="Noto Sans CJK SC"/>
        <family val="2"/>
      </rPr>
      <t>推荐用</t>
    </r>
    <r>
      <rPr>
        <sz val="10"/>
        <color rgb="FF000000"/>
        <rFont val="Arial"/>
        <family val="2"/>
      </rPr>
      <t>Adobe Acrobat</t>
    </r>
    <r>
      <rPr>
        <sz val="10"/>
        <color rgb="FF000000"/>
        <rFont val="Noto Sans CJK SC"/>
        <family val="2"/>
      </rPr>
      <t>或</t>
    </r>
    <r>
      <rPr>
        <sz val="10"/>
        <color rgb="FF000000"/>
        <rFont val="Arial"/>
        <family val="2"/>
      </rPr>
      <t>Excel</t>
    </r>
    <r>
      <rPr>
        <sz val="10"/>
        <color rgb="FF000000"/>
        <rFont val="Noto Sans CJK SC"/>
        <family val="2"/>
      </rPr>
      <t>粘贴板提取</t>
    </r>
  </si>
  <si>
    <r>
      <rPr>
        <sz val="10"/>
        <color rgb="FF000000"/>
        <rFont val="Arial"/>
        <family val="2"/>
      </rPr>
      <t xml:space="preserve">CCASS </t>
    </r>
    <r>
      <rPr>
        <sz val="10"/>
        <color rgb="FF000000"/>
        <rFont val="Noto Sans CJK SC"/>
        <family val="2"/>
      </rPr>
      <t>持仓占比</t>
    </r>
  </si>
  <si>
    <t>=WSS("03296.HK","ccass_pct;tradeDate=2026-10-23")</t>
  </si>
  <si>
    <t>ccass_pct_*</t>
  </si>
  <si>
    <r>
      <rPr>
        <sz val="10"/>
        <color rgb="FF000000"/>
        <rFont val="Noto Sans CJK SC"/>
        <family val="2"/>
      </rPr>
      <t xml:space="preserve">需要参数 </t>
    </r>
    <r>
      <rPr>
        <sz val="10"/>
        <color rgb="FF000000"/>
        <rFont val="Arial"/>
        <family val="2"/>
      </rPr>
      <t>tradeDate</t>
    </r>
  </si>
  <si>
    <t>恒指日频</t>
  </si>
  <si>
    <t>05_hsi_macro</t>
  </si>
  <si>
    <t>一次拉全期间</t>
  </si>
  <si>
    <t>HIBOR 3M</t>
  </si>
  <si>
    <t>=WSD("HIBOR3M.IR","close","2022-01-01","2026-04-30","")</t>
  </si>
  <si>
    <r>
      <rPr>
        <sz val="10"/>
        <color rgb="FF000000"/>
        <rFont val="Noto Sans CJK SC"/>
        <family val="2"/>
      </rPr>
      <t>选填</t>
    </r>
    <r>
      <rPr>
        <sz val="10"/>
        <color rgb="FF000000"/>
        <rFont val="Arial"/>
        <family val="2"/>
      </rPr>
      <t xml:space="preserve">, </t>
    </r>
    <r>
      <rPr>
        <sz val="10"/>
        <color rgb="FF000000"/>
        <rFont val="Noto Sans CJK SC"/>
        <family val="2"/>
      </rPr>
      <t>用于资金成本</t>
    </r>
  </si>
  <si>
    <t>南向资金</t>
  </si>
  <si>
    <t>=WSD("AHKSCH.WI","close","2022-01-01","2026-04-30","")</t>
  </si>
  <si>
    <t>southbound_net_flow</t>
  </si>
  <si>
    <t>南向资金累计净流入指数</t>
  </si>
  <si>
    <r>
      <rPr>
        <sz val="10"/>
        <color rgb="FF000000"/>
        <rFont val="Noto Sans CJK SC"/>
        <family val="2"/>
      </rPr>
      <t>单只</t>
    </r>
    <r>
      <rPr>
        <sz val="10"/>
        <color rgb="FF000000"/>
        <rFont val="Arial"/>
        <family val="2"/>
      </rPr>
      <t>IPO</t>
    </r>
    <r>
      <rPr>
        <sz val="10"/>
        <color rgb="FF000000"/>
        <rFont val="Noto Sans CJK SC"/>
        <family val="2"/>
      </rPr>
      <t>价格历史</t>
    </r>
  </si>
  <si>
    <t>06_price_index</t>
  </si>
  <si>
    <r>
      <rPr>
        <sz val="10"/>
        <color rgb="FF000000"/>
        <rFont val="Noto Sans CJK SC"/>
        <family val="2"/>
      </rPr>
      <t>上市前</t>
    </r>
    <r>
      <rPr>
        <sz val="10"/>
        <color rgb="FF000000"/>
        <rFont val="Arial"/>
        <family val="2"/>
      </rPr>
      <t>5</t>
    </r>
    <r>
      <rPr>
        <sz val="10"/>
        <color rgb="FF000000"/>
        <rFont val="Noto Sans CJK SC"/>
        <family val="2"/>
      </rPr>
      <t>天到上市后</t>
    </r>
    <r>
      <rPr>
        <sz val="10"/>
        <color rgb="FF000000"/>
        <rFont val="Arial"/>
        <family val="2"/>
      </rPr>
      <t>400</t>
    </r>
    <r>
      <rPr>
        <sz val="10"/>
        <color rgb="FF000000"/>
        <rFont val="Noto Sans CJK SC"/>
        <family val="2"/>
      </rPr>
      <t>天</t>
    </r>
  </si>
  <si>
    <t>推荐做法(更稳):</t>
  </si>
  <si>
    <t>取数代码</t>
  </si>
  <si>
    <t>诊断H3:净利字段ID占位为W45364519,如报错请在Wind"指标查询"搜"归母净利润"拿准确ID</t>
  </si>
  <si>
    <t>3296.HK</t>
  </si>
  <si>
    <t>2555.HK</t>
  </si>
  <si>
    <t>3750.HK</t>
  </si>
  <si>
    <t>0300.HK</t>
  </si>
  <si>
    <t>美的集团</t>
  </si>
  <si>
    <t>主板</t>
  </si>
  <si>
    <t>000333.SZ</t>
  </si>
  <si>
    <t>6936.HK</t>
  </si>
  <si>
    <t>顺丰控股</t>
  </si>
  <si>
    <t>002352.SZ</t>
  </si>
  <si>
    <t>9973.HK</t>
  </si>
  <si>
    <t>奇瑞汽车</t>
  </si>
  <si>
    <t>2714.HK</t>
  </si>
  <si>
    <t>牧原股份</t>
  </si>
  <si>
    <t>002714.SZ</t>
  </si>
  <si>
    <t>9878.HK</t>
  </si>
  <si>
    <t>汇通达网络</t>
  </si>
  <si>
    <t>6963.HK</t>
  </si>
  <si>
    <t>阳光保险</t>
  </si>
  <si>
    <t>2423.HK</t>
  </si>
  <si>
    <t>贝壳-W</t>
  </si>
  <si>
    <t>6031.HK</t>
  </si>
  <si>
    <t>三一重工</t>
  </si>
  <si>
    <t>600031.SH</t>
  </si>
  <si>
    <t>1880.HK</t>
  </si>
  <si>
    <t>中国中免</t>
  </si>
  <si>
    <t>601888.SH</t>
  </si>
  <si>
    <t>1519.HK</t>
  </si>
  <si>
    <t>极兔速递-W</t>
  </si>
  <si>
    <t>0699.HK</t>
  </si>
  <si>
    <t>均胜电子</t>
  </si>
  <si>
    <t>600699.SH</t>
  </si>
  <si>
    <t>9866.HK</t>
  </si>
  <si>
    <t>蔚来-SW</t>
  </si>
  <si>
    <t>6613.HK</t>
  </si>
  <si>
    <t>蓝思科技</t>
  </si>
  <si>
    <t>300433.SZ</t>
  </si>
  <si>
    <t>9696.HK</t>
  </si>
  <si>
    <t>天齐锂业</t>
  </si>
  <si>
    <t>002466.SZ</t>
  </si>
  <si>
    <t>9927.HK</t>
  </si>
  <si>
    <t>赛力斯</t>
  </si>
  <si>
    <t>601127.SH</t>
  </si>
  <si>
    <t>2579.HK</t>
  </si>
  <si>
    <t>中伟新材</t>
  </si>
  <si>
    <t>300919.SZ</t>
  </si>
  <si>
    <t>6655.HK</t>
  </si>
  <si>
    <t>华新建材</t>
  </si>
  <si>
    <t>600801.SH</t>
  </si>
  <si>
    <t>2602.HK</t>
  </si>
  <si>
    <t>万物云</t>
  </si>
  <si>
    <t>1698.HK</t>
  </si>
  <si>
    <t>腾讯音乐-SW</t>
  </si>
  <si>
    <t>9611.HK</t>
  </si>
  <si>
    <t>龙旗科技</t>
  </si>
  <si>
    <t>603341.SH</t>
  </si>
  <si>
    <t>3931.HK</t>
  </si>
  <si>
    <t>中创新航</t>
  </si>
  <si>
    <t>2580.HK</t>
  </si>
  <si>
    <t>奥克斯电气</t>
  </si>
  <si>
    <t>3288.HK</t>
  </si>
  <si>
    <t>海天味业</t>
  </si>
  <si>
    <t>603288.SH</t>
  </si>
  <si>
    <t>2050.HK</t>
  </si>
  <si>
    <t>三花智控</t>
  </si>
  <si>
    <t>002050.SZ</t>
  </si>
  <si>
    <t>1276.HK</t>
  </si>
  <si>
    <t>恒瑞医药</t>
  </si>
  <si>
    <t>600276.SH</t>
  </si>
  <si>
    <t>6623.HK</t>
  </si>
  <si>
    <t>陆控</t>
  </si>
  <si>
    <t>2245.HK</t>
  </si>
  <si>
    <t>力勤资源</t>
  </si>
  <si>
    <t>0501.HK</t>
  </si>
  <si>
    <t>豪威集团</t>
  </si>
  <si>
    <t>603501.SH</t>
  </si>
  <si>
    <t>2097.HK</t>
  </si>
  <si>
    <t>蜜雪集团</t>
  </si>
  <si>
    <t>2585.HK</t>
  </si>
  <si>
    <t>梦金园</t>
  </si>
  <si>
    <t>1828.HK</t>
  </si>
  <si>
    <t>富卫集团</t>
  </si>
  <si>
    <t>2865.HK</t>
  </si>
  <si>
    <t>钧达股份</t>
  </si>
  <si>
    <t>002865.SZ</t>
  </si>
  <si>
    <t>2768.HK</t>
  </si>
  <si>
    <t>国恩科技</t>
  </si>
  <si>
    <t>002768.SZ</t>
  </si>
  <si>
    <t>7618.HK</t>
  </si>
  <si>
    <t>京东工业</t>
  </si>
  <si>
    <t>9885.HK</t>
  </si>
  <si>
    <t>药师帮</t>
  </si>
  <si>
    <t>9863.HK</t>
  </si>
  <si>
    <t>零跑汽车</t>
  </si>
  <si>
    <t>0470.HK</t>
  </si>
  <si>
    <t>先导智能</t>
  </si>
  <si>
    <t>300450.SZ</t>
  </si>
  <si>
    <t>2419.HK</t>
  </si>
  <si>
    <t>德康农牧</t>
  </si>
  <si>
    <t>2259.HK</t>
  </si>
  <si>
    <t>紫金黄金国际</t>
  </si>
  <si>
    <t>3660.HK</t>
  </si>
  <si>
    <t>奇富科技-S</t>
  </si>
  <si>
    <t>2648.HK</t>
  </si>
  <si>
    <t>安井食品</t>
  </si>
  <si>
    <t>603345.SH</t>
  </si>
  <si>
    <t>2788.HK</t>
  </si>
  <si>
    <t>创新实业</t>
  </si>
  <si>
    <t>0666.HK</t>
  </si>
  <si>
    <t>瑞浦兰钧</t>
  </si>
  <si>
    <t>9690.HK</t>
  </si>
  <si>
    <t>途虎-W</t>
  </si>
  <si>
    <t>2460.HK</t>
  </si>
  <si>
    <t>华润饮料</t>
  </si>
  <si>
    <t>7489.HK</t>
  </si>
  <si>
    <t>岚图汽车</t>
  </si>
  <si>
    <t>9896.HK</t>
  </si>
  <si>
    <t>名创优品</t>
  </si>
  <si>
    <t>2411.HK</t>
  </si>
  <si>
    <t>百果园集团</t>
  </si>
  <si>
    <t>9980.HK</t>
  </si>
  <si>
    <t>东鹏饮料</t>
  </si>
  <si>
    <t>605499.SH</t>
  </si>
  <si>
    <t>2520.HK</t>
  </si>
  <si>
    <t>山西安装</t>
  </si>
  <si>
    <t>2643.HK</t>
  </si>
  <si>
    <t>曹操出行</t>
  </si>
  <si>
    <t>1768.HK</t>
  </si>
  <si>
    <t>鸣鸣很忙</t>
  </si>
  <si>
    <t>9930.HK</t>
  </si>
  <si>
    <t>宏信建发</t>
  </si>
  <si>
    <t>9638.HK</t>
  </si>
  <si>
    <t>法拉帝</t>
  </si>
  <si>
    <t>2465.HK</t>
  </si>
  <si>
    <t>龙蟠科技</t>
  </si>
  <si>
    <t>603906.SH</t>
  </si>
  <si>
    <t>2519.HK</t>
  </si>
  <si>
    <t>傲基股份</t>
  </si>
  <si>
    <t>2476.HK</t>
  </si>
  <si>
    <t>胜宏科技</t>
  </si>
  <si>
    <t>300476.SZ</t>
  </si>
  <si>
    <t>1364.HK</t>
  </si>
  <si>
    <t>古茗</t>
  </si>
  <si>
    <t>2507.HK</t>
  </si>
  <si>
    <t>西锐</t>
  </si>
  <si>
    <t>6693.HK</t>
  </si>
  <si>
    <t>赤峰黄金</t>
  </si>
  <si>
    <t>600988.SH</t>
  </si>
  <si>
    <t>3896.HK</t>
  </si>
  <si>
    <t>金山云</t>
  </si>
  <si>
    <t>6979.HK</t>
  </si>
  <si>
    <t>珍酒李渡</t>
  </si>
  <si>
    <t>2603.HK</t>
  </si>
  <si>
    <t>吉宏股份</t>
  </si>
  <si>
    <t>002803.SZ</t>
  </si>
  <si>
    <t>6680.HK</t>
  </si>
  <si>
    <t>金力永磁</t>
  </si>
  <si>
    <t>300748.SZ</t>
  </si>
  <si>
    <t>9890.HK</t>
  </si>
  <si>
    <t>贪玩</t>
  </si>
  <si>
    <t>6887.HK</t>
  </si>
  <si>
    <t>东阳光药</t>
  </si>
  <si>
    <t>2510.HK</t>
  </si>
  <si>
    <t>德翔海运</t>
  </si>
  <si>
    <t>2517.HK</t>
  </si>
  <si>
    <t>锅圈</t>
  </si>
  <si>
    <t>2076.HK</t>
  </si>
  <si>
    <t>BOSS直聘-W</t>
  </si>
  <si>
    <t>3986.HK</t>
  </si>
  <si>
    <t>兆易创新</t>
  </si>
  <si>
    <t>603986.SH</t>
  </si>
  <si>
    <t>9981.HK</t>
  </si>
  <si>
    <t>沃尔核材</t>
  </si>
  <si>
    <t>002130.SZ</t>
  </si>
  <si>
    <t>茶百道</t>
  </si>
  <si>
    <t>0638.HK</t>
  </si>
  <si>
    <t>广和通</t>
  </si>
  <si>
    <t>300638.SZ</t>
  </si>
  <si>
    <t>2482.HK</t>
  </si>
  <si>
    <t>维天运通</t>
  </si>
  <si>
    <t>6168.HK</t>
  </si>
  <si>
    <t>周六福</t>
  </si>
  <si>
    <t>2451.HK</t>
  </si>
  <si>
    <t>绿源集团控股</t>
  </si>
  <si>
    <t>9658.HK</t>
  </si>
  <si>
    <t>特海国际</t>
  </si>
  <si>
    <t>9985.HK</t>
  </si>
  <si>
    <t>卫龙美味</t>
  </si>
  <si>
    <t>9676.HK</t>
  </si>
  <si>
    <t>十月稻田</t>
  </si>
  <si>
    <t>9886.HK</t>
  </si>
  <si>
    <t>叮当健康</t>
  </si>
  <si>
    <t>2610.HK</t>
  </si>
  <si>
    <t>南山铝业国际</t>
  </si>
  <si>
    <t>9879.HK</t>
  </si>
  <si>
    <t>米高集团</t>
  </si>
  <si>
    <t>0314.HK</t>
  </si>
  <si>
    <t>思派健康</t>
  </si>
  <si>
    <t>2425.HK</t>
  </si>
  <si>
    <t>澳亚集团</t>
  </si>
  <si>
    <t>2715.HK</t>
  </si>
  <si>
    <t>埃斯顿</t>
  </si>
  <si>
    <t>002747.SZ</t>
  </si>
  <si>
    <t>0999.HK</t>
  </si>
  <si>
    <t>小菜园</t>
  </si>
  <si>
    <t>6960.HK</t>
  </si>
  <si>
    <t>双登股份</t>
  </si>
  <si>
    <t>6682.HK</t>
  </si>
  <si>
    <t>范式智能</t>
  </si>
  <si>
    <t>2390.HK</t>
  </si>
  <si>
    <t>知乎-W</t>
  </si>
  <si>
    <t>2145.HK</t>
  </si>
  <si>
    <t>上美股份</t>
  </si>
  <si>
    <t>3677.HK</t>
  </si>
  <si>
    <t>正力新能</t>
  </si>
  <si>
    <t>9955.HK</t>
  </si>
  <si>
    <t>智云健康</t>
  </si>
  <si>
    <t>6831.HK</t>
  </si>
  <si>
    <t>绿茶集团</t>
  </si>
  <si>
    <t>2367.HK</t>
  </si>
  <si>
    <t>巨子生物</t>
  </si>
  <si>
    <t>2589.HK</t>
  </si>
  <si>
    <t>沪上阿姨</t>
  </si>
  <si>
    <t>9860.HK</t>
  </si>
  <si>
    <t>艾迪康控股</t>
  </si>
  <si>
    <t>6686.HK</t>
  </si>
  <si>
    <t>诺亚控股</t>
  </si>
  <si>
    <t>6181.HK</t>
  </si>
  <si>
    <t>老铺黄金</t>
  </si>
  <si>
    <t>2418.HK</t>
  </si>
  <si>
    <t>德银天下</t>
  </si>
  <si>
    <t>6166.HK</t>
  </si>
  <si>
    <t>剑桥科技</t>
  </si>
  <si>
    <t>603083.SH</t>
  </si>
  <si>
    <t>6810.HK</t>
  </si>
  <si>
    <t>商米科技-W</t>
  </si>
  <si>
    <t>1405.HK</t>
  </si>
  <si>
    <t>达势股份</t>
  </si>
  <si>
    <t>2469.HK</t>
  </si>
  <si>
    <t>粉笔</t>
  </si>
  <si>
    <t>2420.HK</t>
  </si>
  <si>
    <t>子不语</t>
  </si>
  <si>
    <t>2698.HK</t>
  </si>
  <si>
    <t>乐舒适</t>
  </si>
  <si>
    <t>1318.HK</t>
  </si>
  <si>
    <t>毛戈平</t>
  </si>
  <si>
    <t>1187.HK</t>
  </si>
  <si>
    <t>可孚医疗</t>
  </si>
  <si>
    <t>301087.SZ</t>
  </si>
  <si>
    <t>0816.HK</t>
  </si>
  <si>
    <t>金茂服务</t>
  </si>
  <si>
    <t>2581.HK</t>
  </si>
  <si>
    <t>明基医院</t>
  </si>
  <si>
    <t>2881.HK</t>
  </si>
  <si>
    <t>武汉有机</t>
  </si>
  <si>
    <t>1989.HK</t>
  </si>
  <si>
    <t>广合科技</t>
  </si>
  <si>
    <t>001389.SZ</t>
  </si>
  <si>
    <t>2429.HK</t>
  </si>
  <si>
    <t>友宝在线</t>
  </si>
  <si>
    <t>6661.HK</t>
  </si>
  <si>
    <t>湖州燃气</t>
  </si>
  <si>
    <t>6086.HK</t>
  </si>
  <si>
    <t>方舟健客</t>
  </si>
  <si>
    <t>2560.HK</t>
  </si>
  <si>
    <t>海螺材料科技</t>
  </si>
  <si>
    <t>2502.HK</t>
  </si>
  <si>
    <t>金源氢化</t>
  </si>
  <si>
    <t>6809.HK</t>
  </si>
  <si>
    <t>澜起科技</t>
  </si>
  <si>
    <t>688008.SH</t>
  </si>
  <si>
    <t>3355.HK</t>
  </si>
  <si>
    <t>飞速创新</t>
  </si>
  <si>
    <t>9680.HK</t>
  </si>
  <si>
    <t>如祺出行</t>
  </si>
  <si>
    <t>3268.HK</t>
  </si>
  <si>
    <t>美格智能</t>
  </si>
  <si>
    <t>002881.SZ</t>
  </si>
  <si>
    <t>2373.HK</t>
  </si>
  <si>
    <t>美丽田园医疗健康</t>
  </si>
  <si>
    <t>2590.HK</t>
  </si>
  <si>
    <t>极智嘉-W</t>
  </si>
  <si>
    <t>3650.HK</t>
  </si>
  <si>
    <t>KEEP</t>
  </si>
  <si>
    <t>2268.HK</t>
  </si>
  <si>
    <t>药明合联</t>
  </si>
  <si>
    <t>6980.HK</t>
  </si>
  <si>
    <t>八马茶业</t>
  </si>
  <si>
    <t>2516.HK</t>
  </si>
  <si>
    <t>泛远国际</t>
  </si>
  <si>
    <t>9636.HK</t>
  </si>
  <si>
    <t>九方智投控股</t>
  </si>
  <si>
    <t>1497.HK</t>
  </si>
  <si>
    <t>燕之屋</t>
  </si>
  <si>
    <t>2433.HK</t>
  </si>
  <si>
    <t>中天湖南集团</t>
  </si>
  <si>
    <t>0587.HK</t>
  </si>
  <si>
    <t>海螺环保</t>
  </si>
  <si>
    <t>2525.HK</t>
  </si>
  <si>
    <t>禾赛-W</t>
  </si>
  <si>
    <t>2551.HK</t>
  </si>
  <si>
    <t>晶科电子股份</t>
  </si>
  <si>
    <t>2409.HK</t>
  </si>
  <si>
    <t>洲际船务</t>
  </si>
  <si>
    <t>2436.HK</t>
  </si>
  <si>
    <t>凌雄科技</t>
  </si>
  <si>
    <t>9606.HK</t>
  </si>
  <si>
    <t>映恩生物-B</t>
  </si>
  <si>
    <t>2121.HK</t>
  </si>
  <si>
    <t>创新奇智</t>
  </si>
  <si>
    <t>6883.HK</t>
  </si>
  <si>
    <t>颖通控股</t>
  </si>
  <si>
    <t>2621.HK</t>
  </si>
  <si>
    <t>手回集团</t>
  </si>
  <si>
    <t>3200.HK</t>
  </si>
  <si>
    <t>大族数控</t>
  </si>
  <si>
    <t>301200.SZ</t>
  </si>
  <si>
    <t>2391.HK</t>
  </si>
  <si>
    <t>涂鸦智能-W</t>
  </si>
  <si>
    <t>2586.HK</t>
  </si>
  <si>
    <t>多点数智</t>
  </si>
  <si>
    <t>2549.HK</t>
  </si>
  <si>
    <t>卡罗特</t>
  </si>
  <si>
    <t>9660.HK</t>
  </si>
  <si>
    <t>地平线机器人-W</t>
  </si>
  <si>
    <t>2481.HK</t>
  </si>
  <si>
    <t>慧居科技</t>
  </si>
  <si>
    <t>6990.HK</t>
  </si>
  <si>
    <t>科伦博泰生物</t>
  </si>
  <si>
    <t>2503.HK</t>
  </si>
  <si>
    <t>中深建业</t>
  </si>
  <si>
    <t>2889.HK</t>
  </si>
  <si>
    <t>博泰车联</t>
  </si>
  <si>
    <t>2352.HK</t>
  </si>
  <si>
    <t>东原仁知服务</t>
  </si>
  <si>
    <t>6639.HK</t>
  </si>
  <si>
    <t>瑞尔集团</t>
  </si>
  <si>
    <t>2718.HK</t>
  </si>
  <si>
    <t>明略科技-W</t>
  </si>
  <si>
    <t>2671.HK</t>
  </si>
  <si>
    <t>美联股份</t>
  </si>
  <si>
    <t>2321.HK</t>
  </si>
  <si>
    <t>双财庄</t>
  </si>
  <si>
    <t>2407.HK</t>
  </si>
  <si>
    <t>高视医疗</t>
  </si>
  <si>
    <t>2625.HK</t>
  </si>
  <si>
    <t>江苏宏信</t>
  </si>
  <si>
    <t>2499.HK</t>
  </si>
  <si>
    <t>佛朗斯股份</t>
  </si>
  <si>
    <t>2567.HK</t>
  </si>
  <si>
    <t>七牛智能</t>
  </si>
  <si>
    <t>2676.HK</t>
  </si>
  <si>
    <t>纳芯微</t>
  </si>
  <si>
    <t>688052.SH</t>
  </si>
  <si>
    <t>2473.HK</t>
  </si>
  <si>
    <t>喜相逢集团</t>
  </si>
  <si>
    <t>2566.HK</t>
  </si>
  <si>
    <t>九源基因</t>
  </si>
  <si>
    <t>2392.HK</t>
  </si>
  <si>
    <t>玄武云</t>
  </si>
  <si>
    <t>2416.HK</t>
  </si>
  <si>
    <t>易点云</t>
  </si>
  <si>
    <t>2596.HK</t>
  </si>
  <si>
    <t>宜宾银行</t>
  </si>
  <si>
    <t>6610.HK</t>
  </si>
  <si>
    <t>飞天云动</t>
  </si>
  <si>
    <t>2631.HK</t>
  </si>
  <si>
    <t>天岳先进</t>
  </si>
  <si>
    <t>688234.SH</t>
  </si>
  <si>
    <t>2587.HK</t>
  </si>
  <si>
    <t>健康之路</t>
  </si>
  <si>
    <t>2490.HK</t>
  </si>
  <si>
    <t>乐舱物流</t>
  </si>
  <si>
    <t>2556.HK</t>
  </si>
  <si>
    <t>迈富时</t>
  </si>
  <si>
    <t>9857.HK</t>
  </si>
  <si>
    <t>柠萌影视</t>
  </si>
  <si>
    <t>1274.HK</t>
  </si>
  <si>
    <t>知行科技</t>
  </si>
  <si>
    <t>2505.HK</t>
  </si>
  <si>
    <t>EDA集团控股</t>
  </si>
  <si>
    <t>2692.HK</t>
  </si>
  <si>
    <t>兆威机电</t>
  </si>
  <si>
    <t>003021.SZ</t>
  </si>
  <si>
    <t>6696.HK</t>
  </si>
  <si>
    <t>多想云</t>
  </si>
  <si>
    <t>2619.HK</t>
  </si>
  <si>
    <t>香江电器</t>
  </si>
  <si>
    <t>6660.HK</t>
  </si>
  <si>
    <t>艾美疫苗</t>
  </si>
  <si>
    <t>2691.HK</t>
  </si>
  <si>
    <t>南华期货股份</t>
  </si>
  <si>
    <t>603093.SH</t>
  </si>
  <si>
    <t>2658.HK</t>
  </si>
  <si>
    <t>天域半导体</t>
  </si>
  <si>
    <t>6676.HK</t>
  </si>
  <si>
    <t>找钢网-W</t>
  </si>
  <si>
    <t>2726.HK</t>
  </si>
  <si>
    <t>瀚天天成</t>
  </si>
  <si>
    <t>2498.HK</t>
  </si>
  <si>
    <t>速腾聚创</t>
  </si>
  <si>
    <t>6929.HK</t>
  </si>
  <si>
    <t>业聚医疗</t>
  </si>
  <si>
    <t>2609.HK</t>
  </si>
  <si>
    <t>佰泽医疗</t>
  </si>
  <si>
    <t>9880.HK</t>
  </si>
  <si>
    <t>优必选</t>
  </si>
  <si>
    <t>2701.HK</t>
  </si>
  <si>
    <t>国民技术</t>
  </si>
  <si>
    <t>300077.SZ</t>
  </si>
  <si>
    <t>2598.HK</t>
  </si>
  <si>
    <t>连连数字</t>
  </si>
  <si>
    <t>0917.HK</t>
  </si>
  <si>
    <t>趣致集团</t>
  </si>
  <si>
    <t>2522.HK</t>
  </si>
  <si>
    <t>一脉阳光</t>
  </si>
  <si>
    <t>2597.HK</t>
  </si>
  <si>
    <t>讯众通信</t>
  </si>
  <si>
    <t>2570.HK</t>
  </si>
  <si>
    <t>重塑能源</t>
  </si>
  <si>
    <t>2325.HK</t>
  </si>
  <si>
    <t>云康集团</t>
  </si>
  <si>
    <t>0325.HK</t>
  </si>
  <si>
    <t>布鲁可</t>
  </si>
  <si>
    <t>1354.HK</t>
  </si>
  <si>
    <t>经发物业</t>
  </si>
  <si>
    <t>2665.HK</t>
  </si>
  <si>
    <t>图达通</t>
  </si>
  <si>
    <t>6090.HK</t>
  </si>
  <si>
    <t>不同集团</t>
  </si>
  <si>
    <t>2559.HK</t>
  </si>
  <si>
    <t>嘀嗒出行</t>
  </si>
  <si>
    <t>2495.HK</t>
  </si>
  <si>
    <t>声通科技</t>
  </si>
  <si>
    <t>2657.HK</t>
  </si>
  <si>
    <t>林清轩</t>
  </si>
  <si>
    <t>2402.HK</t>
  </si>
  <si>
    <t>亿华通</t>
  </si>
  <si>
    <t>688339.SH</t>
  </si>
  <si>
    <t>2408.HK</t>
  </si>
  <si>
    <t>遇见小面</t>
  </si>
  <si>
    <t>2649.HK</t>
  </si>
  <si>
    <t>优乐赛共享</t>
  </si>
  <si>
    <t>2455.HK</t>
  </si>
  <si>
    <t>润华服务</t>
  </si>
  <si>
    <t>2306.HK</t>
  </si>
  <si>
    <t>乐华娱乐</t>
  </si>
  <si>
    <t>2246.HK</t>
  </si>
  <si>
    <t>快狗打车</t>
  </si>
  <si>
    <t>9669.HK</t>
  </si>
  <si>
    <t>北森控股</t>
  </si>
  <si>
    <t>2347.HK</t>
  </si>
  <si>
    <t>友和集团</t>
  </si>
  <si>
    <t>9678.HK</t>
  </si>
  <si>
    <t>云知声</t>
  </si>
  <si>
    <t>2152.HK</t>
  </si>
  <si>
    <t>苏新服务</t>
  </si>
  <si>
    <t>2486.HK</t>
  </si>
  <si>
    <t>普乐师集团控股</t>
  </si>
  <si>
    <t>0805.HK</t>
  </si>
  <si>
    <t>新吉奥房车</t>
  </si>
  <si>
    <t>2315.HK</t>
  </si>
  <si>
    <t>百奥赛图-B</t>
  </si>
  <si>
    <t>688796.SH</t>
  </si>
  <si>
    <t>6657.HK</t>
  </si>
  <si>
    <t>百望股份</t>
  </si>
  <si>
    <t>2421.HK</t>
  </si>
  <si>
    <t>嘉创地产</t>
  </si>
  <si>
    <t>9663.HK</t>
  </si>
  <si>
    <t>国鸿氢能</t>
  </si>
  <si>
    <t>6687.HK</t>
  </si>
  <si>
    <t>聚水潭</t>
  </si>
  <si>
    <t>2512.HK</t>
  </si>
  <si>
    <t>云工场</t>
  </si>
  <si>
    <t>2677.HK</t>
  </si>
  <si>
    <t>卓正医疗</t>
  </si>
  <si>
    <t>3636.HK</t>
  </si>
  <si>
    <t>金浔资源</t>
  </si>
  <si>
    <t>2650.HK</t>
  </si>
  <si>
    <t>挚达科技</t>
  </si>
  <si>
    <t>2172.HK</t>
  </si>
  <si>
    <t>微创脑科学</t>
  </si>
  <si>
    <t>0068.HK</t>
  </si>
  <si>
    <t>MANYCORE TECH</t>
  </si>
  <si>
    <t>2350.HK</t>
  </si>
  <si>
    <t>数科集团</t>
  </si>
  <si>
    <t>2569.HK</t>
  </si>
  <si>
    <t>舒宝国际</t>
  </si>
  <si>
    <t>2687.HK</t>
  </si>
  <si>
    <t>卓越睿新</t>
  </si>
  <si>
    <t>2529.HK</t>
  </si>
  <si>
    <t>泓盈城市服务</t>
  </si>
  <si>
    <t>1204.HK</t>
  </si>
  <si>
    <t>博维智慧</t>
  </si>
  <si>
    <t>6959.HK</t>
  </si>
  <si>
    <t>长久股份</t>
  </si>
  <si>
    <t>2458.HK</t>
  </si>
  <si>
    <t>望尘科技控股</t>
  </si>
  <si>
    <t>2521.HK</t>
  </si>
  <si>
    <t>升辉清洁</t>
  </si>
  <si>
    <t>1244.HK</t>
  </si>
  <si>
    <t>思路迪医药股份</t>
  </si>
  <si>
    <t>2656.HK</t>
  </si>
  <si>
    <t>健康160</t>
  </si>
  <si>
    <t>2540.HK</t>
  </si>
  <si>
    <t>乐思集团</t>
  </si>
  <si>
    <t>2376.HK</t>
  </si>
  <si>
    <t>鲁商服务</t>
  </si>
  <si>
    <t>6603.HK</t>
  </si>
  <si>
    <t>IFBH</t>
  </si>
  <si>
    <t>6955.HK</t>
  </si>
  <si>
    <t>博安生物</t>
  </si>
  <si>
    <t>2545.HK</t>
  </si>
  <si>
    <t>中赣通信</t>
  </si>
  <si>
    <t>3277.HK</t>
  </si>
  <si>
    <t>长光辰芯</t>
  </si>
  <si>
    <t>2577.HK</t>
  </si>
  <si>
    <t>英诺赛科</t>
  </si>
  <si>
    <t>2539.HK</t>
  </si>
  <si>
    <t>乐摩科技</t>
  </si>
  <si>
    <t>2576.HK</t>
  </si>
  <si>
    <t>太美医疗科技</t>
  </si>
  <si>
    <t>2550.HK</t>
  </si>
  <si>
    <t>宜搜科技</t>
  </si>
  <si>
    <t>2531.HK</t>
  </si>
  <si>
    <t>广联科技控股</t>
  </si>
  <si>
    <t>2508.HK</t>
  </si>
  <si>
    <t>圣贝拉集团</t>
  </si>
  <si>
    <t>2652.HK</t>
  </si>
  <si>
    <t>长风药业</t>
  </si>
  <si>
    <t>2506.HK</t>
  </si>
  <si>
    <t>讯飞医疗科技</t>
  </si>
  <si>
    <t>2729.HK</t>
  </si>
  <si>
    <t>凯乐士科技</t>
  </si>
  <si>
    <t>2632.HK</t>
  </si>
  <si>
    <t>泽景股份</t>
  </si>
  <si>
    <t>1334.HK</t>
  </si>
  <si>
    <t>瑞昌国际控股</t>
  </si>
  <si>
    <t>2546.HK</t>
  </si>
  <si>
    <t>智汇矿业</t>
  </si>
  <si>
    <t>2453.HK</t>
  </si>
  <si>
    <t>美中嘉和</t>
  </si>
  <si>
    <t>9686.HK</t>
  </si>
  <si>
    <t>熙康云医院</t>
  </si>
  <si>
    <t>3317.HK</t>
  </si>
  <si>
    <t>迅策</t>
  </si>
  <si>
    <t>2685.HK</t>
  </si>
  <si>
    <t>量化派</t>
  </si>
  <si>
    <t>6911.HK</t>
  </si>
  <si>
    <t>澜沧古茶</t>
  </si>
  <si>
    <t>2582.HK</t>
  </si>
  <si>
    <t>国富氢能</t>
  </si>
  <si>
    <t>2459.HK</t>
  </si>
  <si>
    <t>升能集团</t>
  </si>
  <si>
    <t>2613.HK</t>
  </si>
  <si>
    <t>汇舸环保</t>
  </si>
  <si>
    <t>2026.HK</t>
  </si>
  <si>
    <t>小马智行-W</t>
  </si>
  <si>
    <t>2438.HK</t>
  </si>
  <si>
    <t>出门问问</t>
  </si>
  <si>
    <t>0664.HK</t>
  </si>
  <si>
    <t>铜师傅</t>
  </si>
  <si>
    <t>2443.HK</t>
  </si>
  <si>
    <t>汽车街</t>
  </si>
  <si>
    <t>2661.HK</t>
  </si>
  <si>
    <t>轻松健康</t>
  </si>
  <si>
    <t>2431.HK</t>
  </si>
  <si>
    <t>佑驾创新</t>
  </si>
  <si>
    <t>1489.HK</t>
  </si>
  <si>
    <t>GC CONSTRUCTION</t>
  </si>
  <si>
    <t>2149.HK</t>
  </si>
  <si>
    <t>贝克微</t>
  </si>
  <si>
    <t>1333.HK</t>
  </si>
  <si>
    <t>博雷顿</t>
  </si>
  <si>
    <t>2720.HK</t>
  </si>
  <si>
    <t>乐欣户外</t>
  </si>
  <si>
    <t>6600.HK</t>
  </si>
  <si>
    <t>卧安机器人</t>
  </si>
  <si>
    <t>2370.HK</t>
  </si>
  <si>
    <t>力高健康生活</t>
  </si>
  <si>
    <t>2573.HK</t>
  </si>
  <si>
    <t>新琪安</t>
  </si>
  <si>
    <t>2167.HK</t>
  </si>
  <si>
    <t>天润云</t>
  </si>
  <si>
    <t>2583.HK</t>
  </si>
  <si>
    <t>西普尼</t>
  </si>
  <si>
    <t>2147.HK</t>
  </si>
  <si>
    <t>正味集团</t>
  </si>
  <si>
    <t>2651.HK</t>
  </si>
  <si>
    <t>大众口腔</t>
  </si>
  <si>
    <t>2479.HK</t>
  </si>
  <si>
    <t>天聚地合</t>
  </si>
  <si>
    <t>2440.HK</t>
  </si>
  <si>
    <t>迷策略</t>
  </si>
  <si>
    <t>6683.HK</t>
  </si>
  <si>
    <t>巨星传奇</t>
  </si>
  <si>
    <t>6698.HK</t>
  </si>
  <si>
    <t>星空华文</t>
  </si>
  <si>
    <t>2530.HK</t>
  </si>
  <si>
    <t>纽曼思</t>
  </si>
  <si>
    <t>1304.HK</t>
  </si>
  <si>
    <t>峰岹科技</t>
  </si>
  <si>
    <t>688279.SH</t>
  </si>
  <si>
    <t>1407.HK</t>
  </si>
  <si>
    <t>交运燃气</t>
  </si>
  <si>
    <t>0800.HK</t>
  </si>
  <si>
    <t>文远知行-W</t>
  </si>
  <si>
    <t>2361.HK</t>
  </si>
  <si>
    <t>中康科技控股</t>
  </si>
  <si>
    <t>2489.HK</t>
  </si>
  <si>
    <t>集海黄金</t>
  </si>
  <si>
    <t>2385.HK</t>
  </si>
  <si>
    <t>读书郎</t>
  </si>
  <si>
    <t>2706.HK</t>
  </si>
  <si>
    <t>海致科技集团</t>
  </si>
  <si>
    <t>2457.HK</t>
  </si>
  <si>
    <t>步阳国际</t>
  </si>
  <si>
    <t>2439.HK</t>
  </si>
  <si>
    <t>中宝新材</t>
  </si>
  <si>
    <t>2635.HK</t>
  </si>
  <si>
    <t>诺比侃</t>
  </si>
  <si>
    <t>3696.HK</t>
  </si>
  <si>
    <t>英矽智能</t>
  </si>
  <si>
    <t>2271.HK</t>
  </si>
  <si>
    <t>众安智慧生活</t>
  </si>
  <si>
    <t>2415.HK</t>
  </si>
  <si>
    <t>梅斯健康</t>
  </si>
  <si>
    <t>9881.HK</t>
  </si>
  <si>
    <t>容大科技</t>
  </si>
  <si>
    <t>2536.HK</t>
  </si>
  <si>
    <t>百乐皇宫</t>
  </si>
  <si>
    <t>3880.HK</t>
  </si>
  <si>
    <t>泰德医药</t>
  </si>
  <si>
    <t>2535.HK</t>
  </si>
  <si>
    <t>泓基集团</t>
  </si>
  <si>
    <t>9609.HK</t>
  </si>
  <si>
    <t>海伟股份</t>
  </si>
  <si>
    <t>2291.HK</t>
  </si>
  <si>
    <t>心泰医疗</t>
  </si>
  <si>
    <t>2515.HK</t>
  </si>
  <si>
    <t>天津建发</t>
  </si>
  <si>
    <t>9639.HK</t>
  </si>
  <si>
    <t>荣利营造</t>
  </si>
  <si>
    <t>2637.HK</t>
  </si>
  <si>
    <t>海西新药</t>
  </si>
  <si>
    <t>2655.HK</t>
  </si>
  <si>
    <t>果下科技</t>
  </si>
  <si>
    <t>2533.HK</t>
  </si>
  <si>
    <t>黑芝麻智能</t>
  </si>
  <si>
    <t>2442.HK</t>
  </si>
  <si>
    <t>怡俊集团控股</t>
  </si>
  <si>
    <t>2543.HK</t>
  </si>
  <si>
    <t>大行科工</t>
  </si>
  <si>
    <t>2450.HK</t>
  </si>
  <si>
    <t>淮北绿金股份</t>
  </si>
  <si>
    <t>9903.HK</t>
  </si>
  <si>
    <t>天数智芯</t>
  </si>
  <si>
    <t>2432.HK</t>
  </si>
  <si>
    <t>越疆</t>
  </si>
  <si>
    <t>2501.HK</t>
  </si>
  <si>
    <t>迈越科技</t>
  </si>
  <si>
    <t>6651.HK</t>
  </si>
  <si>
    <t>五一视界</t>
  </si>
  <si>
    <t>2477.HK</t>
  </si>
  <si>
    <t>经纬天地</t>
  </si>
  <si>
    <t>2260.HK</t>
  </si>
  <si>
    <t>环龙控股</t>
  </si>
  <si>
    <t>1609.HK</t>
  </si>
  <si>
    <t>天星医疗</t>
  </si>
  <si>
    <t>1111.HK</t>
  </si>
  <si>
    <t>华视集团控股</t>
  </si>
  <si>
    <t>0600.HK</t>
  </si>
  <si>
    <t>爱芯元智</t>
  </si>
  <si>
    <t>2593.HK</t>
  </si>
  <si>
    <t>草姬集团</t>
  </si>
  <si>
    <t>2157.HK</t>
  </si>
  <si>
    <t>乐普生物-B</t>
  </si>
  <si>
    <t>8637.HK</t>
  </si>
  <si>
    <t>元续科技</t>
  </si>
  <si>
    <t>创业板</t>
  </si>
  <si>
    <t>2483.HK</t>
  </si>
  <si>
    <t>K CASH集团</t>
  </si>
  <si>
    <t>2693.HK</t>
  </si>
  <si>
    <t>金岩高岭新材</t>
  </si>
  <si>
    <t>2237.HK</t>
  </si>
  <si>
    <t>中国石墨</t>
  </si>
  <si>
    <t>1641.HK</t>
  </si>
  <si>
    <t>红星冷链</t>
  </si>
  <si>
    <t>1284.HK</t>
  </si>
  <si>
    <t>新传企划</t>
  </si>
  <si>
    <t>2630.HK</t>
  </si>
  <si>
    <t>旺山旺水-B</t>
  </si>
  <si>
    <t>2422.HK</t>
  </si>
  <si>
    <t>润歌互动</t>
  </si>
  <si>
    <t>2372.HK</t>
  </si>
  <si>
    <t>伟立控股</t>
  </si>
  <si>
    <t>3887.HK</t>
  </si>
  <si>
    <t>HASHKEY HLDGS</t>
  </si>
  <si>
    <t>1406.HK</t>
  </si>
  <si>
    <t>清晰医疗</t>
  </si>
  <si>
    <t>2571.HK</t>
  </si>
  <si>
    <t>赛目科技</t>
  </si>
  <si>
    <t>1021.HK</t>
  </si>
  <si>
    <t>华沿机器人</t>
  </si>
  <si>
    <t>2605.HK</t>
  </si>
  <si>
    <t>METALIGHT</t>
  </si>
  <si>
    <t>2228.HK</t>
  </si>
  <si>
    <t>晶泰控股</t>
  </si>
  <si>
    <t>1471.HK</t>
  </si>
  <si>
    <t>众淼控股</t>
  </si>
  <si>
    <t>8529.HK</t>
  </si>
  <si>
    <t>优博控股</t>
  </si>
  <si>
    <t>2629.HK</t>
  </si>
  <si>
    <t>MIRXES-B</t>
  </si>
  <si>
    <t>2497.HK</t>
  </si>
  <si>
    <t>富景中国控股</t>
  </si>
  <si>
    <t>2427.HK</t>
  </si>
  <si>
    <t>GUANZE MEDICAL</t>
  </si>
  <si>
    <t>2405.HK</t>
  </si>
  <si>
    <t>力盟科技</t>
  </si>
  <si>
    <t>6667.HK</t>
  </si>
  <si>
    <t>美因基因</t>
  </si>
  <si>
    <t>3625.HK</t>
  </si>
  <si>
    <t>傅里叶</t>
  </si>
  <si>
    <t>2670.HK</t>
  </si>
  <si>
    <t>云迹</t>
  </si>
  <si>
    <t>2695.HK</t>
  </si>
  <si>
    <t>印象大红袍</t>
  </si>
  <si>
    <t>2487.HK</t>
  </si>
  <si>
    <t>科笛-B</t>
  </si>
  <si>
    <t>3881.HK</t>
  </si>
  <si>
    <t>希迪智驾</t>
  </si>
  <si>
    <t>1384.HK</t>
  </si>
  <si>
    <t>滴普科技</t>
  </si>
  <si>
    <t>2493.HK</t>
  </si>
  <si>
    <t>迈威生物-B</t>
  </si>
  <si>
    <t>688062.SH</t>
  </si>
  <si>
    <t>6636.HK</t>
  </si>
  <si>
    <t>极视角</t>
  </si>
  <si>
    <t>2513.HK</t>
  </si>
  <si>
    <t>智谱</t>
  </si>
  <si>
    <t>2250.HK</t>
  </si>
  <si>
    <t>小黄鸭德盈</t>
  </si>
  <si>
    <t>8610.HK</t>
  </si>
  <si>
    <t>BBSB INTL</t>
  </si>
  <si>
    <t>2297.HK</t>
  </si>
  <si>
    <t>润迈德-B</t>
  </si>
  <si>
    <t>1947.HK</t>
  </si>
  <si>
    <t>美皓集团</t>
  </si>
  <si>
    <t>2595.HK</t>
  </si>
  <si>
    <t>劲方医药-B</t>
  </si>
  <si>
    <t>6681.HK</t>
  </si>
  <si>
    <t>脑动极光-B</t>
  </si>
  <si>
    <t>2563.HK</t>
  </si>
  <si>
    <t>华昊中天医药-B</t>
  </si>
  <si>
    <t>6082.HK</t>
  </si>
  <si>
    <t>壁仞科技</t>
  </si>
  <si>
    <t>6656.HK</t>
  </si>
  <si>
    <t>思格新能</t>
  </si>
  <si>
    <t>2526.HK</t>
  </si>
  <si>
    <t>德适-B</t>
  </si>
  <si>
    <t>2627.HK</t>
  </si>
  <si>
    <t>中慧生物-B</t>
  </si>
  <si>
    <t>2675.HK</t>
  </si>
  <si>
    <t>精锋医疗-B</t>
  </si>
  <si>
    <t>1973.HK</t>
  </si>
  <si>
    <t>天图投资</t>
  </si>
  <si>
    <t>9877.HK</t>
  </si>
  <si>
    <t>健世科技-B</t>
  </si>
  <si>
    <t>8629.HK</t>
  </si>
  <si>
    <t>集信国控</t>
  </si>
  <si>
    <t>6922.HK</t>
  </si>
  <si>
    <t>康沣生物-B</t>
  </si>
  <si>
    <t>1879.HK</t>
  </si>
  <si>
    <t>曦智科技-P</t>
  </si>
  <si>
    <t>2509.HK</t>
  </si>
  <si>
    <t>荃信生物-B</t>
  </si>
  <si>
    <t>0100.HK</t>
  </si>
  <si>
    <t>MINIMAX-W</t>
  </si>
  <si>
    <t>2591.HK</t>
  </si>
  <si>
    <t>银诺医药-B</t>
  </si>
  <si>
    <t>2105.HK</t>
  </si>
  <si>
    <t>来凯医药-B</t>
  </si>
  <si>
    <t>2565.HK</t>
  </si>
  <si>
    <t>派格生物医药-B</t>
  </si>
  <si>
    <t>9887.HK</t>
  </si>
  <si>
    <t>维立志博-B</t>
  </si>
  <si>
    <t>2659.HK</t>
  </si>
  <si>
    <t>宝济药业-B</t>
  </si>
  <si>
    <t>3378.HK</t>
  </si>
  <si>
    <t>翰思艾泰-B</t>
  </si>
  <si>
    <t>2592.HK</t>
  </si>
  <si>
    <t>拨康视云-B</t>
  </si>
  <si>
    <t>2480.HK</t>
  </si>
  <si>
    <t>绿竹生物-B</t>
  </si>
  <si>
    <t>2617.HK</t>
  </si>
  <si>
    <t>药捷安康-B</t>
  </si>
  <si>
    <t>2396.HK</t>
  </si>
  <si>
    <t>华芢生物-B</t>
  </si>
  <si>
    <t>1541.HK</t>
  </si>
  <si>
    <t>宜明昂科-B</t>
  </si>
  <si>
    <t>2898.HK</t>
  </si>
  <si>
    <t>盛禾生物-B</t>
  </si>
  <si>
    <t>6938.HK</t>
  </si>
  <si>
    <t>瑞博生物-B</t>
  </si>
  <si>
    <t>2511.HK</t>
  </si>
  <si>
    <t>君圣泰医药-B</t>
  </si>
  <si>
    <t>2575.HK</t>
  </si>
  <si>
    <t>轩竹生物-B</t>
  </si>
  <si>
    <t>2496.HK</t>
  </si>
  <si>
    <t>友芝友生物-B</t>
  </si>
  <si>
    <t>2179.HK</t>
  </si>
  <si>
    <t>瑞科生物-B</t>
  </si>
  <si>
    <t>2562.HK</t>
  </si>
  <si>
    <t>狮腾控股</t>
  </si>
  <si>
    <t>2410.HK</t>
  </si>
  <si>
    <t>同源康医药-B</t>
  </si>
  <si>
    <t>2561.HK</t>
  </si>
  <si>
    <t>维昇药业-B</t>
  </si>
  <si>
    <t>3858.HK</t>
  </si>
  <si>
    <t>佳鑫国际资源</t>
  </si>
  <si>
    <t>8549.HK</t>
  </si>
  <si>
    <t>金叶国际集团</t>
  </si>
  <si>
    <t>数据来源：Wind</t>
  </si>
  <si>
    <t>wind_code_clean</t>
  </si>
  <si>
    <t>Wind代码(去前导0)
仅供公式引用</t>
  </si>
  <si>
    <t>宁德时代</t>
  </si>
  <si>
    <t/>
  </si>
  <si>
    <t>300750.SZ</t>
  </si>
  <si>
    <t>close_day1_hkd</t>
    <phoneticPr fontId="21" type="noConversion"/>
  </si>
  <si>
    <t>open_day1_hkd</t>
    <phoneticPr fontId="21" type="noConversion"/>
  </si>
  <si>
    <t>high_day1_hkd</t>
    <phoneticPr fontId="21" type="noConversion"/>
  </si>
  <si>
    <t>low_day1_hkd</t>
    <phoneticPr fontId="21" type="noConversion"/>
  </si>
  <si>
    <t>listing_board</t>
    <phoneticPr fontId="21" type="noConversion"/>
  </si>
  <si>
    <t>上市首日收盘价
HKD</t>
    <phoneticPr fontId="21" type="noConversion"/>
  </si>
  <si>
    <t>上市首日开盘价
HKD</t>
    <phoneticPr fontId="21" type="noConversion"/>
  </si>
  <si>
    <t>上市首日最高
HKD</t>
    <phoneticPr fontId="21" type="noConversion"/>
  </si>
  <si>
    <t>上市首日最低
HKD</t>
    <phoneticPr fontId="21" type="noConversion"/>
  </si>
  <si>
    <t>上市板
(主板/创业板)</t>
    <phoneticPr fontId="21" type="noConversion"/>
  </si>
  <si>
    <t>=WSS(AB4,"sec_status")</t>
    <phoneticPr fontId="21" type="noConversion"/>
  </si>
  <si>
    <t>grossmargin_2025</t>
    <phoneticPr fontId="21" type="noConversion"/>
  </si>
  <si>
    <t>HSCEI raw (date+close)</t>
  </si>
  <si>
    <t>HIBOR3M raw</t>
  </si>
  <si>
    <t>Southbound raw</t>
  </si>
  <si>
    <t>Wind: HSCEI.HI close (从 H 列查找)</t>
  </si>
  <si>
    <t>Wind: HIBOR3M.IR (%)</t>
  </si>
  <si>
    <t>Wind: AHKSCH.WI close (累计净流入指数)</t>
  </si>
  <si>
    <t>道口证券有限公司,富途证券国际(香港)有限公司,富泽证券(国际)有限公司,工银国际证券有限公司,华升证券(国际)有限公司,建银国际金融有限公司,金利丰证券有限公司,农银国际证券有限公司,兴证国际融资有限公司,元宇宙(国际)证券有限公司,中国国际金融香港证券有限公司,东方证券(香港)有限公司,农银国际融资有限公司</t>
  </si>
  <si>
    <t>厦门先进制造业股权投资基金合伙企业(有限合伙)</t>
  </si>
  <si>
    <t>中国国际金融香港证券有限公司,J.P. Morgan Securities (Asia Pacific) Limited,富途证券国际(香港)有限公司,J.P. Morgan Securities (Asia Pacific)Limited</t>
  </si>
  <si>
    <t>3W Fund Management Limited</t>
  </si>
  <si>
    <t>Blue Lake Capital Opportunity Fund I, L.P.</t>
  </si>
  <si>
    <t>Dymon Asia Multi-Strategy Investment Master Fund</t>
  </si>
  <si>
    <t>Fourier Capital Management Limited</t>
  </si>
  <si>
    <t>GRANITE ASIA VIII INVESTMENTS PTE. LTD.</t>
  </si>
  <si>
    <t>J.P. Morgan Securities (Asia Pacific) Limited,J.P. Morgan Securities plc,中国国际金融香港证券有限公司,富途证券国际(香港)有限公司,利弗莫尔证券有限公司</t>
  </si>
  <si>
    <t>Harvest International Premium Value (Secondary Market) Fund SPC</t>
  </si>
  <si>
    <t>新华网股份有限公司</t>
  </si>
  <si>
    <t>中国国际金融香港证券有限公司,招商证券(香港)有限公司,富途证券国际(香港)有限公司,浦银国际融资有限公司</t>
  </si>
  <si>
    <t>广东横琴粤澳深度合作区澳琴合鸣投资合伙企业(有限合伙)</t>
  </si>
  <si>
    <t>华泰金融控股(香港)有限公司,J.P. Morgan Securities (Asia Pacific) Limited,J.P. Morgan Securities plc,花旗环球金融亚洲有限公司,Citigroup Global Markets Limited,瑞士信贷(香港)有限公司</t>
  </si>
  <si>
    <t>维沃移动通信有限公司</t>
  </si>
  <si>
    <t>江门市海纳新能源投资合伙企业(有限合伙)</t>
  </si>
  <si>
    <t>天齐锂业香港有限公司</t>
  </si>
  <si>
    <t>宏盛國際資源有限公司</t>
  </si>
  <si>
    <t>合肥北城建设投资(集团)有限公司</t>
  </si>
  <si>
    <t>工银国际证券有限公司,中州国际证券有限公司,交银国际证券有限公司,农银国际证券有限公司,国信证券(香港)经纪有限公司,中信里昂证券有限公司,招银国际融资有限公司,建银国际金融有限公司,东吴证券国际经纪有限公司,申万宏源证券(香港)有限公司,浦银国际融资有限公司,国证国际证券(香港)有限公司</t>
  </si>
  <si>
    <t>摩根士丹利亚洲有限公司,香港上海汇丰银行有限公司,招银国际融资有限公司,高盛(亚洲)有限责任公司,交银国际证券有限公司,建银国际金融有限公司,华泰金融控股(香港)有限公司,工银国际证券有限公司,瑞穗证券亚洲有限公司,日兴证券(香港)有限公司,星展亚洲融资有限公司,华侨银行有限公司,大华继显(香港)有限公司</t>
  </si>
  <si>
    <t>MC Management 10 RSC Ltd</t>
  </si>
  <si>
    <t>T&amp;D United Capital Co Ltd</t>
  </si>
  <si>
    <t>工银国际证券有限公司,中信里昂证券有限公司,J.P. Morgan Securities (Asia Pacific) Limited,华泰金融控股(香港)有限公司,中银国际亚洲有限公司,招银国际融资有限公司,浦银国际融资有限公司,农银国际融资有限公司,农银国际证券有限公司</t>
  </si>
  <si>
    <t>Aspex Master Fund</t>
  </si>
  <si>
    <t>MY Asian Opportunities Master Fund, L.P.</t>
  </si>
  <si>
    <t>OAKTREE CAPITAL MANAGEMENT, L.P.</t>
  </si>
  <si>
    <t>Qube Master Fund Ltd</t>
  </si>
  <si>
    <t>摩根士丹利国际股份有限公司</t>
  </si>
  <si>
    <t>中国国际金融香港证券有限公司,招银国际融资有限公司,建银国际金融有限公司,兴证国际融资有限公司,华福国际证券有限公司,工银国际证券有限公司,光银国际资本有限公司,中银国际亚洲有限公司,农银国际证券有限公司,百惠证券有限公司,富途证券国际(香港)有限公司,老虎证券(香港)环球有限公司,利弗莫尔证券有限公司</t>
  </si>
  <si>
    <t>中国国际金融香港证券有限公司,招银国际融资有限公司</t>
  </si>
  <si>
    <t>常熟市东南投资控股有限公司</t>
  </si>
  <si>
    <t>江苏苏州高端装备产业专项母基金(有限合伙)</t>
  </si>
  <si>
    <t>江苏国有企业混合所有制改革基金(有限合伙)</t>
  </si>
  <si>
    <t>利弗莫尔证券有限公司,鉅诚证券有限公司,华泰金融控股(香港)有限公司,招银国际融资有限公司,国泰君安证券(香港)有限公司,中信里昂证券有限公司</t>
  </si>
  <si>
    <t>Colorful Cloud Holdings Limited(</t>
  </si>
  <si>
    <t>中国光大证券(香港)有限公司,利弗莫尔证券有限公司,农银国际证券有限公司,黄河证券有限公司,元宇宙(国际)证券有限公司,西牛证券有限公司,中银国际亚洲有限公司,工银国际证券有限公司,越秀证券有限公司,申万宏源证券(香港)有限公司,招银国际融资有限公司,民银证券有限公司,浦银国际融资有限公司,建银国际金融有限公司,财通国际证券有限公司,富途证券国际(香港)有限公司,华福国际证券有限公司,天风国际证券与期货有限公司</t>
  </si>
  <si>
    <t>惠開香港經濟發展有限公司</t>
  </si>
  <si>
    <t>Dream’ee (Hong Kong) Open-ended Fund Company</t>
  </si>
  <si>
    <t>霧凇資本有限公司</t>
  </si>
  <si>
    <t>中国国际金融香港证券有限公司,中信里昂证券有限公司,中国银河国际证券(香港)有限公司,华泰金融控股(香港)有限公司,华盛资本证券有限公司</t>
  </si>
  <si>
    <t>上海临港经济发展集团投资管理有限公司</t>
  </si>
  <si>
    <t>九州通国际集团有限公司</t>
  </si>
  <si>
    <t>中国国际金融香港证券有限公司,德意志银行香港分行,国金证券(香港)有限公司,国投证券(香港)有限公司,农银国际证券有限公司,农银国际融资有限公司</t>
  </si>
  <si>
    <t>GIC PRIVATE LIMITED</t>
  </si>
  <si>
    <t>Schroder Investment Management (Singapore) Ltd,Schroder Investment Management (Hong Kong) Limited</t>
  </si>
  <si>
    <t>宏興國際科技有限公司</t>
  </si>
  <si>
    <t>HHLR ADVISORS, LTD.</t>
  </si>
  <si>
    <t>Wind Sabre Fund SPC</t>
  </si>
  <si>
    <t>摩根士丹利亚洲有限公司,Citigroup Global Markets Limited,J.P. Morgan Securities (Asia Pacific) Limited,J.P. Morgan Securities plc,高盛(亚洲)有限责任公司,花旗环球金融亚洲有限公司,华泰金融控股(香港)有限公司,中国国际金融香港证券有限公司</t>
  </si>
  <si>
    <t>Invesco Advisers, Inc.</t>
  </si>
  <si>
    <t>General Atlantic Singapore SPV 64 Pte. Ltd.</t>
  </si>
  <si>
    <t>Al-Rayyan Holding LLC</t>
  </si>
  <si>
    <t>瑞银环球资产管理(新加坡)有限公司</t>
  </si>
  <si>
    <t>HongShan Funds</t>
  </si>
  <si>
    <t>富途证券国际(香港)有限公司,安信国际证券(香港)有限公司,建银国际金融有限公司,浦银国际融资有限公司,招银国际融资有限公司,中信里昂证券有限公司,光银国际资本有限公司,利弗莫尔证券有限公司,第一上海证券有限公司,民银证券有限公司,复星国际证券有限公司</t>
  </si>
  <si>
    <t>富途证券国际(香港)有限公司,招银国际融资有限公司,中国国际金融香港证券有限公司,摩根士丹利亚洲有限公司,利弗莫尔证券有限公司</t>
  </si>
  <si>
    <t>摩根士丹利亚洲有限公司,中国国际金融香港证券有限公司</t>
  </si>
  <si>
    <t>Harvest Great Bay Investment SP</t>
  </si>
  <si>
    <t>海澜集团有限公司</t>
  </si>
  <si>
    <t>国泰君安证券(香港)有限公司,中信里昂证券有限公司,星展亚洲融资有限公司</t>
  </si>
  <si>
    <t>CITHARA GLOBAL MULTI- STRATEGY SPC-BOSIDENG  INDUSTRY INVESTMENT FUND SP</t>
  </si>
  <si>
    <t>深圳市前海奇点财富资产管理有限公司</t>
  </si>
  <si>
    <t>图灵国际有限公司</t>
  </si>
  <si>
    <t>ALPINE INVESTMENT MANAGEMENT LTD</t>
  </si>
  <si>
    <t>海通国际证券有限公司,广发证券(香港)经纪有限公司,华泰金融控股(香港)有限公司</t>
  </si>
  <si>
    <t>柳工機械香港有限公司</t>
  </si>
  <si>
    <t>工银国际证券有限公司,东吴证券国际经纪有限公司,中信里昂证券有限公司,招银国际融资有限公司,农银国际证券有限公司,建银国际金融有限公司,浦银国际融资有限公司,利弗莫尔证券有限公司,富途证券国际(香港)有限公司,老虎证券(香港)环球有限公司</t>
  </si>
  <si>
    <t>Reynold Lemkins Group (Asia) Limited</t>
  </si>
  <si>
    <t>园丰国际有限公司</t>
  </si>
  <si>
    <t>徐州经济技术开发区(香港)投资有限公司</t>
  </si>
  <si>
    <t>Gold Wings Holdings Limited</t>
  </si>
  <si>
    <t>中信里昂证券有限公司,招银国际融资有限公司,华泰金融控股(香港)有限公司,复星国际证券有限公司,农银国际证券有限公司,中国银河国际证券(香港)有限公司,富途证券国际(香港)有限公司,工银国际证券有限公司,百惠证券有限公司,华富建业证券有限公司,浦银国际融资有限公司,TradeGo Markets Limited,维港国际金融控股有限公司,越秀证券有限公司,中泰国际证券有限公司</t>
  </si>
  <si>
    <t>卓投企业管理(香港)有限公司</t>
  </si>
  <si>
    <t>聯影醫療科技香港有限公司</t>
  </si>
  <si>
    <t>中國新銳醫藥控股有限公司</t>
  </si>
  <si>
    <t>中国国际金融香港证券有限公司,中信里昂证券有限公司,海通国际证券有限公司,中银国际亚洲有限公司,大华继显(香港)有限公司,香港上海汇丰银行有限公司,中泰国际证券有限公司,工银国际证券有限公司,招银国际融资有限公司,建银国际金融有限公司,农银国际证券有限公司,广发证券(香港)经纪有限公司,中国银河国际证券(香港)有限公司,申万宏源证券(香港)有限公司,富途证券国际(香港)有限公司,太阳证券有限公司,华福国际证券有限公司,复星国际证券有限公司,老虎证券(香港)环球有限公司</t>
  </si>
  <si>
    <t>国能环保投资集团有限公司</t>
  </si>
  <si>
    <t>未来资产证券(香港)有限公司</t>
  </si>
  <si>
    <t>山金資產管理(香港)有限公司</t>
  </si>
  <si>
    <t>和而泰智能控制国际有限公司</t>
  </si>
  <si>
    <t>兰坤</t>
  </si>
  <si>
    <t>富途证券国际(香港)有限公司,利弗莫尔证券有限公司,元库证券有限公司,中国国际金融香港证券有限公司,麦格理资本股份有限公司,招银国际融资有限公司,中银国际亚洲有限公司,申万宏源证券(香港)有限公司,老虎证券(香港)环球有限公司</t>
  </si>
  <si>
    <t>PLATINUM INVESTMENT MANAGEMENT LTD</t>
  </si>
  <si>
    <t>Agora, Inc.</t>
  </si>
  <si>
    <t>中信里昂证券有限公司,海通国际证券有限公司,富途证券国际(香港)有限公司,浦银国际融资有限公司,华泰金融控股(香港)有限公司,利弗莫尔证券有限公司,百惠证券有限公司</t>
  </si>
  <si>
    <t>Great Praise Investment SPC-Selected AI Fund SP</t>
  </si>
  <si>
    <t>上海通怡投资管理有限公司及华泰资本投资有限公司</t>
  </si>
  <si>
    <t>中信里昂证券有限公司,法国巴黎证券(亚洲)有限公司,星展亚洲融资有限公司,富途证券国际(香港)有限公司,利弗莫尔证券有限公司</t>
  </si>
  <si>
    <t>中国国有企业混合所有制改革基金有限公司</t>
  </si>
  <si>
    <t>CR Alpha Investment II Limited</t>
  </si>
  <si>
    <t>中信保诚人寿保险有限公司</t>
  </si>
  <si>
    <t>HHLR Fund, L.P.;YHG Investment, L.P.</t>
  </si>
  <si>
    <t>中白产业投资基金</t>
  </si>
  <si>
    <t>中国国际金融香港证券有限公司,华泰金融控股(香港)有限公司</t>
  </si>
  <si>
    <t>華勤通訊香港有限公司</t>
  </si>
  <si>
    <t>上海景林资产管理有限公司</t>
  </si>
  <si>
    <t>New Alternative Limited</t>
  </si>
  <si>
    <t>New Golden Future Limited</t>
  </si>
  <si>
    <t>高盛(亚洲)有限责任公司,中信里昂证券有限公司,中国国际金融香港证券有限公司,摩根士丹利亚洲有限公司,UBS AG Hong Kong Branch</t>
  </si>
  <si>
    <t>J.P. MORGAN INVESTMENT MANAGEMENT INC.</t>
  </si>
  <si>
    <t>Alisoft China Holding Limited (Hong Kong)</t>
  </si>
  <si>
    <t>华融国际证券有限公司,华泰金融控股(香港)有限公司,利弗莫尔证券有限公司,申万宏源证券(香港)有限公司,农银国际证券有限公司,建银国际金融有限公司,中国国际金融香港证券有限公司,中信里昂证券有限公司,招银国际融资有限公司,安信国际证券(香港)有限公司,香港上海汇丰银行有限公司</t>
  </si>
  <si>
    <t>富汇资本投资有限公司</t>
  </si>
  <si>
    <t>Keltic Investment (HK) Limited</t>
  </si>
  <si>
    <t>千合资本-全球精选私募证券投资基金</t>
  </si>
  <si>
    <t>康力电梯股份有限公司</t>
  </si>
  <si>
    <t>广东科顺投资控股有限公司</t>
  </si>
  <si>
    <t>招商证券(香港)有限公司,德意志银行香港分行,中信里昂证券有限公司,农银国际证券有限公司,交银国际证券有限公司,富途证券国际(香港)有限公司,黄河证券有限公司,开盘证券有限公司,一盈证券有限公司</t>
  </si>
  <si>
    <t>Perseverance Asset Management International (Singapore) Pte. Ltd.</t>
  </si>
  <si>
    <t>Oakwise Growth Fund SPC – Global Select Opportunities Fund SP</t>
  </si>
  <si>
    <t>苏州太湖金谷建设发展有限公司</t>
  </si>
  <si>
    <t>未来资产证券有限公司</t>
  </si>
  <si>
    <t>招银国际融资有限公司,中信里昂证券有限公司,国投证券(香港)有限公司,富途证券国际(香港)有限公司,中国银河国际证券(香港)有限公司,中银国际亚洲有限公司,申万宏源证券(香港)有限公司,中泰国际证券有限公司,利弗莫尔证券有限公司,农银国际融资有限公司,老虎证券(香港)环球有限公司</t>
  </si>
  <si>
    <t>Hong Kong Shengying Investment Limited</t>
  </si>
  <si>
    <t>Zeta Wisdom OFC</t>
  </si>
  <si>
    <t>国泰君安证券投资(香港)有限公司</t>
  </si>
  <si>
    <t>中信里昂证券有限公司,中国光大证券(香港)有限公司,招银国际融资有限公司,农银国际证券有限公司,利弗莫尔证券有限公司,富途证券国际(香港)有限公司,百惠证券有限公司</t>
  </si>
  <si>
    <t>建投国际(香港)有限公司</t>
  </si>
  <si>
    <t>中银国际亚洲有限公司,国泰君安证券(香港)有限公司,交银国际证券有限公司,中国光大证券(香港)有限公司,钜诚证券有限公司,国信证券(香港)融资有限公司,工银国际证券有限公司,利弗莫尔证券有限公司,申万宏源证券(香港)有限公司,浦银国际融资有限公司,老虎证券(香港)环球有限公司,越秀证券有限公司,中泰国际证券有限公司</t>
  </si>
  <si>
    <t>摩根士丹利亚洲有限公司,中信里昂证券有限公司,中国光大证券(香港)有限公司,发利证券有限公司,雅利多证券有限公司,东吴证券国际经纪有限公司</t>
  </si>
  <si>
    <t>Welight Capital L.P</t>
  </si>
  <si>
    <t>石药集团有限公司</t>
  </si>
  <si>
    <t>海通国际证券有限公司,中信里昂证券有限公司,华盛资本证券有限公司,山高国际证券有限公司,佳富达证券有限公司</t>
  </si>
  <si>
    <t>合肥高新控股集团有限公司</t>
  </si>
  <si>
    <t>兴泰控股(香港)有限公司</t>
  </si>
  <si>
    <t>华泰金融控股(香港)有限公司,中国国际金融香港证券有限公司,招银国际融资有限公司,中州国际融资有限公司,广发证券(香港)经纪有限公司,光源资本(香港)金融有限公司</t>
  </si>
  <si>
    <t>锦鼎资本管理(深圳)有限公司</t>
  </si>
  <si>
    <t>Great Ceres代表COFCO Capital Fund</t>
  </si>
  <si>
    <t>江苏恒顺醋业股份有限公司</t>
  </si>
  <si>
    <t>欣鑫(香港)有限公司</t>
  </si>
  <si>
    <t>中国国际金融香港证券有限公司,法国巴黎证券(亚洲)有限公司,兴证国际融资有限公司,富途证券国际(香港)有限公司,老虎证券(香港)环球有限公司,开盘证券有限公司</t>
  </si>
  <si>
    <t>宝月湖深产投共赢企业管理有限公司</t>
  </si>
  <si>
    <t>周增昌</t>
  </si>
  <si>
    <t>名幸電子香港有限公司</t>
  </si>
  <si>
    <t>銳明電子有限公司</t>
  </si>
  <si>
    <t>高盛(亚洲)有限责任公司,华泰金融控股(香港)有限公司,德意志银行香港分行,海通国际证券有限公司,浦银国际融资有限公司,富途证券国际(香港)有限公司</t>
  </si>
  <si>
    <t>TEMASEK HOLDINGS (PRIVATE) LIMITED</t>
  </si>
  <si>
    <t>腾讯控股有限公司</t>
  </si>
  <si>
    <t>BlackRock, Inc.</t>
  </si>
  <si>
    <t>富达基金(香港)有限公司</t>
  </si>
  <si>
    <t>博时基金(国际)有限公司</t>
  </si>
  <si>
    <t>中国国际金融香港证券有限公司,中银国际亚洲有限公司,广发证券(香港)经纪有限公司</t>
  </si>
  <si>
    <t>泰康人寿保险有限责任公司</t>
  </si>
  <si>
    <t>上海保银资产管理有限公司</t>
  </si>
  <si>
    <t>Mega Prime Development Limited</t>
  </si>
  <si>
    <t>Wind Sabre Opportunities Fund SP</t>
  </si>
  <si>
    <t>中信里昂证券有限公司,华泰金融控股(香港)有限公司</t>
  </si>
  <si>
    <t>Duckling Fund, L.P.</t>
  </si>
  <si>
    <t>上海正心谷投资管理有限公司</t>
  </si>
  <si>
    <t>SynerSuccess Capital Ltd.</t>
  </si>
  <si>
    <t>中信里昂证券有限公司,国泰君安证券(香港)有限公司</t>
  </si>
  <si>
    <t>CPE Peepal Investment Limited</t>
  </si>
  <si>
    <t>Arc Avenue Asset Management Pte. Ltd.</t>
  </si>
  <si>
    <t>TradeGo Markets Limited,老虎证券(香港)环球有限公司,佳富达证券有限公司,华富建业证券有限公司,贝德斯证券有限公司,利弗莫尔证券有限公司,宝新证券有限公司,英皇证券(香港)有限公司,Conrad Investment Services Limited,顺安证券资产管理有限公司,首盛资本集团有限公司,越秀证券有限公司</t>
  </si>
  <si>
    <t>民银证券有限公司,源盛证券有限公司,浦银国际融资有限公司,第一上海证券有限公司,国泰君安证券(香港)有限公司,交银国际证券有限公司,兴证国际融资有限公司,华盛资本证券有限公司,艾德证券期货有限公司,南华证券投资有限公司,中泰国际证券有限公司,中国光大证券(香港)有限公司,农银国际证券有限公司,富途证券国际(香港)有限公司,国农证券有限公司,一盈证券有限公司,软库中华金融服务有限公司,华福国际证券有限公司,安信国际证券(香港)有限公司,建银国际金融有限公司,浙商国际金融控股有限公司,华富建业证券有限公司,盈宝证券国际(香港)有限公司,盈立证券有限公司,利弗莫尔证券有限公司</t>
  </si>
  <si>
    <t>Blink Field Limited</t>
  </si>
  <si>
    <t>NetDragon Websoft Inc.</t>
  </si>
  <si>
    <t>摩根士丹利亚洲有限公司,Morgan Stanley &amp; Co. International plc,中信里昂证券有限公司,广发证券(香港)经纪有限公司,华泰金融控股(香港)有限公司,麦格理资本股份有限公司,兴证国际融资有限公司</t>
  </si>
  <si>
    <t>Schroder Investment Management Limited,Schroder Investment Management (Singapore) Ltd及Schroder Investment Management (Hong Kong)Limited</t>
  </si>
  <si>
    <t>国泰君安证券(香港)有限公司,招银国际融资有限公司,中泰国际证券有限公司,大华继显(香港)有限公司,建银国际金融有限公司,利弗莫尔证券有限公司,国信证券(香港)融资有限公司,长桥证券(香港)有限公司</t>
  </si>
  <si>
    <t>向上国际科技股份有限公司</t>
  </si>
  <si>
    <t>西证(香港)证券经纪有限公司,越秀证券有限公司,首控证券有限公司,中泰国际证券有限公司,盛源证券有限公司,中银国际亚洲有限公司,农银国际证券有限公司,中国光大证券(香港)有限公司,华盛资本证券有限公司,老虎证券(香港)环球有限公司,富乔鑫国际投资有限公司,意博资本亚洲有限公司,粤商国际证券有限公司,万盛金融控股有限公司,艾德证券期货有限公司</t>
  </si>
  <si>
    <t>西牛证券有限公司,中国银河国际证券(香港)有限公司,富途证券国际(香港)有限公司,老虎证券(香港)环球有限公司,利弗莫尔证券有限公司,华盛资本证券有限公司,辉立证券(香港)有限公司,浙商国际金融控股有限公司,申万宏源证券(香港)有限公司,中信里昂证券有限公司,招银国际融资有限公司,星展亚洲融资有限公司,华泰金融控股(香港)有限公司,农银国际证券有限公司,鉅诚证券有限公司,龙石资本管理有限公司,中泰国际证券有限公司,中国光大证券(香港)有限公司</t>
  </si>
  <si>
    <t>安吉国融建设有限公司</t>
  </si>
  <si>
    <t>安吉七彩灵峰乡村旅游投资有限公司</t>
  </si>
  <si>
    <t>SensePower Management Limited</t>
  </si>
  <si>
    <t>华泰金融控股(香港)有限公司,招银国际融资有限公司,国证国际证券(香港)有限公司,国信证券(香港)经纪有限公司,富途证券国际(香港)有限公司,兴证国际融资有限公司,民银证券有限公司,中泰国际证券有限公司</t>
  </si>
  <si>
    <t>Merrill Lynch (Asia Pacific) Limited,东方证券(香港)有限公司,工银国际证券有限公司,香港上海汇丰银行有限公司,富途证券国际(香港)有限公司,中银国际亚洲有限公司,农银国际证券有限公司,华泰金融控股(香港)有限公司,海通国际证券有限公司,UBS AG Hong Kong Branch,高盛(亚洲)有限责任公司,民银证券有限公司,中信里昂证券有限公司,摩根士丹利(亚太)有限公司,瑞银集团香港分行,农银国际融资有限公司</t>
  </si>
  <si>
    <t>M&amp;G INVESTMENT MANAGEMENT LTD</t>
  </si>
  <si>
    <t>CPE Elm Investment Limited</t>
  </si>
  <si>
    <t>晨曦投资管理有限公司</t>
  </si>
  <si>
    <t>常春藤資產管理(香港)有限公司</t>
  </si>
  <si>
    <t>CoreView Capital Management Limited</t>
  </si>
  <si>
    <t>富途证券国际(香港)有限公司,利弗莫尔证券有限公司,中泰国际证券有限公司,建银国际金融有限公司,农银国际证券有限公司,浦银国际融资有限公司,复星国际证券有限公司,交银国际证券有限公司,华富建业证券有限公司,海通国际证券有限公司</t>
  </si>
  <si>
    <t>金利富通有限合伙基金</t>
  </si>
  <si>
    <t>国泰君安证券(香港)有限公司,中信建投(国际)融资有限公司,招商证券(香港)有限公司,中泰国际证券有限公司,富途证券国际(香港)有限公司,老虎证券(香港)环球有限公司,利弗莫尔证券有限公司</t>
  </si>
  <si>
    <t>南昌产投园区股权投资合伙企业(有限合伙)</t>
  </si>
  <si>
    <t>迈克生物股份有限公司</t>
  </si>
  <si>
    <t>南昌金融控股有限公司</t>
  </si>
  <si>
    <t>J.P. Morgan Securities (Far East) Limited,招商证券(香港)有限公司,富途证券国际(香港)有限公司,元大证券(香港)有限公司,利弗莫尔证券有限公司,J.P. Morgan Securities (Asia Pacific) Limited</t>
  </si>
  <si>
    <t>Indigo Rainbow Limited</t>
  </si>
  <si>
    <t>洪绮励</t>
  </si>
  <si>
    <t>环世物流控股香港有限公司</t>
  </si>
  <si>
    <t>Metro Shine Group Limited</t>
  </si>
  <si>
    <t>王意分</t>
  </si>
  <si>
    <t>海通国际证券有限公司,浦银国际融资有限公司,招银国际融资有限公司,中国银河国际证券(香港)有限公司,建银国际金融有限公司,工银国际证券有限公司,华兴证券(香港)有限公司,中泰国际证券有限公司,富途证券国际(香港)有限公司,睿本国际有限公司,富德证券有限公司,老虎证券(香港)环球有限公司</t>
  </si>
  <si>
    <t>Health Vision Hong Kong Limited</t>
  </si>
  <si>
    <t>金域检验(香港)有限公司</t>
  </si>
  <si>
    <t>明略科技集团有限公司</t>
  </si>
  <si>
    <t>Galaxy Dynasty Limited</t>
  </si>
  <si>
    <t>中信建投(国际)融资有限公司,中国国际金融香港证券有限公司,农银国际证券有限公司,农银国际融资有限公司,华泰金融控股(香港)有限公司,广发证券(香港)经纪有限公司,J.P. Morgan Securities (Asia Pacific) Limited</t>
  </si>
  <si>
    <t>CPE Rosewood Investment Limited</t>
  </si>
  <si>
    <t>Janchor Partners Pan-Asian Master Fund</t>
  </si>
  <si>
    <t>Deliante Holdings Co., Ltd.</t>
  </si>
  <si>
    <t>香港麦逊电子有限公司</t>
  </si>
  <si>
    <t>摩根士丹利亚洲有限公司,花旗环球金融亚洲有限公司,Citigroup Global Markets Limited,华泰金融控股(香港)有限公司,UBS AG Hong Kong Branch,中银国际亚洲有限公司,中信里昂证券有限公司,广发证券(香港)经纪有限公司</t>
  </si>
  <si>
    <t>Cordial Solar Limited</t>
  </si>
  <si>
    <t>HHLR CF, L.P.</t>
  </si>
  <si>
    <t>德意志银行(香港分行),富途证券国际(香港)有限公司,黄河证券有限公司,老虎证券(香港)环球有限公司,利弗莫尔证券有限公司,农银国际证券有限公司,申万宏源证券(香港)有限公司,天大证券有限公司,微牛证券有限公司,西牛证券有限公司,元宇宙(国际)证券有限公司,越秀证券有限公司,招银国际融资有限公司,中信里昂证券有限公司,德意志银行香港分行,农银国际融资有限公司</t>
  </si>
  <si>
    <t>XINWUTANG CO., LIMITED</t>
  </si>
  <si>
    <t>China Orient International Asset Management Limited - China Orient Enhanced Income Fund</t>
  </si>
  <si>
    <t>农银国际证券有限公司,利弗莫尔证券有限公司,老虎证券(香港)环球有限公司,农银国际融资有限公司</t>
  </si>
  <si>
    <t>民银证券有限公司,兴证国际融资有限公司,国信证券(香港)融资有限公司,农银国际证券有限公司,浦银国际融资有限公司,招银国际融资有限公司,工银国际证券有限公司,建银国际金融有限公司,瑞邦证券有限公司,百惠证券有限公司,龙誉资本有限公司,华福国际证券有限公司</t>
  </si>
  <si>
    <t>合贏香江控股有限公司</t>
  </si>
  <si>
    <t>The Reynold Lemkins Group (Asia) Limited</t>
  </si>
  <si>
    <t>华泰金融控股(香港)有限公司,摩根士丹利亚洲有限公司,UBS AG Hong Kong Branch</t>
  </si>
  <si>
    <t>太白投资有限公司</t>
  </si>
  <si>
    <t>Huang River Investment Limited</t>
  </si>
  <si>
    <t>中国光大证券(香港)有限公司,交银国际证券有限公司,民银证券有限公司,复星恒利证券有限公司,华业证券有限公司,国泰君安证券(香港)有限公司,大华继显(香港)有限公司,中泰国际证券有限公司,第一上海证券有限公司,创升证券有限公司,利弗莫尔证券有限公司,迈时资本有限公司,盈立证券有限公司,中佳证券有限公司</t>
  </si>
  <si>
    <t>UBS AG Hong Kong Branch,中国国际金融香港证券有限公司,平安证券(香港)有限公司,广发证券(香港)经纪有限公司,海通国际证券有限公司,中信里昂证券有限公司,淘金者证券(香港)有限公司</t>
  </si>
  <si>
    <t>Wildlife Willow Limited</t>
  </si>
  <si>
    <t>Formosa Opportunity Limited</t>
  </si>
  <si>
    <t>天进贸易有限公司</t>
  </si>
  <si>
    <t>民银证券有限公司,艾德证券期货有限公司,海通国际证券有限公司,中泰国际证券有限公司,中国光大证券(香港)有限公司,软库中华金融服务有限公司,中国通海证券有限公司,富途证券国际(香港)有限公司,华盛资本证券有限公司,信达国际融资有限公司,长雄证券有限公司,中天证券有限公司,越秀证券有限公司,富德金融有限公司,利弗莫尔证券有限公司</t>
  </si>
  <si>
    <t>国金证券(香港)有限公司,迈时资本有限公司,农银国际融资有限公司,农银国际证券有限公司,建银国际金融有限公司,民银证券有限公司,招银国际融资有限公司,结好证券有限公司,华安证券(香港)经纪有限公司,工银国际证券有限公司,老虎证券(香港)环球有限公司,富中证券有限公司,宝新证券有限公司,华业证券有限公司,力高证券有限公司,未来金融有限公司,浦银国际融资有限公司</t>
  </si>
  <si>
    <t>斯派柯國際有限公司</t>
  </si>
  <si>
    <t>Giga Industries Limited</t>
  </si>
  <si>
    <t>Poly Platinum Enterprises Limited</t>
  </si>
  <si>
    <t>中国国际金融香港证券有限公司,中国银河国际证券(香港)有限公司,华泰金融控股(香港)有限公司</t>
  </si>
  <si>
    <t>重庆产业投资母基金合伙企业(有限合伙)</t>
  </si>
  <si>
    <t>华泰资本投资有限公司与华泰证券股份有限公司与深圳市林园投资管理有限责任公司</t>
  </si>
  <si>
    <t>BESS Broadway Limited</t>
  </si>
  <si>
    <t>Sanhua (Hong Kong) Co Limited</t>
  </si>
  <si>
    <t>东方证券(香港)有限公司,富途证券国际(香港)有限公司,建银国际金融有限公司,开盘证券有限公司,民银证券有限公司,浙商国际金融控股有限公司,中国银河国际证券(香港)有限公司,中信里昂证券有限公司</t>
  </si>
  <si>
    <t>JSC International Investment Fund SPC</t>
  </si>
  <si>
    <t>大湾区发展基金管理有限公司</t>
  </si>
  <si>
    <t>OAP IV (HK) Limited</t>
  </si>
  <si>
    <t>东方证券(香港)有限公司,中信里昂证券有限公司,海通国际证券有限公司,工银国际证券有限公司,招商证券(香港)有限公司,民银证券有限公司,万基证券有限公司,东吴证券国际经纪有限公司,老虎证券(香港)环球有限公司</t>
  </si>
  <si>
    <t>盈峰控股(香港)有限公司</t>
  </si>
  <si>
    <t>华置贸易有限公司</t>
  </si>
  <si>
    <t>中国国际金融香港证券有限公司,UBS AG Hong Kong Branch,广发证券(香港)经纪有限公司,农银国际证券有限公司,华兴证券(香港)有限公司,招银国际融资有限公司,UBS Securities Hong Kong Limited,农银国际融资有限公司</t>
  </si>
  <si>
    <t>Jun Sheng SP</t>
  </si>
  <si>
    <t>宁波新质产业投资有限公司</t>
  </si>
  <si>
    <t>Jump Trading Pacific Pte. Ltd.</t>
  </si>
  <si>
    <t>Vandi Investments Limited</t>
  </si>
  <si>
    <t>中邮理财有限责任公司</t>
  </si>
  <si>
    <t>平安证券(香港)有限公司,中航资信环球资产管理有限公司,盈立证券有限公司,农银国际融资有限公司,农银国际证券有限公司,百惠证券有限公司,瑞邦证券有限公司,平证证券(香港)有限公司</t>
  </si>
  <si>
    <t>老虎证券(香港)环球有限公司,复星国际证券有限公司,中信里昂证券有限公司,中国国际金融香港证券有限公司,中金香港证券有限公司</t>
  </si>
  <si>
    <t>摩根士丹利亚洲有限公司,招银国际融资有限公司,复星恒利证券有限公司,第一上海证券有限公司,富途证券国际(香港)有限公司,老虎证券(香港)环球有限公司</t>
  </si>
  <si>
    <t>南通莱维投资发展有限公司</t>
  </si>
  <si>
    <t>香港百嘉達新材料有限公司</t>
  </si>
  <si>
    <t>叶荣鉅</t>
  </si>
  <si>
    <t>中国国际金融香港证券有限公司,高盛(亚洲)有限责任公司,摩根士丹利亚洲有限公司,中银国际亚洲有限公司,工银国际证券有限公司,交银国际证券有限公司,招银国际融资有限公司,农银国际融资有限公司,农银国际证券有限公司,建银国际金融有限公司,香港上海汇丰银行有限公司,华泰金融控股(香港)有限公司,中信里昂证券有限公司,富途证券国际(香港)有限公司,广发证券(香港)经纪有限公司,中国银河国际证券(香港)有限公司</t>
  </si>
  <si>
    <t>RBC Global Asset Management</t>
  </si>
  <si>
    <t>源峰基金管理有限公司</t>
  </si>
  <si>
    <t>Supercluster Universe Limited</t>
  </si>
  <si>
    <t>中信建投(国际)融资有限公司,招商证券(香港)有限公司,山证国际证券有限公司,星展亚洲融资有限公司,富途证券国际(香港)有限公司,老虎证券(香港)环球有限公司</t>
  </si>
  <si>
    <t>惠州市惠联投资合伙企业(有限合伙)</t>
  </si>
  <si>
    <t>上海景林资产管理有限公司及华泰资本投资有限公司</t>
  </si>
  <si>
    <t>深圳市新世界投资(香港)有限公司</t>
  </si>
  <si>
    <t>新宙邦(香港)有限公司</t>
  </si>
  <si>
    <t>KKR Capital Markets Asia Limited,高盛(亚洲)有限责任公司,中信建投(国际)融资有限公司,中国国际金融香港证券有限公司</t>
  </si>
  <si>
    <t>建银国际金融有限公司,中国银河国际证券(香港)有限公司,信达国际融资有限公司,民银证券有限公司,东海国际证券(香港)有限公司,复星国际证券有限公司,利弗莫尔证券有限公司,华富建业证券有限公司,胜利证券有限公司,浦银国际融资有限公司,越秀证券有限公司,中泰国际证券有限公司,中募金融资管有限公司,高裕证券有限公司,瑞邦证券有限公司</t>
  </si>
  <si>
    <t>惠州市国惠联股权投资基金合伙企业(有限合伙)</t>
  </si>
  <si>
    <t>华泰金融控股(香港)有限公司,香港上海汇丰银行有限公司,国联证券国际资本市场有限公司,广发证券(香港)经纪有限公司,中信里昂证券有限公司</t>
  </si>
  <si>
    <t>惠理基金管理香港有限公司,惠理基金管理公司</t>
  </si>
  <si>
    <t>景林资产管理香港有限公司</t>
  </si>
  <si>
    <t>CPE Greater China Enterprises Growth Fund,CPE Growth Fund #1</t>
  </si>
  <si>
    <t>Eastspring Investments (Singapore) Ltd</t>
  </si>
  <si>
    <t>摩根士丹利亚洲有限公司,中国国际金融香港证券有限公司,招银国际融资有限公司,法国巴黎证券(亚洲)有限公司,瑞士信贷(香港)有限公司,Banco BTG Pactual S.A.-Cayman Branch,中国银河国际证券(香港)有限公司,富途证券国际(香港)有限公司,华泰金融控股(香港)有限公司</t>
  </si>
  <si>
    <t>(주)LG화학</t>
  </si>
  <si>
    <t>深圳市德方纳米科技股份有限公司</t>
  </si>
  <si>
    <t>太平洋资产管理有限责任公司</t>
  </si>
  <si>
    <t>金山(香港)國際礦業有限公司</t>
  </si>
  <si>
    <t>中创新航科技集团股份有限公司</t>
  </si>
  <si>
    <t>中信里昂证券有限公司,中国国际金融香港证券有限公司,中银国际亚洲有限公司,招商证券(香港)有限公司,农银国际证券有限公司,工银国际证券有限公司,农银国际融资有限公司</t>
  </si>
  <si>
    <t>ARANDA INVESTMENTS</t>
  </si>
  <si>
    <t>盈峰基金系列2开放式基金型公司-盈峰科技基金2</t>
  </si>
  <si>
    <t>LMR Multi-Strategy Master Fund Limited</t>
  </si>
  <si>
    <t>花旗环球金融亚洲有限公司,Citigroup Global Markets Limited,海通国际证券有限公司,国泰君安证券(香港)有限公司,华泰金融控股(香港)有限公司,农银国际证券有限公司,富途证券国际(香港)有限公司,老虎证券(香港)环球有限公司,农银国际融资有限公司</t>
  </si>
  <si>
    <t>江西国控私募基金管理有限公司</t>
  </si>
  <si>
    <t>韦尔半导体香港有限公司</t>
  </si>
  <si>
    <t>香港裕同印刷有限公司</t>
  </si>
  <si>
    <t>Qualcomm Ventures LLC</t>
  </si>
  <si>
    <t>青岛观澜投资管理有限公司及国泰君安证券投资(香港)有限公司</t>
  </si>
  <si>
    <t>中信里昂证券有限公司,麦格理资本股份有限公司,中国国际金融香港证券有限公司,农银国际融资有限公司,农银国际证券有限公司,中银国际亚洲有限公司,工银国际证券有限公司,华泰金融控股(香港)有限公司,建银国际金融有限公司,第一上海证券有限公司,富途证券国际(香港)有限公司,利弗莫尔证券有限公司,申万宏源证券(香港)有限公司,南非标准银行有限公司,胜利证券有限公司,星河证券有限公司,老虎证券(香港)环球有限公司</t>
  </si>
  <si>
    <t>中信里昂证券有限公司,中银国际亚洲有限公司</t>
  </si>
  <si>
    <t>Black Dragon AP SPV1</t>
  </si>
  <si>
    <t>Enreal China Master Fund及Forreal China Value Fund</t>
  </si>
  <si>
    <t>HCEP Master Fund及HCEP Long Only Master Fund HSG</t>
  </si>
  <si>
    <t>Harvest Oriental SP</t>
  </si>
  <si>
    <t>华福国际证券有限公司,盈宝证券国际(香港)有限公司,长桥证券(香港)有限公司,中昊证券有限公司,星展亚洲融资有限公司,中信建投(国际)融资有限公司,国元证券经纪(香港)有限公司,民银证券有限公司,中银国际亚洲有限公司,兴证国际融资有限公司,中州国际证券有限公司,复星国际证券有限公司,工银国际证券有限公司,尊嘉证券国际有限公司</t>
  </si>
  <si>
    <t>通州国际发展有限公司</t>
  </si>
  <si>
    <t>光银国际资本有限公司,中信里昂证券有限公司,中国银河国际证券(香港)有限公司,招银国际融资有限公司,工银国际证券有限公司,建银国际金融有限公司,交银国际证券有限公司,浦银国际融资有限公司,利弗莫尔证券有限公司,华升证券(国际)有限公司,鉅诚证券有限公司,雅利多证券有限公司,润淼资产管理有限公司,软库中华金融服务有限公司</t>
  </si>
  <si>
    <t>中國移動國際控股有限公司</t>
  </si>
  <si>
    <t>高盛(亚洲)有限责任公司,招银国际融资有限公司,中银国际亚洲有限公司,建银国际金融有限公司,国信证券(香港)融资有限公司,工银国际证券有限公司,农银国际证券有限公司,中信里昂证券有限公司,花旗环球金融亚洲有限公司,Citigroup Global Markets Limited,工银国际融资有限公司</t>
  </si>
  <si>
    <t>CEPHEI</t>
  </si>
  <si>
    <t>HHLR Fund, L.P.及YHG Investment, L.P.</t>
  </si>
  <si>
    <t>Athos Asia Event Driven Master Fund</t>
  </si>
  <si>
    <t>中国国际金融香港证券有限公司,华泰金融控股(香港)有限公司,农银国际证券有限公司,中银国际亚洲有限公司,财通国际证券有限公司,广发证券(香港)经纪有限公司,浙商国际金融控股有限公司</t>
  </si>
  <si>
    <t>Schroder Investment Management Limited,Schroder Investment Management (Singapore) Ltd及Schroder Investment Management (Hong Kong) Limited</t>
  </si>
  <si>
    <t>Green Better Limited</t>
  </si>
  <si>
    <t>Verition Multi-Strategy Master Fund Ltd.</t>
  </si>
  <si>
    <t>钟鼎资本八期投资有限公司</t>
  </si>
  <si>
    <t>中国国际金融香港证券有限公司,法国巴黎证券(亚洲)有限公司,华泰金融控股(香港)有限公司,浦银国际融资有限公司,方德证券有限公司,工银国际证券有限公司,建银国际金融有限公司,中泰国际证券有限公司,富途证券国际(香港)有限公司,老虎证券(香港)环球有限公司,华盛资本证券有限公司</t>
  </si>
  <si>
    <t>新華資產管理(香港)有限公司</t>
  </si>
  <si>
    <t>中信建投(国际)融资有限公司,农银国际证券有限公司,中银国际亚洲有限公司,建银国际金融有限公司,招银国际融资有限公司,富途证券国际(香港)有限公司</t>
  </si>
  <si>
    <t>Allianz Global Investors Asia Pacific Limited</t>
  </si>
  <si>
    <t>维科(香港)经贸有限公司</t>
  </si>
  <si>
    <t>中国国际金融香港证券有限公司,UBS AG Hong Kong Branch,建银国际金融有限公司,中信里昂证券有限公司,海通国际证券有限公司,农银国际证券有限公司,中银国际亚洲有限公司,交银国际证券有限公司,招银国际融资有限公司,中信建投(国际)融资有限公司,星展亚洲融资有限公司,国泰君安证券(香港)有限公司,工银国际证券有限公司,中国银河国际证券(香港)有限公司,东吴证券国际经纪有限公司</t>
  </si>
  <si>
    <t>AMOREPACIFIC集团</t>
  </si>
  <si>
    <t>融實國際控股有限公司</t>
  </si>
  <si>
    <t>中遠海運(香港)有限公司</t>
  </si>
  <si>
    <t>上海机场投资有限公司</t>
  </si>
  <si>
    <t>富途证券国际(香港)有限公司,华升证券(国际)有限公司,农银国际证券有限公司,招银国际融资有限公司,国证国际证券(香港)有限公司,中信里昂证券有限公司</t>
  </si>
  <si>
    <t>香港勤道赣通有限公司</t>
  </si>
  <si>
    <t>张晓雷</t>
  </si>
  <si>
    <t>RUIHUA (INTERNATIONAL) INVESTMENT LIMITED</t>
  </si>
  <si>
    <t>广发基金管理有限公司</t>
  </si>
  <si>
    <t>中信建投(国际)融资有限公司,麦格理资本股份有限公司,海通国际证券有限公司,国泰君安证券(香港)有限公司,交银国际证券有限公司,富途证券国际(香港)有限公司,老虎证券(香港)环球有限公司,利弗莫尔证券有限公司,艾德证券期货有限公司,招商证券(香港)有限公司</t>
  </si>
  <si>
    <t>Azure Telecommunication</t>
  </si>
  <si>
    <t>郑长平</t>
  </si>
  <si>
    <t>Tower Lead Limited</t>
  </si>
  <si>
    <t>东方源有限公司</t>
  </si>
  <si>
    <t>金涛</t>
  </si>
  <si>
    <t>中信里昂证券有限公司,广发证券(香港)经纪有限公司,国金证券(香港)有限公司,中银国际亚洲有限公司,农银国际证券有限公司,工银国际证券有限公司,中国银河国际证券(香港)有限公司,华升证券(国际)有限公司,富途证券国际(香港)有限公司,百惠证券有限公司,老虎证券(香港)环球有限公司</t>
  </si>
  <si>
    <t>中国国际金融香港证券有限公司,富途证券国际(香港)有限公司,富泽证券(国际)有限公司</t>
  </si>
  <si>
    <t>地平线创业投资管理有限公司</t>
  </si>
  <si>
    <t>黄山德钧企业管理有限公司</t>
  </si>
  <si>
    <t>利弗莫尔证券有限公司,复星恒利证券有限公司,创升证券有限公司,富途证券国际(香港)有限公司,中泰国际证券有限公司,艾德证券期货有限公司,国泰君安证券(香港)有限公司,大华继显(香港)有限公司,海通国际证券有限公司,东方证券(香港)有限公司,建银国际金融有限公司,法国巴黎证券(亚洲)有限公司</t>
  </si>
  <si>
    <t>郑靖杰</t>
  </si>
  <si>
    <t>康石壹号有限合伙</t>
  </si>
  <si>
    <t>百洋健康有限公司</t>
  </si>
  <si>
    <t>Lun’s Family</t>
  </si>
  <si>
    <t>中国国际金融香港证券有限公司,中信建投(国际)融资有限公司,招商证券(香港)有限公司</t>
  </si>
  <si>
    <t>Hao Great China Focus Fund</t>
  </si>
  <si>
    <t>Great Holding Development Limited</t>
  </si>
  <si>
    <t>WT Asset Management Limited</t>
  </si>
  <si>
    <t>Caitong Funds SPC – Strategic Equity Fund III SP</t>
  </si>
  <si>
    <t>CICC Financial Trading Limited,上海聚鸣投资管理有限公司,中国国际金融股份有限公司</t>
  </si>
  <si>
    <t>中国国际金融香港证券有限公司,花旗环球金融亚洲有限公司,Citigroup Global Markets Limited,中国信托商业银行股份有限公司,富途证券国际(香港)有限公司,利弗莫尔证券有限公司,TradeGo Markets Limited,大华继显(香港)有限公司</t>
  </si>
  <si>
    <t>禾荣科技股份有限公司</t>
  </si>
  <si>
    <t>合富(中国)医疗科技股份有限公司</t>
  </si>
  <si>
    <t>苏州市战兴投产业基金合伙企业(有限合伙)</t>
  </si>
  <si>
    <t>中信里昂证券有限公司,法国巴黎证券(亚洲)有限公司,中国国际金融香港证券有限公司</t>
  </si>
  <si>
    <t>上海陆家嘴(集团)有限公司</t>
  </si>
  <si>
    <t>高盛資產管理(香港)有限公司</t>
  </si>
  <si>
    <t>AXA INVESTMENT MANAGERS UK LIMITED</t>
  </si>
  <si>
    <t>UBS AG Hong Kong Branch,摩根士丹利亚洲有限公司,中国国际金融香港证券有限公司,法国巴黎证券(亚洲)有限公司,富途证券国际(香港)有限公司,建银国际金融有限公司</t>
  </si>
  <si>
    <t>Media Global Management Limited</t>
  </si>
  <si>
    <t>阳光人寿保险股份有限公司</t>
  </si>
  <si>
    <t>Prospect Bridge Value L.P.</t>
  </si>
  <si>
    <t>中信里昂证券有限公司,Merrill Lynch (Asia Pacific) Limited,农银国际证券有限公司,中银国际亚洲有限公司,富途证券国际(香港)有限公司,中航资信环球资产管理有限公司,农银国际融资有限公司</t>
  </si>
  <si>
    <t>QRT Master Fund SPC</t>
  </si>
  <si>
    <t>Infini Global Master Fund</t>
  </si>
  <si>
    <t>申万宏源证券(香港)有限公司,工银国际证券有限公司,民银证券有限公司,平证证券(香港)有限公司,华盛资本证券有限公司,中毅资本有限公司</t>
  </si>
  <si>
    <t>杨英武</t>
  </si>
  <si>
    <t>郭少俊</t>
  </si>
  <si>
    <t>刘莉筠</t>
  </si>
  <si>
    <t>中国国际金融香港证券有限公司,利弗莫尔证券有限公司,百惠证券有限公司</t>
  </si>
  <si>
    <t>中国国际金融香港证券有限公司,J.P. Morgan Securities plc,J.P. Morgan Securities (Asia Pacific) Limited,中银国际亚洲有限公司,华盛资本证券有限公司,富途证券国际(香港)有限公司,老虎证券(香港)环球有限公司,申万宏源证券(香港)有限公司,中泰国际证券有限公司,中信里昂证券有限公司</t>
  </si>
  <si>
    <t>中信建投(国际)融资有限公司,申万宏源证券(香港)有限公司,浦银国际融资有限公司,招银国际融资有限公司,中银国际亚洲有限公司,工银国际证券有限公司,建银国际金融有限公司,老虎证券(香港)环球有限公司,国元证券经纪(香港)有限公司,农银国际融资有限公司,农银国际证券有限公司,华富建业证券有限公司,利弗莫尔证券有限公司,贝塔国际证券有限公司</t>
  </si>
  <si>
    <t>中信建投(国际)融资有限公司,天风国际证券与期货有限公司,农银国际证券有限公司,国泰君安证券(香港)有限公司,招银国际融资有限公司,工银国际证券有限公司,浦银国际融资有限公司,大和资本市场香港有限公司,华盛证券,利弗莫尔证券有限公司,富途证券国际(香港)有限公司,软库中华金融服务有限公司,中国银河国际证券(香港)有限公司</t>
  </si>
  <si>
    <t>金华金开国有资本投资有限公司</t>
  </si>
  <si>
    <t>重庆市大足区怀远建设投资有限公司</t>
  </si>
  <si>
    <t>海南东方润泽私募基金管理有限公司</t>
  </si>
  <si>
    <t>金华市产业基金有限公司</t>
  </si>
  <si>
    <t>星恒电源股份有限公司</t>
  </si>
  <si>
    <t>中国国际金融香港证券有限公司,高盛(亚洲)有限责任公司,华泰金融控股(香港)有限公司,广发证券(香港)经纪有限公司,富途证券国际(香港)有限公司,元库证券有限公司</t>
  </si>
  <si>
    <t>中国国际金融香港证券有限公司,中信建投(国际)融资有限公司,中信里昂证券有限公司,建银国际金融有限公司,中银国际亚洲有限公司,汇智国际金融控股有限公司,富途证券国际(香港)有限公司,利弗莫尔证券有限公司</t>
  </si>
  <si>
    <t>汇兴丽海有限公司</t>
  </si>
  <si>
    <t>UBS AG Hong Kong Branch,中银国际亚洲有限公司,中信里昂证券有限公司,Merrill Lynch (Asia Pacific) Limited,中国国际金融香港证券有限公司,招银国际融资有限公司,香港上海汇丰银行有限公司,华泰金融控股(香港)有限公司,农银国际证券有限公司,建银国际金融有限公司</t>
  </si>
  <si>
    <t>香港中旅(集团)有限公司</t>
  </si>
  <si>
    <t>中邮人寿保险股份有限公司</t>
  </si>
  <si>
    <t>中国国际金融(香港)有限公司,法国巴黎证券(亚洲)有限公司,中泰国际证券有限公司</t>
  </si>
  <si>
    <t>三亚发展控股有限公司</t>
  </si>
  <si>
    <t>海南金融控股股份有限公司</t>
  </si>
  <si>
    <t>海南自由贸易港建设投资基金有限公司</t>
  </si>
  <si>
    <t>青岛海发产业投资控股有限公司</t>
  </si>
  <si>
    <t>华泰金融控股(香港)有限公司,中信里昂证券有限公司,招银国际融资有限公司,瑞邦证券有限公司,百惠证券有限公司</t>
  </si>
  <si>
    <t>和达金源(香港)有限公司</t>
  </si>
  <si>
    <t>復星實業(香港)有限公司</t>
  </si>
  <si>
    <t>香港健友实业有限公司</t>
  </si>
  <si>
    <t>Jointown International Group Company Limited</t>
  </si>
  <si>
    <t>阿里健康(香港)科技有限公司</t>
  </si>
  <si>
    <t>民银证券有限公司,迈时资本有限公司,申万宏源证券(香港)有限公司,中国北方证券集团有限公司,富途证券国际(香港)有限公司,建银国际金融有限公司,工银国际证券有限公司,中银国际亚洲有限公司,中信里昂证券有限公司,中泰国际证券有限公司</t>
  </si>
  <si>
    <t>利弗莫尔证券有限公司,东方证券(香港)有限公司,港利资本有限公司,艾德证券期货有限公司,越秀证券有限公司,华金证券(国际)有限公司</t>
  </si>
  <si>
    <t>中信建投(国际)融资有限公司,星展亚洲融资有限公司,华升证券(国际)有限公司,农银国际证券有限公司,招银国际融资有限公司,富途证券国际(香港)有限公司,利弗莫尔证券有限公司,浦银国际融资有限公司,天风国际证券与期货有限公司,TradeGo Markets Limited,华泰金融控股(香港)有限公司</t>
  </si>
  <si>
    <t>中泰国际证券有限公司,东皓证券有限公司,中信里昂证券有限公司,浙商国际金融控股有限公司,浦银国际融资有限公司,交银国际证券有限公司,申万宏源证券(香港)有限公司,兴证国际融资有限公司,国泰君安证券(香港)有限公司,第一上海证券有限公司,迈时资本有限公司,华盛资本证券有限公司,西牛证券有限公司,金联证券有限公司,中募金融资管有限公司,老虎证券(香港)环球有限公司,利弗莫尔证券有限公司</t>
  </si>
  <si>
    <t>赖世贤</t>
  </si>
  <si>
    <t>法国巴黎证券(亚洲)有限公司,富途证券国际(香港)有限公司,华泰金融控股(香港)有限公司</t>
  </si>
  <si>
    <t>蓝思科技(香港)有限公司</t>
  </si>
  <si>
    <t>长沙雨丰科技有限公司</t>
  </si>
  <si>
    <t>远信(珠海)私募基金管理有限公司及中国银河国际投资有限公司</t>
  </si>
  <si>
    <t>黄雪林</t>
  </si>
  <si>
    <t>盘京港景投资基金</t>
  </si>
  <si>
    <t>中国通海证券有限公司,博威环球证券有限公司,交银国际证券有限公司,建银国际金融有限公司,中国银河国际证券(香港)有限公司,民银证券有限公司,艾德证券期货有限公司,富强证券有限公司,国泰君安证券(香港)有限公司,创升证券有限公司,中泰国际证券有限公司,盈立证券有限公司</t>
  </si>
  <si>
    <t>吴在权</t>
  </si>
  <si>
    <t>富瑞金融集团香港有限公司,国泰君安证券(香港)有限公司,建银国际金融有限公司,招银国际融资有限公司,农银国际证券有限公司,浦银国际融资有限公司,软库中华金融服务有限公司,利弗莫尔证券有限公司,Conrad Investment Services Limited</t>
  </si>
  <si>
    <t>摩根士丹利亚洲有限公司,华泰金融控股(香港)有限公司,中国国际金融香港证券有限公司,法国巴黎证券(亚洲)有限公司,农银国际融资有限公司,农银国际证券有限公司,中银国际亚洲有限公司,工银国际证券有限公司,建银国际金融有限公司,瑞穗证券亚洲有限公司,老虎证券(香港)环球有限公司,第一上海证券有限公司</t>
  </si>
  <si>
    <t>贵州省新型工业化发展股权投资基金合伙企业(有限合伙)</t>
  </si>
  <si>
    <t>宝达投资(香港)有限公司</t>
  </si>
  <si>
    <t>NR 1 SP</t>
  </si>
  <si>
    <t>东圣先行科技产业有限公司及国泰君安证券投资(香港)有限公司</t>
  </si>
  <si>
    <t>中国光大证券(香港)有限公司,招银国际融资有限公司,中泰国际证券有限公司,农银国际证券有限公司,交银国际证券有限公司,源盛证券有限公司,川文证券有限公司,民银证券有限公司,第一上海证券有限公司,富途证券国际(香港)有限公司,国泰君安证券(香港)有限公司,申万宏源证券(香港)有限公司,华盛资本证券有限公司</t>
  </si>
  <si>
    <t>平证证券(香港)有限公司,中信里昂证券有限公司,招银国际融资有限公司,复星国际证券有限公司,洪泰证券有限公司,百惠证券有限公司,兴证国际融资有限公司,艾德证券期货有限公司,富强证券有限公司,工银国际证券有限公司,老虎证券(香港)环球有限公司</t>
  </si>
  <si>
    <t>招银国际融资有限公司,广发证券(香港)经纪有限公司,工银国际证券有限公司,华泰金融控股(香港)有限公司,中国国际金融香港证券有限公司,UBS AG Hong Kong Branch,高盛(亚洲)有限责任公司,Merrill Lynch (Asia Pacific) Limited</t>
  </si>
  <si>
    <t>HSG Growth VI Holdco F, Ltd.</t>
  </si>
  <si>
    <t>M&amp;G Investments Inc</t>
  </si>
  <si>
    <t>Persistence Growth Limited</t>
  </si>
  <si>
    <t>HHLR Fund, L.P.</t>
  </si>
  <si>
    <t>Long-Z Fund I, LP</t>
  </si>
  <si>
    <t>海通国际证券有限公司,利弗莫尔证券有限公司</t>
  </si>
  <si>
    <t>中国国际金融香港证券有限公司,中信里昂证券有限公司,广发证券(香港)经纪有限公司</t>
  </si>
  <si>
    <t>BA Sprout Limited</t>
  </si>
  <si>
    <t>Arcane Nexus Limited</t>
  </si>
  <si>
    <t>CDH Emerging Markets Fund II, L.P.</t>
  </si>
  <si>
    <t>HCEP Master Fund及HCEP Long Only Master Fund</t>
  </si>
  <si>
    <t>法国巴黎证券(亚洲)有限公司,国泰君安证券(香港)有限公司,高盛(亚洲)有限责任公司,摩根士丹利亚洲有限公司,UBS AG Hong Kong Branch,中国国际金融香港证券有限公司,中信建投(国际)融资有限公司,J.P. Morgan Securities (Asia Pacific) Limited,Merrill Lynch (Asia Pacific) Limited</t>
  </si>
  <si>
    <t>科威特投资局</t>
  </si>
  <si>
    <t>中石化(香港)有限公司</t>
  </si>
  <si>
    <t>上海高毅资产管理合伙企业(有限合伙)</t>
  </si>
  <si>
    <t>Zenith Hop International Limited</t>
  </si>
  <si>
    <t>越秀证券有限公司,农银国际融资有限公司,农银国际证券有限公司,中银国际亚洲有限公司,建银国际金融有限公司,招银国际融资有限公司,民银证券有限公司,华福国际证券有限公司,利弗莫尔证券有限公司,百惠证券有限公司,中泰国际证券有限公司</t>
  </si>
  <si>
    <t>Main Achieve Holdings Limited</t>
  </si>
  <si>
    <t>林小坚</t>
  </si>
  <si>
    <t>香港临泰微科技有限公司</t>
  </si>
  <si>
    <t>中晟集团有限公司</t>
  </si>
  <si>
    <t>曹柯</t>
  </si>
  <si>
    <t>中国国际金融香港证券有限公司,广发证券(香港)经纪有限公司,花旗环球金融亚洲有限公司,Citigroup Global Markets Limited,华盛资本证券有限公司,富途证券国际(香港)有限公司,老虎证券(香港)环球有限公司</t>
  </si>
  <si>
    <t>PT. Anugerah Citra Walet Indonesia</t>
  </si>
  <si>
    <t>PT Esta Indonesia</t>
  </si>
  <si>
    <t>PT Niaga Cakrawala Sukses</t>
  </si>
  <si>
    <t>Value Partners Hong Kong Limited及Value Partners Limited</t>
  </si>
  <si>
    <t>吴琛</t>
  </si>
  <si>
    <t>农银国际证券有限公司,华盛资本证券有限公司,国泰君安证券(香港)有限公司,建银国际金融有限公司,中泰国际证券有限公司,浙商国际金融控股有限公司,擎天证券有限公司,禹洲金融控股(香港)有限公司,农银国际融资有限公司</t>
  </si>
  <si>
    <t>中国国际金融香港证券有限公司,花旗环球金融亚洲有限公司,Citigroup Global Markets Limited,招银国际融资有限公司,建银国际金融有限公司,申万宏源证券(香港)有限公司,招商证券(香港)有限公司,富途证券国际(香港)有限公司,老虎证券(香港)环球有限公司,复星国际证券有限公司,迈时资本有限公司,恒宇证券有限公司</t>
  </si>
  <si>
    <t>老虎证券(香港)环球有限公司,富途证券国际(香港)有限公司,大华继显(香港)有限公司,天风国际证券与期货有限公司,中银国际亚洲有限公司,华泰金融控股(香港)有限公司,中信里昂证券有限公司,农银国际融资有限公司,农银国际证券有限公司</t>
  </si>
  <si>
    <t>Glencore Internation</t>
  </si>
  <si>
    <t>Stoneylake Global Alpha Fund</t>
  </si>
  <si>
    <t>North Rock Capital Management, LLC</t>
  </si>
  <si>
    <t>华夏基金管理(香港)有限公司</t>
  </si>
  <si>
    <t>新亚洲富怡资产管理有限公司</t>
  </si>
  <si>
    <t>高盛(亚洲)有限责任公司,UBS AG Hong Kong Branch,中国国际金融香港证券有限公司,香港上海汇丰银行有限公司,农银国际证券有限公司,中银国际亚洲有限公司,招银国际融资有限公司,富途证券国际(香港)有限公司</t>
  </si>
  <si>
    <t>GM Charm Yield (BVI) Limited</t>
  </si>
  <si>
    <t>LVC-Golden Valley Global Limited</t>
  </si>
  <si>
    <t>中国国际金融香港证券有限公司,中国银河国际证券(香港)有限公司,华泰金融控股(香港)有限公司,国泰君安证券(香港)有限公司,建银国际金融有限公司,老虎证券(香港)环球有限公司,富途证券国际(香港)有限公司,利弗莫尔证券有限公司</t>
  </si>
  <si>
    <t>CPE Investment XV Limited</t>
  </si>
  <si>
    <t>正心谷创新资本投资管理有限公司</t>
  </si>
  <si>
    <t>Seraphim Advantage Inc.</t>
  </si>
  <si>
    <t>Brilliant Partners Fund LP及China Core Fund</t>
  </si>
  <si>
    <t>华泰金融控股(香港)有限公司,花旗环球金融亚洲有限公司,Citigroup Global Markets Limited,招银国际融资有限公司,星展亚洲融资有限公司,中银国际亚洲有限公司,申万宏源证券(香港)有限公司,国泰君安证券(香港)有限公司,交银国际证券有限公司,建银国际金融有限公司,农银国际证券有限公司,中泰国际证券有限公司,富途证券国际(香港)有限公司,老虎证券(香港)环球有限公司,华盛资本证券有限公司</t>
  </si>
  <si>
    <t>香港东滨合胜发展有限公司</t>
  </si>
  <si>
    <t>中聯重科國際貿易(香港)有限公司</t>
  </si>
  <si>
    <t>浙江鼎力机械股份有限公司</t>
  </si>
  <si>
    <t>Xinheng Holding Limited</t>
  </si>
  <si>
    <t>临工重机国际有限公司</t>
  </si>
  <si>
    <t>摩根士丹利亚洲有限公司,海通国际证券有限公司,华泰金融控股(香港)有限公司,中信里昂证券有限公司,工银国际证券有限公司,老虎证券(香港)环球有限公司,富途证券国际(香港)有限公司,华盛资本证券有限公司</t>
  </si>
  <si>
    <t>TruMed Healthcare Master Fund及TruMed Health Innovation Fund LP</t>
  </si>
  <si>
    <t>Juzi Holding Co., Ltd</t>
  </si>
  <si>
    <t>昆明贝泰妮生物科技销售有限公司</t>
  </si>
  <si>
    <t>高盛(亚洲)有限责任公司,华泰金融控股(香港)有限公司,J.P. Morgan Securities (Asia Pacific) Limited,中国国际金融香港证券有限公司,UBS AG Hong Kong Branch,农银国际证券有限公司,中银国际亚洲有限公司,招银国际融资有限公司,星展亚洲融资有限公司,广发证券(香港)经纪有限公司,工银国际证券有限公司</t>
  </si>
  <si>
    <t>惠汉有限公司</t>
  </si>
  <si>
    <t>中国国际金融香港证券有限公司,Merrill Lynch (Asia Pacific) Limited,高盛(亚洲)有限责任公司,中信里昂证券有限公司,农银国际证券有限公司,富途证券国际(香港)有限公司,老虎证券(香港)环球有限公司,农银国际融资有限公司</t>
  </si>
  <si>
    <t>摩根大通资产管理(亚太)有限公司</t>
  </si>
  <si>
    <t>建滔投資有限公司</t>
  </si>
  <si>
    <t>Cloud Map Holdings Limited</t>
  </si>
  <si>
    <t>艾德证券期货有限公司,铠盛证券有限公司,中国光大证券(香港)有限公司,Beta International Securities Limited,民银证券有限公司,平证证券(香港)有限公司,华富建业证券有限公司,迈时资本有限公司,软库中华金融服务有限公司,浦银国际融资有限公司,创升证券有限公司,信达国际融资有限公司,百惠证券有限公司,中募金融资管有限公司,金联证券有限公司</t>
  </si>
  <si>
    <t>大华继显(香港)有限公司,富途证券国际(香港)有限公司,海通国际证券有限公司,迈时资本有限公司,老虎证券(香港)环球有限公司</t>
  </si>
  <si>
    <t>中国国际金融香港证券有限公司,招银国际融资有限公司,中银国际亚洲有限公司,星展亚洲融资有限公司,农银国际证券有限公司,法国巴黎证券(亚洲)有限公司,元库证券有限公司,中国国际金融香港证券有限公司(香港)</t>
  </si>
  <si>
    <t>香港邦普時代新能源有限公司</t>
  </si>
  <si>
    <t>宁波市鄞州区金融控股有限公司</t>
  </si>
  <si>
    <t>格林美香港国际物流有限公司</t>
  </si>
  <si>
    <t>湖北容百电池三角壹号股权投资基金合伙企业(有限合伙)</t>
  </si>
  <si>
    <t>贝塔国际证券有限公司,汇富金融服务有限公司</t>
  </si>
  <si>
    <t>联合证券有限公司,均富融资有限公司,民银证券有限公司,交银国际证券有限公司,阿仕特朗资本管理有限公司,艾德证券期货有限公司,迈时资本有限公司</t>
  </si>
  <si>
    <t>中国国际金融香港证券有限公司,海通国际证券有限公司,野村国际(香港)有限公司,民银证券有限公司,农银国际融资有限公司,中银国际亚洲有限公司,建银国际金融有限公司,中国银河国际证券(香港)有限公司,招银国际融资有限公司,工银国际证券有限公司,老虎证券(香港)环球有限公司,富途证券国际(香港)有限公司,利弗莫尔证券有限公司</t>
  </si>
  <si>
    <t>西证(香港)证券经纪有限公司,金联证券有限公司,利得证券(香港)有限公司</t>
  </si>
  <si>
    <t>Carsonlin Investment Ltd</t>
  </si>
  <si>
    <t>杨新云</t>
  </si>
  <si>
    <t>慕敏</t>
  </si>
  <si>
    <t>中国国际金融香港证券有限公司,招银国际融资有限公司,中银国际亚洲有限公司,中国银河国际证券(香港)有限公司,工银国际证券有限公司,建银国际金融有限公司,华富建业证券有限公司,山高国际证券有限公司,复星国际证券有限公司,长桥证券(香港)有限公司,利弗莫尔证券有限公司,国金证券(香港)有限公司,华福国际证券有限公司</t>
  </si>
  <si>
    <t>沈臻宇</t>
  </si>
  <si>
    <t>昱龙国际资本有限公司</t>
  </si>
  <si>
    <t>Timber Kangaroo Capital Limited</t>
  </si>
  <si>
    <t>华泰金融控股(香港)有限公司,农银国际证券有限公司,天风国际证券与期货有限公司,中信里昂证券有限公司,申万宏源证券(香港)有限公司,中国银河国际证券(香港)有限公司,大华继显(香港)有限公司,浦银国际融资有限公司,民银证券有限公司,中航资信环球资产管理有限公司,富德证券有限公司,富途证券国际(香港)有限公司,老虎证券(香港)环球有限公司,第一上海证券有限公司,TradeGo Markets Limited,迈时资本有限公司,农银国际融资有限公司</t>
  </si>
  <si>
    <t>中信里昂证券有限公司,横华国际证券有限公司,中银国际亚洲有限公司,招银国际融资有限公司,农银国际证券有限公司,浙商国际金融控股有限公司,财通国际证券有限公司,裕承资产管理有限公司,中国光大证券(香港)有限公司,中航资信环球资产管理有限公司,富强证券有限公司,华通证券国际有限公司,黄河证券有限公司,农银国际融资有限公司</t>
  </si>
  <si>
    <t>山证国际证券有限公司,华泰金融控股(香港)有限公司,交银国际证券有限公司,中国光大证券(香港)有限公司,招银国际融资有限公司,富途证券国际(香港)有限公司,工银国际融资有限公司,中泰国际证券有限公司,艾德证券期货有限公司,百惠证券有限公司,胜利证券有限公司,中募金融资管有限公司</t>
  </si>
  <si>
    <t>明阳智慧能源集团股份公司</t>
  </si>
  <si>
    <t>UBS AG Hong Kong Branch,国元证券经纪(香港)有限公司,招银国际融资有限公司,农银国际证券有限公司,工银国际证券有限公司,富途证券国际(香港)有限公司,华泰金融控股(香港)有限公司,TradeGo Markets Limited</t>
  </si>
  <si>
    <t>东吴证券国际经纪有限公司,复星国际证券有限公司,建泉融资有限公司,富汇证券有限公司,中国银河国际证券(香港)有限公司,中泰国际证券有限公司,博恩证券有限公司,艾德证券期货有限公司,千里硕证券有限公司,第一上海证券有限公司,富途证券国际(香港)有限公司,华业证券有限公司,六福证券(香港)有限公司,贝德斯证券有限公司,佳富达证券有限公司,圣衡金融控股有限公司,老虎证券(香港)环球有限公司,中募金融资管有限公司</t>
  </si>
  <si>
    <t>ZhongBaoNew materials. Ltd</t>
  </si>
  <si>
    <t>华泰金融控股(香港)有限公司,农银国际证券有限公司,国泰君安证券(香港)有限公司,申万宏源证券(香港)有限公司,交银国际证券有限公司,农银国际融资有限公司</t>
  </si>
  <si>
    <t>DE WELL GROUP SINGAPORE PTE.LTD.</t>
  </si>
  <si>
    <t>浙江伊芙丽实业有限公司</t>
  </si>
  <si>
    <t>中国通海证券有限公司,伟禄亚太证券有限公司,致富证券有限公司,佳富达证券有限公司,山高国际证券有限公司</t>
  </si>
  <si>
    <t>Infinitus Wealth Limited</t>
  </si>
  <si>
    <t>朱建兰</t>
  </si>
  <si>
    <t>中国国际金融香港证券有限公司,华泰金融控股(香港)有限公司,建银国际金融有限公司,工银国际证券有限公司,农银国际证券有限公司,利弗莫尔证券有限公司,中国银河国际证券(香港)有限公司</t>
  </si>
  <si>
    <t>三水创业投资有限公司</t>
  </si>
  <si>
    <t>浤博资本有限公司,建银国际金融有限公司,农银国际证券有限公司,信达国际融资有限公司,中佳证券有限公司,招银国际融资有限公司,浦银国际融资有限公司,利弗莫尔证券有限公司,复星国际证券有限公司,华盛资本证券有限公司,光银国际资本有限公司,金联证券有限公司,东吴证券国际经纪有限公司,元库证券有限公司,申万宏源证券(香港)有限公司,中泰国际证券有限公司,农银国际融资有限公司</t>
  </si>
  <si>
    <t>法国巴黎证券(亚洲)有限公司,中信证券(香港)有限公司,招银国际融资有限公司,星展亚洲融资有限公司,中湾国际证券有限公司,第一上海证券有限公司,富途证券国际(香港)有限公司,软库中华金融服务有限公司,中信里昂证券有限公司</t>
  </si>
  <si>
    <t>中国国际金融香港证券有限公司,中国银河国际证券(香港)有限公司,招银国际融资有限公司,广发证券(香港)经纪有限公司,国泰君安证券(香港)有限公司,农银国际证券有限公司,工银国际证券有限公司,东吴证券国际经纪有限公司,老虎证券(香港)环球有限公司,富途证券国际(香港)有限公司,元库证券有限公司,华盛资本证券有限公司,利弗莫尔证券有限公司</t>
  </si>
  <si>
    <t>招商证券(香港)有限公司,中信里昂证券有限公司,中国国际金融香港证券有限公司,招银国际融资有限公司,老虎证券(香港)环球有限公司,利弗莫尔证券有限公司</t>
  </si>
  <si>
    <t>First Seafront Fund Series SPC</t>
  </si>
  <si>
    <t>SLD International Enterprises Limited</t>
  </si>
  <si>
    <t>Luminous Horizon Limited</t>
  </si>
  <si>
    <t>利冠投資有限公司</t>
  </si>
  <si>
    <t>丞安国际有限公司</t>
  </si>
  <si>
    <t>平证证券(香港)有限公司</t>
  </si>
  <si>
    <t>安吉吉泽(有限合伙)</t>
  </si>
  <si>
    <t>安吉开泽(有限合伙)</t>
  </si>
  <si>
    <t>中信建投(国际)融资有限公司,建银国际金融有限公司,交银国际证券有限公司,老虎证券(香港)环球有限公司</t>
  </si>
  <si>
    <t>CPE Greater China Enterprises Growth Fund</t>
  </si>
  <si>
    <t>南方基金管理股份有限公司</t>
  </si>
  <si>
    <t>同人融资有限公司,民银证券有限公司,兴证国际融资有限公司,第一上海证券有限公司,百惠证券有限公司,辉立证券(香港)有限公司,南华证券投资有限公司,浦银国际融资有限公司,盈立证券有限公司</t>
  </si>
  <si>
    <t>中国国际金融香港证券有限公司,农银国际证券有限公司,中航资信环球资产管理有限公司,中银国际亚洲有限公司,中国银河国际证券(香港)有限公司,招商证券(香港)有限公司,招银国际融资有限公司,富途证券国际(香港)有限公司,国信证券(香港)融资有限公司,华泰金融控股(香港)有限公司,工银国际证券有限公司,老虎证券(香港)环球有限公司</t>
  </si>
  <si>
    <t>常熟东南产业投资有限公司</t>
  </si>
  <si>
    <t>太仓高新科创发展有限公司</t>
  </si>
  <si>
    <t>无锡建发新投空天投资合伙企业(有限合伙)</t>
  </si>
  <si>
    <t>中国国有企业结构调整基金二期股份有限公司</t>
  </si>
  <si>
    <t>无锡金投联盈产业投资合伙企业(有限合伙)</t>
  </si>
  <si>
    <t>东吴证券国际经纪有限公司,交银国际证券有限公司,国泰君安证券(香港)有限公司,力高证券有限公司,中国银河国际证券(香港)有限公司,英皇证券有限公司,英皇企业融资有限公司</t>
  </si>
  <si>
    <t>申万宏源证券(香港)有限公司,第一上海证券有限公司,盈宝证券国际(香港)有限公司,复星国际证券有限公司,招银国际融资有限公司,一盈证券有限公司,万海证券(香港)有限公司,中信里昂证券有限公司,利弗莫尔证券有限公司,TradeGo Markets Limited,中银国际亚洲有限公司,华泰金融控股(香港)有限公司</t>
  </si>
  <si>
    <t>中国国际金融香港证券有限公司,中信建投(国际)融资有限公司,招银国际融资有限公司,农银国际证券有限公司,交银国际证券有限公司,中国银河国际证券(香港)有限公司,兴证国际融资有限公司,复星国际证券有限公司,富途证券国际(香港)有限公司,老虎证券(香港)环球有限公司</t>
  </si>
  <si>
    <t>深圳市罗湖投资控股有限公司</t>
  </si>
  <si>
    <t>永诚贰号香港有限公司</t>
  </si>
  <si>
    <t>凯因家族办公室有限公司</t>
  </si>
  <si>
    <t>工银国际证券有限公司,信达国际融资有限公司,建银国际金融有限公司,元宇宙(国际)证券有限公司,华升证券(国际)有限公司,农银国际证券有限公司,光银国际资本有限公司,中国光大证券(香港)有限公司,兴证国际融资有限公司,招银国际融资有限公司,民银证券有限公司,艾德证券期货有限公司,基业证券投资有限公司,中毅资本有限公司,中泰国际证券有限公司,浙商国际金融控股有限公司,浦银国际融资有限公司,东吴证券国际经纪有限公司,软库中华金融服务有限公司,伟禄亚太证券有限公司,利弗莫尔证券有限公司</t>
  </si>
  <si>
    <t>工银国际证券有限公司,中银国际亚洲有限公司,国元证券经纪(香港)有限公司,洪泰证券有限公司,东方证券(香港)有限公司,交银国际证券有限公司,建银国际金融有限公司,农银国际证券有限公司,海通国际证券有限公司,复星国际证券有限公司,兴证国际融资有限公司,星河证券有限公司,申万宏源证券(香港)有限公司,华升证券(国际)有限公司,浦银国际融资有限公司,胜利证券有限公司,中信建投(国际)融资有限公司,中国银河国际证券(香港)有限公司,农银国际融资有限公司</t>
  </si>
  <si>
    <t>安徽盛昌化工有限公司</t>
  </si>
  <si>
    <t>深圳高灯计算机科技有限公司</t>
  </si>
  <si>
    <t>芜湖阿泰克生物科技有限公司</t>
  </si>
  <si>
    <t>国轩高科股份有限公司</t>
  </si>
  <si>
    <t>SCGC资本控股有限公司</t>
  </si>
  <si>
    <t>建银国际金融有限公司,农银国际证券有限公司,中航资信环球资产管理有限公司,交银国际证券有限公司,光银国际资本有限公司,兴证国际融资有限公司,民银证券有限公司,国信证券(香港)经纪有限公司,华福国际证券有限公司,万利证券有限公司,东方证券(香港)有限公司,瑞邦证券有限公司,山证国际证券有限公司,浦银国际融资有限公司,盈立证券有限公司,越秀证券有限公司,中泰国际证券有限公司,农银国际融资有限公司</t>
  </si>
  <si>
    <t>福慧达(香港)有限公司</t>
  </si>
  <si>
    <t>大华继显(香港)有限公司,集友国际资本有限公司,信达国际融资有限公司,迈时资本有限公司,老虎证券(香港)环球有限公司</t>
  </si>
  <si>
    <t>星展亚洲融资有限公司,平证证券(香港)有限公司,建银国际金融有限公司,千里硕证券有限公司,华盛资本证券有限公司,艾德证券期货有限公司,中泰国际证券有限公司</t>
  </si>
  <si>
    <t>招银国际融资有限公司,农银国际融资有限公司,农银国际证券有限公司,中银国际亚洲有限公司,光银国际资本有限公司,中国银河国际证券(香港)有限公司,华富建业证券有限公司,艾德证券期货有限公司,富途证券国际(香港)有限公司,老虎证券(香港)环球有限公司,百惠证券有限公司,瑞邦证券有限公司</t>
  </si>
  <si>
    <t>中國太保投資管理(香港)有限公司</t>
  </si>
  <si>
    <t>广发证券(香港)经纪有限公司,首控证券有限公司,中国光大证券(香港)有限公司,迈时资本有限公司</t>
  </si>
  <si>
    <t>中国国际金融香港证券有限公司,中信建投(国际)融资有限公司,招商证券(香港)有限公司,中信里昂证券有限公司,招银国际融资有限公司,工银国际证券有限公司,老虎证券(香港)环球有限公司,富途证券国际(香港)有限公司</t>
  </si>
  <si>
    <t>上饶产城运营管理集团有限公司</t>
  </si>
  <si>
    <t>四三九九网络有限公司</t>
  </si>
  <si>
    <t>香港龙鑫有限公司</t>
  </si>
  <si>
    <t>奥飞数据国际有限公司</t>
  </si>
  <si>
    <t>民银证券有限公司,华盛资本证券有限公司,鉅诚证券有限公司,招银国际融资有限公司,工银国际证券有限公司,中国国际金融香港证券有限公司,中国银河国际证券(香港)有限公司,农银国际证券有限公司,中银国际亚洲有限公司,中国光大证券(香港)有限公司,Citigroup Global Markets Limited,花旗环球金融亚洲有限公司</t>
  </si>
  <si>
    <t>秀山县欣之园市场管理股份有限公司</t>
  </si>
  <si>
    <t>贵阳市农业农垦投资发展集团有限公司</t>
  </si>
  <si>
    <t>四川汇兴产投实业有限公司</t>
  </si>
  <si>
    <t>农银国际证券有限公司,中国光大证券(香港)有限公司,富途证券国际(香港)有限公司,工银国际证券有限公司,TradeGo Markets Limited,中信里昂证券有限公司</t>
  </si>
  <si>
    <t>天津海泰资本投资管理有限公司</t>
  </si>
  <si>
    <t>Matrix Capital Limited</t>
  </si>
  <si>
    <t>Bright Ambition International Limited</t>
  </si>
  <si>
    <t>Solid Elegance International (HongKong) Limited</t>
  </si>
  <si>
    <t>Swift Grace (Hong Kong) Limited</t>
  </si>
  <si>
    <t>创升证券有限公司,维恩证券有限公司,国金证券(香港)有限公司,国泰君安证券(香港)有限公司,建银国际金融有限公司,民银证券有限公司,老虎证券(香港)环球有限公司,山高国际证券有限公司,横华国际证券有限公司</t>
  </si>
  <si>
    <t>花旗环球金融亚洲有限公司,Citigroup Global Markets Limited,招银国际融资有限公司,广发证券(香港)经纪有限公司,国元证券经纪(香港)有限公司,农银国际融资有限公司,农银国际证券有限公司,时富证券有限公司,中国银河国际证券(香港)有限公司,民银证券有限公司,第一上海证券有限公司,富途证券国际(香港)有限公司,长桥证券(香港)有限公司,万基证券有限公司,东方证券(香港)有限公司,百惠证券有限公司,国证国际证券(香港)有限公司,中泰国际证券有限公司</t>
  </si>
  <si>
    <t>无锡紫鲜食品有限公司</t>
  </si>
  <si>
    <t>Action Chain International Limited</t>
  </si>
  <si>
    <t>安吉两山乡村振兴股权投资合伙企业(有限合伙)</t>
  </si>
  <si>
    <t>正大食品投资有限公司</t>
  </si>
  <si>
    <t>均富融资有限公司,华富建业证券有限公司,元宇宙(国际)证券有限公司,艾德证券期货有限公司,利弗莫尔证券有限公司</t>
  </si>
  <si>
    <t>交银国际证券有限公司,申万宏源证券(香港)有限公司,海通国际证券有限公司,中国光大证券(香港)有限公司,光银国际资本有限公司,民银证券有限公司,中泰国际证券有限公司,安信国际证券(香港)有限公司,农银国际证券有限公司</t>
  </si>
  <si>
    <t>集友國際資本有限公司</t>
  </si>
  <si>
    <t>苏州广林建设有限责任公司</t>
  </si>
  <si>
    <t>苏州阡陌乡建旅游发展有限公司</t>
  </si>
  <si>
    <t>利弗莫尔证券有限公司,浦银国际融资有限公司,华赢东方(亚洲)控股有限公司,结好证券有限公司,辉立证券(香港)有限公司,南华证券投资有限公司,浙商国际金融控股有限公司,交银国际证券有限公司,瑞邦证券有限公司,民银证券有限公司,越秀证券有限公司,中泰国际证券有限公司,农银国际证券有限公司,华升证券(国际)有限公司,集友国际资本有限公司,富途证券国际(香港)有限公司,农银国际融资有限公司</t>
  </si>
  <si>
    <t>Water Live Wealth Limited</t>
  </si>
  <si>
    <t>Vital Message Medical Health Care Centre Limited</t>
  </si>
  <si>
    <t>袁子豪</t>
  </si>
  <si>
    <t>国元证券经纪(香港)有限公司,民银证券有限公司,建银国际金融有限公司,星展亚洲融资有限公司,华升证券(国际)有限公司,第一上海证券有限公司,富途证券国际(香港)有限公司,工银国际证券有限公司,申万宏源证券(香港)有限公司,盈立证券有限公司</t>
  </si>
  <si>
    <t>平煤神马(香港)国际投资有限公司</t>
  </si>
  <si>
    <t>香港创力赢泰投资有限公司</t>
  </si>
  <si>
    <t>德高矿山科技有限公司</t>
  </si>
  <si>
    <t>香港金源工贸有限公司</t>
  </si>
  <si>
    <t>平安证券(香港)有限公司,招银国际融资有限公司,中信建投(国际)融资有限公司,华泰金融控股(香港)有限公司,中国银河国际证券(香港)有限公司,大华继显(香港)有限公司,广发证券(香港)经纪有限公司,建银国际金融有限公司,兴证国际融资有限公司,高盛(亚洲)有限责任公司</t>
  </si>
  <si>
    <t>HT Investment Limited</t>
  </si>
  <si>
    <t>华泰资本投资有限公司及华泰证券股份有限公司及上海景林资产管理有限公司</t>
  </si>
  <si>
    <t>FCP Domains Co., Ltd.</t>
  </si>
  <si>
    <t>NonaVerse (Hong Kong) Limited</t>
  </si>
  <si>
    <t>日进资本有限公司,千里硕证券有限公司,交银国际证券有限公司,中国银河国际证券(香港)有限公司,民银证券有限公司,海通国际证券有限公司,辉立证券(香港)有限公司</t>
  </si>
  <si>
    <t>Tee Kian Heng</t>
  </si>
  <si>
    <t>輝煌資源有限公司</t>
  </si>
  <si>
    <t>Sri Ng Chong Keong</t>
  </si>
  <si>
    <t>Sri Pek Kok Sam</t>
  </si>
  <si>
    <t>民银证券有限公司,农银国际融资有限公司,建银国际金融有限公司,安信国际证券(香港)有限公司,光银国际资本有限公司,国信证券(香港)融资有限公司,中国光大证券(香港)有限公司,兴证国际融资有限公司,利弗莫尔证券有限公司,华福国际证券有限公司,软库中华金融服务有限公司,中国通海证券有限公司,中泰国际证券有限公司,富荣证券集团有限公司,一盈证券有限公司,中天证券有限公司,艾德证券期货有限公司</t>
  </si>
  <si>
    <t>陈雄</t>
  </si>
  <si>
    <t>龚朝晖</t>
  </si>
  <si>
    <t>光银国际资本有限公司,中国光大证券(香港)有限公司,中募金融资管有限公司,农银国际证券有限公司,同人融资有限公司,交银国际证券有限公司,鉅诚证券有限公司,民银证券有限公司,招银国际融资有限公司,金联证券有限公司,工银国际证券有限公司,太平基业证券有限公司,盈立证券有限公司,浙商国际金融控股有限公司,贝塔国际证券有限公司,浦银国际融资有限公司,伟禄亚太证券有限公司,长桥证券(香港)有限公司,利弗莫尔证券有限公司,华业证券有限公司,富中证券有限公司,建银国际金融有限公司</t>
  </si>
  <si>
    <t>招银国际融资有限公司,法国巴黎证券(亚洲)有限公司,富途证券国际(香港)有限公司,老虎证券(香港)环球有限公司,TradeGo Markets Limited,利弗莫尔证券有限公司</t>
  </si>
  <si>
    <t>MPC VII PTE. LTD.</t>
  </si>
  <si>
    <t>YSC Go (BVI) Limited</t>
  </si>
  <si>
    <t>创升证券有限公司,建银国际金融有限公司,中泰国际证券有限公司,交银国际证券有限公司,浦银国际融资有限公司,钜诚证券有限公司,华富建业证券有限公司,华盛资本证券有限公司,民银证券有限公司,第一上海证券有限公司,农银国际证券有限公司,富途证券国际(香港)有限公司,老虎证券(香港)环球有限公司,利弗莫尔证券有限公司,中募金融资管有限公司,华升证券(国际)有限公司,阿仕特朗资本管理有限公司,越秀证券有限公司,艾德证券期货有限公司,太平基业证券有限公司,软库中华金融服务有限公司,千里硕证券有限公司</t>
  </si>
  <si>
    <t>东方金业(香港)有限公司</t>
  </si>
  <si>
    <t>摩根士丹利亚洲有限公司,富瑞金融集团香港有限公司,中信里昂证券有限公司,德意志银行香港分行,海通国际证券有限公司,香港上海汇丰银行有限公司,建银国际金融有限公司,富途证券国际(香港)有限公司,华泰金融控股(香港)有限公司,工银国际证券有限公司,老虎证券(香港)环球有限公司,华盛资本证券有限公司</t>
  </si>
  <si>
    <t>迈瑞全球(香港)有限公司</t>
  </si>
  <si>
    <t>香港新产业生物有限公司</t>
  </si>
  <si>
    <t>复星诊断科技(上海)有限公司</t>
  </si>
  <si>
    <t>Timestar Elite Limited</t>
  </si>
  <si>
    <t>Corelink Group Limited</t>
  </si>
  <si>
    <t>中国国际金融香港证券有限公司,华泰金融控股(香港)有限公司,广发证券(香港)经纪有限公司,中信里昂证券有限公司,中银国际亚洲有限公司,招银国际融资有限公司,农银国际证券有限公司,富途证券国际(香港)有限公司</t>
  </si>
  <si>
    <t>上海景林资产管理有限公司及CICC Financial Trading Limited</t>
  </si>
  <si>
    <t>黄山建投(香港)国际投资有限公司</t>
  </si>
  <si>
    <t>晶汇瑞盈(香港)有限公司</t>
  </si>
  <si>
    <t>长桥证券(香港)有限公司,创升证券有限公司,艾德证券期货有限公司,星河证券有限公司,盈立证券有限公司,招银国际融资有限公司,建银国际金融有限公司,民银证券有限公司,绰耀资本有限公司</t>
  </si>
  <si>
    <t>Top Legend SPC</t>
  </si>
  <si>
    <t>摩根士丹利亚洲有限公司,中信里昂证券有限公司,高盛(亚洲)有限责任公司,中国国际金融香港证券有限公司,Merrill Lynch (Asia Pacific) Limited,招银国际融资有限公司,招商证券(香港)有限公司,农银国际证券有限公司,中银国际亚洲有限公司,交银国际证券有限公司,建银国际金融有限公司,长江证券经纪(香港)有限公司,中国银河国际证券(香港)有限公司,中国光大证券(香港)有限公司,富途证券国际(香港)有限公司,农银国际融资有限公司</t>
  </si>
  <si>
    <t>Charoen Pokphand Foods Public Company Limited</t>
  </si>
  <si>
    <t>中化香港(集团)有限公司</t>
  </si>
  <si>
    <t>Wii Pte. Ltd.</t>
  </si>
  <si>
    <t>香港豫农国际有限公司</t>
  </si>
  <si>
    <t>汇富金融服务有限公司,中国银河国际证券(香港)有限公司,利弗莫尔证券有限公司,信达国际融资有限公司,华盛资本证券有限公司,中泰国际证券有限公司,克而瑞证券有限公司,第一上海证券有限公司</t>
  </si>
  <si>
    <t>佳富达证券有限公司,勤丰证券有限公司,创升证券有限公司,平证证券(香港)有限公司</t>
  </si>
  <si>
    <t>洪光椅</t>
  </si>
  <si>
    <t>亚洲联网集团管理有限公司</t>
  </si>
  <si>
    <t>黄焯添</t>
  </si>
  <si>
    <t>郑稳伟</t>
  </si>
  <si>
    <t>EC InfoTech Limited</t>
  </si>
  <si>
    <t>兴证国际融资有限公司,铠盛证券有限公司,农银国际融资有限公司,农银国际证券有限公司,中银国际亚洲有限公司,建银国际金融有限公司,华升证券(国际)有限公司,招银国际融资有限公司,富途证券国际(香港)有限公司,港利资本有限公司,华福国际证券有限公司,工银国际证券有限公司,百惠证券有限公司,辉立证券(香港)有限公司,骏达证券有限公司,TradeGo Markets Limited,盈立证券有限公司,浙商国际金融控股有限公司</t>
  </si>
  <si>
    <t>中信里昂证券有限公司,工银国际证券有限公司,光银国际资本有限公司,交银国际证券有限公司,浦银国际融资有限公司,百惠证券有限公司,招银国际融资有限公司,中泰国际证券有限公司,大华继显(香港)有限公司,老虎证券(香港)环球有限公司,利弗莫尔证券有限公司,华盛资本证券有限公司</t>
  </si>
  <si>
    <t>中国国际金融香港证券有限公司,Merrill Lynch (Asia Pacific) Limited,UBS AG Hong Kong Branch,中信里昂证券有限公司,高盛(亚洲)有限责任公司,华泰金融控股(香港)有限公司,广发证券(香港)经纪有限公司,招银国际融资有限公司,法国巴黎证券(亚洲)有限公司,富途证券国际(香港)有限公司</t>
  </si>
  <si>
    <t>中遠海運控股(香港)有限公司</t>
  </si>
  <si>
    <t>Splendor Achieve Limited</t>
  </si>
  <si>
    <t>Golden Link Worldwide Limited</t>
  </si>
  <si>
    <t>中信建投(国际)融资有限公司,招商证券(香港)有限公司,招银国际融资有限公司,农银国际证券有限公司,海通国际证券有限公司,中泰国际证券有限公司,利弗莫尔证券有限公司,艾德证券期货有限公司,工银国际证券有限公司,华盛资本证券有限公司,富途证券国际(香港)有限公司,申万宏源证券(香港)有限公司,农银国际融资有限公司</t>
  </si>
  <si>
    <t>澜沧绿色资源投资有限公司</t>
  </si>
  <si>
    <t>中国海景集团有限公司</t>
  </si>
  <si>
    <t>王春宇</t>
  </si>
  <si>
    <t>兴日投资有限公司</t>
  </si>
  <si>
    <t>华泰金融控股(香港)有限公司,中信里昂证券有限公司,星展亚洲融资有限公司,利弗莫尔证券有限公司</t>
  </si>
  <si>
    <t>香港華成雲商科技有限公司</t>
  </si>
  <si>
    <t>黄嘉慧</t>
  </si>
  <si>
    <t>乐舱物流股份有限公司</t>
  </si>
  <si>
    <t>中泰国际证券有限公司,平证证券(香港)有限公司,西证(香港)证券经纪有限公司,第一上海证券有限公司,中国通海证券有限公司,交银国际证券有限公司,浙商国际金融控股有限公司,中募金融资管有限公司,西牛证券有限公司,金联证券有限公司,浦银国际融资有限公司,广发证券(香港)经纪有限公司,光银国际资本有限公司,圣衡金融控股有限公司</t>
  </si>
  <si>
    <t>安德(香港)投资有限公司</t>
  </si>
  <si>
    <t>华富建业证券有限公司,农银国际证券有限公司,交银国际证券有限公司,中国银河国际证券(香港)有限公司,招银国际融资有限公司,国泰君安证券(香港)有限公司,民银证券有限公司,艾德证券期货有限公司,创升证券有限公司,华盛资本证券有限公司,越秀证券有限公司,中泰国际证券有限公司,农银国际融资有限公司</t>
  </si>
  <si>
    <t>申万宏源证券(香港)有限公司,农银国际证券有限公司,中银国际亚洲有限公司,百惠证券有限公司,浦银国际融资有限公司,TradeGo Markets Limited</t>
  </si>
  <si>
    <t>Logic Selective Value Investment Funds SPC</t>
  </si>
  <si>
    <t>彩云控股有限公司</t>
  </si>
  <si>
    <t>Tiny Jade Holdings (HK) Co., Limited</t>
  </si>
  <si>
    <t>吴兴华</t>
  </si>
  <si>
    <t>交银国际证券有限公司,第一上海证券有限公司,华升证券(国际)有限公司,中泰国际证券有限公司,建银国际金融有限公司,招银国际融资有限公司,农银国际证券有限公司,工银国际证券有限公司,民银证券有限公司,越秀证券有限公司,百惠证券有限公司,胜利证券有限公司,富途证券国际(香港)有限公司,老虎证券(香港)环球有限公司,利弗莫尔证券有限公司,华盛资本证券有限公司</t>
  </si>
  <si>
    <t>华泰金融控股(香港)有限公司,招商证券(香港)有限公司,国泰君安证券(香港)有限公司,建银国际金融有限公司,胜利证券有限公司</t>
  </si>
  <si>
    <t>禾元商贸(香港)有限公司</t>
  </si>
  <si>
    <t>吴明武</t>
  </si>
  <si>
    <t>民银证券有限公司,中国银河国际证券(香港)有限公司,阿尔法国际证券(香港)有限公司,浙商国际金融控股有限公司,博威环球证券有限公司,农银国际证券有限公司,交银国际证券有限公司,建银国际金融有限公司,中国光大证券(香港)有限公司,国泰君安证券(香港)有限公司,中泰国际证券有限公司,软库中华金融服务有限公司,申万宏源证券(香港)有限公司,利弗莫尔证券有限公司,西牛证券有限公司,兴证国际融资有限公司</t>
  </si>
  <si>
    <t>Fighton Asia Master Fund Limited</t>
  </si>
  <si>
    <t>招银国际融资有限公司,浦银国际融资有限公司,招商证券(香港)有限公司,建银国际金融有限公司,克而瑞证券有限公司,富途证券国际(香港)有限公司,博威环球证券有限公司,利弗莫尔证券有限公司</t>
  </si>
  <si>
    <t>亞輝龍(香港)有限公司</t>
  </si>
  <si>
    <t>国泰君安证券(香港)有限公司,东方证券(香港)有限公司,光银国际资本有限公司,农银国际证券有限公司,中国银河国际证券(香港)有限公司,汇富金融服务有限公司</t>
  </si>
  <si>
    <t>江港国际投资有限公司</t>
  </si>
  <si>
    <t>民银证券有限公司,均富融资有限公司,建银国际金融有限公司,交银国际证券有限公司,华盛资本证券有限公司,同人融资有限公司,利弗莫尔证券有限公司,富途证券国际(香港)有限公司,艾德证券期货有限公司,元宇宙(国际)证券有限公司,农银国际融资有限公司,农银国际证券有限公司,财通国际证券有限公司,信达国际融资有限公司,胜利证券有限公司,百惠证券有限公司,复星国际证券有限公司,软库中华金融服务有限公司,盛源证券有限公司,工银国际证券有限公司,海通国际证券有限公司,中泰国际证券有限公司,中国银河国际证券(香港)有限公司,瑞邦证券有限公司</t>
  </si>
  <si>
    <t>利弗莫尔证券有限公司,老虎证券(香港)环球有限公司,富途证券国际(香港)有限公司,南华证券投资有限公司,中航资信环球资产管理有限公司,中银国际亚洲有限公司,招银国际融资有限公司,华泰金融控股(香港)有限公司,中国国际金融香港证券有限公司,大华继显(香港)有限公司</t>
  </si>
  <si>
    <t>Mercuria Holdings (Singapore) Pte. Ltd.</t>
  </si>
  <si>
    <t>中国宏桥集团有限公司</t>
  </si>
  <si>
    <t>中信里昂证券有限公司,中国银河国际证券(香港)有限公司,法国巴黎证券(亚洲)有限公司,中银国际亚洲有限公司,建银国际金融有限公司,光银国际资本有限公司,中国光大证券(香港)有限公司,华升证券(国际)有限公司,富中证券有限公司,富途证券国际(香港)有限公司,工银国际证券有限公司,力高证券有限公司,利弗莫尔证券有限公司,华富建业证券有限公司,浦银国际融资有限公司,老虎证券(香港)环球有限公司,TradeGo Markets Limited</t>
  </si>
  <si>
    <t>Harvest International Premium Value (Secondary Market) Fund SPC on behalf of Harvest Oriental SP</t>
  </si>
  <si>
    <t>高裕证券有限公司,利弗莫尔证券有限公司,中募金融资管有限公司,富途证券国际(香港)有限公司,辉立证券(香港)有限公司,信达国际融资有限公司,农银国际证券有限公司,同人融资有限公司</t>
  </si>
  <si>
    <t>三一香港集团有限公司</t>
  </si>
  <si>
    <t>高升集团控股有限公司</t>
  </si>
  <si>
    <t>三鋒控股管理有限公司</t>
  </si>
  <si>
    <t>中泰国际证券有限公司,工银国际证券有限公司,交银国际证券有限公司,浦银国际融资有限公司,建银国际金融有限公司,广发证券(香港)经纪有限公司,中国光大证券(香港)有限公司,国泰君安证券(香港)有限公司,复星恒利证券有限公司,中国通海证券有限公司,中募金融资管有限公司,利弗莫尔证券有限公司,华盛资本证券有限公司,浙商国际金融控股有限公司,盈立证券有限公司</t>
  </si>
  <si>
    <t>济南槐荫城市建设投资集团有限公司</t>
  </si>
  <si>
    <t>华泰金融控股(香港)有限公司,中国国际金融香港证券有限公司,UBS AG Hong Kong Branch,建银国际金融有限公司,法国巴黎证券(亚洲)有限公司,交银国际证券有限公司,工银国际证券有限公司,招银国际融资有限公司,中信里昂证券有限公司,农银国际证券有限公司,招商证券(香港)有限公司,申万宏源证券(香港)有限公司,东吴证券国际经纪有限公司</t>
  </si>
  <si>
    <t>中毅资本有限公司,华盛资本证券有限公司,平证证券(香港)有限公司,信达国际融资有限公司,富强证券有限公司,国泰君安证券(香港)有限公司,中阳证券有限公司</t>
  </si>
  <si>
    <t>招银国际融资有限公司,建银国际金融有限公司,农银国际融资有限公司,工银国际证券有限公司,民银证券有限公司,山证国际证券有限公司,中国光大证券(香港)有限公司,中泰国际证券有限公司,光银国际资本有限公司,农银国际证券有限公司,中国银河国际证券(香港)有限公司,信达国际融资有限公司,老虎证券(香港)环球有限公司,富途证券国际(香港)有限公司,利弗莫尔证券有限公司,雅利多证券有限公司,百惠证券有限公司,圣衡金融控股有限公司,瑞邦证券有限公司</t>
  </si>
  <si>
    <t>西安天博诊断技术有限公司</t>
  </si>
  <si>
    <t>西安盯准教育科技有限公司</t>
  </si>
  <si>
    <t>中信建投(国际)融资有限公司,华泰金融控股(香港)有限公司,光银国际资本有限公司,中银国际亚洲有限公司,中泰国际证券有限公司,富途证券国际(香港)有限公司,老虎证券(香港)环球有限公司,利弗莫尔证券有限公司,国泰君安证券(香港)有限公司,艾德证券期货有限公司</t>
  </si>
  <si>
    <t>陕西泰德汽车空调有限公司</t>
  </si>
  <si>
    <t>西安远大电子设备有限公司</t>
  </si>
  <si>
    <t>中国国际金融香港证券有限公司,东方证券(香港)有限公司,农银国际证券有限公司,工银国际证券有限公司,富途证券国际(香港)有限公司,农银国际融资有限公司</t>
  </si>
  <si>
    <t>华菱集团(香港)国际贸易有限公司</t>
  </si>
  <si>
    <t>西藏源乐晟资产管理有限公司及CICC Financial Trading Limited</t>
  </si>
  <si>
    <t>深圳市永信实业投资合伙企业(有限合伙)及国泰君安证券投资(香港)有限公司</t>
  </si>
  <si>
    <t>日进资本有限公司,越秀证券有限公司,民银证券有限公司,鸿升证券有限公司,粤商国际证券有限公司,中泰国际证券有限公司,中募金融资管有限公司,华升证券(国际)有限公司</t>
  </si>
  <si>
    <t>中信建投(国际)融资有限公司,招商证券(香港)有限公司,易升证券有限公司,国泰君安证券(香港)有限公司,利弗莫尔证券有限公司,浙商国际金融控股有限公司,中国光大证券(香港)有限公司,山高国际证券有限公司,国信证券(香港)融资有限公司,盈立证券有限公司,老虎证券(香港)环球有限公司,富途证券国际(香港)有限公司,华盛资本证券有限公司</t>
  </si>
  <si>
    <t>Sun Mass Energy Development Limited</t>
  </si>
  <si>
    <t>丁世家</t>
  </si>
  <si>
    <t>猫眼娱乐(香港)有限公司</t>
  </si>
  <si>
    <t>好赞资产管理有限公司</t>
  </si>
  <si>
    <t>浦银国际融资有限公司,富途证券国际(香港)有限公司,民银证券有限公司,复星国际证券有限公司,TradeGo Markets Limited,金联证券有限公司,中泰国际证券有限公司,建银国际金融有限公司,富强证券有限公司,老虎证券(香港)环球有限公司,利弗莫尔证券有限公司,安信国际证券(香港)有限公司,山证国际证券有限公司,中国光大证券(香港)有限公司,招商证券(香港)有限公司,中州国际融资有限公司,申万宏源证券(香港)有限公司,中信里昂证券有限公司,胜利证券有限公司,第一上海证券有限公司</t>
  </si>
  <si>
    <t>黄山观海产业投资有限公司</t>
  </si>
  <si>
    <t>黄山市诚合新业股权投资合伙企业(有限合伙)</t>
  </si>
  <si>
    <t>Emsdom Limited</t>
  </si>
  <si>
    <t>艾德证券期货有限公司,利弗莫尔证券有限公司,华盛资本证券有限公司,农银国际证券有限公司,中国光大证券(香港)有限公司,中泰国际证券有限公司,中国国际金融香港证券有限公司,广发证券(香港)经纪有限公司,国泰君安证券(香港)有限公司,民银证券有限公司,越秀证券有限公司,中国诚通(香港)资产管理有限公司,富强证券有限公司,农银国际融资有限公司</t>
  </si>
  <si>
    <t>国泰君安证券(香港)有限公司,中泰国际证券有限公司,艾德证券期货有限公司,利弗莫尔证券有限公司,迈时资本有限公司,交银国际证券有限公司,光银国际资本有限公司,中国光大证券(香港)有限公司,兴证国际融资有限公司,中国通海证券有限公司,民银证券有限公司,安信国际证券(香港)有限公司</t>
  </si>
  <si>
    <t>浙江捷宁股权投资有限公司</t>
  </si>
  <si>
    <t>浙江丽宸股权投资有限公司</t>
  </si>
  <si>
    <t>湖州市二轻资产经营有限公司</t>
  </si>
  <si>
    <t>浙江彩旭股权投资有限公司</t>
  </si>
  <si>
    <t>国泰君安证券(香港)有限公司,星展亚洲融资有限公司,中国银河国际证券(香港)有限公司,富途证券国际(香港)有限公司,老虎证券(香港)环球有限公司,华盛资本证券有限公司,富明证券有限公司,复星国际证券有限公司,摩根士丹利亚洲有限公司,Merrill Lynch (Asia Pacific) Limited,中国国际金融香港证券有限公司,UBS AG Hong Kong Branch,建银国际金融有限公司,招银国际融资有限公司,华泰金融控股(香港)有限公司,中银国际亚洲有限公司,农银国际证券有限公司,交银国际证券有限公司,工银国际证券有限公司,德意志银行香港分行,大和资本市场香港有限公司</t>
  </si>
  <si>
    <t>CELESTIAL OCEAN INVESTMENTS LIMITED</t>
  </si>
  <si>
    <t>D1 SPV Master Holdco I (Hong Kong) Limited</t>
  </si>
  <si>
    <t>Joyous Tempinis Limited</t>
  </si>
  <si>
    <t>Eternal Earn Holding Limited</t>
  </si>
  <si>
    <t>力高证券有限公司,建银国际金融有限公司,千里硕证券有限公司,万海证券有限公司,矩阵证券有限公司,金鹰证券有限公司,首盛资本集团有限公司,顺安证券资产管理有限公司,艾德证券期货有限公司,山高国际证券有限公司</t>
  </si>
  <si>
    <t>广发证券(香港)经纪有限公司,招银国际融资有限公司,安信国际证券(香港)有限公司,招商证券(香港)有限公司,农银国际证券有限公司,中国光大证券(香港)有限公司,东吴证券国际经纪有限公司,申万宏源证券(香港)有限公司,东方证券(香港)有限公司,利弗莫尔证券有限公司</t>
  </si>
  <si>
    <t>沈阳信昌粮食贸易有限公司</t>
  </si>
  <si>
    <t>Mega Dynamic Group Limited</t>
  </si>
  <si>
    <t>新化科技有限公司</t>
  </si>
  <si>
    <t>民银证券有限公司,均富融资有限公司,浦银国际融资有限公司,交银国际证券有限公司,一盈证券有限公司,中国光大证券(香港)有限公司,东吴证券国际经纪有限公司,同人融资有限公司,艾德证券期货有限公司,迈时资本有限公司,潮商证券有限公司,哪咤II证券投资有限公司</t>
  </si>
  <si>
    <t>兴证国际融资有限公司,农银国际证券有限公司,工银国际融资有限公司,建银国际金融有限公司,交银国际证券有限公司,光银国际资本有限公司,民银证券有限公司,浦银国际融资有限公司,中泰国际证券有限公司,中国光大证券(香港)有限公司,软库中华金融服务有限公司,利弗莫尔证券有限公司,华盛资本证券有限公司,迈时资本有限公司</t>
  </si>
  <si>
    <t>建银国际金融有限公司,农银国际融资有限公司,农银国际证券有限公司,中州国际融资有限公司,中国光大证券(香港)有限公司,中国银河国际证券(香港)有限公司,招银国际融资有限公司,工银国际证券有限公司,利弗莫尔证券有限公司,迈时资本有限公司,申万宏源证券(香港)有限公司,大华继显(香港)有限公司,华安证券(香港)经纪有限公司,海通国际证券有限公司</t>
  </si>
  <si>
    <t>Prosperity Steel United Singapore Pte. Ltd.</t>
  </si>
  <si>
    <t>香港创始梦有限公司</t>
  </si>
  <si>
    <t>兴盛集团控股有限公司</t>
  </si>
  <si>
    <t>中升集团有限公司</t>
  </si>
  <si>
    <t>华升证券(国际)有限公司,农银国际证券有限公司,中银国际亚洲有限公司,交银国际证券有限公司,光银国际资本有限公司,中国银河国际证券(香港)有限公司,长桥证券(香港)有限公司,东方证券(香港)有限公司,东吴证券国际经纪有限公司,华盛资本证券有限公司,华升资本有限公司</t>
  </si>
  <si>
    <t>华泰金融控股(香港)有限公司,中银国际亚洲有限公司,中泰国际证券有限公司,招银国际融资有限公司,中国银河国际证券(香港)有限公司,工银国际证券有限公司,兴证国际融资有限公司,安信国际证券(香港)有限公司,建银国际金融有限公司,交银国际证券有限公司,农银国际证券有限公司,国都证券(香港)有限公司,富途证券国际(香港)有限公司,老虎证券(香港)环球有限公司,利弗莫尔证券有限公司,华盛资本证券有限公司</t>
  </si>
  <si>
    <t>深圳市福田引导基金投资有限公司</t>
  </si>
  <si>
    <t>青岛经济技术开发区金融投资集团有限公司</t>
  </si>
  <si>
    <t>青岛海诺投资发展有限公司</t>
  </si>
  <si>
    <t>青岛海明城市发展有限公司</t>
  </si>
  <si>
    <t>中国国际金融香港证券有限公司,农银国际证券有限公司,光银国际资本有限公司,华升证券(国际)有限公司,信达国际融资有限公司,民银证券有限公司,招银国际融资有限公司,工银国际证券有限公司,利弗莫尔证券有限公司,大华继显(香港)有限公司,中泰国际证券有限公司</t>
  </si>
  <si>
    <t>亚德(香港)有限公司</t>
  </si>
  <si>
    <t>三安國際控股有限公司</t>
  </si>
  <si>
    <t>香港嘉港贸易有限公司</t>
  </si>
  <si>
    <t>湘正投资有限公司</t>
  </si>
  <si>
    <t>力高证券有限公司,富中证券有限公司</t>
  </si>
  <si>
    <t>Choy Joo Seong</t>
  </si>
  <si>
    <t>Tan Nam Joo</t>
  </si>
  <si>
    <t>华富建业证券有限公司,建银国际金融有限公司,中国银河国际证券(香港)有限公司,招银国际融资有限公司,艾德证券期货有限公司,富强证券有限公司,创升证券有限公司,利弗莫尔证券有限公司,六福证券(香港)有限公司,申万宏源证券(香港)有限公司,浦银国际融资有限公司,中募金融资管有限公司</t>
  </si>
  <si>
    <t>中国光大证券(香港)有限公司,兴证国际融资有限公司,民银证券有限公司,中国北方证券集团有限公司,安信国际证券(香港)有限公司,富中证券有限公司,富途证券国际(香港)有限公司,工银国际证券有限公司,迈时资本有限公司,辉立证券(香港)有限公司,华富建业证券有限公司,佳富达证券有限公司,交银国际证券有限公司,农银国际证券有限公司,建银国际金融有限公司,华升证券(国际)有限公司,光银国际资本有限公司,浦银国际融资有限公司,越秀证券有限公司,中泰国际证券有限公司</t>
  </si>
  <si>
    <t>中国光大证券(香港)有限公司,农银国际证券有限公司,中银国际亚洲有限公司,交银国际证券有限公司,兴证国际融资有限公司,平证证券(香港)有限公司,鉅诚证券有限公司,民银证券有限公司,华安证券(香港)经纪有限公司,工银国际证券有限公司,利弗莫尔证券有限公司,迈时资本有限公司,申万宏源证券(香港)有限公司,浦银国际融资有限公司,中泰国际证券有限公司,中募金融资管有限公司</t>
  </si>
  <si>
    <t>高盛(亚洲)有限责任公司,中银国际亚洲有限公司,星展亚洲融资有限公司,富途证券国际(香港)有限公司</t>
  </si>
  <si>
    <t>大和资本市场香港有限公司,农银国际证券有限公司,交银国际证券有限公司,富途证券国际(香港)有限公司,中国国际金融香港证券有限公司,星展亚洲融资有限公司,元库证券有限公司</t>
  </si>
  <si>
    <t>Proterra Asia Food Fund 3VCC</t>
  </si>
  <si>
    <t>全诚投资控股有限公司</t>
  </si>
  <si>
    <t>国金证券(香港)有限公司,建银国际金融有限公司,农银国际融资有限公司,农银国际证券有限公司,民银证券有限公司,招银国际融资有限公司,First Fidelity Capital (International) Limited,众宸证券有限公司,华盛资本证券有限公司</t>
  </si>
  <si>
    <t>湖北顺捷投资(香港)有限公司</t>
  </si>
  <si>
    <t>香港兴黄控股有限公司</t>
  </si>
  <si>
    <t>香港云星科技贸易管理有限公司</t>
  </si>
  <si>
    <t>国泰君安证券(香港)有限公司,农银国际证券有限公司,交银国际证券有限公司,中信里昂证券有限公司,工银国际证券有限公司,民银证券有限公司,中国光大证券(香港)有限公司,富强证券有限公司,富途证券国际(香港)有限公司,国信证券(香港)融资有限公司,浙商国际金融控股有限公司</t>
  </si>
  <si>
    <t>华泰金融控股(香港)有限公司,招银国际融资有限公司,中国银河国际证券(香港)有限公司,中国国际金融香港证券有限公司,中信里昂证券有限公司,大和资本市场香港有限公司,星展亚洲融资有限公司,工银国际证券有限公司,大华继显(香港)有限公司,中航资信环球资产管理有限公司,中银国际亚洲有限公司,富途证券国际(香港)有限公司,辉立证券(香港)有限公司,老虎证券(香港)环球有限公司,中泰国际证券有限公司,申万宏源证券(香港)有限公司</t>
  </si>
  <si>
    <t>香港拓威貿易有限公司</t>
  </si>
  <si>
    <t>瑞中国际工业设备(香港)有限公司</t>
  </si>
  <si>
    <t>PT Indika Energy Tbk</t>
  </si>
  <si>
    <t>财通国际证券有限公司,华富建业证券有限公司,中国光大证券(香港)有限公司,First Fidelity Capital (International) Limited,富途证券国际(香港)有限公司,辉立证券(香港)有限公司,东吴证券国际经纪有限公司,众宸证券有限公司,财通国际融资有限公司</t>
  </si>
  <si>
    <t>中泰国际证券有限公司,申万宏源证券(香港)有限公司,鉅诚证券有限公司,交银国际证券有限公司,民银证券有限公司,富途证券国际(香港)有限公司,华盛资本证券有限公司</t>
  </si>
  <si>
    <t>湖州吴兴旅游建设发展有限公司</t>
  </si>
  <si>
    <t>国电海运(香港)有限公司</t>
  </si>
  <si>
    <t>Danube Bridge Shipping Limited</t>
  </si>
  <si>
    <t>中信里昂证券有限公司,农银国际证券有限公司,申万宏源证券(香港)有限公司,招银国际融资有限公司,浦银国际融资有限公司,国泰君安证券(香港)有限公司,交银国际证券有限公司,民银证券有限公司,利弗莫尔证券有限公司,华盛资本证券有限公司,农银国际融资有限公司</t>
  </si>
  <si>
    <t>花旗环球金融亚洲有限公司,Citigroup Global Markets Limited,中国国际金融香港证券有限公司,建银国际金融有限公司,富途证券国际(香港)有限公司,老虎证券(香港)环球有限公司,利弗莫尔证券有限公司</t>
  </si>
  <si>
    <t>国泰君安证券(香港)有限公司,铠盛证券有限公司,工银国际证券有限公司,中银国际亚洲有限公司,建银国际金融有限公司,农银国际融资有限公司,农银国际证券有限公司,招银国际融资有限公司,TradeGo Markets Limited,利弗莫尔证券有限公司</t>
  </si>
  <si>
    <t>中国国际金融香港证券有限公司,华泰金融控股(香港)有限公司,中银国际亚洲有限公司,中信里昂证券有限公司,老虎证券(香港)环球有限公司,建银国际金融有限公司</t>
  </si>
  <si>
    <t>启城发展有限公司</t>
  </si>
  <si>
    <t>Joyson Electronic USA LLC</t>
  </si>
  <si>
    <t>摩根士丹利亚洲有限公司,海通国际证券有限公司,富途证券国际(香港)有限公司,迈时资本有限公司,一盈证券有限公司</t>
  </si>
  <si>
    <t>摩根士丹利亚洲有限公司,摩根大通证券(亚太)有限公司,摩根大通证券公开股份有限公司,中国国际金融香港证券有限公司,招银国际融资有限公司,华盛资本证券有限公司</t>
  </si>
  <si>
    <t>嘉实国际资产管理有限公司</t>
  </si>
  <si>
    <t>Sanofi Foreign Participations BV, Sanofi</t>
  </si>
  <si>
    <t>Tasly International Capital Limited</t>
  </si>
  <si>
    <t>揚子江(香港)有限公司</t>
  </si>
  <si>
    <t>中国国际金融香港证券有限公司,中信建投(国际)融资有限公司,信银(香港)资本有限公司,建银国际金融有限公司,华融国际证券有限公司,利弗莫尔证券有限公司,农银国际证券有限公司,老虎证券(香港)环球有限公司,山高国际证券有限公司,力高证券有限公司,华盛资本证券有限公司,富途证券国际(香港)有限公司,胜利证券有限公司</t>
  </si>
  <si>
    <t>TradArt Flagship Investment SPC - IPO Mixed Strategy Investment SP</t>
  </si>
  <si>
    <t>Mobilewise Limited</t>
  </si>
  <si>
    <t>星展亚洲融资有限公司,清科证券有限公司,中信里昂证券有限公司,中信建投(国际)融资有限公司,信银(香港)资本有限公司,老虎证券(香港)环球有限公司,大和资本市场香港有限公司,中州国际证券有限公司,富途证券国际(香港)有限公司,TradeGo Markets Limited,中银国际亚洲有限公司,农银国际融资有限公司,农银国际证券有限公司</t>
  </si>
  <si>
    <t>海通国际证券有限公司,富途证券国际(香港)有限公司,老虎证券(香港)环球有限公司,龙石资本管理有限公司</t>
  </si>
  <si>
    <t>中国国际金融香港证券有限公司,海通国际证券有限公司,工银国际证券有限公司,国泰君安证券(香港)有限公司,农银国际融资有限公司,富途证券国际(香港)有限公司,华盛资本证券有限公司</t>
  </si>
  <si>
    <t>余姚阳明股权投资基金有限公司</t>
  </si>
  <si>
    <t>先进制造产业投资基金二期(有限合伙)</t>
  </si>
  <si>
    <t>宁波姚商燕创宸凯股权投资合伙企业(有限合伙)</t>
  </si>
  <si>
    <t>OrbiMed Asia Partners III, L.P.</t>
  </si>
  <si>
    <t>中国国际金融香港证券有限公司,招银国际融资有限公司,申万宏源证券(香港)有限公司,海通国际证券有限公司,中泰国际证券有限公司,工银国际证券有限公司,中国银河国际证券(香港)有限公司,民银证券有限公司,浦银国际融资有限公司,交银国际证券有限公司,富途证券国际(香港)有限公司,老虎证券(香港)环球有限公司,利弗莫尔证券有限公司</t>
  </si>
  <si>
    <t>中关村国际有限公司</t>
  </si>
  <si>
    <t>南京经开聚智科创投资合伙企业(有限合伙)</t>
  </si>
  <si>
    <t>黄河证券有限公司,民银证券有限公司,利弗莫尔证券有限公司,浦银国际融资有限公司,国泰君安证券(香港)有限公司,中信里昂证券有限公司,交银国际证券有限公司</t>
  </si>
  <si>
    <t>瑞士信贷(香港)有限公司,J.P. Morgan Securities (Asia Pacific) Limited,J.P. Morgan Securities LLC,中国国际金融香港证券有限公司,招银国际融资有限公司,建银国际金融有限公司,海通国际证券有限公司</t>
  </si>
  <si>
    <t>UBS AG Hong Kong Branch,中信里昂证券有限公司,华泰金融控股(香港)有限公司,广发证券(香港)经纪有限公司,未来资产证券(香港)有限公司,招银国际融资有限公司,建银国际金融有限公司,财通国际证券有限公司,富途证券国际(香港)有限公司</t>
  </si>
  <si>
    <t>JKKB Limited</t>
  </si>
  <si>
    <t>汪牵擎</t>
  </si>
  <si>
    <t>GIMM Holding Limited</t>
  </si>
  <si>
    <t>SS Morgan Capital Limited</t>
  </si>
  <si>
    <t>华夏基金(香港)有限公司</t>
  </si>
  <si>
    <t>高盛(亚洲)有限责任公司,摩根士丹利亚洲有限公司,中信建投(国际)融资有限公司,中信里昂证券有限公司,德意志银行香港分行,香港上海汇丰银行有限公司,招银国际融资有限公司,中国银河国际证券(香港)有限公司,交银国际证券有限公司,建银国际金融有限公司,工银国际证券有限公司,富途证券国际(香港)有限公司,光银国际资本有限公司,星展亚洲融资有限公司,广发证券(香港)经纪有限公司,国证国际证券(香港)有限公司,农银国际证券有限公司,中银国际亚洲有限公司,时富证券有限公司,利弗莫尔证券有限公司</t>
  </si>
  <si>
    <t>百度(香港)有限公司</t>
  </si>
  <si>
    <t>PARTICIPATIONS 1</t>
  </si>
  <si>
    <t>摩根士丹利亚洲有限公司,富瑞金融集团香港有限公司,中信里昂证券有限公司,中国国际金融香港证券有限公司,招银国际融资有限公司,工银国际证券有限公司,中银国际亚洲有限公司,广发证券(香港)经纪有限公司,农银国际证券有限公司</t>
  </si>
  <si>
    <t>TruMed Healthcare Master Fund、ABS Direct Equity Fund LLC Asia Series 11及TruMed Health Innovation Fund LP</t>
  </si>
  <si>
    <t>易方达基金管理有限公司</t>
  </si>
  <si>
    <t>汇添富基金管理股份有限公司</t>
  </si>
  <si>
    <t>富国资产管理(香港)有限公司</t>
  </si>
  <si>
    <t>Biontech Se</t>
  </si>
  <si>
    <t>百惠证券有限公司,富途证券国际(香港)有限公司,海通国际证券有限公司,中信里昂证券有限公司,中银国际亚洲有限公司</t>
  </si>
  <si>
    <t>盈科壹号(香港)有限公司</t>
  </si>
  <si>
    <t>香港高精尖产业(北京)发展投资有限公司</t>
  </si>
  <si>
    <t>中国国际金融香港证券有限公司,招银国际融资有限公司,工银国际证券有限公司,农银国际证券有限公司,复星国际证券有限公司,富途证券国际(香港)有限公司,老虎证券(香港)环球有限公司,华盛资本证券有限公司</t>
  </si>
  <si>
    <t>ZGC International Limited</t>
  </si>
  <si>
    <t>中国国际金融香港证券有限公司,安信国际证券(香港)有限公司,国泰君安证券(香港)有限公司,华泰金融控股(香港)有限公司,兴证国际融资有限公司,利弗莫尔证券有限公司,老虎证券(香港)环球有限公司,复星国际证券有限公司,鉅诚证券有限公司,浦银国际融资有限公司,中国银河国际证券(香港)有限公司,洪泰证券有限公司</t>
  </si>
  <si>
    <t>健鑫医药科技有限公司</t>
  </si>
  <si>
    <t>蜂投資本有限公司</t>
  </si>
  <si>
    <t>華東醫藥投資控股(香港)有限公司</t>
  </si>
  <si>
    <t>中国国际金融香港证券有限公司,摩根士丹利亚洲有限公司,Merrill Lynch (Asia Pacific) Limited,招银国际融资有限公司,老虎证券(香港)环球有限公司</t>
  </si>
  <si>
    <t>华盛资本证券有限公司,富途证券国际(香港)有限公司,信银(香港)资本有限公司,中州国际融资有限公司,龙石资本管理有限公司,农银国际证券有限公司,广发证券(香港)经纪有限公司,光银国际资本有限公司,中国国际金融香港证券有限公司,国泰君安证券(香港)有限公司,建银国际金融有限公司,国信证券(香港)融资有限公司,复星国际证券有限公司,百惠证券有限公司,中银国际亚洲有限公司,农银国际融资有限公司,艾德证券期货有限公司</t>
  </si>
  <si>
    <t>Harvest High Yield SP</t>
  </si>
  <si>
    <t>J.P. Morgan Securities (Asia Pacific) Limited,J.P. Morgan Securities plc,华兴证券(香港)有限公司,中国国际金融香港证券有限公司,建银国际金融有限公司,安信国际证券(香港)有限公司,复星国际证券有限公司,招银国际融资有限公司,农银国际证券有限公司,利弗莫尔证券有限公司</t>
  </si>
  <si>
    <t>深圳市南山战略新兴产业投资有限公司</t>
  </si>
  <si>
    <t>Merrill Lynch (Asia Pacific) Limited,海通国际证券有限公司,交银国际证券有限公司,招商证券(香港)有限公司,招银国际融资有限公司,克而瑞证券有限公司,山高国际证券有限公司,富途证券国际(香港)有限公司,工银国际融资有限公司,工银国际证券有限公司,麦格理资本股份有限公司,迈时资本有限公司,花旗环球金融亚洲有限公司,Citigroup Global Markets Limited,中国国际金融香港证券有限公司</t>
  </si>
  <si>
    <t>元库证券有限公司,富途证券国际(香港)有限公司,招银国际融资有限公司,中国国际金融香港证券有限公司</t>
  </si>
  <si>
    <t>Jumpcan International Co., Ltd.</t>
  </si>
  <si>
    <t>利弗莫尔证券有限公司,中信里昂证券有限公司,中国国际金融香港证券有限公司,富瑞金融集团香港有限公司,德意志银行香港分行,招银国际融资有限公司,浦银国际融资有限公司,国信证券(香港)融资有限公司,复星国际证券有限公司,农银国际证券有限公司,中银国际亚洲有限公司,建银国际金融有限公司,工银国际证券有限公司,富途证券国际(香港)有限公司,TradeGo Markets Limited</t>
  </si>
  <si>
    <t>海棠壹号有限合伙基金</t>
  </si>
  <si>
    <t>Ginkgo Capital Global Fund SPC-Ginkgo Capital Global Fund I SP</t>
  </si>
  <si>
    <t>Mammoth Medical Solutions</t>
  </si>
  <si>
    <t>Successful Lotus Limited</t>
  </si>
  <si>
    <t>IntelliMed One Investment Limited</t>
  </si>
  <si>
    <t>中国国际金融香港证券有限公司,瑞士信贷(香港)有限公司,中信里昂证券有限公司,富途证券国际(香港)有限公司,东兴证券(香港)有限公司,老虎证券(香港)环球有限公司,华盛资本证券有限公司</t>
  </si>
  <si>
    <t>成都高新策源优产股权投资基金合伙企业(有限合伙)</t>
  </si>
  <si>
    <t>中国国际金融香港证券有限公司,建银国际金融有限公司,民银证券有限公司,招银国际融资有限公司,东吴证券国际经纪有限公司,利弗莫尔证券有限公司,交银国际证券有限公司,百德能经纪有限公司,华通证券国际有限公司,中源国际资本有限公司,帝国国际证券有限公司,京基证券集团有限公司,元宇宙(国际)证券有限公司</t>
  </si>
  <si>
    <t>北京浔瑞企业管理合伙企业(有限合伙)</t>
  </si>
  <si>
    <t>Evergreen Gate Limited</t>
  </si>
  <si>
    <t>华泰金融控股(香港)有限公司,农银国际证券有限公司,中国国际金融香港证券有限公司,农银国际融资有限公司</t>
  </si>
  <si>
    <t>广州汽车工业集团有限公司</t>
  </si>
  <si>
    <t>Voyager Group, Inc.</t>
  </si>
  <si>
    <t>文远知行</t>
  </si>
  <si>
    <t>香港小马智行有限公司</t>
  </si>
  <si>
    <t>华泰金融控股(香港)有限公司,中泰国际证券有限公司,交银国际证券有限公司,艾德证券期货有限公司,利弗莫尔证券有限公司</t>
  </si>
  <si>
    <t>高盛(亚洲)有限责任公司,中国国际金融香港证券有限公司,UBS AG Hong Kong Branch,Merrill Lynch (Asia Pacific) Limited,招银国际融资有限公司,交银国际证券有限公司,工银国际证券有限公司,农银国际证券有限公司,富途证券国际(香港)有限公司</t>
  </si>
  <si>
    <t>浙江零跑科技股份有限公司</t>
  </si>
  <si>
    <t>意像架构投资(香港)有限公司</t>
  </si>
  <si>
    <t>嘉实多控股国际有限公司</t>
  </si>
  <si>
    <t>上海紫竹高新区(集团)有限公司</t>
  </si>
  <si>
    <t>中信里昂证券有限公司,交银国际证券有限公司,复星国际证券有限公司,农银国际证券有限公司,华兴证券(香港)有限公司,建银国际金融有限公司,广发证券(香港)经纪有限公司,农银国际融资有限公司</t>
  </si>
  <si>
    <t>TruMed Health Innovation Fund LP</t>
  </si>
  <si>
    <t>中信证券国际资本管理有限公司</t>
  </si>
  <si>
    <t>Vivo Opportunity Fund Holdings, L.P.</t>
  </si>
  <si>
    <t>富国基金管理有限公司</t>
  </si>
  <si>
    <t>北京德诺瑞朗十五期股权投资基金中心(有限合伙)</t>
  </si>
  <si>
    <t>TradeGo Markets Limited,富强证券有限公司,工银国际证券有限公司,建银国际金融有限公司,中银国际亚洲有限公司,复星国际证券有限公司,富途证券国际(香港)有限公司,广发证券(香港)经纪有限公司,百惠证券有限公司,国证国际证券(香港)有限公司,中国国际金融香港证券有限公司,中信里昂证券有限公司,德意志银行(香港分行),招银国际融资有限公司,华泰金融控股(香港)有限公司,元宇宙(国际)证券有限公司,星河证券有限公司,艾德证券期货有限公司</t>
  </si>
  <si>
    <t>现代直投新能源科技有限公司</t>
  </si>
  <si>
    <t>珠海市高景新能源投资有限公司</t>
  </si>
  <si>
    <t>中国国际金融香港证券有限公司,摩根士丹利亚洲有限公司,J.P. Morgan Securities (Asia Pacific) Limited,中银国际亚洲有限公司,富途证券国际(香港)有限公司,大和资本市场香港有限公司,农银国际证券有限公司,工银国际证券有限公司,中金香港证券有限公司,摩根大通证券(亚太)有限公司</t>
  </si>
  <si>
    <t>Merrill Lynch (Asia Pacific) Limited,海通国际证券有限公司,UBS AG Hong Kong Branch,UBS Securities LLC,富途证券国际(香港)有限公司,广发证券(香港)经纪有限公司</t>
  </si>
  <si>
    <t>老虎证券(香港)环球有限公司,招银国际融资有限公司,广发证券(香港)经纪有限公司,中国国际金融香港证券有限公司,浦银国际融资有限公司,民银证券有限公司,农银国际证券有限公司,中银国际亚洲有限公司,中国光大证券(香港)有限公司,复星国际证券有限公司,兴证国际融资有限公司,海通国际证券有限公司,建银国际金融有限公司</t>
  </si>
  <si>
    <t>苏州策源扶海企业管理合伙企业(有限合伙)</t>
  </si>
  <si>
    <t>天士力(国际)医疗健康投资发展有限公司</t>
  </si>
  <si>
    <t>天士力(香港)医药投资有限公司</t>
  </si>
  <si>
    <t>黄光伟</t>
  </si>
  <si>
    <t>中信里昂证券有限公司,德意志银行香港分行,招银国际融资有限公司,海通国际证券有限公司,中银国际亚洲有限公司,利弗莫尔证券有限公司,德意志银行(香港分行)</t>
  </si>
  <si>
    <t>长兴兴长产业投资合伙企业(有限合伙)</t>
  </si>
  <si>
    <t>德意志银行香港分行,中信里昂证券有限公司,华泰金融控股(香港)有限公司,招银国际融资有限公司,中银国际亚洲有限公司,大华继显(香港)有限公司,富途证券国际(香港)有限公司,华盛资本证券有限公司,元库证券有限公司,老虎证券(香港)环球有限公司,中国国际金融香港证券有限公司</t>
  </si>
  <si>
    <t>无锡新鸿笛创业投资合伙企业(有限合伙)</t>
  </si>
  <si>
    <t>So-Young Hong Kong Limited</t>
  </si>
  <si>
    <t>第一上海证券有限公司,复星国际证券有限公司,华福国际证券有限公司,工银国际证券有限公司,利弗莫尔证券有限公司,百惠证券有限公司,华富建业证券有限公司,瑞邦证券有限公司,善恒证券有限公司,浦银国际融资有限公司,盈立证券有限公司,建银国际金融有限公司,华泰金融控股(香港)有限公司,中银国际亚洲有限公司,交银国际证券有限公司,中国银河国际证券(香港)有限公司,兴证国际融资有限公司,民银证券有限公司,招银国际融资有限公司,UBS AG Hong Kong Branch</t>
  </si>
  <si>
    <t>富策控股有限公司</t>
  </si>
  <si>
    <t>中国国际金融香港证券有限公司,海通国际证券有限公司,香港上海汇丰银行有限公司</t>
  </si>
  <si>
    <t>Alibaba Investment Limited</t>
  </si>
  <si>
    <t>Baillie Gifford Overseas Limited及Baillie Gifford &amp; Co</t>
  </si>
  <si>
    <t>Schroder Investment Management (Singapore) Ltd,Schroder Investment Management (Hong Kong) Limited及Schroder Investment Management Limited</t>
  </si>
  <si>
    <t>招银国际融资有限公司,国信证券(香港)经纪有限公司,富途证券国际(香港)有限公司,中信里昂证券有限公司,海通国际证券有限公司,兴证国际融资有限公司,建银国际金融有限公司,农银国际证券有限公司,农银国际融资有限公司</t>
  </si>
  <si>
    <t>香港君實有限公司</t>
  </si>
  <si>
    <t>SANJIN INTERNATIONAL CO.,LTD.</t>
  </si>
  <si>
    <t>昌荣国际有限公司</t>
  </si>
  <si>
    <t>國惠(香港)控股有限公司</t>
  </si>
  <si>
    <t>WuXi Biologics HealthCare Venture</t>
  </si>
  <si>
    <t>招银国际融资有限公司,摩根士丹利亚洲有限公司,Morgan Stanley&amp;Co. International plc,UBS AG香港分行,中国国际金融香港证券有限公司,海通国际证券有限公司,香港上海汇丰银行有限公司,富途证券国际(香港)有限公司</t>
  </si>
  <si>
    <t>Abax Asian Structured Private Credit Fund III, LP</t>
  </si>
  <si>
    <t>Hudson Bay Master Fund LTD</t>
  </si>
  <si>
    <t>ORBIMED GENESIS MASTER FUND, L.P.</t>
  </si>
  <si>
    <t>高鹏(香港)有限公司</t>
  </si>
  <si>
    <t>UBS AG Hong Kong Branch,中国国际金融香港证券有限公司,交银国际证券有限公司,农银国际融资有限公司</t>
  </si>
  <si>
    <t>广发全球资本有限公司</t>
  </si>
  <si>
    <t>建银国际金融有限公司,中国国际金融香港证券有限公司,华泰金融控股(香港)有限公司,中信里昂证券有限公司,招银国际融资有限公司,富途证券国际(香港)有限公司,百惠证券有限公司,TradeGo Markets Limited,老虎证券(香港)环球有限公司,迈时资本有限公司</t>
  </si>
  <si>
    <t>海泰(香港)有限公司</t>
  </si>
  <si>
    <t>韬越实业有限公司</t>
  </si>
  <si>
    <t>中国国际金融香港证券有限公司,建银国际金融有限公司,招银国际融资有限公司,招商证券(香港)有限公司,东方证券(香港)有限公司,浦银国际融资有限公司,复星国际证券有限公司,老虎证券(香港)环球有限公司,华盛资本证券有限公司,富明证券有限公司</t>
  </si>
  <si>
    <t>新華資本管理有限公司</t>
  </si>
  <si>
    <t>北京中关村科学城科技成长投资合伙企业(有限合伙)</t>
  </si>
  <si>
    <t>Montage Technology Holdings Company Limited</t>
  </si>
  <si>
    <t>中国国际金融香港证券有限公司,UBS AG Hong Kong Branch,高盛(亚洲)有限责任公司,摩根士丹利亚洲有限公司,富途证券国际(香港)有限公司,老虎证券(香港)环球有限公司</t>
  </si>
  <si>
    <t>阿布达比投资局</t>
  </si>
  <si>
    <t>Abstract Enigma Limited</t>
  </si>
  <si>
    <t>Janchor Partners Pan-Asian Master Fund,Janchor Partners Opportunities Master Fund III</t>
  </si>
  <si>
    <t>中国国际金融香港证券有限公司,中国银河国际证券(香港)有限公司,招银国际融资有限公司,中泰国际证券有限公司,农银国际证券有限公司,工银国际证券有限公司,钜诚证券有限公司,老虎证券(香港)环球有限公司,富途证券国际(香港)有限公司</t>
  </si>
  <si>
    <t>南京经开未来科技产业投资合伙企业(有限合伙)</t>
  </si>
  <si>
    <t>中信建投(国际)融资有限公司,国泰君安证券(香港)有限公司,建银国际金融有限公司,中银国际亚洲有限公司,天风国际证券与期货有限公司,中国银河国际证券(香港)有限公司,利弗莫尔证券有限公司,富途证券国际(香港)有限公司</t>
  </si>
  <si>
    <t>武汉光谷健康产业投资有限公司</t>
  </si>
  <si>
    <t>武汉市楚兴友瑞大健康产业投资基金合伙企业(有限合伙)</t>
  </si>
  <si>
    <t>成都朴华凯智生物科技有限公司</t>
  </si>
  <si>
    <t>摩根士丹利亚洲有限公司,摩根士丹利国际股份有限公司,招银国际融资有限公司,中信里昂证券有限公司,兴证国际融资有限公司,海通国际证券有限公司,广发证券(香港)经纪有限公司,安信国际证券(香港)有限公司,华盛资本证券有限公司,利弗莫尔证券有限公司</t>
  </si>
  <si>
    <t>SCHP Master Fund</t>
  </si>
  <si>
    <t>SCC Growth VI Holdco C (HK) Limited</t>
  </si>
  <si>
    <t>中国国际金融香港证券有限公司,大和资本市场香港有限公司,中银国际亚洲有限公司,富途证券国际(香港)有限公司,中国银河国际证券(香港)有限公司,广发证券(香港)经纪有限公司,华盛资本证券有限公司</t>
  </si>
  <si>
    <t>INFO EXPERT SERVICES LIMITED</t>
  </si>
  <si>
    <t>宁波市产业发展基金有限公司</t>
  </si>
  <si>
    <t>宁波市海曙产业投资集团有限公司</t>
  </si>
  <si>
    <t>高盛(亚洲)有限责任公司,中国国际金融香港证券有限公司,招银国际融资有限公司,中信里昂证券有限公司,交银国际证券有限公司,富途证券国际(香港)有限公司,华盛资本证券有限公司,海通国际证券有限公司</t>
  </si>
  <si>
    <t>荣昌生物制药(烟台)股份有限公司</t>
  </si>
  <si>
    <t>三金国际股份有限公司</t>
  </si>
  <si>
    <t>晶泰控股有限公司</t>
  </si>
  <si>
    <t>北京兴星股权投资合伙企业(有限合伙)</t>
  </si>
  <si>
    <t>中国国际金融香港证券有限公司,J.P. Morgan Securities (Asia Pacific) Limited,法国巴黎证券(亚洲)有限公司,德意志银行香港分行,农银国际证券有限公司,财通国际证券有限公司,中国银河国际证券(香港)有限公司,富途证券国际(香港)有限公司,广发证券(香港)经纪有限公司,国泰君安证券(香港)有限公司,工银国际证券有限公司,老虎证券(香港)环球有限公司,中泰国际证券有限公司</t>
  </si>
  <si>
    <t>杭州城投产业发展投资合伙企业(有限合伙)</t>
  </si>
  <si>
    <t>杭州高新创业投资有限公司</t>
  </si>
  <si>
    <t>老虎证券(香港)环球有限公司,民银证券有限公司,招商证券(香港)有限公司,浙商国际金融控股有限公司,农银国际证券有限公司,招银国际融资有限公司,广发证券(香港)经纪有限公司,华泰金融控股(香港)有限公司,交银国际证券有限公司,申万宏源证券(香港)有限公司,利弗莫尔证券有限公司,富途证券国际(香港)有限公司,国证国际证券(香港)有限公司</t>
  </si>
  <si>
    <t>禾顺有限合伙</t>
  </si>
  <si>
    <t>摩根士丹利亚洲有限公司,中国国际金融香港证券有限公司,复星国际证券有限公司,招银国际融资有限公司,中银国际亚洲有限公司,工银国际证券有限公司,东吴证券国际经纪有限公司,富途证券国际(香港)有限公司</t>
  </si>
  <si>
    <t>榮昌生物香港有限公司</t>
  </si>
  <si>
    <t>昆翎醫藥發展有限公司</t>
  </si>
  <si>
    <t>西牛证券有限公司,元宇宙(国际)证券有限公司,申万宏源证券(香港)有限公司,交银国际证券有限公司,兴证国际融资有限公司,第一上海证券有限公司,黄河证券有限公司,浦银国际融资有限公司</t>
  </si>
  <si>
    <t>J.P. Morgan Securities (Asia Pacific) Limited,国泰君安证券(香港)有限公司,富途证券国际(香港)有限公司,招银国际融资有限公司,老虎证券(香港)环球有限公司,胜利证券有限公司,艾德证券期货有限公司,第一上海证券有限公司,华泰金融控股(香港)有限公司</t>
  </si>
  <si>
    <t>利通发展有限公司</t>
  </si>
  <si>
    <t>至源控股有限公司</t>
  </si>
  <si>
    <t>J.P. Morgan Securities (Asia Pacific) Limited,J.P. Morgan Securities plc,中国国际金融香港证券有限公司,花旗环球金融亚洲有限公司,Citigroup Global Markets Limited,建银国际金融有限公司,中信里昂证券有限公司,中信建投(国际)融资有限公司,华泰金融控股(香港)有限公司,农银国际证券有限公司,富途证券国际(香港)有限公司,老虎证券(香港)环球有限公司,J.P. Morgan Securities (Far East) Limited</t>
  </si>
  <si>
    <t>浙江省产业基金有限公司</t>
  </si>
  <si>
    <t>金华市金开产业引领投资合伙企业(有限合伙)</t>
  </si>
  <si>
    <t>國泰東方國際集團有限公司</t>
  </si>
  <si>
    <t>国泰君安证券(香港)有限公司,华泰金融控股(香港)有限公司,交银国际证券有限公司,招商证券(香港)有限公司,中国国际金融香港证券有限公司,富途证券国际(香港)有限公司,老虎证券(香港)环球有限公司,浦银国际融资有限公司,招银国际融资有限公司,浙商国际金融控股有限公司,富明证券有限公司,大华继显(香港)有限公司</t>
  </si>
  <si>
    <t>广发基金管理有限公司及广发国际资产管理有限公司</t>
  </si>
  <si>
    <t>老虎证券(香港)环球有限公司,华盛资本证券有限公司,海盈证券有限公司,利弗莫尔证券有限公司,富途证券国际(香港)有限公司,复星国际证券有限公司,招银国际融资有限公司,中国光大证券(香港)有限公司,建银国际金融有限公司,中信里昂证券有限公司,浦银国际融资有限公司,农银国际证券有限公司,海通国际证券有限公司,中国国际金融香港证券有限公司</t>
  </si>
  <si>
    <t>华泰金融控股(香港)有限公司,农银国际证券有限公司,广发证券(香港)经纪有限公司,中国国际金融香港证券有限公司,中国银河国际证券(香港)有限公司,光银国际资本有限公司,中银国际亚洲有限公司,东吴证券国际经纪有限公司,工银国际证券有限公司,富途证券国际(香港)有限公司,老虎证券(香港)环球有限公司,胜利证券有限公司,中和金控有限公司,星河证券有限公司,农银国际融资有限公司</t>
  </si>
  <si>
    <t>國軒高科(香港)有限公司</t>
  </si>
  <si>
    <t>Mercedes-Benz Mobility Services GmbH</t>
  </si>
  <si>
    <t>億緯亞洲有限公司</t>
  </si>
  <si>
    <t>TradeGo Markets Limited,富途证券国际(香港)有限公司,工银国际证券有限公司,广发证券(香港)经纪有限公司,华安证券(香港)经纪有限公司,华泰金融控股(香港)有限公司,交银国际证券有限公司,利弗莫尔证券有限公司,农银国际证券有限公司,招银国际融资有限公司,中银国际亚洲有限公司</t>
  </si>
  <si>
    <t>亨通光电国际有限公司</t>
  </si>
  <si>
    <t>HAITIAN HUAYUAN(SINGAPORE)PTE.LTD.</t>
  </si>
  <si>
    <t>中国国际金融香港证券有限公司,摩根士丹利亚洲有限公司,Morgan Stanley&amp;Co. International plc,海通国际证券有限公司,华泰金融控股(香港)有限公司,中国银河国际证券(香港)有限公司,华盛资本证券有限公司,老虎证券(香港)环球有限公司</t>
  </si>
  <si>
    <t>Vivo Capital Fund IX, L.P.</t>
  </si>
  <si>
    <t>King Star Med LP</t>
  </si>
  <si>
    <t>花旗环球金融亚洲有限公司,海盈证券有限公司,东吴证券国际经纪有限公司,利弗莫尔证券有限公司,金联证券有限公司,招银国际融资有限公司,星展亚洲融资有限公司,建银国际金融有限公司,华泰金融控股(香港)有限公司,Citigroup Global Markets Limited</t>
  </si>
  <si>
    <t>浙江七新智行信息技术有限公司</t>
  </si>
  <si>
    <t>苏州工业园区产业投资基金(有限合伙)</t>
  </si>
  <si>
    <t>SilkyWater Absolute Return LPF</t>
  </si>
  <si>
    <t>Harvest Prosperity II SP</t>
  </si>
  <si>
    <t>TradeGo Markets Limited,浦银国际融资有限公司,招银国际融资有限公司,中银国际亚洲有限公司,交银国际证券有限公司,华泰金融控股(香港)有限公司,中信里昂证券有限公司</t>
  </si>
  <si>
    <t>江北医药科技(香港)有限公司</t>
  </si>
  <si>
    <t>华盛敦行有限公司</t>
  </si>
  <si>
    <t>药石地平线资本有限公司</t>
  </si>
  <si>
    <t>科瓴安(香港)科技有限公司</t>
  </si>
  <si>
    <t>康方生物科技(开曼)有限公司</t>
  </si>
  <si>
    <t>中国国际金融香港证券有限公司,国泰君安证券(香港)有限公司,交银国际证券有限公司,广发证券(香港)经纪有限公司,平安证券(香港)有限公司,淘金者证券(香港)有限公司</t>
  </si>
  <si>
    <t>新馬服裝國際有限公司</t>
  </si>
  <si>
    <t>NGS Super Pty Ltd</t>
  </si>
  <si>
    <t>Desay SV Automotive Singapore Pte. Ltd.</t>
  </si>
  <si>
    <t>招银国际融资有限公司,利弗莫尔证券有限公司,富德证券有限公司,雅利多证券有限公司,中银国际亚洲有限公司,工银国际证券有限公司,中信证券(香港)有限公司,中信里昂证券有限公司</t>
  </si>
  <si>
    <t>嘉兴鑫扬私募基金管理有限公司及华泰资本投资有限公司</t>
  </si>
  <si>
    <t>中国国际金融香港证券有限公司,中信建投(国际)融资有限公司,平安证券(香港)有限公司,农银国际证券有限公司,富德证券有限公司,国信证券(香港)经纪有限公司,工银国际证券有限公司,中国光大证券(香港)有限公司,盈宝证券国际(香港)有限公司,利弗莫尔证券有限公司,申万宏源证券(香港)有限公司,老虎证券(香港)环球有限公司,平证证券(香港)有限公司</t>
  </si>
  <si>
    <t>湖南湘江智骋产业投资基金合伙企业(有限合伙)</t>
  </si>
  <si>
    <t>南宁智驾一号瑞粤股权投资合伙企业(有限合伙)</t>
  </si>
  <si>
    <t>前海开源群巍QDII单一资产管理计划</t>
  </si>
  <si>
    <t>工银瑞信资产管理(国际)有限公司</t>
  </si>
  <si>
    <t>工银瑞信基金管理有限公司</t>
  </si>
  <si>
    <t>中国国际金融香港证券有限公司,花旗环球金融亚洲有限公司,Citigroup Global Markets Limited,华泰金融控股(香港)有限公司,农银国际证券有限公司,交银国际证券有限公司,富途证券国际(香港)有限公司,老虎证券(香港)环球有限公司,元库证券有限公司,农银国际融资有限公司</t>
  </si>
  <si>
    <t>先健科技公司</t>
  </si>
  <si>
    <t>花旗环球金融亚洲有限公司,高盛(亚洲)有限责任公司,中信里昂证券有限公司,Citigroup Global Markets Limited,工银国际证券有限公司,交银国际证券有限公司</t>
  </si>
  <si>
    <t>科倫國際發展有限公司</t>
  </si>
  <si>
    <t>RTW Master Fund, Ltd.</t>
  </si>
  <si>
    <t>Laurion Capital Master Fund Ltd.</t>
  </si>
  <si>
    <t>摩根士丹利亚洲有限公司,中国国际金融香港证券有限公司,华泰金融控股(香港)有限公司,招银国际融资有限公司,建银国际金融有限公司,富途证券国际(香港)有限公司,老虎证券(香港)环球有限公司,华盛资本证券有限公司</t>
  </si>
  <si>
    <t>华泰金融控股(香港)有限公司,中信里昂证券有限公司,招商证券(香港)有限公司,民银证券有限公司,中国银河国际证券(香港)有限公司,国联证券国际金融有限公司,招银国际融资有限公司,中州国际证券有限公司,富途证券国际(香港)有限公司,华福国际证券有限公司,利弗莫尔证券有限公司,浦银国际融资有限公司,富强证券有限公司,尊嘉证券国际有限公司,盈宝证券国际(香港)有限公司</t>
  </si>
  <si>
    <t>国金证券(香港)有限公司,中国光大证券(香港)有限公司,广发证券(香港)经纪有限公司,中国银河国际证券(香港)有限公司,光银国际资本有限公司,中国国际金融香港证券有限公司,民银证券有限公司,农银国际证券有限公司,中银国际亚洲有限公司,建银国际金融有限公司,利弗莫尔证券有限公司,中泰国际证券有限公司,浦银国际融资有限公司,艾德证券期货有限公司,农银国际融资有限公司</t>
  </si>
  <si>
    <t>益泽康瑞医药(香港)有限公司</t>
  </si>
  <si>
    <t>建银国际金融有限公司,申万宏源证券(香港)有限公司,中银国际亚洲有限公司,利弗莫尔证券有限公司,复星国际证券有限公司,中泰国际证券有限公司,中国光大证券(香港)有限公司,瑞邦证券有限公司,国金证券(香港)有限公司,胜利证券有限公司,富途国际证券(香港)有限公司,百惠证券有限公司</t>
  </si>
  <si>
    <t>横琴粤澳深度合作区产业投资基金(有限合伙)</t>
  </si>
  <si>
    <t>海通国际证券有限公司,招银国际融资有限公司,复星国际证券有限公司,华泰金融控股(香港)有限公司,中银国际亚洲有限公司,申万宏源证券(香港)有限公司,富途证券国际(香港)有限公司,利弗莫尔证券有限公司,海通国际资本有限公司</t>
  </si>
  <si>
    <t>江苏原力产业投资有限公司</t>
  </si>
  <si>
    <t>招银国际融资有限公司,香港上海汇丰银行有限公司,UBS AG Hong Kong Branch,迈时资本有限公司,浦银国际融资有限公司,盈立证券有限公司</t>
  </si>
  <si>
    <t>摩根士丹利亚洲有限公司,中信里昂证券有限公司,招银国际融资有限公司,建银国际金融有限公司,富途证券国际(香港)有限公司</t>
  </si>
  <si>
    <t>上海高毅资产管理合伙企业(有限合伙)及华泰资本投资有限公司</t>
  </si>
  <si>
    <t>中国国际金融香港证券有限公司,招银国际融资有限公司,法国巴黎证券(亚洲)有限公司,中银国际亚洲有限公司,中国银河国际证券(香港)有限公司,农银国际证券有限公司,招商证券(香港)有限公司,利弗莫尔证券有限公司,东吴证券国际经纪有限公司,老虎证券(香港)环球有限公司</t>
  </si>
  <si>
    <t>九江经开区鼎创股权投资中心(有限合伙)</t>
  </si>
  <si>
    <t>建银国际金融有限公司,中信里昂证券有限公司,海通国际证券有限公司,西牛证券有限公司,交银国际证券有限公司,国元证券经纪(香港)有限公司,利弗莫尔证券有限公司,辉立证券(香港)有限公司,国投证券(香港)有限公司,申万宏源证券(香港)有限公司,浦银国际融资有限公司,华盛资本证券有限公司,富途证券国际(香港)有限公司,老虎证券(香港)环球有限公司</t>
  </si>
  <si>
    <t>安科生物(香港)有限公司</t>
  </si>
  <si>
    <t>Derivatives China Alpha Fund SPC</t>
  </si>
  <si>
    <t>中国国际金融香港证券有限公司,招银国际融资有限公司,富瑞金融集团香港有限公司,中信里昂证券有限公司,华泰金融控股(香港)有限公司,中银国际亚洲有限公司,洪泰证券有限公司,农银国际证券有限公司,百惠证券有限公司,长桥证券(香港)有限公司,富途证券国际(香港)有限公司,老虎证券(香港)环球有限公司,TradeGo Markets Limited</t>
  </si>
  <si>
    <t>STMICROELECTRONICS LIMITED</t>
  </si>
  <si>
    <t>苏州东方创联投资管理有限公司</t>
  </si>
  <si>
    <t>中国国际金融香港证券有限公司,招银国际融资有限公司,建银国际金融有限公司,中国银河国际证券(香港)有限公司,鉅诚证券有限公司,TradeGo Markets Limited,浦银国际融资有限公司</t>
  </si>
  <si>
    <t>香港欣威电子有限公司</t>
  </si>
  <si>
    <t>长风成长股票开放式基金型公司</t>
  </si>
  <si>
    <t>中国国际金融香港证券有限公司,高盛(亚洲)有限责任公司,中银国际亚洲有限公司,工银国际证券有限公司,招银国际融资有限公司,富途证券国际(香港)有限公司,老虎证券(香港)环球有限公司,利弗莫尔证券有限公司,麦格理资本股份有限公司,中信建投(国际)融资有限公司</t>
  </si>
  <si>
    <t>星展亚洲融资有限公司,Merrill Lynch (Asia Pacific) Limited</t>
  </si>
  <si>
    <t>中信里昂证券有限公司,中国国际金融香港证券有限公司,农银国际证券有限公司,中国银河国际证券(香港)有限公司,建银国际金融有限公司,中国光大证券(香港)有限公司,富途证券国际(香港)有限公司,老虎证券(香港)环球有限公司,中泰国际证券有限公司,农银国际融资有限公司</t>
  </si>
  <si>
    <t>德意志银行香港分行,招银国际融资有限公司,中国国际金融香港证券有限公司,摩根士丹利亚洲有限公司,老虎证券(香港)环球有限公司,南华证券投资有限公司,工银国际证券有限公司,大和资本市场香港有限公司,广发证券(香港)经纪有限公司,申万宏源证券(香港)有限公司,星展亚洲融资有限公司</t>
  </si>
  <si>
    <t>雄安智能机器人有限公司</t>
  </si>
  <si>
    <t>香港亿格有限公司</t>
  </si>
  <si>
    <t>国泰君安证券(香港)有限公司,老虎证券(香港)环球有限公司,维恩证券有限公司,鼎丰金融证券有限公司,华泰金融控股(香港)有限公司,农银国际证券有限公司,华融国际证券有限公司,浙商国际金融控股有限公司,中国光大证券(香港)有限公司,华盛资本证券有限公司,利弗莫尔证券有限公司,中国国际金融香港证券有限公司,中信建投(国际)融资有限公司</t>
  </si>
  <si>
    <t>TradArt Investment SP</t>
  </si>
  <si>
    <t>利弗莫尔证券有限公司,工银国际证券有限公司,招银国际融资有限公司,中国银河国际证券(香港)有限公司,建银国际金融有限公司,农银国际证券有限公司,华盛资本证券有限公司,中信建投(国际)融资有限公司,华泰金融控股(香港)有限公司</t>
  </si>
  <si>
    <t>奈雪的茶控股有限公司</t>
  </si>
  <si>
    <t>魏晋兵</t>
  </si>
  <si>
    <t>深圳马六甲网络科技有限公司</t>
  </si>
  <si>
    <t>中国国际金融香港证券有限公司,中信建投(国际)融资有限公司,摩根士丹利亚洲有限公司,老虎证券(香港)环球有限公司</t>
  </si>
  <si>
    <t>新民天时农业产业发展有限公司</t>
  </si>
  <si>
    <t>招银国际融资有限公司,国泰君安证券(香港)有限公司,中国国际金融香港证券有限公司,中银国际亚洲有限公司,中信里昂证券有限公司,华泰金融控股(香港)有限公司,老虎证券(香港)环球有限公司,农银国际证券有限公司,利弗莫尔证券有限公司</t>
  </si>
  <si>
    <t>Horizon Together Holding Ltd.</t>
  </si>
  <si>
    <t>Huangshan SP</t>
  </si>
  <si>
    <t>Smart Ventures Limited</t>
  </si>
  <si>
    <t>J.P. Morgan Securities (Asia Pacific) Limited,建银国际金融有限公司,农银国际证券有限公司,中银国际亚洲有限公司,富途证券国际(香港)有限公司,老虎证券(香港)环球有限公司,农银国际融资有限公司</t>
  </si>
  <si>
    <t>Redwood Elite Limited</t>
  </si>
  <si>
    <t>广发基金管理有限公司,广发国际资产管理有限公司</t>
  </si>
  <si>
    <t>中国国际金融香港证券有限公司,中国银河国际证券(香港)有限公司,招银国际融资有限公司,时富证券有限公司,农银国际证券有限公司,老虎证券(香港)环球有限公司,中航资信环球资产管理有限公司,光源资本(香港)金融有限公司</t>
  </si>
  <si>
    <t>中國信達(香港)資產管理有限公司</t>
  </si>
  <si>
    <t>新加坡鲁银贸易有限公司</t>
  </si>
  <si>
    <t>广发国际资产管理有限公司</t>
  </si>
  <si>
    <t>Zhengxin Group Investment Limited</t>
  </si>
  <si>
    <t>UBS AG Hong Kong Branch,华泰金融控股(香港)有限公司,中信里昂证券有限公司,招银国际融资有限公司,交银国际证券有限公司,越秀证券有限公司,建银国际金融有限公司,复星国际证券有限公司,金联证券有限公司,一盈证券有限公司,申万宏源证券(香港)有限公司,盈立证券有限公司,盈宝证券国际(香港)有限公司</t>
  </si>
  <si>
    <t>沧州创融股权投资基金有限公司</t>
  </si>
  <si>
    <t>建银国际金融有限公司,中信建投(国际)融资有限公司,工银国际证券有限公司,民银证券有限公司,浦银国际融资有限公司,中国银河国际证券(香港)有限公司,申万宏源证券(香港)有限公司,中泰国际证券有限公司,东方证券(香港)有限公司,复星国际证券有限公司,国元证券经纪(香港)有限公司,山证国际证券有限公司,第一上海证券有限公司,百惠证券有限公司,海盈证券有限公司,鉅诚证券有限公司,富途证券国际(香港)有限公司</t>
  </si>
  <si>
    <t>NOVOTECH SG HOLDINGS PTE.LTD.</t>
  </si>
  <si>
    <t>百洋健康产业国际商贸有限公司</t>
  </si>
  <si>
    <t>中国国际金融香港证券有限公司,平安证券(香港)有限公司,中银国际亚洲有限公司,中信里昂证券有限公司,东方证券(香港)有限公司,富途证券国际(香港)有限公司,浦银国际融资有限公司</t>
  </si>
  <si>
    <t>QM120 Limited,QM125 Limited</t>
  </si>
  <si>
    <t>高盛(亚洲)有限责任公司,Merrill Lynch (Asia Pacific) Limited,德意志银行香港分行,华泰金融控股(香港)有限公司,麦格理资本股份有限公司,中信里昂证券有限公司,中银国际亚洲有限公司,富途证券国际(香港)有限公司,老虎证券(香港)环球有限公司</t>
  </si>
  <si>
    <t>Ghisallo Fund Master Ltd</t>
  </si>
  <si>
    <t>Athos Capital Limited</t>
  </si>
  <si>
    <t>Hel Ved Master Fund</t>
  </si>
  <si>
    <t>海德資產管理有限公司</t>
  </si>
  <si>
    <t>中国国际金融香港证券有限公司,海通国际证券有限公司,农银国际证券有限公司,东方证券(香港)有限公司,民银证券有限公司,老虎证券(香港)环球有限公司,农银国际融资有限公司</t>
  </si>
  <si>
    <t>臻一資產管理有限公司</t>
  </si>
  <si>
    <t>润建国际(香港)有限公司</t>
  </si>
  <si>
    <t>中信里昂证券有限公司,中国国际金融香港证券有限公司,软库中华金融服务有限公司,国证国际证券(香港)有限公司,长桥证券(香港)有限公司,农银国际融资有限公司,中银国际亚洲有限公司,民银证券有限公司,富途证券国际(香港)有限公司,辉立证券(香港)有限公司,申万宏源证券(香港)有限公司,浦银国际融资有限公司,老虎证券(香港)环球有限公司,TradeGo Markets Limited,农银国际证券有限公司,复星国际证券有限公司,百惠证券有限公司</t>
  </si>
  <si>
    <t>康成亨国际投资有限公司</t>
  </si>
  <si>
    <t>Horizon Together Holding Ltd</t>
  </si>
  <si>
    <t>摩根士丹利亚洲有限公司,老虎证券(香港)环球有限公司,海通国际证券有限公司,大和资本市场香港有限公司,富途证券国际(香港)有限公司</t>
  </si>
  <si>
    <t>无锡视高股权投资合伙企业(有限合伙)</t>
  </si>
  <si>
    <t>CL Kiwi Holding Ltd.</t>
  </si>
  <si>
    <t>江苏中德服贸产业投资基金(有限合伙)</t>
  </si>
  <si>
    <t>无锡高视创业投资合伙企业(有限合伙)</t>
  </si>
  <si>
    <t>中信里昂证券有限公司,建银国际金融有限公司,国证国际证券(香港)有限公司,中湾国际证券有限公司,富途证券国际(香港)有限公司,富泽证券(国际)有限公司,浦银国际融资有限公司,老虎证券(香港)环球有限公司</t>
  </si>
  <si>
    <t>中国国际金融香港证券有限公司,花旗环球金融亚洲有限公司,Citigroup Global Markets Limited,工银国际证券有限公司,中银国际亚洲有限公司,麦格理资本股份有限公司,农银国际证券有限公司,国投证券(香港)有限公司,富途证券国际(香港)有限公司,农银国际融资有限公司</t>
  </si>
  <si>
    <t>大成国际资产管理有限公司及大成基金管理有限公司</t>
  </si>
  <si>
    <t>华夏基金管理有限公司</t>
  </si>
  <si>
    <t>Erik Selin Fastigheter AB</t>
  </si>
  <si>
    <t>HIMENSION CAPITAL (SINGAPORE) PTE. LTD.</t>
  </si>
  <si>
    <t>华泰金融控股(香港)有限公司,招银国际融资有限公司,广发证券(香港)经纪有限公司,海通国际证券有限公司,利弗莫尔证券有限公司</t>
  </si>
  <si>
    <t>UBS AG Hong Kong Branch,中国国际金融香港证券有限公司,华兴证券(香港)有限公司,工银国际融资有限公司,工银国际证券有限公司,山证国际证券有限公司,艾德证券期货有限公司,陆国际(香港)有限公司,富途证券国际(香港)有限公司,利弗莫尔证券有限公司,农银国际证券有限公司</t>
  </si>
  <si>
    <t>SVF II Zeal</t>
  </si>
  <si>
    <t>华盛资本证券有限公司,盈立证券有限公司,利弗莫尔证券有限公司,中泰国际证券有限公司,南华证券投资有限公司,太阳证券有限公司,鼎新证券有限公司,艾德证券期货有限公司,中银国际亚洲有限公司,农银国际证券有限公司,清科证券有限公司,申万宏源证券(香港)有限公司</t>
  </si>
  <si>
    <t>利弗莫尔证券有限公司,华盛资本证券有限公司,TradeGo Markets Limited,富途证券国际(香港)有限公司,百惠证券有限公司,招银国际融资有限公司,国信证券(香港)融资有限公司,广发证券(香港)经纪有限公司,建银国际金融有限公司,农银国际证券有限公司,农银国际融资有限公司,中银国际亚洲有限公司,华泰金融控股(香港)有限公司,申万宏源证券(香港)有限公司,法国巴黎证券(亚洲)有限公司,工银国际证券有限公司,民银证券有限公司,中信建投(国际)融资有限公司,国泰君安证券(香港)有限公司,中信里昂证券有限公司</t>
  </si>
  <si>
    <t>亦莊國際控股(香港)有限公司</t>
  </si>
  <si>
    <t>工银国际证券有限公司,中信建投(国际)融资有限公司,招商证券(香港)有限公司,海通国际证券有限公司,建银国际金融有限公司,天风国际证券与期货有限公司,农银国际证券有限公司,浦银国际融资有限公司,利弗莫尔证券有限公司,老虎证券(香港)环球有限公司,山证国际证券有限公司,贝塔国际证券有限公司,中信里昂证券有限公司,农银国际融资有限公司</t>
  </si>
  <si>
    <t>富德資源投資控股集團有限公司</t>
  </si>
  <si>
    <t>Sage Partners Master Fund</t>
  </si>
  <si>
    <t>Main Source Capital Limited</t>
  </si>
  <si>
    <t>TFI Investment Fund SPC</t>
  </si>
  <si>
    <t>花旗环球金融亚洲有限公司,Citigroup Global Markets Limited,华泰金融控股(香港)有限公司,招银国际融资有限公司,农银国际证券有限公司,交银国际证券有限公司,富途证券国际(香港)有限公司,老虎证券(香港)环球有限公司,元库证券有限公司,农银国际融资有限公司</t>
  </si>
  <si>
    <t>UBS AG Hong Kong Branch,安信国际证券(香港)有限公司,富途证券国际(香港)有限公司,利弗莫尔证券有限公司,元库证券有限公司</t>
  </si>
  <si>
    <t>中国生物制药有限公司</t>
  </si>
  <si>
    <t>傅和亮</t>
  </si>
  <si>
    <t>仁和资本有限公司,元宇宙(国际)证券有限公司,申万宏源证券(香港)有限公司,浦银国际融资有限公司,利弗莫尔证券有限公司,云锋证券有限公司,建银国际金融有限公司,农银国际证券有限公司,工银国际证券有限公司,黄河证券有限公司,招银国际融资有限公司,中信里昂证券有限公司,国泰君安证券(香港)有限公司,农银国际融资有限公司</t>
  </si>
  <si>
    <t>星河证券有限公司,衡山证券资产管理有限公司,保利证券有限公司,中泰国际证券有限公司,国信证券(香港)经纪有限公司,招银国际融资有限公司,华泰金融控股(香港)有限公司</t>
  </si>
  <si>
    <t>九玖衡信(厦门)私募基金管理有限公司</t>
  </si>
  <si>
    <t>汇添富资产管理(香港)有限公司</t>
  </si>
  <si>
    <t>XN Mountain International Limited</t>
  </si>
  <si>
    <t>国泰君安证券(香港)有限公司,中信里昂证券有限公司,安信国际证券(香港)有限公司,中泰国际证券有限公司,中国光大证券(香港)有限公司,浦银国际融资有限公司,工银国际证券有限公司,富途证券国际(香港)有限公司,华盛资本证券有限公司</t>
  </si>
  <si>
    <t>Astonish Investment Pte. Ltd.</t>
  </si>
  <si>
    <t>摩根士丹利亚洲有限公司,富瑞金融集团香港有限公司,中信里昂证券有限公司,富途证券国际(香港)有限公司,国元证券经纪(香港)有限公司,东吴证券国际经纪有限公司,百惠证券有限公司,瑞邦证券有限公司</t>
  </si>
  <si>
    <t>Vivo Plenilune IX Limited</t>
  </si>
  <si>
    <t>UBS AG Hong Kong Branch,招银国际融资有限公司,招商证券(香港)有限公司,中信里昂证券有限公司,中国国际金融香港证券有限公司,建银国际金融有限公司,民银证券有限公司,海通国际证券有限公司,农银国际融资有限公司,农银国际证券有限公司,中银国际亚洲有限公司,交银国际证券有限公司,中州国际证券有限公司,中国银河国际证券(香港)有限公司,富途证券国际(香港)有限公司,广发证券(香港)经纪有限公司,工银国际证券有限公司,东方证券(香港)有限公司,百惠证券有限公司,瑞邦证券有限公司,申万宏源证券(香港)有限公司,浦银国际融资有限公司,老虎证券(香港)环球有限公司,大华继显(香港)有限公司</t>
  </si>
  <si>
    <t>DFI Development Holdings Limited</t>
  </si>
  <si>
    <t>广发证券(香港)经纪有限公司,招银国际融资有限公司,中国国际金融香港证券有限公司,中信里昂证券有限公司</t>
  </si>
  <si>
    <t>广东原始森林私募证券投资管理有限公司及广发全球资本有限公司</t>
  </si>
  <si>
    <t>Glory Ocean Innovation Limited</t>
  </si>
  <si>
    <t>中国国际金融香港证券有限公司,中信里昂证券有限公司,建银国际金融有限公司,农银国际证券有限公司,东吴证券国际经纪有限公司,浙商国际金融控股有限公司,东方证券(香港)有限公司,贝塔国际证券有限公司,一盈证券有限公司</t>
  </si>
  <si>
    <t>元禾纳芯国际有限公司</t>
  </si>
  <si>
    <t>香港好易得国际有限公司</t>
  </si>
  <si>
    <t>中国银河国际证券(香港)有限公司,农银国际证券有限公司,交银国际证券有限公司,招银国际融资有限公司,复星国际证券有限公司,富途证券国际(香港)有限公司,富泽证券(国际)有限公司,哈富证券有限公司,老虎证券(香港)环球有限公司,中信里昂证券有限公司,中国国际金融香港证券有限公司,德意志银行香港分行,麦格理资本股份有限公司</t>
  </si>
  <si>
    <t>骏升环球有限公司</t>
  </si>
  <si>
    <t>Ginkgo Capital Global Fund SPC-XtalPi AI Fund SP</t>
  </si>
  <si>
    <t>邓海峰</t>
  </si>
  <si>
    <t>黎慧凤</t>
  </si>
  <si>
    <t>迈富时管理有限公司</t>
  </si>
  <si>
    <t>麦格理资本股份有限公司,中国国际金融香港证券有限公司,建银国际金融有限公司,海通国际证券有限公司,安信国际证券(香港)有限公司,龙石资本管理有限公司,中国光大证券(香港)有限公司,第一上海证券有限公司,首控证券有限公司,中泰国际证券有限公司,富途证券国际(香港)有限公司,盈立证券有限公司,元库证券有限公司,利弗莫尔证券有限公司</t>
  </si>
  <si>
    <t>安吉国融创业投资有限公司</t>
  </si>
  <si>
    <t>安吉自然资源开发建设有限公司</t>
  </si>
  <si>
    <t>中国国际金融香港证券有限公司,花旗环球金融亚洲有限公司,Citigroup Global Markets Limited,华兴证券(香港)有限公司,香港上海汇丰银行有限公司,海通国际证券有限公司,浦银国际融资有限公司,招银国际融资有限公司,交银国际证券有限公司,中银国际亚洲有限公司,建银国际金融有限公司,农银国际证券有限公司,富途证券国际(香港)有限公司,联合证券有限公司</t>
  </si>
  <si>
    <t>创维海外投资控股有限公司</t>
  </si>
  <si>
    <t>金羽(英国)有限公司</t>
  </si>
  <si>
    <t>Windfall T&amp;L SPC</t>
  </si>
  <si>
    <t>富途证券国际(香港)有限公司,广发证券(香港)经纪有限公司,华泰金融控股(香港)有限公司,长桥证券(香港)有限公司,申万宏源证券(香港)有限公司,老虎证券(香港)环球有限公司,胜利证券有限公司,越秀证券有限公司,中泰国际证券有限公司,花旗环球金融亚洲有限公司,Citigroup Global Markets Limited,农银国际证券有限公司,安信国际证券(香港)有限公司,工银国际证券有限公司,中国银河国际证券(香港)有限公司,中国光大证券(香港)有限公司,招商证券(香港)有限公司,鉅诚证券有限公司,招银国际融资有限公司,复星国际证券有限公司,农银国际融资有限公司,UBS AG Hong Kong Branch</t>
  </si>
  <si>
    <t>中国国际金融香港证券有限公司,民银证券有限公司,农银国际证券有限公司,建银国际金融有限公司,百惠证券有限公司,软库中华金融服务有限公司,复星国际证券有限公司,中银国际亚洲有限公司,富途证券国际(香港)有限公司,老虎证券(香港)环球有限公司,骏达证券有限公司,长桥证券(香港)有限公司,农银国际融资有限公司</t>
  </si>
  <si>
    <t>招银国际融资有限公司,贝塔国际证券有限公司,光银国际资本有限公司,华升证券(国际)有限公司,鉅诚证券有限公司,民银证券有限公司,富途证券国际(香港)有限公司,海通国际证券有限公司,工银国际证券有限公司,利弗莫尔证券有限公司,路华证券有限公司,申万宏源证券(香港)有限公司,浦银国际融资有限公司,老虎证券(香港)环球有限公司,TradeGo Markets Limited,盈立证券有限公司,浙商国际金融控股有限公司,中国国际金融香港证券有限公司,建银国际金融有限公司,北拓国际证券有限公司</t>
  </si>
  <si>
    <t>刚信贸易有限公司</t>
  </si>
  <si>
    <t>维港南昌东湖产业有限合伙基金</t>
  </si>
  <si>
    <t>金洛证券有限公司,交银国际证券有限公司,富途证券国际(香港)有限公司,浦银国际融资有限公司,中信里昂证券有限公司</t>
  </si>
  <si>
    <t>国华人寿保险股份有限公司</t>
  </si>
  <si>
    <t>Harvest Oriental II SP</t>
  </si>
  <si>
    <t>戴婉琴</t>
  </si>
  <si>
    <t>安江波</t>
  </si>
  <si>
    <t>欣旺达财资(香港)有限公司</t>
  </si>
  <si>
    <t>工银国际证券有限公司,浦银国际融资有限公司,民银证券有限公司,农银国际证券有限公司,中国银河国际证券(香港)有限公司,TradeGo Markets Limited,宏智证券(香港)有限公司,华泰金融控股(香港)有限公司,广发证券(香港)经纪有限公司,建银国际金融有限公司</t>
  </si>
  <si>
    <t>Costone China Growth Capital I L.P.</t>
  </si>
  <si>
    <t>达安投资有限公司</t>
  </si>
  <si>
    <t>讯医有限公司</t>
  </si>
  <si>
    <t>星星集团亚洲有限公司</t>
  </si>
  <si>
    <t>高盛(亚洲)有限责任公司,华泰金融控股(香港)有限公司,富途证券国际(香港)有限公司</t>
  </si>
  <si>
    <t>国泰君安证券(香港)有限公司,农银国际证券有限公司,平证证券(香港)有限公司,申万宏源证券(香港)有限公司,TradeGo Markets Limited,农银国际融资有限公司</t>
  </si>
  <si>
    <t>东方证券(香港)有限公司,国泰君安证券(香港)有限公司</t>
  </si>
  <si>
    <t>民银证券有限公司,中信里昂证券有限公司,中国国际金融香港证券有限公司,摩根士丹利亚洲有限公司,广发证券(香港)经纪有限公司</t>
  </si>
  <si>
    <t>LYFE Capital Fund IV (Dragon), L.P.</t>
  </si>
  <si>
    <t>中信证券(香港)有限公司,海通国际资本有限公司,建银国际金融有限公司,中信建投(国际)融资有限公司,利弗莫尔证券有限公司,中泰国际证券有限公司,富中证券有限公司,工银国际证券有限公司,华富建业证券有限公司,东吴证券国际经纪有限公司,海通国际证券有限公司,中信里昂证券有限公司</t>
  </si>
  <si>
    <t>华升证券(国际)有限公司,利弗莫尔证券有限公司,国信证券(香港)经纪有限公司,国投证券(香港)有限公司,农银国际证券有限公司,招银国际融资有限公司,中信里昂证券有限公司</t>
  </si>
  <si>
    <t>政金(香港)國際有限公司</t>
  </si>
  <si>
    <t>George Kent Singapore Pte Ltd</t>
  </si>
  <si>
    <t>摩根士丹利亚洲有限公司,中国国际金融香港证券有限公司,广发证券(香港)经纪有限公司,法国巴黎证券(亚洲)有限公司,国金证券(香港)有限公司,中银国际亚洲有限公司</t>
  </si>
  <si>
    <t>Schroder Investment Management (Singapore) Ltd及施罗德投资管理(香港)有限公司</t>
  </si>
  <si>
    <t>瑞银资产管理(新加坡)有限公司</t>
  </si>
  <si>
    <t>摩根士丹利亚洲有限公司,星展亚洲融资有限公司,中国银河国际证券(香港)有限公司,香港上海汇丰银行有限公司,中信里昂证券有限公司,中国国际金融香港证券有限公司,华盛资本证券有限公司,富途证券国际(香港)有限公司,老虎证券(香港)环球有限公司,农银国际证券有限公司,中银国际亚洲有限公司,招银国际融资有限公司,国泰君安证券(香港)有限公司</t>
  </si>
  <si>
    <t>招银国际融资有限公司,中银国际亚洲有限公司,申万宏源证券(香港)有限公司,富途证券国际(香港)有限公司,老虎证券(香港)环球有限公司,农银国际证券有限公司,富德证券有限公司,华福国际证券有限公司,利弗莫尔证券有限公司,TradeGo Markets Limited,艾德证券期货有限公司</t>
  </si>
  <si>
    <t>JINGSHENG HENGXING TECHNOLOGY PTE. LTD.</t>
  </si>
  <si>
    <t>华泰金融控股(香港)有限公司,富途证券国际(香港)有限公司,农银国际证券有限公司,中银国际亚洲有限公司,建银国际金融有限公司,中国银河国际证券(香港)有限公司,华福国际证券有限公司,黄河证券有限公司,元宇宙(国际)证券有限公司,云锋证券有限公司,浙商国际金融控股有限公司</t>
  </si>
  <si>
    <t>中国国际金融香港证券有限公司,广发证券(香港)经纪有限公司,建银国际金融有限公司,招银国际融资有限公司,富途证券国际(香港)有限公司,老虎证券(香港)环球有限公司</t>
  </si>
  <si>
    <t>深圳市奋达科技股份有限公司</t>
  </si>
  <si>
    <t>厦门群鑫机械工业有限公司</t>
  </si>
  <si>
    <t>福清胜德卡路里投资有限公司</t>
  </si>
  <si>
    <t>中国国际金融香港证券有限公司,中信建投(国际)融资有限公司,民银证券有限公司,东方证券(香港)有限公司,农银国际证券有限公司,建银国际金融有限公司,中国光大证券(香港)有限公司,中国银河国际证券(香港)有限公司,招商证券(香港)有限公司,招银国际融资有限公司,星展亚洲融资有限公司,广发证券(香港)经纪有限公司,工银国际证券有限公司,申万宏源证券(香港)有限公司,中泰国际证券有限公司,复星国际证券有限公司,富途证券国际(香港)有限公司,国信证券(香港)融资有限公司,利弗莫尔证券有限公司,老虎证券(香港)环球有限公司,TradeGo Markets Limited</t>
  </si>
  <si>
    <t>武汉光通共赢企业管理合伙企业(有限合伙)</t>
  </si>
  <si>
    <t>江苏江控投资有限公司</t>
  </si>
  <si>
    <t>中国国际金融香港证券有限公司,华泰金融控股(香港)有限公司,招银国际融资有限公司,中信建投(国际)融资有限公司,富途证券国际(香港)有限公司,华盛资本证券有限公司,中银国际亚洲有限公司,工银国际证券有限公司,浦银国际融资有限公司,农银国际证券有限公司,民银证券有限公司,建银国际金融有限公司</t>
  </si>
  <si>
    <t>国泰君安证券(香港)有限公司,德意志银行香港分行,富途证券国际(香港)有限公司,洪泰证券有限公司,东方证券(香港)有限公司,北拓国际证券有限公司,工银国际证券有限公司,建银国际金融有限公司,中国银河国际证券(香港)有限公司,TradeGo Markets Limited,招商证券(香港)有限公司,农银国际证券有限公司,交银国际证券有限公司,老虎证券(香港)环球有限公司,南华证券投资有限公司,中国国际金融香港证券有限公司</t>
  </si>
  <si>
    <t>Alphahill Future Fund及Manifold Master Fund及York House Investment Limited</t>
  </si>
  <si>
    <t>中视金桥国际传媒控股有限公司</t>
  </si>
  <si>
    <t>蔷薇控股(香港)有限公司</t>
  </si>
  <si>
    <t>中国国际金融香港证券有限公司,建银国际金融有限公司,法国巴黎证券(亚洲)有限公司,中信里昂证券有限公司,招商证券(香港)有限公司,中募金融资管有限公司,富途证券国际(香港)有限公司,越秀证券有限公司</t>
  </si>
  <si>
    <t>杭州富阳产业基金投资管理有限公司</t>
  </si>
  <si>
    <t>中国国际金融香港证券有限公司,德意志银行香港分行,富途证券国际(香港)有限公司,浙商国际金融控股有限公司</t>
  </si>
  <si>
    <t>晟信集团有限公司</t>
  </si>
  <si>
    <t>华泰资本投资有限公司及华泰证券股份有限公司及宁波梅山保税港区灏浚投资管理有限公司</t>
  </si>
  <si>
    <t>中国国际金融香港证券有限公司,国泰君安证券(香港)有限公司,招银国际融资有限公司,海通国际证券有限公司,中银国际亚洲有限公司,富途证券国际(香港)有限公司,星展亚洲融资有限公司,工银国际证券有限公司,农银国际证券有限公司,建银国际金融有限公司</t>
  </si>
  <si>
    <t>宏达集团(香港)有限公司</t>
  </si>
  <si>
    <t>Commando Global Fund</t>
  </si>
  <si>
    <t>招银国际融资有限公司,富途证券国际(香港)有限公司</t>
  </si>
  <si>
    <t>中信里昂证券有限公司,海通国际证券有限公司,复星国际证券有限公司,中国银河国际证券(香港)有限公司,招银国际融资有限公司,浦银国际融资有限公司,农银国际融资有限公司,农银国际证券有限公司,中银国际亚洲有限公司,富途证券国际(香港)有限公司,利弗莫尔证券有限公司,百惠证券有限公司,瑞邦证券有限公司</t>
  </si>
  <si>
    <t>国泰君安证券(香港)有限公司,华泰金融控股(香港)有限公司,中国银河国际证券(香港)有限公司,中银国际亚洲有限公司,富途证券国际(香港)有限公司</t>
  </si>
  <si>
    <t>HACF, LP</t>
  </si>
  <si>
    <t>China Orient Enhanced Income Fund</t>
  </si>
  <si>
    <t>海通国际证券有限公司,京基证券集团有限公司,衡山证券资产管理有限公司,交银国际证券有限公司</t>
  </si>
  <si>
    <t>sec_name</t>
  </si>
  <si>
    <t>Wind代码</t>
  </si>
  <si>
    <t>return_5d_pct</t>
    <phoneticPr fontId="21" type="noConversion"/>
  </si>
  <si>
    <t>return_30d_pct</t>
    <phoneticPr fontId="21" type="noConversion"/>
  </si>
  <si>
    <t>return_60d_pct</t>
    <phoneticPr fontId="21" type="noConversion"/>
  </si>
  <si>
    <t>return_90d_pct</t>
    <phoneticPr fontId="21" type="noConversion"/>
  </si>
  <si>
    <t>return_180d_pct</t>
    <phoneticPr fontId="21" type="noConversion"/>
  </si>
  <si>
    <t>郭敏芳</t>
  </si>
  <si>
    <t>Treasure-stone Investment Group Limited</t>
  </si>
  <si>
    <t>包莉娜</t>
  </si>
  <si>
    <t>GFH FINANCIAL GROUP B.S.C</t>
  </si>
  <si>
    <t>非必需性消费(HS)-家庭电器及用品(HS)-家庭电器(HS)</t>
  </si>
  <si>
    <t>原材料业(HS)-原材料(HS)-特殊化工用品(HS)</t>
  </si>
  <si>
    <t>工业(HS)-工业工程(HS)-航空航天与国防(HS)</t>
  </si>
  <si>
    <t>资讯科技业(HS)-资讯科技器材(HS)-电脑及周边器材(HS)</t>
  </si>
  <si>
    <t>工业(HS)-工业工程(HS)-重型机械(HS)</t>
  </si>
  <si>
    <t>资讯科技业(HS)-软件服务(HS)-数码解决方案服务(HS)</t>
  </si>
  <si>
    <t>非必需性消费(HS)-旅游及消闲设施(HS)-餐饮(HS)</t>
  </si>
  <si>
    <t>公用事业(HS)-公用事业Ⅱ(HS)-燃气供应(HS)</t>
  </si>
  <si>
    <t>必需性消费(HS)-食物饮品(HS)-食品添加剂(HS)</t>
  </si>
  <si>
    <t>医疗保健业(HS)-其他医疗保健(HS)-医疗设备及用品(HS)</t>
  </si>
  <si>
    <t>医疗保健业(HS)-其他医疗保健(HS)-医疗及医学美容服务(HS)</t>
  </si>
  <si>
    <t>原材料业(HS)-原材料(HS)-化肥及农用化合物(HS)</t>
  </si>
  <si>
    <t>资讯科技业(HS)-软件服务(HS)-应用软件(HS)</t>
  </si>
  <si>
    <t>必需性消费(HS)-食物饮品(HS)-包装食品(HS)</t>
  </si>
  <si>
    <t>非必需性消费(HS)-旅游及消闲设施(HS)-公共运输(HS)</t>
  </si>
  <si>
    <t>工业(HS)-工业工程(HS)-电子零件(HS)</t>
  </si>
  <si>
    <t>原材料业(HS)-一般金属及矿石(HS)-其他金属及矿物(HS)</t>
  </si>
  <si>
    <t>地产建筑业(HS)-地产(HS)-物业服务及管理(HS)</t>
  </si>
  <si>
    <t>资讯科技业(HS)-半导体(HS)-半导体Ⅲ(HS)</t>
  </si>
  <si>
    <t>地产建筑业(HS)-建筑(HS)-建筑材料(HS)</t>
  </si>
  <si>
    <t>必需性消费(HS)-食物饮品(HS)-非酒精饮料(HS)</t>
  </si>
  <si>
    <t>原材料业(HS)-一般金属及矿石(HS)-铝(HS)</t>
  </si>
  <si>
    <t>医疗保健业(HS)-药品及生物科技(HS)-药品(HS)</t>
  </si>
  <si>
    <t>工业(HS)-工业工程(HS)-工业零件及器材(HS)</t>
  </si>
  <si>
    <t>医疗保健业(HS)-其他医疗保健(HS)-护肤与化妆品(HS)</t>
  </si>
  <si>
    <t>工业(HS)-工业工程(HS)-能源储存装置(HS)</t>
  </si>
  <si>
    <t>医疗保健业(HS)-药品及生物科技(HS)-生物技术(HS)</t>
  </si>
  <si>
    <t>金融业(HS)-其他金融(HS)-其他金融Ⅲ(HS)</t>
  </si>
  <si>
    <t>金融业(HS)-其他金融(HS)-投资及资产管理(HS)</t>
  </si>
  <si>
    <t>资讯科技业(HS)-资讯科技器材(HS)-消费性电讯设备(HS)</t>
  </si>
  <si>
    <t>非必需性消费(HS)-专业零售(HS)-其他零售商(HS)</t>
  </si>
  <si>
    <t>非必需性消费(HS)-汽车(HS)-摩托车及其他(HS)</t>
  </si>
  <si>
    <t>非必需性消费(HS)-专业零售(HS)-汽车零售商(HS)</t>
  </si>
  <si>
    <t>非必需性消费(HS)-汽车(HS)-汽车Ⅲ(HS)</t>
  </si>
  <si>
    <t>原材料业(HS)-一般金属及矿石(HS)-铜(HS)</t>
  </si>
  <si>
    <t>资讯科技业(HS)-半导体(HS)-半导体设备与材料(HS)</t>
  </si>
  <si>
    <t>非必需性消费(HS)-媒体及娱乐(HS)-影视娱乐(HS)</t>
  </si>
  <si>
    <t>工业(HS)-工业工程(HS)-商用运输工具及货车(HS)</t>
  </si>
  <si>
    <t>非必需性消费(HS)-专业零售(HS)-线上零售商(HS)</t>
  </si>
  <si>
    <t>非必需性消费(HS)-家庭电器及用品(HS)-玩具及消闲用品(HS)</t>
  </si>
  <si>
    <t>非必需性消费(HS)-支援服务(HS)-教育(HS)</t>
  </si>
  <si>
    <t>工业(HS)-工用支援(HS)-采购及供应链管理(HS)</t>
  </si>
  <si>
    <t>资讯科技业(HS)-软件服务(HS)-游戏软件(HS)</t>
  </si>
  <si>
    <t>必需性消费(HS)-农业产品(HS)-禽畜肉类(HS)</t>
  </si>
  <si>
    <t>非必需性消费(HS)-汽车(HS)-汽车零件(HS)</t>
  </si>
  <si>
    <t>非必需性消费(HS)-支援服务(HS)-其他支援服务(HS)</t>
  </si>
  <si>
    <t>原材料业(HS)-黄金及贵金属(HS)-黄金及贵金属Ⅲ(HS)</t>
  </si>
  <si>
    <t>工业(HS)-工用运输(HS)-航运及港口(HS)</t>
  </si>
  <si>
    <t>工业(HS)-工用运输(HS)-航空货运及物流(HS)</t>
  </si>
  <si>
    <t>必需性消费(HS)-消费者主要零售商(HS)-个人护理(HS)</t>
  </si>
  <si>
    <t>资讯科技业(HS)-软件服务(HS)-互联网服务及基础设施(HS)</t>
  </si>
  <si>
    <t>资讯科技业(HS)-资讯科技器材(HS)-电讯网路基建设施(HS)</t>
  </si>
  <si>
    <t>金融业(HS)-其他金融(HS)-信贷(HS)</t>
  </si>
  <si>
    <t>非必需性消费(HS)-专业零售(HS)-多元化零售商(HS)</t>
  </si>
  <si>
    <t>医疗保健业(HS)-其他医疗保健(HS)-膳食补充品(HS)</t>
  </si>
  <si>
    <t>必需性消费(HS)-消费者主要零售商(HS)-超市及便利店(HS)</t>
  </si>
  <si>
    <t>能源业(HS)-石油及天然气(HS)-油气设备与服务(HS)</t>
  </si>
  <si>
    <t>工业(HS)-工用支援(HS)-印刷及包装(HS)</t>
  </si>
  <si>
    <t>地产建筑业(HS)-地产(HS)-地产发展商(HS)</t>
  </si>
  <si>
    <t>非必需性消费(HS)-家庭电器及用品(HS)-家具(HS)</t>
  </si>
  <si>
    <t>非必需性消费(HS)-媒体及娱乐(HS)-广告及宣传(HS)</t>
  </si>
  <si>
    <t>地产建筑业(HS)-地产(HS)-地产代理(HS)</t>
  </si>
  <si>
    <t>必需性消费(HS)-食物饮品(HS)-酒精饮料(HS)</t>
  </si>
  <si>
    <t>非必需性消费(HS)-旅游及消闲设施(HS)-赌场及博彩(HS)</t>
  </si>
  <si>
    <t>公用事业(HS)-公用事业Ⅱ(HS)-非传统/可再生能源(HS)</t>
  </si>
  <si>
    <t>工业(HS)-工业工程(HS)-新能源物料(HS)</t>
  </si>
  <si>
    <t>工业(HS)-工用运输(HS)-公路运输(HS)</t>
  </si>
  <si>
    <t>医疗保健业(HS)-药品及生物科技(HS)-药品分销(HS)</t>
  </si>
  <si>
    <t>地产建筑业(HS)-建筑(HS)-楼宇建造(HS)</t>
  </si>
  <si>
    <t>非必需性消费(HS)-专业零售(HS)-家居装修零售商(HS)</t>
  </si>
  <si>
    <t>非必需性消费(HS)-专业零售(HS)-服装零售商(HS)</t>
  </si>
  <si>
    <t>金融业(HS)-保险(HS)-保险Ⅲ(HS)</t>
  </si>
  <si>
    <t>金融业(HS)-银行(HS)-银行Ⅲ(HS)</t>
  </si>
  <si>
    <t>地产建筑业(HS)-地产(HS)-地产投资(HS)</t>
  </si>
  <si>
    <t>必需性消费(HS)-农业产品(HS)-农产品(HS)</t>
  </si>
  <si>
    <t>电讯业(HS)-电讯(HS)-卫星及无线通讯(HS)</t>
  </si>
  <si>
    <t>地产建筑业(HS)-建筑(HS)-重型基建(HS)</t>
  </si>
  <si>
    <t>必需性消费(HS)-食物饮品(HS)-乳制品(HS)</t>
  </si>
  <si>
    <t>能源业(HS)-石油及天然气(HS)-油气生产商(HS)</t>
  </si>
  <si>
    <t>非必需性消费(HS)-旅游及消闲设施(HS)-消闲及文娱设施(HS)</t>
  </si>
  <si>
    <t>原材料业(HS)-一般金属及矿石(HS)-钢铁(HS)</t>
  </si>
  <si>
    <t>工业(HS)-工业工程(HS)-环保工程(HS)</t>
  </si>
  <si>
    <t>金融业(HS)-其他金融(HS)-支付服务(HS)</t>
  </si>
  <si>
    <t>非必需性消费(HS)-纺织及服饰(HS)-珠宝钟表(HS)</t>
  </si>
  <si>
    <t>金融业(HS)-其他金融(HS)-证券及经纪(HS)</t>
  </si>
  <si>
    <t>非必需性消费(HS)-媒体及娱乐(HS)-互动媒体及服务(HS)</t>
  </si>
  <si>
    <t>shares_issued_100m</t>
  </si>
  <si>
    <t>total_offering_with_secondary_100m_hkd</t>
  </si>
  <si>
    <t>primary_offering_amount_100m_hkd</t>
  </si>
  <si>
    <t>非必需性消费(HS)-旅游及消闲设施(HS)-旅游及观光(HS)</t>
  </si>
  <si>
    <t>中国国际金融香港证券有限公司,中信里昂证券有限公司,华兴证券(香港)有限公司,富途证券国际(香港)有限公司,老虎证券(香港)环球有限公司,富泽证券(国际)有限公司,利弗莫尔证券有限公司,木兰投资管理有限公司,鉅诚证券有限公司</t>
  </si>
  <si>
    <t>(HS)其他医疗保健</t>
  </si>
  <si>
    <t>H股</t>
  </si>
  <si>
    <t>(HS)资讯科技器材</t>
  </si>
  <si>
    <t>(HS)半导体</t>
  </si>
  <si>
    <t>(HS)药品及生物科技</t>
  </si>
  <si>
    <t>(HS)工业工程</t>
  </si>
  <si>
    <t>(HS)软件服务</t>
  </si>
  <si>
    <t>(HS)家庭电器及用品</t>
  </si>
  <si>
    <t>(HS)汽车</t>
  </si>
  <si>
    <t>(HS)工用支援</t>
  </si>
  <si>
    <t>(HS)农业产品</t>
  </si>
  <si>
    <t>(HS)原材料</t>
  </si>
  <si>
    <t>(HS)食物饮品</t>
  </si>
  <si>
    <t>(HS)建筑</t>
  </si>
  <si>
    <t>(HS)地产</t>
  </si>
  <si>
    <t>(HS)一般金属及矿石</t>
  </si>
  <si>
    <t>(HS)媒体及娱乐</t>
  </si>
  <si>
    <t>(HS)旅游及消闲设施</t>
  </si>
  <si>
    <t>(HS)其他金融</t>
  </si>
  <si>
    <t>(HS)专业零售</t>
  </si>
  <si>
    <t>(HS)消费者主要零售商</t>
  </si>
  <si>
    <t>公用事业Ⅱ</t>
  </si>
  <si>
    <t>(HS)纺织及服饰</t>
  </si>
  <si>
    <t>(HS)黄金及贵金属</t>
  </si>
  <si>
    <t>(HS)电讯</t>
  </si>
  <si>
    <t>(HS)保险</t>
  </si>
  <si>
    <t>(HS)支援服务</t>
  </si>
  <si>
    <t>银行</t>
  </si>
  <si>
    <t>(HS)银行</t>
  </si>
  <si>
    <t>(HS)工用运输</t>
  </si>
  <si>
    <t>红筹股</t>
  </si>
  <si>
    <t>(HS)石油及天然气</t>
  </si>
  <si>
    <t>房地产Ⅱ</t>
  </si>
  <si>
    <t>(HS)公用事业Ⅱ</t>
  </si>
  <si>
    <t>医疗设备与服务</t>
  </si>
  <si>
    <t>软件服务</t>
  </si>
  <si>
    <t>医药生物</t>
  </si>
  <si>
    <t>硬件设备</t>
  </si>
  <si>
    <t>耐用消费品</t>
  </si>
  <si>
    <t>半导体</t>
  </si>
  <si>
    <t>机械</t>
  </si>
  <si>
    <t>汽车与零配件</t>
  </si>
  <si>
    <t>造纸与包装</t>
  </si>
  <si>
    <t>电气设备</t>
  </si>
  <si>
    <t>食品饮料</t>
  </si>
  <si>
    <t>化工</t>
  </si>
  <si>
    <t>可选消费零售</t>
  </si>
  <si>
    <t>建筑</t>
  </si>
  <si>
    <t>企业服务</t>
  </si>
  <si>
    <t>有色金属</t>
  </si>
  <si>
    <t>家庭用品</t>
  </si>
  <si>
    <t>非银金融</t>
  </si>
  <si>
    <t>传媒</t>
  </si>
  <si>
    <t>消费者服务</t>
  </si>
  <si>
    <t>家电Ⅱ</t>
  </si>
  <si>
    <t>日常消费零售</t>
  </si>
  <si>
    <t>建材Ⅱ</t>
  </si>
  <si>
    <t>环保Ⅱ</t>
  </si>
  <si>
    <t>纺织服装Ⅱ</t>
  </si>
  <si>
    <t>交通运输</t>
  </si>
  <si>
    <t>国防军工</t>
  </si>
  <si>
    <t>石油石化</t>
  </si>
  <si>
    <t>电信服务</t>
  </si>
  <si>
    <t>3611.HK</t>
  </si>
  <si>
    <t>花房集团(退市)</t>
  </si>
  <si>
    <t>6678.HK</t>
  </si>
  <si>
    <t>百德医疗(IPO终止)</t>
  </si>
  <si>
    <t>6689.HK</t>
  </si>
  <si>
    <t>洪九果品(退市)</t>
  </si>
  <si>
    <t>实际控制人</t>
  </si>
  <si>
    <t>ODI TRUST LIMITED</t>
  </si>
  <si>
    <t>周群飞</t>
  </si>
  <si>
    <t>刘岩</t>
  </si>
  <si>
    <t>XIAO Jian</t>
  </si>
  <si>
    <t>大成国际资产管理有限公司</t>
  </si>
  <si>
    <t>大成基金管理有限公司</t>
  </si>
  <si>
    <t>中康科技控股有限公司</t>
  </si>
  <si>
    <t>吴郁抒</t>
  </si>
  <si>
    <t>戴钧安</t>
  </si>
  <si>
    <t>陆勤超</t>
  </si>
  <si>
    <t>湖南环保科技产业园管理委员会</t>
  </si>
  <si>
    <t>香港汉清达实业有限公司</t>
  </si>
  <si>
    <t>侯守山</t>
  </si>
  <si>
    <t>FR M CONSULTING CO., LTD</t>
  </si>
  <si>
    <t>张国锋</t>
  </si>
  <si>
    <t>中央汇金投资有限责任公司</t>
  </si>
  <si>
    <t>嘉善县财政局</t>
  </si>
  <si>
    <t>上海中移数字转型产业私募基金合伙企业(有限合伙)</t>
  </si>
  <si>
    <t>阿里巴巴集团控股有限公司</t>
  </si>
  <si>
    <t>工银理财有限责任公司</t>
  </si>
  <si>
    <t>中国工商银行股份有限公司</t>
  </si>
  <si>
    <t>中国平安资产管理(香港)有限公司</t>
  </si>
  <si>
    <t>中国平安保险(集团)股份有限公司</t>
  </si>
  <si>
    <t>中兴通讯(香港)有限公司</t>
  </si>
  <si>
    <t>中兴通讯股份有限公司</t>
  </si>
  <si>
    <t>CPE Fir Investment Limited</t>
  </si>
  <si>
    <t>MIRAE ASSET CAPITAL CO., LTD.</t>
  </si>
  <si>
    <t>联想集团有限公司</t>
  </si>
  <si>
    <t>景林资产管理香港有限公司,上海景林资产管理有限公司及CICC Financial Trading Limited</t>
  </si>
  <si>
    <t>UBS Asset Management AG</t>
  </si>
  <si>
    <t>熊凤祥与熊俊</t>
  </si>
  <si>
    <t>山东发展投资控股集团有限公司</t>
  </si>
  <si>
    <t>锦绣中和(天津)投资管理有限公司</t>
  </si>
  <si>
    <t>张敬庭</t>
  </si>
  <si>
    <t>药明生物技术有限公司</t>
  </si>
  <si>
    <t>唐春山</t>
  </si>
  <si>
    <t>黄勇</t>
  </si>
  <si>
    <t>小米集团</t>
  </si>
  <si>
    <t>北京君正集成电路(香港)集团有限公司</t>
  </si>
  <si>
    <t>北京君正集成电路股份有限公司</t>
  </si>
  <si>
    <t>JPMorgan Chase &amp; Co.</t>
  </si>
  <si>
    <t>UBS Group AG</t>
  </si>
  <si>
    <t>上海高毅资产管理合伙企业(有限合伙),CICC Financial Trading Limited</t>
  </si>
  <si>
    <t>泰康保险集团股份有限公司</t>
  </si>
  <si>
    <t>光大理财有限责任公司</t>
  </si>
  <si>
    <t>中国光大银行股份有限公司</t>
  </si>
  <si>
    <t>建滔集团有限公司</t>
  </si>
  <si>
    <t>Wu Weiwei</t>
  </si>
  <si>
    <t>艾唯技术有限公司</t>
  </si>
  <si>
    <t>上海艾为电子技术股份有限公司</t>
  </si>
  <si>
    <t>胜宏科技(惠州)股份有限公司</t>
  </si>
  <si>
    <t>豪威集成电路(集团)股份有限公司</t>
  </si>
  <si>
    <t>JinYi Capital Multi-Strategy Fund SPC Ltd.</t>
  </si>
  <si>
    <t>Tropical Terrain Limited</t>
  </si>
  <si>
    <t>张建斌</t>
  </si>
  <si>
    <t>Golden K2 Falcon Open-ended Fund Company</t>
  </si>
  <si>
    <t>Infore Funds Series 1 Open-ended Fund Company – Infore Global Equity Fund</t>
  </si>
  <si>
    <t>鲁花道生(北京)企业管理发展有限公司</t>
  </si>
  <si>
    <t>孙孟全</t>
  </si>
  <si>
    <t>MY.Alpha Management HK Advisors Limited</t>
  </si>
  <si>
    <t>Foresight Global Superior Choice SPC</t>
  </si>
  <si>
    <t>歐萬達基金管理有限公司</t>
  </si>
  <si>
    <t>HQ TELECOM SINGAPORE PTE.LTD.</t>
  </si>
  <si>
    <t>蒋锦志</t>
  </si>
  <si>
    <t>Cloudview Capital Limited</t>
  </si>
  <si>
    <t>陈劲松</t>
  </si>
  <si>
    <t>虞锋</t>
  </si>
  <si>
    <t>叶国富</t>
  </si>
  <si>
    <t>阳光保险集团股份有限公司</t>
  </si>
  <si>
    <t>天弘基金管理有限公司</t>
  </si>
  <si>
    <t>蚂蚁科技集团股份有限公司</t>
  </si>
  <si>
    <t>信银(香港)投资有限公司</t>
  </si>
  <si>
    <t>中信银行股份有限公司</t>
  </si>
  <si>
    <t>惠州市惠城区国有资产监督管理局</t>
  </si>
  <si>
    <t>深圳市大族数控科技股份有限公司</t>
  </si>
  <si>
    <t>涌容(香港)資產管理有限公司</t>
  </si>
  <si>
    <t>王强</t>
  </si>
  <si>
    <t>Metazone Link (HK) Limited</t>
  </si>
  <si>
    <t>李东生</t>
  </si>
  <si>
    <t>中富證券有限公司</t>
  </si>
  <si>
    <t>洪婉玲</t>
  </si>
  <si>
    <t>卓颖</t>
  </si>
  <si>
    <t>Hesai Hong Kong Limited</t>
  </si>
  <si>
    <t>山东省人民政府国有资产监督管理委员会</t>
  </si>
  <si>
    <t>赵令欢</t>
  </si>
  <si>
    <t>华营建筑集团控股有限公司</t>
  </si>
  <si>
    <t>浙江省建设投资集团股份有限公司</t>
  </si>
  <si>
    <t>广发证券股份有限公司</t>
  </si>
  <si>
    <t>易方达资产管理(香港)有限公司</t>
  </si>
  <si>
    <t>博裕资本管理(新加坡)有限公司</t>
  </si>
  <si>
    <t>惠理基金管理公司</t>
  </si>
  <si>
    <t>华泰资本投资有限公司,上海景林资产管理有限公司</t>
  </si>
  <si>
    <t>Voyage42 Master Fund</t>
  </si>
  <si>
    <t>SCC Foresight Ventures Ltd.</t>
  </si>
  <si>
    <t>惠理基金管理香港有限公司</t>
  </si>
  <si>
    <t>CPE Global Opportunities Fund II,L.P.</t>
  </si>
  <si>
    <t>China Orient International Asset Management Limited - China Orient Multi- Strategy Master Fund</t>
  </si>
  <si>
    <t>Eastern Bell Capital Fund II, L.P.</t>
  </si>
  <si>
    <t>寧遠資本有限公司</t>
  </si>
  <si>
    <t>Lu Ning</t>
  </si>
  <si>
    <t>WU Weiwei</t>
  </si>
  <si>
    <t>Yield Royal Investment Holding (Singapore) PTE. LTD.</t>
  </si>
  <si>
    <t>常红娜</t>
  </si>
  <si>
    <t>招商證券投資管理(香港)有限公司</t>
  </si>
  <si>
    <t>招商证券股份有限公司</t>
  </si>
  <si>
    <t>Cithara Global Multi-Strategy SPC - Disruptive Innovation Investment Fund SP</t>
  </si>
  <si>
    <t>Song Yan</t>
  </si>
  <si>
    <t>CPE Energy Investment Limited</t>
  </si>
  <si>
    <t>The Goldman Sachs Group, Inc.</t>
  </si>
  <si>
    <t>Lazurite Hime L.P.</t>
  </si>
  <si>
    <t>Weiwei WU</t>
  </si>
  <si>
    <t>Charoen Pokphand Robot Limited</t>
  </si>
  <si>
    <t>Scene Cloud Global Limited</t>
  </si>
  <si>
    <t>中国太平洋保险(集团)股份有限公司</t>
  </si>
  <si>
    <t>HILLHOUSE INVESTMENT MANAGEMENT, LTD.</t>
  </si>
  <si>
    <t>Huadeng Technology Space Ventures Ltd</t>
  </si>
  <si>
    <t>霸菱資產管理(亞洲)有限公司</t>
  </si>
  <si>
    <t>建德市国有资产管理服务中心</t>
  </si>
  <si>
    <t>Shrewd Pioneer Limited</t>
  </si>
  <si>
    <t>方绍云</t>
  </si>
  <si>
    <t>VVC Technology Fund Ltd.</t>
  </si>
  <si>
    <t>Eternal Summer Consulting Company Ltd.</t>
  </si>
  <si>
    <t>夏佐</t>
  </si>
  <si>
    <t>全顺(香港)发展有限公司</t>
  </si>
  <si>
    <t>粤德贸易有限公司</t>
  </si>
  <si>
    <t>陈恩</t>
  </si>
  <si>
    <t>Morgan Stanley</t>
  </si>
  <si>
    <t>济南市市中区政府项目资金服务中心</t>
  </si>
  <si>
    <t>George Kent (Malaysia) Bhd</t>
  </si>
  <si>
    <t>北京市顺义区人民政府国有资产监督管理委员会</t>
  </si>
  <si>
    <t>北京市人民政府国有资产监督管理委员会</t>
  </si>
  <si>
    <t>Wider Huge Group Limited</t>
  </si>
  <si>
    <t>深圳市凯丰投资管理有限公司,CICC Financial Trading Limited</t>
  </si>
  <si>
    <t>Aether Wave Fund L.P.</t>
  </si>
  <si>
    <t>前瞻资本稳健成长有限合伙基金</t>
  </si>
  <si>
    <t>大家人寿保险股份有限公司</t>
  </si>
  <si>
    <t>大灣區共同家園投資有限公司</t>
  </si>
  <si>
    <t>源峰资产管理,国泰君安证券投资(香港)有限公司</t>
  </si>
  <si>
    <t>上海景林资产管理有限公司,中信证券国际资本管理有限公司</t>
  </si>
  <si>
    <t>中兴有限公司</t>
  </si>
  <si>
    <t>黄荣耀及刘凌菱</t>
  </si>
  <si>
    <t>开盘财富管理有限公司</t>
  </si>
  <si>
    <t>游弋洋及白斌</t>
  </si>
  <si>
    <t>Fan Xiang</t>
  </si>
  <si>
    <t>中华人民共和国财政部</t>
  </si>
  <si>
    <t>深圳市锐明技术股份有限公司</t>
  </si>
  <si>
    <t>南通市崇川区政府国有资产监督管理办公室</t>
  </si>
  <si>
    <t>株式会社メイコー</t>
  </si>
  <si>
    <t>大成资产管理有限公司</t>
  </si>
  <si>
    <t>拓斯達環球集團有限公司</t>
  </si>
  <si>
    <t>广东拓斯达科技股份有限公司</t>
  </si>
  <si>
    <t>民银国际投资(香港)有限公司</t>
  </si>
  <si>
    <t>中国民生银行股份有限公司</t>
  </si>
  <si>
    <t>何茂灵</t>
  </si>
  <si>
    <t>罗杰</t>
  </si>
  <si>
    <t>王风雨</t>
  </si>
  <si>
    <t>BeingBoom Capital Limited</t>
  </si>
  <si>
    <t>Liu Xinyuan</t>
  </si>
  <si>
    <t>W Investment Company Limited</t>
  </si>
  <si>
    <t>林光亮</t>
  </si>
  <si>
    <t>中国银河国际投资有限公司及中国银河证券股份有限公司及恒邦余庆复合策略一号私募证券投资基金及恒邦科技先锋私募证券投资基金及恒邦科技先进私募证券投资基金等</t>
  </si>
  <si>
    <t>联域集团有限公司</t>
  </si>
  <si>
    <t>毕学文</t>
  </si>
  <si>
    <t>中信建投证券股份有限公司及建投(海外)投资有限公司及双城实验2号私募证券投资基金</t>
  </si>
  <si>
    <t>Zhuo Ying</t>
  </si>
  <si>
    <t>薛守光</t>
  </si>
  <si>
    <t>Vertex China TM Ltd.</t>
  </si>
  <si>
    <t>Factorial Master Fund</t>
  </si>
  <si>
    <t>Barun Agarwal</t>
  </si>
  <si>
    <t>苏州国家高新技术产业开发区管理委员会</t>
  </si>
  <si>
    <t>游振华</t>
  </si>
  <si>
    <t>海天国际控股有限公司</t>
  </si>
  <si>
    <t>裕祥控股集团有限公司</t>
  </si>
  <si>
    <t>桑康乔</t>
  </si>
  <si>
    <t>前海合众投资控股有限公司</t>
  </si>
  <si>
    <t>谭小龙</t>
  </si>
  <si>
    <t>崔根良及崔巍</t>
  </si>
  <si>
    <t>君宜(香港)资本有限公司</t>
  </si>
  <si>
    <t>中诚信托有限责任公司</t>
  </si>
  <si>
    <t>璞信国泰君安证券投资(香港)有限公司</t>
  </si>
  <si>
    <t>前海辰星投资</t>
  </si>
  <si>
    <t>陈旭然</t>
  </si>
  <si>
    <t>高时发展有限公司</t>
  </si>
  <si>
    <t>SCV Alpha LP</t>
  </si>
  <si>
    <t>易亞投資管理有限公司</t>
  </si>
  <si>
    <t>江西铜业(北京)国际投资有限公司及国泰君安证券投资(香港)有限公司</t>
  </si>
  <si>
    <t>无锡金筹投资管理有限公司及国泰海通证券股份有限公司</t>
  </si>
  <si>
    <t>INTEGRATED CORE STRATEGIES(ASIA)PTE.LTD.</t>
  </si>
  <si>
    <t>Rome Garden Holding Limited</t>
  </si>
  <si>
    <t>严钰博</t>
  </si>
  <si>
    <t>雅戈尔时尚股份有限公司</t>
  </si>
  <si>
    <t>惠州市德赛西威汽车电子股份有限公司</t>
  </si>
  <si>
    <t>柴允敏</t>
  </si>
  <si>
    <t>Valliance Long Short Master Fund</t>
  </si>
  <si>
    <t>李琳</t>
  </si>
  <si>
    <t>范响</t>
  </si>
  <si>
    <t>明山资本有限公司</t>
  </si>
  <si>
    <t>Joyson Electronics Holdings Hong Kong Limited</t>
  </si>
  <si>
    <t>宁波均胜电子股份有限公司</t>
  </si>
  <si>
    <t>GRANITE ASIA IX VCC</t>
  </si>
  <si>
    <t>深圳市豪恩科技集团股份有限公司及CICC Financial Trading Limited</t>
  </si>
  <si>
    <t>Jupiter Global Master Fund Ltd.</t>
  </si>
  <si>
    <t>何浩男</t>
  </si>
  <si>
    <t>中国邮政集团有限公司</t>
  </si>
  <si>
    <t>Yunfeng Investments Limited</t>
  </si>
  <si>
    <t>Li Ho Kei</t>
  </si>
  <si>
    <t>JANCHOR PARTNERS LIMITED</t>
  </si>
  <si>
    <t>ABRDN ASIA LIMITED</t>
  </si>
  <si>
    <t>AGIC Partners Holding (Cayman) II Limited</t>
  </si>
  <si>
    <t>蔡洪平</t>
  </si>
  <si>
    <t>华勤技术股份有限公司</t>
  </si>
  <si>
    <t>Huadeng Summit Fortitude Ventures Ltd</t>
  </si>
  <si>
    <t>MASSACHUSETTS MUTUAL LIFE INSURANCE COMPANY</t>
  </si>
  <si>
    <t>何小鹏</t>
  </si>
  <si>
    <t>广州金域医学检验集团股份有限公司</t>
  </si>
  <si>
    <t>Jane Street Asia Trading Limited</t>
  </si>
  <si>
    <t>JANE STREET GROUP, LLC</t>
  </si>
  <si>
    <t>MILLENNIUM CAPITAL MANAGEMENT (SINGAPORE) PTE. LTD.</t>
  </si>
  <si>
    <t>美的发展控股(BVI)有限公司</t>
  </si>
  <si>
    <t>卢德燕</t>
  </si>
  <si>
    <t>中国平安人寿保险股份有限公司</t>
  </si>
  <si>
    <t>HPRY Holdings Limited</t>
  </si>
  <si>
    <t>加皇環球資產管理(亞洲)有限公司</t>
  </si>
  <si>
    <t>观博资本有限公司</t>
  </si>
  <si>
    <t>施罗德集团</t>
  </si>
  <si>
    <t>复星国际有限公司</t>
  </si>
  <si>
    <t>嘉实国际证券有限公司</t>
  </si>
  <si>
    <t>First Seafront Holding Limited</t>
  </si>
  <si>
    <t>于新伟</t>
  </si>
  <si>
    <t>申万宏源证券有限公司</t>
  </si>
  <si>
    <t>申万宏源集团股份有限公司</t>
  </si>
  <si>
    <t>青岛市人民政府国有资产监督管理委员会</t>
  </si>
  <si>
    <t>True Light Investments H Pte Ltd.</t>
  </si>
  <si>
    <t>Fidelity Emerging Markets Discovery Fund及Fidelity Emerging Markets Value Advance Equity Mother Fund</t>
  </si>
  <si>
    <t>FMR LLC</t>
  </si>
  <si>
    <t>QATAR INVESTMENT AUTHORITY</t>
  </si>
  <si>
    <t>Azure Skylines Limited</t>
  </si>
  <si>
    <t>童小幪</t>
  </si>
  <si>
    <t>HSG Growth VII Holdco, Ltd.</t>
  </si>
  <si>
    <t>HongShan Capital Growth Fund VII, L.P.</t>
  </si>
  <si>
    <t>Pacific Century Pines Investments 1 Limited</t>
  </si>
  <si>
    <t>李泽楷</t>
  </si>
  <si>
    <t>Velmar Company Limited</t>
  </si>
  <si>
    <t>嘉里控股有限公司</t>
  </si>
  <si>
    <t>Great China Motivation Fund Phase II L.P.</t>
  </si>
  <si>
    <t>李宁体育(香港)有限公司</t>
  </si>
  <si>
    <t>Amazing Mountain Limited</t>
  </si>
  <si>
    <t>林丽明</t>
  </si>
  <si>
    <t>淡水泉(香港)投資管理有限公司</t>
  </si>
  <si>
    <t>赵军</t>
  </si>
  <si>
    <t>易方达基金管理有限公司,易方达资产管理(香港)有限公司</t>
  </si>
  <si>
    <t>江西省人民政府国有资产监督管理委员会</t>
  </si>
  <si>
    <t>Endless Growth NH Limited</t>
  </si>
  <si>
    <t>郑晓玲,林曦均</t>
  </si>
  <si>
    <t>Summit Ridge Capital SP</t>
  </si>
  <si>
    <t>CPE Greater China Enterprises Growth Fund及CPE Growth Fund #1</t>
  </si>
  <si>
    <t>华泰资本投资有限公司及华泰证券股份有限公司</t>
  </si>
  <si>
    <t>Pudong Science and Technology (Cayman) Co., Ltd.</t>
  </si>
  <si>
    <t>Xiaomeng Tong</t>
  </si>
  <si>
    <t>保诚有限公司</t>
  </si>
  <si>
    <t>IDG Breyer Capital Fund L.P.</t>
  </si>
  <si>
    <t>何志成,杨飞</t>
  </si>
  <si>
    <t>Martis Fund, L.P.</t>
  </si>
  <si>
    <t>Eric Li</t>
  </si>
  <si>
    <t>中信证券股份有限公司</t>
  </si>
  <si>
    <t>苏瑞通</t>
  </si>
  <si>
    <t>GLENCORE PLC</t>
  </si>
  <si>
    <t>杨庆</t>
  </si>
  <si>
    <t>欣旺达电子股份有限公司</t>
  </si>
  <si>
    <t>Erik Selin</t>
  </si>
  <si>
    <t>上海拾贝能信私募基金管理合伙企业(有限合伙),上海自然拾贝投资管理合伙企业(有限合伙)及Huatai CapitalInvestment Limited</t>
  </si>
  <si>
    <t>胡建平</t>
  </si>
  <si>
    <t>Mingxin Growth Ventures LS2 Limited</t>
  </si>
  <si>
    <t>WEN Baoma</t>
  </si>
  <si>
    <t>北京市人民政府</t>
  </si>
  <si>
    <t>Discovery Value Fund</t>
  </si>
  <si>
    <t>Bright Stone Holdings Limited</t>
  </si>
  <si>
    <t>Xu Hang</t>
  </si>
  <si>
    <t>凌云光技术国际有限公司</t>
  </si>
  <si>
    <t>中庸资本有限公司</t>
  </si>
  <si>
    <t>上海高毅资产管理合伙企业(有限合伙)及CICC Financial Trading Limited</t>
  </si>
  <si>
    <t>Tekful Limited</t>
  </si>
  <si>
    <t>Cai Dong Chen</t>
  </si>
  <si>
    <t>中信证券股份有限公司,香港交易及结算所有限公司</t>
  </si>
  <si>
    <t>中国守正基金管理(香港)有限公司</t>
  </si>
  <si>
    <t>Junyan Wang</t>
  </si>
  <si>
    <t>赵晋</t>
  </si>
  <si>
    <t>Fourth Paradigm International Limited</t>
  </si>
  <si>
    <t>芯鑫控股有限公司</t>
  </si>
  <si>
    <t>海耀實業有限公司</t>
  </si>
  <si>
    <t>DeepRoot Alpha Ltd</t>
  </si>
  <si>
    <t>China Orient Multi-Strategy Master Fund</t>
  </si>
  <si>
    <t>OCM Limited</t>
  </si>
  <si>
    <t>安擎国际有限公司</t>
  </si>
  <si>
    <t>华胜天成科技(香港)有限公司</t>
  </si>
  <si>
    <t>Qin Wan Investment Limited</t>
  </si>
  <si>
    <t>New Opportunities SPC</t>
  </si>
  <si>
    <t>锦绣608号私募投资基金,国泰君安证券投资(香港)有限公司</t>
  </si>
  <si>
    <t>神州數碼(香港)有限公司</t>
  </si>
  <si>
    <t>神州数码集团股份有限公司</t>
  </si>
  <si>
    <t>Cheng Cheung Ling,Tse Eric S Y</t>
  </si>
  <si>
    <t>Masahiko Yamaguchi</t>
  </si>
  <si>
    <t>亿都开元有限公司</t>
  </si>
  <si>
    <t>亿都(国际控股)有限公司</t>
  </si>
  <si>
    <t>Tessy Holding Limited</t>
  </si>
  <si>
    <t>华泰证券股份有限公司</t>
  </si>
  <si>
    <t>CICC Financial Trading Limited,中国国际金融股份有限公司</t>
  </si>
  <si>
    <t>Aspirational China Growth GP Limited</t>
  </si>
  <si>
    <t>Huihui Li</t>
  </si>
  <si>
    <t>LION GLOBAL INVESTORS LIMITED</t>
  </si>
  <si>
    <t>Zhang Hao</t>
  </si>
  <si>
    <t>Tongshu Wang</t>
  </si>
  <si>
    <t>Gary Edward Rieschel,Duane Ziping Kuang</t>
  </si>
  <si>
    <t>Huadeng Technology Peak Fortitude Ventures Ltd</t>
  </si>
  <si>
    <t>鞠兴海</t>
  </si>
  <si>
    <t>林利军</t>
  </si>
  <si>
    <t>李浩良</t>
  </si>
  <si>
    <t>方舟信託(香港)有限公司</t>
  </si>
  <si>
    <t>陈艺昊</t>
  </si>
  <si>
    <t>李岩及钱伟</t>
  </si>
  <si>
    <t>Joy Mobile Network Pte. Ltd.</t>
  </si>
  <si>
    <t>Chen Qiuying</t>
  </si>
  <si>
    <t>Infini Capital Global</t>
  </si>
  <si>
    <t>龚虹嘉</t>
  </si>
  <si>
    <t>Jiang Siliang</t>
  </si>
  <si>
    <t>Eli Lilly And Company</t>
  </si>
  <si>
    <t>Emerging Markets Healthcare Partners LLC</t>
  </si>
  <si>
    <t>中国人民保险集团股份有限公司</t>
  </si>
  <si>
    <t>RTW Master Fund, Ltd.,RTW Innovation Master Fund, Ltd.,RTW Biotech Opportunities Ltd</t>
  </si>
  <si>
    <t>RTW INVESTMENTS, LP</t>
  </si>
  <si>
    <t>Sage Sunshine 1 Limited</t>
  </si>
  <si>
    <t>王菲</t>
  </si>
  <si>
    <t>王斐</t>
  </si>
  <si>
    <t>东融壹号(珠海横琴)股权投资合伙企业(有限合伙)</t>
  </si>
  <si>
    <t>泓瑞源金融证券有限公司</t>
  </si>
  <si>
    <t>Zhou Yuan,Wu Bo,Zhang Wenzhen</t>
  </si>
  <si>
    <t>天风证券股份有限公司</t>
  </si>
  <si>
    <t>YStem Holding Limited</t>
  </si>
  <si>
    <t>邓翰</t>
  </si>
  <si>
    <t>富德生命人寿保险股份有限公司</t>
  </si>
  <si>
    <t>銳智資本有限公司</t>
  </si>
  <si>
    <t>国泰海通证券股份有限公司</t>
  </si>
  <si>
    <t>薜守光</t>
  </si>
  <si>
    <t>無極資本管理有限公司</t>
  </si>
  <si>
    <t>Zhang Jun</t>
  </si>
  <si>
    <t>Shining Light Grace Limited</t>
  </si>
  <si>
    <t>Chen Ting</t>
  </si>
  <si>
    <t>Space Z PTE. LTD.</t>
  </si>
  <si>
    <t>Long Zhifeng</t>
  </si>
  <si>
    <t>Yang Bin</t>
  </si>
  <si>
    <t>CDH Global Frontier Ventures Limited</t>
  </si>
  <si>
    <t>吴尚志</t>
  </si>
  <si>
    <t>SCHONFELD STRATEGIC ADVISORS LLC</t>
  </si>
  <si>
    <t>BURKEHILL GLOBAL MANAGEMENT,L.P.</t>
  </si>
  <si>
    <t>比亚迪股份有限公司</t>
  </si>
  <si>
    <t>张道才,张亚波及张少波</t>
  </si>
  <si>
    <t>国家集成电路产业投资基金三期股份有限公司</t>
  </si>
  <si>
    <t>深圳和而泰智能控制股份有限公司</t>
  </si>
  <si>
    <t>PERSEVERANCE ASSET MANAGEMENT INTERNATIONAL</t>
  </si>
  <si>
    <t>王钊,沙航航</t>
  </si>
  <si>
    <t>朱雪军</t>
  </si>
  <si>
    <t>Hai Di Lao Holdings Pte. Ltd.</t>
  </si>
  <si>
    <t>海底捞国际控股有限公司</t>
  </si>
  <si>
    <t>刘鸿</t>
  </si>
  <si>
    <t>上海创力集团股份有限公司</t>
  </si>
  <si>
    <t>高岐行</t>
  </si>
  <si>
    <t>高洁</t>
  </si>
  <si>
    <t>河南省人民政府国有资产监督管理委员会</t>
  </si>
  <si>
    <t>长兴县财政局</t>
  </si>
  <si>
    <t>润晖投资管理香港有限公司</t>
  </si>
  <si>
    <t>柏駿資本管理(香港)有限公司</t>
  </si>
  <si>
    <t>富国资产管理(香港)有限公司及富国基金管理有限公司</t>
  </si>
  <si>
    <t>TURQUOISE HIME, L.P.</t>
  </si>
  <si>
    <t>Investcorp Verdant Holdings Limited</t>
  </si>
  <si>
    <t>贵州省人民政府国有资产监督管理委员会</t>
  </si>
  <si>
    <t>湖南兴湘新兴产业投资基金合伙企业(有限合伙)</t>
  </si>
  <si>
    <t>湖南省人民政府国有资产监督管理委员会</t>
  </si>
  <si>
    <t>藍思國際(香港)有限公司</t>
  </si>
  <si>
    <t>NEWTRAILS FOREST L.P.</t>
  </si>
  <si>
    <t>Liu Tao</t>
  </si>
  <si>
    <t>启汇润金(青岛)私募股权投资基金合伙企业(有限合伙)</t>
  </si>
  <si>
    <t>河南省财政厅与中国国际金融香港证券有限公司</t>
  </si>
  <si>
    <t>Ting Wang</t>
  </si>
  <si>
    <t>何愚</t>
  </si>
  <si>
    <t>BA HM Limited</t>
  </si>
  <si>
    <t>TruMed Healthcare Master Fund</t>
  </si>
  <si>
    <t>北京顺澳商务信息咨询合伙企业(有限合伙)</t>
  </si>
  <si>
    <t>徐俊</t>
  </si>
  <si>
    <t>NewTrails Capital L.P</t>
  </si>
  <si>
    <t>欧伟哲</t>
  </si>
  <si>
    <t>Charisma Mega Limited</t>
  </si>
  <si>
    <t>Yinuo Weng与To Kit</t>
  </si>
  <si>
    <t>HCEP Management Holding Limited</t>
  </si>
  <si>
    <t>Fidelidade - Companhia de Seguros, S.A.</t>
  </si>
  <si>
    <t>Ghisallo Master Fund LP</t>
  </si>
  <si>
    <t>Li Zemin,Yang Yiqi</t>
  </si>
  <si>
    <t>Matthew Love Moskey,Friedrich Bela Schulte-Hillen</t>
  </si>
  <si>
    <t>Jump Trading Group</t>
  </si>
  <si>
    <t>新华人寿保险股份有限公司</t>
  </si>
  <si>
    <t>王俊彦</t>
  </si>
  <si>
    <t>海晨物流(香港)有限公司</t>
  </si>
  <si>
    <t>江苏海晨物流股份有限公司</t>
  </si>
  <si>
    <t>Michael Germino</t>
  </si>
  <si>
    <t>Jain Global Master Fund Ltd</t>
  </si>
  <si>
    <t>Robert Jain</t>
  </si>
  <si>
    <t>中国美东汽车控股有限公司</t>
  </si>
  <si>
    <t>余振强</t>
  </si>
  <si>
    <t>Skyler International Co., Ltd</t>
  </si>
  <si>
    <t>邬建树</t>
  </si>
  <si>
    <t>Yunfeng Capital Limited</t>
  </si>
  <si>
    <t>Schroder Investment Management (Singapore) Ltd与Schroder Investment Management (Hong Kong) Limited</t>
  </si>
  <si>
    <t>毛振华</t>
  </si>
  <si>
    <t>吴毅</t>
  </si>
  <si>
    <t>Zhink International Pte. Ltd.</t>
  </si>
  <si>
    <t>沈志刚</t>
  </si>
  <si>
    <t>林园</t>
  </si>
  <si>
    <t>重庆市人民政府国有资产监督管理委员会</t>
  </si>
  <si>
    <t>浙江三花智能控制股份有限公司</t>
  </si>
  <si>
    <t>星宇車燈(香港)有限公司</t>
  </si>
  <si>
    <t>常州星宇车灯股份有限公司</t>
  </si>
  <si>
    <t>杜锋</t>
  </si>
  <si>
    <t>QuantumPharm Limited</t>
  </si>
  <si>
    <t>Hundreds Capital</t>
  </si>
  <si>
    <t>何燕青</t>
  </si>
  <si>
    <t>陕西法士特汽车传动集团有限责任公司</t>
  </si>
  <si>
    <t>上海高毅资产管理合伙企业(有限合伙)及中信证券国际资本管理有限公司</t>
  </si>
  <si>
    <t>潍柴动力(香港)国际发展有限公司</t>
  </si>
  <si>
    <t>上海保银私募基金管理有限公司与CICC Financial Trading Limited</t>
  </si>
  <si>
    <t>惠理基金管理香港有限公司及惠理基金管理公司</t>
  </si>
  <si>
    <t>FengHe Asia Fund Ltd.</t>
  </si>
  <si>
    <t>Foresight Global Superior Choice SPC - Global Superior Choice Series Fund 1 SP,Foresight Global Superior Choice SPC - Vision Fund 1 SP</t>
  </si>
  <si>
    <t>Yang Jin,Wang Yen Kang,Yan Peide</t>
  </si>
  <si>
    <t>Tony Tianyuan Song</t>
  </si>
  <si>
    <t>AQUA OCEAN LTD</t>
  </si>
  <si>
    <t>Schonfeld Strategic Advisors (Hong Kong) Limited</t>
  </si>
  <si>
    <t>红杉资本中国公开市场投资基金管理公司</t>
  </si>
  <si>
    <t>智度投资(香港)有限公司</t>
  </si>
  <si>
    <t>GTCS Holdings LLC</t>
  </si>
  <si>
    <t>汇添富基金管理股份有限公司,汇添富资产管理(香港)有限公司</t>
  </si>
  <si>
    <t>Brookfield Corporation</t>
  </si>
  <si>
    <t>Mirae Asset Securities Co., Ltd.,Mirae Asset Global Investments Co., Ltd.及未来资产证券(香港)有限公司</t>
  </si>
  <si>
    <t>上海景林资产管理有限公司及中信证券国际资本管理有限公司</t>
  </si>
  <si>
    <t>CPE River Investment Limited</t>
  </si>
  <si>
    <t>景顺投资管理有限公司</t>
  </si>
  <si>
    <t>Yu Feng</t>
  </si>
  <si>
    <t>汇添富基金管理股份有限公司及汇添富资产管理(香港)有限公司</t>
  </si>
  <si>
    <t>东方证券股份有限公司</t>
  </si>
  <si>
    <t>高亚投资有限公司</t>
  </si>
  <si>
    <t>SMG Management Limited</t>
  </si>
  <si>
    <t>Dao Yi Capital Limited</t>
  </si>
  <si>
    <t>Qin Chong</t>
  </si>
  <si>
    <t>招金矿业股份有限公司</t>
  </si>
  <si>
    <t>太平洋资产管理有限责任公司及中国太保投资管理(香港)有限公司</t>
  </si>
  <si>
    <t>合肥建汇战新基石投资有限公司</t>
  </si>
  <si>
    <t>合肥市人民政府国有资产监督管理委员会</t>
  </si>
  <si>
    <t>北京地平线机器人技术研发有限公司</t>
  </si>
  <si>
    <t>黄山市人民政府国有资产监督管理委员会</t>
  </si>
  <si>
    <t>胡超</t>
  </si>
  <si>
    <t>储贻波</t>
  </si>
  <si>
    <t>OrbiMed Partners Master Fund Limited</t>
  </si>
  <si>
    <t>Lake Bleu Prime Healthcare Master Fund Limited</t>
  </si>
  <si>
    <t>李彬</t>
  </si>
  <si>
    <t>RTW BIOTECH OPPORTUNITIES LTD</t>
  </si>
  <si>
    <t>Lake Bleu Innovation Healthcare Master Fund Limited</t>
  </si>
  <si>
    <t>The Biotech Growth Trust PLC</t>
  </si>
  <si>
    <t>Vivo Opportunity Cayman Fund, L.P.</t>
  </si>
  <si>
    <t>LBC HK Opportunity Fund Limited</t>
  </si>
  <si>
    <t>RTW Innovation Master Fund, Ltd.</t>
  </si>
  <si>
    <t>Grab Inc.</t>
  </si>
  <si>
    <t>何承命</t>
  </si>
  <si>
    <t>安联欧洲股份公司</t>
  </si>
  <si>
    <t>中国国际金融股份有限公司</t>
  </si>
  <si>
    <t>招远市国有资产监督管理局</t>
  </si>
  <si>
    <t>中国信达资产管理股份有限公司</t>
  </si>
  <si>
    <t>Su Ruitong</t>
  </si>
  <si>
    <t>泰州市政府国有资产监督管理委员会</t>
  </si>
  <si>
    <t>济南市人民政府国有资产监督管理委员会</t>
  </si>
  <si>
    <t>LI Guozhen</t>
  </si>
  <si>
    <t>Hankang Biotech Fund III, L.P.</t>
  </si>
  <si>
    <t>Splendid Biotech Fund L.P.</t>
  </si>
  <si>
    <t>Golden Valley Global Limited</t>
  </si>
  <si>
    <t>Loyal Valley Capital Advantage Fund III LP</t>
  </si>
  <si>
    <t>Foresight Global Superior Choice SPC-Vision Fund 1 SP</t>
  </si>
  <si>
    <t>Foresight Global Superior Choice SPC-Global Superior Choice Fund 1 SP</t>
  </si>
  <si>
    <t>Golden Valley Value Select Master Fund</t>
  </si>
  <si>
    <t>Intac Investment Fund</t>
  </si>
  <si>
    <t>Intac Investment Management Limited</t>
  </si>
  <si>
    <t>Torus Fund SP</t>
  </si>
  <si>
    <t>三花国际新加坡私人有限公司</t>
  </si>
  <si>
    <t>周大福代理人有限公司</t>
  </si>
  <si>
    <t>河北雄安新区管理委员会</t>
  </si>
  <si>
    <t>世运线路版有限公司</t>
  </si>
  <si>
    <t>佛山市顺德区国有资产监督管理局</t>
  </si>
  <si>
    <t>Greater Bay Area Homeland Development Fund LP</t>
  </si>
  <si>
    <t>穆巴达拉投资公司</t>
  </si>
  <si>
    <t>株式会社T&amp;Dホールディングス</t>
  </si>
  <si>
    <t>Fengshion Capital Partners</t>
  </si>
  <si>
    <t>Ye Guofu</t>
  </si>
  <si>
    <t>刘浩然</t>
  </si>
  <si>
    <t>Soopakij Chearavanont</t>
  </si>
  <si>
    <t>商汤集团股份有限公司</t>
  </si>
  <si>
    <t>CHENG NGA YIN</t>
  </si>
  <si>
    <t>李建国,蒋鹂北</t>
  </si>
  <si>
    <t>吴启楠</t>
  </si>
  <si>
    <t>敏睿商务咨询有限公司</t>
  </si>
  <si>
    <t>吴永平</t>
  </si>
  <si>
    <t>靈寶黃金國際有限公司</t>
  </si>
  <si>
    <t>王冠然</t>
  </si>
  <si>
    <t>CICC Financial Trading Limited与中国国际金融股份有限公司及深圳君宜私募证券基金管理有限公司</t>
  </si>
  <si>
    <t>Jun Wang</t>
  </si>
  <si>
    <t>深圳市罗湖区国有资产监督管理局</t>
  </si>
  <si>
    <t>To Wan Lei</t>
  </si>
  <si>
    <t>湖北顺捷旅游有限公司</t>
  </si>
  <si>
    <t>黄冈市国有资产经营有限公司</t>
  </si>
  <si>
    <t>湖北兴富隆科技有限公司</t>
  </si>
  <si>
    <t>梅赛德斯-奔驰集团股份公司</t>
  </si>
  <si>
    <t>钱涛</t>
  </si>
  <si>
    <t>RoboSense HongKong Limited</t>
  </si>
  <si>
    <t>速腾聚创科技有限公司</t>
  </si>
  <si>
    <t>周大福</t>
  </si>
  <si>
    <t>吴微威</t>
  </si>
  <si>
    <t>Eastern Bell Capital Fund II, LP</t>
  </si>
  <si>
    <t>Nicholas Maounis</t>
  </si>
  <si>
    <t>高瓴集团</t>
  </si>
  <si>
    <t>佛山发展有限公司</t>
  </si>
  <si>
    <t>佛山市人民政府国有资产监督管理委员会</t>
  </si>
  <si>
    <t>CPE Funds</t>
  </si>
  <si>
    <t>熊政平</t>
  </si>
  <si>
    <t>钟华锋</t>
  </si>
  <si>
    <t>伍志发</t>
  </si>
  <si>
    <t>王迅</t>
  </si>
  <si>
    <t>茅志理</t>
  </si>
  <si>
    <t>李舒菡</t>
  </si>
  <si>
    <t>天津滨海高新技术产业开发区管理委员会</t>
  </si>
  <si>
    <t>庞晓莉</t>
  </si>
  <si>
    <t>杭州拱墅国投创新发展有限公司</t>
  </si>
  <si>
    <t>郑世杰</t>
  </si>
  <si>
    <t>苏施锦</t>
  </si>
  <si>
    <t>Invesco Ltd.</t>
  </si>
  <si>
    <t>Hillhouse Group</t>
  </si>
  <si>
    <t>九江市人民政府国有资产监督管理委员会</t>
  </si>
  <si>
    <t>复星财富国际控股有限公司</t>
  </si>
  <si>
    <t>Benjamin Levine</t>
  </si>
  <si>
    <t>洛阳科创集团有限公司</t>
  </si>
  <si>
    <t>洛阳市人民政府国有资产监督管理委员会</t>
  </si>
  <si>
    <t>Jiang Jinzhi</t>
  </si>
  <si>
    <t>Lingotto Innovation Master Fund</t>
  </si>
  <si>
    <t>EXO – Euronext Amsterdam</t>
  </si>
  <si>
    <t>中国石油化工集团有限公司</t>
  </si>
  <si>
    <t>MX Bright Charm (BVI) Limited</t>
  </si>
  <si>
    <t>Zhijian Peng</t>
  </si>
  <si>
    <t>RBC China Equity Fund及RBC Asia Pacific ex-Japan Equity Fund</t>
  </si>
  <si>
    <t>RBC China Equity Fund或RBC Asia Pacific ex-Japan Equity Fund</t>
  </si>
  <si>
    <t>CPE Redwood Investment Limited</t>
  </si>
  <si>
    <t>CPE Management International II Limited</t>
  </si>
  <si>
    <t>Lam Lai Ming</t>
  </si>
  <si>
    <t>Mirae 投资者</t>
  </si>
  <si>
    <t>Wang Qiang</t>
  </si>
  <si>
    <t>华实香精股份有限公司</t>
  </si>
  <si>
    <t>无锡合翔食品有限公司</t>
  </si>
  <si>
    <t>孙德东</t>
  </si>
  <si>
    <t>安吉县财政局</t>
  </si>
  <si>
    <t>紫燕食品集团股份有限公司</t>
  </si>
  <si>
    <t>无锡琴雨食品有限公司</t>
  </si>
  <si>
    <t>刘小清</t>
  </si>
  <si>
    <t>无锡绿联食品有限公司</t>
  </si>
  <si>
    <t>郑洪美</t>
  </si>
  <si>
    <t>Sumet Jiaravanon</t>
  </si>
  <si>
    <t>沈国军</t>
  </si>
  <si>
    <t>高景太阳能股份有限公司</t>
  </si>
  <si>
    <t>上饶市现代产业引导基金中心(有限合伙)</t>
  </si>
  <si>
    <t>苏州苏创生物医药大健康创业投资基金合伙企业(有限合伙)</t>
  </si>
  <si>
    <t>Worldwide Healthcare Partners LLC</t>
  </si>
  <si>
    <t>LAV Star Opportunities Limited</t>
  </si>
  <si>
    <t>薛宽亮</t>
  </si>
  <si>
    <t>Vivo Capital IX (Cayman), LLC.</t>
  </si>
  <si>
    <t>Liu Haoran</t>
  </si>
  <si>
    <t>安徽安科生物工程(集团)股份有限公司</t>
  </si>
  <si>
    <t>紫金矿业集团股份有限公司</t>
  </si>
  <si>
    <t>M&amp;G PLC</t>
  </si>
  <si>
    <t>HongShan Capital Growth Fund VI, L.P.</t>
  </si>
  <si>
    <t>Genesis Capital III LP</t>
  </si>
  <si>
    <t>LVC-Golden Valley Value Select Master Fund</t>
  </si>
  <si>
    <t>Lijun Lin</t>
  </si>
  <si>
    <t>中国移动有限公司</t>
  </si>
  <si>
    <t>广东纵行科技有限公司</t>
  </si>
  <si>
    <t>湖北阿泰克生物科技股份有限公司</t>
  </si>
  <si>
    <t>深圳市人民政府国有资产监督管理委员会</t>
  </si>
  <si>
    <t>杨德会</t>
  </si>
  <si>
    <t>合肥讯医创业投资合伙企业(有限合伙)</t>
  </si>
  <si>
    <t>横琴粤澳深度合作区财政局</t>
  </si>
  <si>
    <t>招商局中国基金有限公司</t>
  </si>
  <si>
    <t>海南均远基石私募证券投资基金合伙企业(有限合伙)</t>
  </si>
  <si>
    <t>中诚信(香港)投资服务有限公司</t>
  </si>
  <si>
    <t>STMICROELECTRONICS N.V.</t>
  </si>
  <si>
    <t>吴江国资委</t>
  </si>
  <si>
    <t>诸暨市财政局(诸暨市人民政府国有资产监督管理办公室)</t>
  </si>
  <si>
    <t>深圳地平线机器人科技有限公司</t>
  </si>
  <si>
    <t>卢志威</t>
  </si>
  <si>
    <t>广东粤微食用菌技术有限公司</t>
  </si>
  <si>
    <t>CPE Global Opportunities Fund II, L.P.</t>
  </si>
  <si>
    <t>Advantage China Consumer Fund</t>
  </si>
  <si>
    <t>Brilliant Partners Fund LP</t>
  </si>
  <si>
    <t>GBA Homeland Limited</t>
  </si>
  <si>
    <t>DFI Retail Group</t>
  </si>
  <si>
    <t>张宗奎</t>
  </si>
  <si>
    <t>太原宏珅珠宝有限公司</t>
  </si>
  <si>
    <t>廖凌祥</t>
  </si>
  <si>
    <t>孙海峰</t>
  </si>
  <si>
    <t>Delta Capital Hong Kong Limited</t>
  </si>
  <si>
    <t>Delta Capital Investment Holdings, Ltd.</t>
  </si>
  <si>
    <t>吴启元</t>
  </si>
  <si>
    <t>杭州和达金源股权投资基金合伙企业</t>
  </si>
  <si>
    <t>南京健友生化制药股份有限公司</t>
  </si>
  <si>
    <t>上海复星医药(集团)股份有限公司</t>
  </si>
  <si>
    <t>九州通医药集团股份有限公司</t>
  </si>
  <si>
    <t>信和置业有限公司</t>
  </si>
  <si>
    <t>Chin To,Tony</t>
  </si>
  <si>
    <t>上海睿郡资产管理有限公司</t>
  </si>
  <si>
    <t>张顺吉</t>
  </si>
  <si>
    <t>Crane Movement Investment Limited</t>
  </si>
  <si>
    <t>洪英正</t>
  </si>
  <si>
    <t>长江和记实业有限公司</t>
  </si>
  <si>
    <t>林杰</t>
  </si>
  <si>
    <t>Pamalican Fund Ltd.</t>
  </si>
  <si>
    <t>PT Indadi Juver</t>
  </si>
  <si>
    <t>曹晖</t>
  </si>
  <si>
    <t>梁稳根</t>
  </si>
  <si>
    <t>彭志坚</t>
  </si>
  <si>
    <t>Vanguard Focus Limited</t>
  </si>
  <si>
    <t>Jump Trading集团</t>
  </si>
  <si>
    <t>HCEP Master Fund</t>
  </si>
  <si>
    <t>Enreal Asset Management Limited</t>
  </si>
  <si>
    <t>CPE Investment XVI Limited</t>
  </si>
  <si>
    <t>李东</t>
  </si>
  <si>
    <t>Pamalican Fund Ltd</t>
  </si>
  <si>
    <t>Pamalican Asset Management Limited</t>
  </si>
  <si>
    <t>国务院国有资产监督管理委员会</t>
  </si>
  <si>
    <t>杨绍鹏</t>
  </si>
  <si>
    <t>睿远全球睿选-Global Superior Choice Series Fund 1 SP及睿远全球睿选-Vision Fund 1 SP</t>
  </si>
  <si>
    <t>睿远基金管理有限公司</t>
  </si>
  <si>
    <t>中国保险保障基金有限责任公司</t>
  </si>
  <si>
    <t>广州汽车集团股份有限公司</t>
  </si>
  <si>
    <t>徽州区人民政府国有资产监督管理委员会</t>
  </si>
  <si>
    <t>张新宇</t>
  </si>
  <si>
    <t>徐州经济技术开发区管理委员会</t>
  </si>
  <si>
    <t>FaaS Capital Longevity Limited</t>
  </si>
  <si>
    <t>Xu Weifeng</t>
  </si>
  <si>
    <t>Bradley Lether Pentelute</t>
  </si>
  <si>
    <t>Namirah Khairunnisa Yussof</t>
  </si>
  <si>
    <t>李家杰</t>
  </si>
  <si>
    <t>百奥赛图(北京)医药科技股份有限公司</t>
  </si>
  <si>
    <t>上海联影医疗科技股份有限公司</t>
  </si>
  <si>
    <t>新锐医药国际控股有限公司</t>
  </si>
  <si>
    <t>肖广嘉</t>
  </si>
  <si>
    <t>刘正明</t>
  </si>
  <si>
    <t>沧州市人民政府国有资产监督管理委员会</t>
  </si>
  <si>
    <t>王炳效</t>
  </si>
  <si>
    <t>澜沧县投资控股集团有限公司</t>
  </si>
  <si>
    <t>嘉兴市人民政府国有资产监督管理委员会</t>
  </si>
  <si>
    <t>杨志明</t>
  </si>
  <si>
    <t>黄成光</t>
  </si>
  <si>
    <t>渠县国有资产监督管理办公室</t>
  </si>
  <si>
    <t>贵阳市人民政府国有资产监督管理委员会</t>
  </si>
  <si>
    <t>Novo Holdings A/S</t>
  </si>
  <si>
    <t>Novo Nordisk Foundation的董事会</t>
  </si>
  <si>
    <t>Neil Nanpeng Shen</t>
  </si>
  <si>
    <t>卡塔尔国主权财富基金卡塔尔投资局</t>
  </si>
  <si>
    <t>General Atlantic</t>
  </si>
  <si>
    <t>Lake Bleu Funds</t>
  </si>
  <si>
    <t>赵林,彭心</t>
  </si>
  <si>
    <t>D1 SPV Jupiter (Hong Kong) Limited</t>
  </si>
  <si>
    <t>Hidden Hill SPV VIII</t>
  </si>
  <si>
    <t>SC GGF III Holdco, Ltd.</t>
  </si>
  <si>
    <t>JNRY III HOLDINGS LIMITED</t>
  </si>
  <si>
    <t>Parallel Cluster Investment Limited</t>
  </si>
  <si>
    <t>Jallion Global Limited</t>
  </si>
  <si>
    <t>DAHLIA INVESTMENTS PTE. LTD.</t>
  </si>
  <si>
    <t>李建伟</t>
  </si>
  <si>
    <t>重庆市大足区工业园区服务中心</t>
  </si>
  <si>
    <t>金华市金投集团有限公司</t>
  </si>
  <si>
    <t>金华经济技术开发区管理委员会财政局</t>
  </si>
  <si>
    <t>辽宁鹏润城镇建设发展集团有限公司</t>
  </si>
  <si>
    <t>WISDOM ASCEND VENTURES LIMITED</t>
  </si>
  <si>
    <t>宁波通商控股集团有限公司</t>
  </si>
  <si>
    <t>宁波市海曙国有资本投资经营集团有限公司</t>
  </si>
  <si>
    <t>冯康</t>
  </si>
  <si>
    <t>上饶市国有资产监督管理委员会</t>
  </si>
  <si>
    <t>方沛英</t>
  </si>
  <si>
    <t>骆海坚</t>
  </si>
  <si>
    <t>李缜</t>
  </si>
  <si>
    <t>上海紫江(集团)有限公司</t>
  </si>
  <si>
    <t>bp集团</t>
  </si>
  <si>
    <t>张源</t>
  </si>
  <si>
    <t>网龙网络控股有限公司</t>
  </si>
  <si>
    <t>翁琛</t>
  </si>
  <si>
    <t>林继迅</t>
  </si>
  <si>
    <t>叶宇筠</t>
  </si>
  <si>
    <t>上海新金环企业集团有限公司</t>
  </si>
  <si>
    <t>上海普陀科技投资有限公司</t>
  </si>
  <si>
    <t>湖州吴兴交通旅游投资发展集团有限公司</t>
  </si>
  <si>
    <t>上海易桥海控实业发展有限公司</t>
  </si>
  <si>
    <t>福建国航远洋运输(集团)股份有限公司</t>
  </si>
  <si>
    <t>高新技术产业开发区管理委员会</t>
  </si>
  <si>
    <t>猫眼娱乐</t>
  </si>
  <si>
    <t>中国儒意控股有限公司</t>
  </si>
  <si>
    <t>济南市槐荫区发展和改革局</t>
  </si>
  <si>
    <t>林可忠</t>
  </si>
  <si>
    <t>国联金投致源(江苏)私募基金管理有限公司</t>
  </si>
  <si>
    <t>格林美股份有限公司</t>
  </si>
  <si>
    <t>宁波市鄞州区人民政府国有资产监督管理委员会</t>
  </si>
  <si>
    <t>宁德时代新能源科技股份有限公司</t>
  </si>
  <si>
    <t>钱晓韵</t>
  </si>
  <si>
    <t>周俊杰</t>
  </si>
  <si>
    <t>中偉(香港)新材料科技貿易有限公司</t>
  </si>
  <si>
    <t>西藏诺德科技有限公司</t>
  </si>
  <si>
    <t>振石集团(香港)和石复合材料有限公司</t>
  </si>
  <si>
    <t>吕礼志</t>
  </si>
  <si>
    <t>興發香港進出口有限公司</t>
  </si>
  <si>
    <t>小鹏集团</t>
  </si>
  <si>
    <t>常州精测新能源技术有限公司</t>
  </si>
  <si>
    <t>江苏普正精密科技有限公司</t>
  </si>
  <si>
    <t>TMA国际私人有限公司</t>
  </si>
  <si>
    <t>大族激光科技股份有限公司</t>
  </si>
  <si>
    <t>中国诚通投资有限公司</t>
  </si>
  <si>
    <t>王孝安</t>
  </si>
  <si>
    <t>曹飞</t>
  </si>
  <si>
    <t>维科控股集团股份有限公司</t>
  </si>
  <si>
    <t>Quantum Pharm Holdings Limited</t>
  </si>
  <si>
    <t>桂林三金药业股份有限公司</t>
  </si>
  <si>
    <t>中国国有企业结构调整基金股份有限公司</t>
  </si>
  <si>
    <t>泸州老窖股份有限公司</t>
  </si>
  <si>
    <t>Oaktree Funds</t>
  </si>
  <si>
    <t>厦门国际银行股份有限公司</t>
  </si>
  <si>
    <t>周刚</t>
  </si>
  <si>
    <t>陈洁及陈祥华</t>
  </si>
  <si>
    <t>Foo Chek Pang</t>
  </si>
  <si>
    <t>Zheng Fuhua</t>
  </si>
  <si>
    <t>周建平</t>
  </si>
  <si>
    <t>嘉实基金管理有限公司</t>
  </si>
  <si>
    <t>浙江晖彩企业服务有限公司</t>
  </si>
  <si>
    <t>长兴和利实业有限公司</t>
  </si>
  <si>
    <t>湖州市手工业合作社联合社</t>
  </si>
  <si>
    <t>浙江惠丽企业服务有限公司</t>
  </si>
  <si>
    <t>四川能投(香港)控股有限公司</t>
  </si>
  <si>
    <t>HSBC INTERNATIONAL TRUSTEE LIMITED</t>
  </si>
  <si>
    <t>青岛百洋医药股份有限公司</t>
  </si>
  <si>
    <t>杨小结</t>
  </si>
  <si>
    <t>金顺隆有限公司</t>
  </si>
  <si>
    <t>桂春芳</t>
  </si>
  <si>
    <t>阎凯境</t>
  </si>
  <si>
    <t>徐浩宇</t>
  </si>
  <si>
    <t>深圳市亚辉龙生物科技股份有限公司</t>
  </si>
  <si>
    <t>中国投资有限责任公司</t>
  </si>
  <si>
    <t>三亚市人民政府国有资产监督管理委员会</t>
  </si>
  <si>
    <t>陈伟忠</t>
  </si>
  <si>
    <t>王友林</t>
  </si>
  <si>
    <t>李卫国</t>
  </si>
  <si>
    <t>简称</t>
  </si>
  <si>
    <t>解禁数量(万股)</t>
  </si>
  <si>
    <t>Wind行业</t>
  </si>
  <si>
    <t>1815.HK</t>
  </si>
  <si>
    <t>珠峰黄金</t>
  </si>
  <si>
    <t>0863.HK</t>
  </si>
  <si>
    <t>OSL集团</t>
  </si>
  <si>
    <t>8195.HK</t>
  </si>
  <si>
    <t>传承教育集团</t>
  </si>
  <si>
    <t>0616.HK</t>
  </si>
  <si>
    <t>财富链</t>
  </si>
  <si>
    <t>0815.HK</t>
  </si>
  <si>
    <t>中国白银集团</t>
  </si>
  <si>
    <t>2257.HK</t>
  </si>
  <si>
    <t>圣诺医药-B</t>
  </si>
  <si>
    <t>1993.HK</t>
  </si>
  <si>
    <t>雅仕维</t>
  </si>
  <si>
    <t>1943.HK</t>
  </si>
  <si>
    <t>金石控股集团</t>
  </si>
  <si>
    <t>2142.HK</t>
  </si>
  <si>
    <t>和铂医药-B</t>
  </si>
  <si>
    <t>1662.HK</t>
  </si>
  <si>
    <t>义合控股</t>
  </si>
  <si>
    <t>1378.HK</t>
  </si>
  <si>
    <t>中国宏桥</t>
  </si>
  <si>
    <t>8017.HK</t>
  </si>
  <si>
    <t>捷利交易宝</t>
  </si>
  <si>
    <t>1899.HK</t>
  </si>
  <si>
    <t>兴达国际</t>
  </si>
  <si>
    <t>0887.HK</t>
  </si>
  <si>
    <t>英皇钟表珠宝</t>
  </si>
  <si>
    <t>1709.HK</t>
  </si>
  <si>
    <t>德林控股</t>
  </si>
  <si>
    <t>2139.HK</t>
  </si>
  <si>
    <t>甘肃银行</t>
  </si>
  <si>
    <t>2013.HK</t>
  </si>
  <si>
    <t>微盟集团</t>
  </si>
  <si>
    <t>1718.HK</t>
  </si>
  <si>
    <t>宏基集团控股</t>
  </si>
  <si>
    <t>8370.HK</t>
  </si>
  <si>
    <t>智升集团控股</t>
  </si>
  <si>
    <t>6069.HK</t>
  </si>
  <si>
    <t>盛业</t>
  </si>
  <si>
    <t>9868.HK</t>
  </si>
  <si>
    <t>小鹏集团-W</t>
  </si>
  <si>
    <t>1672.HK</t>
  </si>
  <si>
    <t>歌礼制药-B</t>
  </si>
  <si>
    <t>3390.HK</t>
  </si>
  <si>
    <t>满贯集团</t>
  </si>
  <si>
    <t>1908.HK</t>
  </si>
  <si>
    <t>建发国际集团</t>
  </si>
  <si>
    <t>8403.HK</t>
  </si>
  <si>
    <t>德丰宿来</t>
  </si>
  <si>
    <t>0720.HK</t>
  </si>
  <si>
    <t>意达利控股</t>
  </si>
  <si>
    <t>8103.HK</t>
  </si>
  <si>
    <t>HMVOD视频</t>
  </si>
  <si>
    <t>6855.HK</t>
  </si>
  <si>
    <t>亚盛医药-B</t>
  </si>
  <si>
    <t>0854.HK</t>
  </si>
  <si>
    <t>威雅利</t>
  </si>
  <si>
    <t>1477.HK</t>
  </si>
  <si>
    <t>欧康维视生物-B</t>
  </si>
  <si>
    <t>0990.HK</t>
  </si>
  <si>
    <t>至源控股</t>
  </si>
  <si>
    <t>9939.HK</t>
  </si>
  <si>
    <t>开拓药业-B</t>
  </si>
  <si>
    <t>1055.HK</t>
  </si>
  <si>
    <t>中国南方航空股份</t>
  </si>
  <si>
    <t>0828.HK</t>
  </si>
  <si>
    <t>王朝酒业</t>
  </si>
  <si>
    <t>1810.HK</t>
  </si>
  <si>
    <t>小米集团-W</t>
  </si>
  <si>
    <t>2362.HK</t>
  </si>
  <si>
    <t>金川国际</t>
  </si>
  <si>
    <t>2225.HK</t>
  </si>
  <si>
    <t>今海医疗科技</t>
  </si>
  <si>
    <t>9909.HK</t>
  </si>
  <si>
    <t>宝龙商业</t>
  </si>
  <si>
    <t>0618.HK</t>
  </si>
  <si>
    <t>北大资源</t>
  </si>
  <si>
    <t>0632.HK</t>
  </si>
  <si>
    <t>中港石油</t>
  </si>
  <si>
    <t>8540.HK</t>
  </si>
  <si>
    <t>胜利证券</t>
  </si>
  <si>
    <t>8431.HK</t>
  </si>
  <si>
    <t>浩柏国际</t>
  </si>
  <si>
    <t>8613.HK</t>
  </si>
  <si>
    <t>东方支付集团控股</t>
  </si>
  <si>
    <t>0511.HK</t>
  </si>
  <si>
    <t>电视广播</t>
  </si>
  <si>
    <t>0994.HK</t>
  </si>
  <si>
    <t>中天宏信</t>
  </si>
  <si>
    <t>1201.HK</t>
  </si>
  <si>
    <t>天臣控股</t>
  </si>
  <si>
    <t>1466.HK</t>
  </si>
  <si>
    <t>佰金生命科学</t>
  </si>
  <si>
    <t>1745.HK</t>
  </si>
  <si>
    <t>驴迹科技</t>
  </si>
  <si>
    <t>1084.HK</t>
  </si>
  <si>
    <t>绿新生物科技</t>
  </si>
  <si>
    <t>1011.HK</t>
  </si>
  <si>
    <t>泰凌医药</t>
  </si>
  <si>
    <t>1907.HK</t>
  </si>
  <si>
    <t>中国旭阳集团</t>
  </si>
  <si>
    <t>0931.HK</t>
  </si>
  <si>
    <t>中国港能</t>
  </si>
  <si>
    <t>1918.HK</t>
  </si>
  <si>
    <t>融创中国</t>
  </si>
  <si>
    <t>1280.HK</t>
  </si>
  <si>
    <t>奇点国峰</t>
  </si>
  <si>
    <t>1083.HK</t>
  </si>
  <si>
    <t>港华智慧能源</t>
  </si>
  <si>
    <t>9858.HK</t>
  </si>
  <si>
    <t>优然牧业</t>
  </si>
  <si>
    <t>0020.HK</t>
  </si>
  <si>
    <t>商汤-W</t>
  </si>
  <si>
    <t>1328.HK</t>
  </si>
  <si>
    <t>金涌投资</t>
  </si>
  <si>
    <t>1728.HK</t>
  </si>
  <si>
    <t>正通汽车</t>
  </si>
  <si>
    <t>1856.HK</t>
  </si>
  <si>
    <t>依波路</t>
  </si>
  <si>
    <t>0302.HK</t>
  </si>
  <si>
    <t>中手游</t>
  </si>
  <si>
    <t>6188.HK</t>
  </si>
  <si>
    <t>迪信通</t>
  </si>
  <si>
    <t>0582.HK</t>
  </si>
  <si>
    <t>神话世界</t>
  </si>
  <si>
    <t>1396.HK</t>
  </si>
  <si>
    <t>粤港湾控股</t>
  </si>
  <si>
    <t>1258.HK</t>
  </si>
  <si>
    <t>中国有色矿业</t>
  </si>
  <si>
    <t>9926.HK</t>
  </si>
  <si>
    <t>康方生物</t>
  </si>
  <si>
    <t>0268.HK</t>
  </si>
  <si>
    <t>金蝶国际</t>
  </si>
  <si>
    <t>1775.HK</t>
  </si>
  <si>
    <t>精英汇集团</t>
  </si>
  <si>
    <t>8391.HK</t>
  </si>
  <si>
    <t>基石科技控股</t>
  </si>
  <si>
    <t>1668.HK</t>
  </si>
  <si>
    <t>华南城</t>
  </si>
  <si>
    <t>1783.HK</t>
  </si>
  <si>
    <t>晋景新能</t>
  </si>
  <si>
    <t>0519.HK</t>
  </si>
  <si>
    <t>诺科达科技</t>
  </si>
  <si>
    <t>0607.HK</t>
  </si>
  <si>
    <t>丰盛控股</t>
  </si>
  <si>
    <t>0500.HK</t>
  </si>
  <si>
    <t>先丰服务集团</t>
  </si>
  <si>
    <t>1282.HK</t>
  </si>
  <si>
    <t>中泽丰</t>
  </si>
  <si>
    <t>1636.HK</t>
  </si>
  <si>
    <t>中国金属利用</t>
  </si>
  <si>
    <t>9977.HK</t>
  </si>
  <si>
    <t>凤祥股份(退市)</t>
  </si>
  <si>
    <t>0353.HK</t>
  </si>
  <si>
    <t>能源国际投资</t>
  </si>
  <si>
    <t>0460.HK</t>
  </si>
  <si>
    <t>四环医药</t>
  </si>
  <si>
    <t>2369.HK</t>
  </si>
  <si>
    <t>酷派集团</t>
  </si>
  <si>
    <t>3788.HK</t>
  </si>
  <si>
    <t>罕王黄金</t>
  </si>
  <si>
    <t>钢铁Ⅱ</t>
  </si>
  <si>
    <t>1421.HK</t>
  </si>
  <si>
    <t>恒昌集团国际</t>
  </si>
  <si>
    <t>3309.HK</t>
  </si>
  <si>
    <t>希玛医疗</t>
  </si>
  <si>
    <t>2235.HK</t>
  </si>
  <si>
    <t>微泰医疗-B</t>
  </si>
  <si>
    <t>3383.HK</t>
  </si>
  <si>
    <t>雅居乐集团</t>
  </si>
  <si>
    <t>2616.HK</t>
  </si>
  <si>
    <t>基石药业-B</t>
  </si>
  <si>
    <t>8480.HK</t>
  </si>
  <si>
    <t>飞霓控股</t>
  </si>
  <si>
    <t>8295.HK</t>
  </si>
  <si>
    <t>金慧科技</t>
  </si>
  <si>
    <t>2020.HK</t>
  </si>
  <si>
    <t>安踏体育</t>
  </si>
  <si>
    <t>1167.HK</t>
  </si>
  <si>
    <t>加科思-B</t>
  </si>
  <si>
    <t>8156.HK</t>
  </si>
  <si>
    <t>国药科技股份</t>
  </si>
  <si>
    <t>8037.HK</t>
  </si>
  <si>
    <t>中国生物科技服务</t>
  </si>
  <si>
    <t>0279.HK</t>
  </si>
  <si>
    <t>裕承科金</t>
  </si>
  <si>
    <t>3680.HK</t>
  </si>
  <si>
    <t>瑞和数智</t>
  </si>
  <si>
    <t>6606.HK</t>
  </si>
  <si>
    <t>诺辉健康(退市)</t>
  </si>
  <si>
    <t>2285.HK</t>
  </si>
  <si>
    <t>泉峰控股</t>
  </si>
  <si>
    <t>1268.HK</t>
  </si>
  <si>
    <t>美东汽车</t>
  </si>
  <si>
    <t>2155.HK</t>
  </si>
  <si>
    <t>森松国际</t>
  </si>
  <si>
    <t>1029.HK</t>
  </si>
  <si>
    <t>铁货</t>
  </si>
  <si>
    <t>1575.HK</t>
  </si>
  <si>
    <t>皇庭智家</t>
  </si>
  <si>
    <t>6088.HK</t>
  </si>
  <si>
    <t>鸿腾精密</t>
  </si>
  <si>
    <t>0884.HK</t>
  </si>
  <si>
    <t>旭辉控股集团</t>
  </si>
  <si>
    <t>0286.HK</t>
  </si>
  <si>
    <t>爱帝宫</t>
  </si>
  <si>
    <t>0515.HK</t>
  </si>
  <si>
    <t>中华银科技</t>
  </si>
  <si>
    <t>1566.HK</t>
  </si>
  <si>
    <t>华夏文化科技</t>
  </si>
  <si>
    <t>8178.HK</t>
  </si>
  <si>
    <t>中国信息科技</t>
  </si>
  <si>
    <t>8163.HK</t>
  </si>
  <si>
    <t>声扬集团</t>
  </si>
  <si>
    <t>0918.HK</t>
  </si>
  <si>
    <t>龙翼航空科技</t>
  </si>
  <si>
    <t>1164.HK</t>
  </si>
  <si>
    <t>中广核矿业</t>
  </si>
  <si>
    <t>6818.HK</t>
  </si>
  <si>
    <t>中国光大银行</t>
  </si>
  <si>
    <t>1266.HK</t>
  </si>
  <si>
    <t>西王特钢(退市)</t>
  </si>
  <si>
    <t>0030.HK</t>
  </si>
  <si>
    <t>云白国际</t>
  </si>
  <si>
    <t>工业贸易与综合</t>
  </si>
  <si>
    <t>1647.HK</t>
  </si>
  <si>
    <t>雄岸科技</t>
  </si>
  <si>
    <t>0726.HK</t>
  </si>
  <si>
    <t>筑友智造科技</t>
  </si>
  <si>
    <t>0451.HK</t>
  </si>
  <si>
    <t>协鑫新能源</t>
  </si>
  <si>
    <t>9936.HK</t>
  </si>
  <si>
    <t>稀美资源</t>
  </si>
  <si>
    <t>8047.HK</t>
  </si>
  <si>
    <t>中国海洋发展</t>
  </si>
  <si>
    <t>0830.HK</t>
  </si>
  <si>
    <t>中国建筑兴业</t>
  </si>
  <si>
    <t>6988.HK</t>
  </si>
  <si>
    <t>乐享集团</t>
  </si>
  <si>
    <t>0670.HK</t>
  </si>
  <si>
    <t>中国东方航空股份</t>
  </si>
  <si>
    <t>1866.HK</t>
  </si>
  <si>
    <t>中国心连心化肥</t>
  </si>
  <si>
    <t>2618.HK</t>
  </si>
  <si>
    <t>京东物流</t>
  </si>
  <si>
    <t>6633.HK</t>
  </si>
  <si>
    <t>青瓷游戏</t>
  </si>
  <si>
    <t>9699.HK</t>
  </si>
  <si>
    <t>顺丰同城</t>
  </si>
  <si>
    <t>2279.HK</t>
  </si>
  <si>
    <t>雍禾医疗</t>
  </si>
  <si>
    <t>1228.HK</t>
  </si>
  <si>
    <t>北海康成-B</t>
  </si>
  <si>
    <t>2273.HK</t>
  </si>
  <si>
    <t>固生堂</t>
  </si>
  <si>
    <t>2130.HK</t>
  </si>
  <si>
    <t>嘉泓物流</t>
  </si>
  <si>
    <t>9899.HK</t>
  </si>
  <si>
    <t>网易云音乐</t>
  </si>
  <si>
    <t>0585.HK</t>
  </si>
  <si>
    <t>意力国际</t>
  </si>
  <si>
    <t>0622.HK</t>
  </si>
  <si>
    <t>威华达控股</t>
  </si>
  <si>
    <t>9956.HK</t>
  </si>
  <si>
    <t>安能物流(退市)</t>
  </si>
  <si>
    <t>2210.HK</t>
  </si>
  <si>
    <t>京城佳业</t>
  </si>
  <si>
    <t>1233.HK</t>
  </si>
  <si>
    <t>时代中国控股</t>
  </si>
  <si>
    <t>2251.HK</t>
  </si>
  <si>
    <t>鹰瞳科技-B</t>
  </si>
  <si>
    <t>2197.HK</t>
  </si>
  <si>
    <t>三叶草生物-B</t>
  </si>
  <si>
    <t>2252.HK</t>
  </si>
  <si>
    <t>微创机器人-B</t>
  </si>
  <si>
    <t>2098.HK</t>
  </si>
  <si>
    <t>卓尔智联</t>
  </si>
  <si>
    <t>2256.HK</t>
  </si>
  <si>
    <t>和誉-B</t>
  </si>
  <si>
    <t>1948.HK</t>
  </si>
  <si>
    <t>优矩控股</t>
  </si>
  <si>
    <t>2217.HK</t>
  </si>
  <si>
    <t>谭仔国际(退市)</t>
  </si>
  <si>
    <t>6030.HK</t>
  </si>
  <si>
    <t>中信证券</t>
  </si>
  <si>
    <t>9889.HK</t>
  </si>
  <si>
    <t>东莞农商银行</t>
  </si>
  <si>
    <t>6628.HK</t>
  </si>
  <si>
    <t>创胜集团医药-B</t>
  </si>
  <si>
    <t>2216.HK</t>
  </si>
  <si>
    <t>堃博医疗-B</t>
  </si>
  <si>
    <t>1873.HK</t>
  </si>
  <si>
    <t>维亚生物</t>
  </si>
  <si>
    <t>3939.HK</t>
  </si>
  <si>
    <t>万国黄金集团</t>
  </si>
  <si>
    <t>6669.HK</t>
  </si>
  <si>
    <t>先瑞达医疗-B</t>
  </si>
  <si>
    <t>6862.HK</t>
  </si>
  <si>
    <t>海底捞</t>
  </si>
  <si>
    <t>6609.HK</t>
  </si>
  <si>
    <t>心玮医疗-B</t>
  </si>
  <si>
    <t>9969.HK</t>
  </si>
  <si>
    <t>诺诚健华</t>
  </si>
  <si>
    <t>8377.HK</t>
  </si>
  <si>
    <t>维港育马</t>
  </si>
  <si>
    <t>0136.HK</t>
  </si>
  <si>
    <t>中国儒意</t>
  </si>
  <si>
    <t>6616.HK</t>
  </si>
  <si>
    <t>环球新材国际</t>
  </si>
  <si>
    <t>9960.HK</t>
  </si>
  <si>
    <t>康圣环球</t>
  </si>
  <si>
    <t>2205.HK</t>
  </si>
  <si>
    <t>康桥悦生活</t>
  </si>
  <si>
    <t>2192.HK</t>
  </si>
  <si>
    <t>医脉通</t>
  </si>
  <si>
    <t>2215.HK</t>
  </si>
  <si>
    <t>德信服务集团</t>
  </si>
  <si>
    <t>2137.HK</t>
  </si>
  <si>
    <t>腾盛博药-B</t>
  </si>
  <si>
    <t>2177.HK</t>
  </si>
  <si>
    <t>优趣汇控股</t>
  </si>
  <si>
    <t>2209.HK</t>
  </si>
  <si>
    <t>喆丽控股</t>
  </si>
  <si>
    <t>1965.HK</t>
  </si>
  <si>
    <t>朗诗绿色生活</t>
  </si>
  <si>
    <t>2162.HK</t>
  </si>
  <si>
    <t>康诺亚-B</t>
  </si>
  <si>
    <t>2219.HK</t>
  </si>
  <si>
    <t>朝聚眼科</t>
  </si>
  <si>
    <t>2190.HK</t>
  </si>
  <si>
    <t>归创通桥</t>
  </si>
  <si>
    <t>0606.HK</t>
  </si>
  <si>
    <t>中骏商管</t>
  </si>
  <si>
    <t>controlling_shareholder</t>
  </si>
  <si>
    <t>解禁日 yyyy-mm-dd</t>
  </si>
  <si>
    <t>unlock_shares_10k</t>
  </si>
  <si>
    <t>unlock_pct_total</t>
  </si>
  <si>
    <t>unlock_market_value_10k_hkd</t>
  </si>
  <si>
    <t>total_shares_pre_10k</t>
  </si>
  <si>
    <t>float_shares_pre_10k</t>
  </si>
  <si>
    <t>float_pct_pre</t>
  </si>
  <si>
    <t>total_shares_post_10k</t>
  </si>
  <si>
    <t>float_shares_post_10k</t>
  </si>
  <si>
    <t>float_pct_post</t>
  </si>
  <si>
    <t>hs_industry</t>
  </si>
  <si>
    <t>wind_industry</t>
  </si>
  <si>
    <t>解禁日</t>
  </si>
  <si>
    <t>占比%</t>
  </si>
  <si>
    <t>解禁市值(万HKD)</t>
  </si>
  <si>
    <t>变动前总股本</t>
  </si>
  <si>
    <t>变动前流通股</t>
  </si>
  <si>
    <t>变动前占比</t>
  </si>
  <si>
    <t>变动后总股本</t>
  </si>
  <si>
    <t>变动后流通股</t>
  </si>
  <si>
    <t>变动后占比</t>
  </si>
  <si>
    <t>HS行业</t>
  </si>
  <si>
    <t>h_stock_class</t>
  </si>
  <si>
    <t>H股/红筹股 (首发明细)</t>
  </si>
  <si>
    <t>announce_date</t>
  </si>
  <si>
    <t>applicants_total</t>
  </si>
  <si>
    <t>applicants_grpA</t>
  </si>
  <si>
    <t>applicants_grpB</t>
  </si>
  <si>
    <t>subscribed_shares_10k_total</t>
  </si>
  <si>
    <t>subscribed_shares_grpA</t>
  </si>
  <si>
    <t>subscribed_shares_grpB</t>
  </si>
  <si>
    <t>successful_applicants_total</t>
  </si>
  <si>
    <t>successful_applicants_grpA</t>
  </si>
  <si>
    <t>successful_applicants_grpB</t>
  </si>
  <si>
    <t>allocated_shares_10k_total</t>
  </si>
  <si>
    <t>allocated_shares_grpA</t>
  </si>
  <si>
    <t>allocated_shares_grpB</t>
  </si>
  <si>
    <t>oversubscription_ratio</t>
  </si>
  <si>
    <t>success_rate_pct</t>
  </si>
  <si>
    <t>Sheet 一览 (v2.0 - 已扩展)</t>
  </si>
  <si>
    <t>• 00_README                 — 本说明</t>
  </si>
  <si>
    <t>• 01_ipo_master            — IPO主表 (391只 IPO,2022-01~2026-04 港股主板)</t>
  </si>
  <si>
    <t>• 02_ipo_cornerstones      — 基石明细 (1594行,含 ticket size/锁定期/解禁日/实控人)</t>
  </si>
  <si>
    <t>• 03_company_fundamentals  — 公司基本面 (招股书 N-3/N-2/N-1 营收/净利/毛利率)</t>
  </si>
  <si>
    <t>• 04_ccass_unlocks         — ★解禁事件表 (558行,含解禁日/数量/占比/市值/变动前后股本)</t>
  </si>
  <si>
    <t>• 05_hsi_macro             — 恒指 + 恒科 + HIBOR + 南向 日频 (1046行 2022-01-04~2026-04-30)</t>
  </si>
  <si>
    <t>• 06_price_index           — 价格采集索引 (原模板,已被 07_ipo_returns 替代,可忽略)</t>
  </si>
  <si>
    <t>• 07_ipo_returns           — ★IPO 上市后涨跌幅 (391行 × 5/30/60/90/180日)</t>
  </si>
  <si>
    <t>• 08_offering_details      — 发行明细 (391行,首发数量/总募资含售股/首发募资)</t>
  </si>
  <si>
    <t>• 09_allocation_results    — 配售结果 (379行,甲乙组分列 申购人数/股份数/中签率)</t>
  </si>
  <si>
    <t>• 90_data_dictionary       — 字段词典</t>
  </si>
  <si>
    <t>• 91_wind_formulas         — Wind 公式速查表</t>
  </si>
  <si>
    <t>v2.0 重要变更</t>
  </si>
  <si>
    <t>★ 04 表 重新定义:从 "CCASS 持仓查询表" 改为 "解禁事件表"。原 CCASS 字段 Wind 全部失败,改用 Wind 终端导出的真实解禁事件。</t>
  </si>
  <si>
    <t>★ 07 表 新增:Wind 终端 "上市后 N 日涨跌幅" 已计算好,直接覆盖原 06 表的价格采集任务,免去拉每日价格再算的步骤。</t>
  </si>
  <si>
    <t>★ 08 表 新增:首发数量/总募资/首发募资 三列(原 01!L 募资额已补)。</t>
  </si>
  <si>
    <t>★ 09 表 新增:甲组/乙组申购明细,可计算 OS 甲组(retail) vs 乙组(&gt;5M HKD)分层信号。</t>
  </si>
  <si>
    <t>★ 02 表 重建:从 969 行(只有名字)扩展到 1594 行(完整 ticket+lockup+实控人+股东介绍)。</t>
  </si>
  <si>
    <t>回测最小可行集</t>
  </si>
  <si>
    <t>01 主表 (X字段) + 02 基石明细 (ticket+lockup) + 04 解禁事件 + 07 IPO涨跌幅 + 05 恒指基准 + 09 配售结果</t>
  </si>
  <si>
    <t>→ 全部就位,可以发我做 loader+回测。</t>
  </si>
  <si>
    <t>raw 2023 (备份)</t>
    <phoneticPr fontId="21" type="noConversion"/>
  </si>
  <si>
    <t>raw 2024 (备份)</t>
    <phoneticPr fontId="21" type="noConversion"/>
  </si>
  <si>
    <t>raw 2025 (备份)</t>
    <phoneticPr fontId="21" type="noConversion"/>
  </si>
  <si>
    <t>ipo_year</t>
  </si>
  <si>
    <t>上市年份(N年)
从01_ipo_master.listing_date提取  ★自动</t>
  </si>
  <si>
    <t>证券代码</t>
  </si>
  <si>
    <t>证券简称</t>
  </si>
  <si>
    <t>上市日期</t>
  </si>
  <si>
    <t>上市板</t>
  </si>
  <si>
    <t>营业收入
[报告期] 2019年报
[报表类型] 合并报表
[币种] 人民币
[单位] 亿元</t>
  </si>
  <si>
    <t>营业收入
[报告期] 2020年报
[报表类型] 合并报表
[币种] 人民币
[单位] 亿元</t>
  </si>
  <si>
    <t>营业收入
[报告期] 2021年报
[报表类型] 合并报表
[币种] 人民币
[单位] 亿元</t>
  </si>
  <si>
    <t>营业收入
[报告期] 2022年报
[报表类型] 合并报表
[币种] 人民币
[单位] 亿元</t>
  </si>
  <si>
    <t>归属母公司股东的净利润
[报告期] 2019年报
[报表类型] 合并报表
[币种] 人民币
[单位] 亿元</t>
  </si>
  <si>
    <t>归属母公司股东的净利润
[报告期] 2020年报
[报表类型] 合并报表
[币种] 人民币
[单位] 亿元</t>
  </si>
  <si>
    <t>归属母公司股东的净利润
[报告期] 2021年报
[报表类型] 合并报表
[币种] 人民币
[单位] 亿元</t>
  </si>
  <si>
    <t>归属母公司股东的净利润
[报告期] 2022年报
[报表类型] 合并报表
[币种] 人民币
[单位] 亿元</t>
  </si>
  <si>
    <t>销售毛利率
[报告期] 2019年报
[单位] %</t>
  </si>
  <si>
    <t>销售毛利率
[报告期] 2020年报
[单位] %</t>
  </si>
  <si>
    <t>销售毛利率
[报告期] 2021年报
[单位] %</t>
  </si>
  <si>
    <t>销售毛利率
[报告期] 2022年报
[单位] %</t>
  </si>
  <si>
    <t>N-3年营收 (rptDate=ipo_year-3)
RMB亿  ★必填</t>
  </si>
  <si>
    <t>N-2年营收 (rptDate=ipo_year-2)
RMB亿  ★必填</t>
  </si>
  <si>
    <t>N-1年营收 (rptDate=ipo_year-1)
RMB亿  ★必填</t>
  </si>
  <si>
    <t>N-3年净利润 (rptDate=ipo_year-3)
RMB亿  ★必填</t>
  </si>
  <si>
    <t>N-2年净利润 (rptDate=ipo_year-2)
RMB亿  ★必填</t>
  </si>
  <si>
    <t>N-1年净利润 (rptDate=ipo_year-1)
RMB亿  ★必填</t>
  </si>
  <si>
    <t>N-3年毛利率 (rptDate=ipo_year-3)
%  ★必填</t>
  </si>
  <si>
    <t>N-2年毛利率 (rptDate=ipo_year-2)
%  ★必填</t>
  </si>
  <si>
    <t>N-1年毛利率 (rptDate=ipo_year-1)
%  ★必填</t>
  </si>
  <si>
    <t>N-1年ROE (rptDate=ipo_year-1)
%  ○选填</t>
  </si>
  <si>
    <t>N-1年资产负债率 (rptDate=ipo_year-1)
%  ○选填</t>
  </si>
  <si>
    <t>_orig_chapter</t>
  </si>
  <si>
    <t>原E列备份(派生用)</t>
  </si>
  <si>
    <t>(代偿:同GICSL2同PE平均)
倍  ○选填
⚠偏态分布,极值&gt;100例多为生医医药,谨慎使用</t>
  </si>
  <si>
    <t>hsi_amt</t>
  </si>
  <si>
    <t>Wind: HSI.HI amt (港币元)
○选填 - 备用</t>
  </si>
  <si>
    <t>_diag_revenue_2023</t>
  </si>
  <si>
    <t>_diag_revenue_2024</t>
  </si>
  <si>
    <t>_diag_revenue_2025</t>
  </si>
  <si>
    <t>_diag_netprofit_2023</t>
  </si>
  <si>
    <t>_diag_netprofit_2024</t>
  </si>
  <si>
    <t>_diag_netprofit_2025</t>
  </si>
  <si>
    <t>_diag_grossmargin_2023</t>
  </si>
  <si>
    <t>_diag_grossmargin_2024</t>
  </si>
  <si>
    <t>first_unlock_date</t>
  </si>
  <si>
    <t>first_unlock_pct</t>
  </si>
  <si>
    <t>max_single_unlock_pct</t>
  </si>
  <si>
    <t>max_single_unlock_date</t>
  </si>
  <si>
    <t>total_unlock_events</t>
  </si>
  <si>
    <t>total_unlock_shares_10k</t>
  </si>
  <si>
    <t>total_unlock_value_10k_hkd</t>
  </si>
  <si>
    <t>last_unlock_date</t>
  </si>
  <si>
    <t>首次解禁日(最早)</t>
  </si>
  <si>
    <t>首次解禁占总股本%</t>
  </si>
  <si>
    <t>单次最大解禁占比% (代理基石到期)</t>
  </si>
  <si>
    <t>单次最大解禁日</t>
  </si>
  <si>
    <t>解禁事件数</t>
  </si>
  <si>
    <t>累计解禁数量(万股)</t>
  </si>
  <si>
    <t>累计解禁市值(万HKD)</t>
  </si>
  <si>
    <t>最后一次解禁日</t>
  </si>
  <si>
    <t>(HS)行业</t>
  </si>
  <si>
    <t>1=确认与发行人关联(名字含发行人 token或员工持股),0=独立财务投资者或未披露
规则法重置 2026-05</t>
  </si>
  <si>
    <t>a_plus_h</t>
    <phoneticPr fontId="21" type="noConversion"/>
  </si>
  <si>
    <t>main_board_profitable</t>
    <phoneticPr fontId="21" type="noConversion"/>
  </si>
  <si>
    <t>18a</t>
    <phoneticPr fontId="21" type="noConversion"/>
  </si>
  <si>
    <t>secondary</t>
    <phoneticPr fontId="21" type="noConversion"/>
  </si>
  <si>
    <t>ch_18a</t>
    <phoneticPr fontId="21" type="noConversion"/>
  </si>
  <si>
    <t>ch_18c</t>
    <phoneticPr fontId="21" type="noConversion"/>
  </si>
  <si>
    <t>gem_excluded</t>
    <phoneticPr fontId="21" type="noConversion"/>
  </si>
  <si>
    <t>is_18a_dual_listing</t>
  </si>
  <si>
    <t>18A 同时为 A+H 双重上市
1=是, 0=否
(派生:ch_18a AND is_a_h=1)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</si>
</sst>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yy\-mm\-dd"/>
    <numFmt numFmtId="177" formatCode="0.0%"/>
    <numFmt numFmtId="178" formatCode="0.0000"/>
    <numFmt numFmtId="181" formatCode="000000"/>
    <numFmt numFmtId="186" formatCode="###,###,###,##0.0000"/>
    <numFmt numFmtId="187" formatCode="#,##0.0"/>
  </numFmts>
  <fonts count="24">
    <font>
      <sz val="11"/>
      <color theme="1"/>
      <name val="Calibri"/>
      <family val="2"/>
      <charset val="1"/>
    </font>
    <font>
      <sz val="10"/>
      <name val="Arial"/>
      <family val="2"/>
    </font>
    <font>
      <b/>
      <sz val="14"/>
      <color rgb="FF1F4E78"/>
      <name val="Arial"/>
      <family val="2"/>
    </font>
    <font>
      <b/>
      <sz val="14"/>
      <color rgb="FF1F4E78"/>
      <name val="Noto Sans CJK SC"/>
      <family val="2"/>
    </font>
    <font>
      <b/>
      <sz val="12"/>
      <color rgb="FF1F4E78"/>
      <name val="Noto Sans CJK SC"/>
      <family val="2"/>
    </font>
    <font>
      <sz val="11"/>
      <color theme="1"/>
      <name val="Noto Sans CJK SC"/>
      <family val="2"/>
    </font>
    <font>
      <b/>
      <sz val="12"/>
      <color rgb="FFC00000"/>
      <name val="Noto Sans CJK SC"/>
      <family val="2"/>
    </font>
    <font>
      <b/>
      <sz val="12"/>
      <color rgb="FF1F4E78"/>
      <name val="Arial"/>
      <family val="2"/>
    </font>
    <font>
      <b/>
      <sz val="10"/>
      <color rgb="FFFFFFFF"/>
      <name val="Arial"/>
      <family val="2"/>
    </font>
    <font>
      <i/>
      <sz val="9"/>
      <color rgb="FF666666"/>
      <name val="Arial"/>
      <family val="2"/>
    </font>
    <font>
      <i/>
      <sz val="9"/>
      <color rgb="FF666666"/>
      <name val="Noto Sans CJK SC"/>
      <family val="2"/>
    </font>
    <font>
      <sz val="10"/>
      <color rgb="FF0000FF"/>
      <name val="Arial"/>
      <family val="2"/>
    </font>
    <font>
      <sz val="10"/>
      <color rgb="FF0000FF"/>
      <name val="Noto Sans CJK SC"/>
      <family val="2"/>
    </font>
    <font>
      <sz val="10"/>
      <color rgb="FF000000"/>
      <name val="Arial"/>
      <family val="2"/>
    </font>
    <font>
      <sz val="10"/>
      <color rgb="FF000000"/>
      <name val="Noto Sans CJK SC"/>
      <family val="2"/>
    </font>
    <font>
      <sz val="10"/>
      <color rgb="FF008000"/>
      <name val="Arial"/>
      <family val="2"/>
    </font>
    <font>
      <b/>
      <sz val="10"/>
      <color rgb="FFFFFFFF"/>
      <name val="Noto Sans CJK SC"/>
      <family val="2"/>
    </font>
    <font>
      <sz val="10"/>
      <name val="Arial"/>
      <family val="2"/>
    </font>
    <font>
      <sz val="10"/>
      <name val="Noto Sans CJK SC"/>
      <family val="2"/>
    </font>
    <font>
      <sz val="10"/>
      <color rgb="FFC00000"/>
      <name val="Noto Sans CJK SC"/>
      <family val="2"/>
    </font>
    <font>
      <sz val="10"/>
      <color rgb="FFC00000"/>
      <name val="Arial"/>
      <family val="2"/>
    </font>
    <font>
      <sz val="9"/>
      <name val="宋体"/>
      <family val="3"/>
      <charset val="134"/>
    </font>
    <font>
      <b/>
      <sz val="11"/>
      <color theme="1"/>
      <name val="Calibri"/>
      <family val="2"/>
      <charset val="1"/>
    </font>
    <font>
      <sz val="10"/>
      <color indexed="45"/>
      <name val="Arial"/>
      <family val="2"/>
    </font>
  </fonts>
  <fills count="9">
    <fill>
      <patternFill patternType="none"/>
    </fill>
    <fill>
      <patternFill patternType="gray125"/>
    </fill>
    <fill>
      <patternFill patternType="solid">
        <fgColor rgb="FFFCE4D6"/>
        <bgColor rgb="FFFFF2CC"/>
      </patternFill>
    </fill>
    <fill>
      <patternFill patternType="solid">
        <fgColor rgb="FFE2EFDA"/>
        <bgColor rgb="FFF2F2F2"/>
      </patternFill>
    </fill>
    <fill>
      <patternFill patternType="solid">
        <fgColor rgb="FFFFF2CC"/>
        <bgColor rgb="FFFCE4D6"/>
      </patternFill>
    </fill>
    <fill>
      <patternFill patternType="solid">
        <fgColor rgb="FFF2F2F2"/>
        <bgColor rgb="FFE2EFDA"/>
      </patternFill>
    </fill>
    <fill>
      <patternFill patternType="solid">
        <fgColor rgb="FF1F4E78"/>
        <bgColor rgb="FF003366"/>
      </patternFill>
    </fill>
    <fill>
      <patternFill patternType="solid">
        <fgColor rgb="FFD9E1F2"/>
        <bgColor rgb="FFE2EFDA"/>
      </patternFill>
    </fill>
    <fill>
      <patternFill patternType="solid">
        <fgColor rgb="FFD9E1F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81">
    <xf numFmtId="0" fontId="0" fillId="0" borderId="0" xfId="0"/>
    <xf numFmtId="0" fontId="14" fillId="0" borderId="1" xfId="0" applyFont="1" applyBorder="1" applyAlignment="1">
      <alignment horizontal="left" vertical="top" wrapText="1"/>
    </xf>
    <xf numFmtId="0" fontId="2"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5" fillId="2" borderId="0" xfId="0" applyFont="1" applyFill="1" applyAlignment="1">
      <alignment horizontal="left" vertical="center" wrapText="1"/>
    </xf>
    <xf numFmtId="0" fontId="5" fillId="3" borderId="0" xfId="0" applyFont="1" applyFill="1" applyAlignment="1">
      <alignment horizontal="left" vertical="center" wrapText="1"/>
    </xf>
    <xf numFmtId="0" fontId="5" fillId="4" borderId="0" xfId="0" applyFont="1" applyFill="1" applyAlignment="1">
      <alignment horizontal="left" vertical="center" wrapText="1"/>
    </xf>
    <xf numFmtId="0" fontId="5" fillId="5" borderId="0" xfId="0" applyFont="1" applyFill="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6"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176" fontId="11" fillId="5" borderId="1" xfId="0" applyNumberFormat="1" applyFont="1" applyFill="1" applyBorder="1" applyAlignment="1">
      <alignment horizontal="left" vertical="center" wrapText="1"/>
    </xf>
    <xf numFmtId="4" fontId="11" fillId="5" borderId="1" xfId="0" applyNumberFormat="1" applyFont="1" applyFill="1" applyBorder="1" applyAlignment="1">
      <alignment horizontal="left" vertical="center" wrapText="1"/>
    </xf>
    <xf numFmtId="10" fontId="11" fillId="5" borderId="1" xfId="0" applyNumberFormat="1" applyFont="1" applyFill="1" applyBorder="1" applyAlignment="1">
      <alignment horizontal="left" vertical="center" wrapText="1"/>
    </xf>
    <xf numFmtId="0" fontId="9" fillId="4" borderId="1" xfId="0" applyFont="1" applyFill="1" applyBorder="1" applyAlignment="1">
      <alignment horizontal="left" vertical="center" wrapText="1"/>
    </xf>
    <xf numFmtId="0" fontId="0" fillId="0" borderId="1" xfId="0" applyBorder="1" applyAlignment="1">
      <alignment horizontal="left" vertical="center" wrapText="1"/>
    </xf>
    <xf numFmtId="49" fontId="13" fillId="4" borderId="1" xfId="0" applyNumberFormat="1" applyFont="1" applyFill="1" applyBorder="1" applyAlignment="1">
      <alignment horizontal="left" vertical="center" wrapText="1"/>
    </xf>
    <xf numFmtId="0" fontId="11" fillId="5" borderId="1" xfId="0" applyFont="1" applyFill="1" applyBorder="1"/>
    <xf numFmtId="3" fontId="11" fillId="5" borderId="1" xfId="0" applyNumberFormat="1" applyFont="1" applyFill="1" applyBorder="1"/>
    <xf numFmtId="177" fontId="11" fillId="5" borderId="1" xfId="0" applyNumberFormat="1" applyFont="1" applyFill="1" applyBorder="1" applyAlignment="1">
      <alignment horizontal="left" vertical="center" wrapText="1"/>
    </xf>
    <xf numFmtId="0" fontId="9"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176" fontId="11" fillId="5" borderId="1" xfId="0" applyNumberFormat="1" applyFont="1" applyFill="1" applyBorder="1"/>
    <xf numFmtId="176" fontId="15" fillId="5" borderId="1" xfId="0" applyNumberFormat="1" applyFont="1" applyFill="1" applyBorder="1"/>
    <xf numFmtId="0" fontId="15" fillId="5" borderId="1" xfId="0" applyFont="1" applyFill="1" applyBorder="1"/>
    <xf numFmtId="49" fontId="13" fillId="5" borderId="1" xfId="0" applyNumberFormat="1" applyFont="1" applyFill="1" applyBorder="1"/>
    <xf numFmtId="0" fontId="16" fillId="6" borderId="1" xfId="0" applyFont="1" applyFill="1" applyBorder="1" applyAlignment="1">
      <alignment horizontal="center" vertical="center" wrapText="1"/>
    </xf>
    <xf numFmtId="0" fontId="17" fillId="0" borderId="1" xfId="0" applyFont="1" applyBorder="1" applyAlignment="1">
      <alignment vertical="top" wrapText="1"/>
    </xf>
    <xf numFmtId="0" fontId="18" fillId="0" borderId="1" xfId="0" applyFont="1" applyBorder="1" applyAlignment="1">
      <alignment vertical="top" wrapText="1"/>
    </xf>
    <xf numFmtId="49" fontId="19" fillId="0" borderId="1" xfId="0" applyNumberFormat="1" applyFont="1" applyBorder="1" applyAlignment="1">
      <alignment horizontal="left" vertical="top" wrapText="1"/>
    </xf>
    <xf numFmtId="0" fontId="13" fillId="0" borderId="1" xfId="0" applyFont="1" applyBorder="1" applyAlignment="1">
      <alignment horizontal="left" vertical="top" wrapText="1"/>
    </xf>
    <xf numFmtId="49" fontId="20" fillId="0" borderId="1" xfId="0" applyNumberFormat="1" applyFont="1" applyBorder="1" applyAlignment="1">
      <alignment horizontal="left" vertical="top" wrapText="1"/>
    </xf>
    <xf numFmtId="176" fontId="0" fillId="0" borderId="0" xfId="0" applyNumberFormat="1"/>
    <xf numFmtId="176" fontId="0" fillId="0" borderId="0" xfId="0" applyNumberFormat="1" applyAlignment="1">
      <alignment horizontal="right"/>
    </xf>
    <xf numFmtId="178" fontId="0" fillId="0" borderId="0" xfId="0" applyNumberFormat="1" applyAlignment="1">
      <alignment horizontal="right"/>
    </xf>
    <xf numFmtId="178" fontId="11" fillId="5" borderId="1" xfId="0" applyNumberFormat="1" applyFont="1" applyFill="1" applyBorder="1" applyAlignment="1">
      <alignment horizontal="right" vertical="center" wrapText="1"/>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0" fillId="0" borderId="0" xfId="0" applyAlignment="1">
      <alignment wrapText="1"/>
    </xf>
    <xf numFmtId="176" fontId="13" fillId="4" borderId="1" xfId="0" applyNumberFormat="1" applyFont="1" applyFill="1" applyBorder="1" applyAlignment="1">
      <alignment horizontal="left" vertical="center" wrapText="1"/>
    </xf>
    <xf numFmtId="2" fontId="13" fillId="4" borderId="1" xfId="0" applyNumberFormat="1" applyFont="1" applyFill="1" applyBorder="1" applyAlignment="1">
      <alignment horizontal="left" vertical="center" wrapText="1"/>
    </xf>
    <xf numFmtId="2" fontId="0" fillId="0" borderId="0" xfId="0" applyNumberFormat="1" applyAlignment="1">
      <alignment horizontal="right"/>
    </xf>
    <xf numFmtId="2" fontId="0" fillId="0" borderId="0" xfId="0" applyNumberFormat="1"/>
    <xf numFmtId="181" fontId="0" fillId="0" borderId="0" xfId="0" applyNumberFormat="1" applyAlignment="1">
      <alignment horizontal="right"/>
    </xf>
    <xf numFmtId="0" fontId="8" fillId="6" borderId="0" xfId="0" applyFont="1" applyFill="1" applyAlignment="1">
      <alignment horizontal="center" vertical="center" wrapText="1"/>
    </xf>
    <xf numFmtId="176" fontId="8" fillId="6" borderId="1" xfId="0" applyNumberFormat="1" applyFont="1" applyFill="1" applyBorder="1" applyAlignment="1">
      <alignment horizontal="center" vertical="center" wrapText="1"/>
    </xf>
    <xf numFmtId="176" fontId="9" fillId="2" borderId="1" xfId="0" applyNumberFormat="1" applyFont="1" applyFill="1" applyBorder="1" applyAlignment="1">
      <alignment horizontal="center" vertical="center" wrapText="1"/>
    </xf>
    <xf numFmtId="0" fontId="22" fillId="8" borderId="0" xfId="0" applyFont="1" applyFill="1"/>
    <xf numFmtId="176" fontId="22" fillId="8" borderId="0" xfId="0" applyNumberFormat="1" applyFont="1" applyFill="1"/>
    <xf numFmtId="10" fontId="22" fillId="8" borderId="0" xfId="0" applyNumberFormat="1" applyFont="1" applyFill="1"/>
    <xf numFmtId="10" fontId="0" fillId="0" borderId="0" xfId="0" applyNumberFormat="1"/>
    <xf numFmtId="2" fontId="22" fillId="8" borderId="0" xfId="0" applyNumberFormat="1" applyFont="1" applyFill="1"/>
    <xf numFmtId="4" fontId="22" fillId="8" borderId="0" xfId="0" applyNumberFormat="1" applyFont="1" applyFill="1"/>
    <xf numFmtId="4" fontId="0" fillId="0" borderId="0" xfId="0" applyNumberFormat="1"/>
    <xf numFmtId="176" fontId="10" fillId="3" borderId="1" xfId="0" applyNumberFormat="1" applyFont="1" applyFill="1" applyBorder="1" applyAlignment="1">
      <alignment horizontal="center" vertical="center" wrapText="1"/>
    </xf>
    <xf numFmtId="3" fontId="8" fillId="6" borderId="1" xfId="0" applyNumberFormat="1" applyFont="1" applyFill="1" applyBorder="1" applyAlignment="1">
      <alignment horizontal="center" vertical="center" wrapText="1"/>
    </xf>
    <xf numFmtId="3" fontId="10" fillId="2" borderId="1" xfId="0" applyNumberFormat="1" applyFont="1" applyFill="1" applyBorder="1" applyAlignment="1">
      <alignment horizontal="center" vertical="center" wrapText="1"/>
    </xf>
    <xf numFmtId="3" fontId="0" fillId="0" borderId="0" xfId="0" applyNumberFormat="1"/>
    <xf numFmtId="3" fontId="22" fillId="8" borderId="0" xfId="0" applyNumberFormat="1" applyFont="1" applyFill="1"/>
    <xf numFmtId="4" fontId="8" fillId="6" borderId="1" xfId="0" applyNumberFormat="1" applyFont="1" applyFill="1" applyBorder="1" applyAlignment="1">
      <alignment horizontal="center" vertical="center" wrapText="1"/>
    </xf>
    <xf numFmtId="4" fontId="9" fillId="3" borderId="1" xfId="0" applyNumberFormat="1" applyFont="1" applyFill="1" applyBorder="1" applyAlignment="1">
      <alignment horizontal="center" vertical="center" wrapText="1"/>
    </xf>
    <xf numFmtId="4" fontId="13" fillId="4" borderId="1" xfId="0" applyNumberFormat="1" applyFont="1" applyFill="1" applyBorder="1" applyAlignment="1">
      <alignment horizontal="left" vertical="center" wrapText="1"/>
    </xf>
    <xf numFmtId="0" fontId="10" fillId="0" borderId="0" xfId="0" applyFont="1"/>
    <xf numFmtId="0" fontId="14" fillId="0" borderId="1" xfId="0" applyFont="1" applyBorder="1" applyAlignment="1">
      <alignment horizontal="left" vertical="top" wrapText="1"/>
    </xf>
    <xf numFmtId="0" fontId="0" fillId="0" borderId="0" xfId="0" applyNumberFormat="1" applyAlignment="1">
      <alignment horizontal="right"/>
    </xf>
    <xf numFmtId="0" fontId="11" fillId="5" borderId="1" xfId="0" applyNumberFormat="1" applyFont="1" applyFill="1" applyBorder="1" applyAlignment="1">
      <alignment horizontal="right" vertical="center" wrapText="1"/>
    </xf>
    <xf numFmtId="0" fontId="1" fillId="0" borderId="0" xfId="0" applyNumberFormat="1" applyFont="1" applyFill="1" applyBorder="1" applyAlignment="1" applyProtection="1"/>
    <xf numFmtId="0" fontId="1" fillId="0" borderId="0" xfId="0" applyNumberFormat="1" applyFont="1" applyFill="1" applyBorder="1" applyAlignment="1" applyProtection="1">
      <alignment wrapText="1"/>
    </xf>
    <xf numFmtId="176" fontId="1" fillId="0" borderId="0" xfId="0" applyNumberFormat="1" applyFont="1" applyFill="1" applyBorder="1" applyAlignment="1" applyProtection="1"/>
    <xf numFmtId="186" fontId="1" fillId="0" borderId="0" xfId="0" applyNumberFormat="1" applyFont="1" applyFill="1" applyBorder="1" applyAlignment="1" applyProtection="1">
      <alignment horizontal="right"/>
    </xf>
    <xf numFmtId="0" fontId="23" fillId="0" borderId="0" xfId="0" applyNumberFormat="1" applyFont="1" applyFill="1" applyBorder="1" applyAlignment="1" applyProtection="1"/>
    <xf numFmtId="0" fontId="22" fillId="0" borderId="0" xfId="0" applyFont="1"/>
    <xf numFmtId="187" fontId="0" fillId="0" borderId="0" xfId="0" applyNumberFormat="1"/>
  </cellXfs>
  <cellStyles count="1">
    <cellStyle name="常规"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31995;&#32479;&#25991;&#20214;/wind/DataBrowse/XLA/WindFunc.xla" TargetMode="External"/><Relationship Id="rId2" Type="http://schemas.openxmlformats.org/officeDocument/2006/relationships/externalLinkPath" Target="file:///D:\&#31995;&#32479;&#25991;&#20214;\wind\DataBrowse\XLA\WindFunc.xla" TargetMode="External"/><Relationship Id="rId1" Type="http://schemas.openxmlformats.org/officeDocument/2006/relationships/externalLinkPath" Target="/&#31995;&#32479;&#25991;&#20214;/wind/DataBrowse/XLA/WindFunc.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2"/>
      <sheetName val="Sheet3"/>
    </sheetNames>
    <definedNames>
      <definedName name="WSD"/>
      <definedName name="wss"/>
    </definedNames>
    <sheetDataSet>
      <sheetData sheetId="0"/>
      <sheetData sheetId="1"/>
      <sheetData sheetId="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57B510-263C-4763-8440-AAFF3E4CF6D7}">
  <we:reference id="wa200009404" version="1.0.0.8" store="zh-CN" storeType="OMEX"/>
  <we:alternateReferences>
    <we:reference id="wa200009404" version="1.0.0.8" store="wa200009404" storeType="OMEX"/>
  </we:alternateReferences>
  <we:properties>
    <we:property name="claude.fileId" value="&quot;b0242814-ea97-4a42-ab63-8684ac782c5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6"/>
  <sheetViews>
    <sheetView topLeftCell="A10" zoomScaleNormal="100" workbookViewId="0">
      <selection activeCell="A25" sqref="A25"/>
    </sheetView>
  </sheetViews>
  <sheetFormatPr defaultColWidth="8.6640625" defaultRowHeight="14.25"/>
  <cols>
    <col min="1" max="1" width="110" customWidth="1"/>
  </cols>
  <sheetData>
    <row r="1" spans="1:1" ht="27.75" customHeight="1">
      <c r="A1" s="2" t="s">
        <v>0</v>
      </c>
    </row>
    <row r="2" spans="1:1">
      <c r="A2" s="3"/>
    </row>
    <row r="3" spans="1:1" ht="15">
      <c r="A3" s="4" t="s">
        <v>1</v>
      </c>
    </row>
    <row r="4" spans="1:1">
      <c r="A4" s="5" t="s">
        <v>2</v>
      </c>
    </row>
    <row r="5" spans="1:1">
      <c r="A5" s="5" t="s">
        <v>3</v>
      </c>
    </row>
    <row r="6" spans="1:1">
      <c r="A6" s="3"/>
    </row>
    <row r="7" spans="1:1" ht="15">
      <c r="A7" s="4" t="s">
        <v>4</v>
      </c>
    </row>
    <row r="8" spans="1:1">
      <c r="A8" s="5" t="s">
        <v>5</v>
      </c>
    </row>
    <row r="9" spans="1:1">
      <c r="A9" s="5" t="s">
        <v>6</v>
      </c>
    </row>
    <row r="10" spans="1:1">
      <c r="A10" s="5" t="s">
        <v>7</v>
      </c>
    </row>
    <row r="11" spans="1:1">
      <c r="A11" s="5" t="s">
        <v>8</v>
      </c>
    </row>
    <row r="12" spans="1:1">
      <c r="A12" s="5" t="s">
        <v>9</v>
      </c>
    </row>
    <row r="13" spans="1:1" ht="28.5">
      <c r="A13" s="5" t="s">
        <v>10</v>
      </c>
    </row>
    <row r="14" spans="1:1">
      <c r="A14" s="5" t="s">
        <v>11</v>
      </c>
    </row>
    <row r="15" spans="1:1">
      <c r="A15" s="3"/>
    </row>
    <row r="16" spans="1:1" ht="15">
      <c r="A16" s="4" t="s">
        <v>12</v>
      </c>
    </row>
    <row r="17" spans="1:1">
      <c r="A17" s="6" t="s">
        <v>13</v>
      </c>
    </row>
    <row r="18" spans="1:1">
      <c r="A18" s="7" t="s">
        <v>14</v>
      </c>
    </row>
    <row r="19" spans="1:1">
      <c r="A19" s="8" t="s">
        <v>15</v>
      </c>
    </row>
    <row r="20" spans="1:1">
      <c r="A20" s="9" t="s">
        <v>16</v>
      </c>
    </row>
    <row r="21" spans="1:1">
      <c r="A21" s="5" t="s">
        <v>17</v>
      </c>
    </row>
    <row r="22" spans="1:1">
      <c r="A22" s="3"/>
    </row>
    <row r="23" spans="1:1" ht="15">
      <c r="A23" s="10" t="s">
        <v>18</v>
      </c>
    </row>
    <row r="24" spans="1:1">
      <c r="A24" s="5" t="s">
        <v>19</v>
      </c>
    </row>
    <row r="25" spans="1:1">
      <c r="A25" s="5" t="s">
        <v>20</v>
      </c>
    </row>
    <row r="26" spans="1:1">
      <c r="A26" s="5" t="s">
        <v>21</v>
      </c>
    </row>
    <row r="27" spans="1:1">
      <c r="A27" s="3" t="s">
        <v>22</v>
      </c>
    </row>
    <row r="28" spans="1:1">
      <c r="A28" s="5" t="s">
        <v>23</v>
      </c>
    </row>
    <row r="29" spans="1:1">
      <c r="A29" s="3"/>
    </row>
    <row r="30" spans="1:1" ht="15">
      <c r="A30" s="11" t="s">
        <v>24</v>
      </c>
    </row>
    <row r="31" spans="1:1">
      <c r="A31" s="3" t="s">
        <v>25</v>
      </c>
    </row>
    <row r="32" spans="1:1">
      <c r="A32" s="3" t="s">
        <v>26</v>
      </c>
    </row>
    <row r="33" spans="1:1">
      <c r="A33" s="3" t="s">
        <v>3497</v>
      </c>
    </row>
    <row r="34" spans="1:1">
      <c r="A34" s="3" t="s">
        <v>3498</v>
      </c>
    </row>
    <row r="35" spans="1:1">
      <c r="A35" s="3" t="s">
        <v>3499</v>
      </c>
    </row>
    <row r="36" spans="1:1">
      <c r="A36" s="3" t="s">
        <v>3500</v>
      </c>
    </row>
    <row r="37" spans="1:1">
      <c r="A37" s="3" t="s">
        <v>3501</v>
      </c>
    </row>
    <row r="38" spans="1:1">
      <c r="A38" s="3" t="s">
        <v>3502</v>
      </c>
    </row>
    <row r="39" spans="1:1">
      <c r="A39" s="3" t="s">
        <v>3503</v>
      </c>
    </row>
    <row r="40" spans="1:1">
      <c r="A40" s="3" t="s">
        <v>3504</v>
      </c>
    </row>
    <row r="41" spans="1:1">
      <c r="A41" s="3" t="s">
        <v>3505</v>
      </c>
    </row>
    <row r="42" spans="1:1">
      <c r="A42" s="3" t="s">
        <v>3506</v>
      </c>
    </row>
    <row r="43" spans="1:1">
      <c r="A43" s="3" t="s">
        <v>3507</v>
      </c>
    </row>
    <row r="44" spans="1:1">
      <c r="A44" s="3" t="s">
        <v>3508</v>
      </c>
    </row>
    <row r="45" spans="1:1">
      <c r="A45" s="3" t="s">
        <v>3509</v>
      </c>
    </row>
    <row r="47" spans="1:1">
      <c r="A47" s="3" t="s">
        <v>3510</v>
      </c>
    </row>
    <row r="48" spans="1:1">
      <c r="A48" s="3" t="s">
        <v>3511</v>
      </c>
    </row>
    <row r="49" spans="1:1">
      <c r="A49" s="3" t="s">
        <v>3512</v>
      </c>
    </row>
    <row r="50" spans="1:1">
      <c r="A50" s="3" t="s">
        <v>3513</v>
      </c>
    </row>
    <row r="51" spans="1:1">
      <c r="A51" s="3" t="s">
        <v>3514</v>
      </c>
    </row>
    <row r="52" spans="1:1">
      <c r="A52" s="3" t="s">
        <v>3515</v>
      </c>
    </row>
    <row r="54" spans="1:1">
      <c r="A54" s="3" t="s">
        <v>3516</v>
      </c>
    </row>
    <row r="55" spans="1:1">
      <c r="A55" s="3" t="s">
        <v>3517</v>
      </c>
    </row>
    <row r="56" spans="1:1">
      <c r="A56" s="3" t="s">
        <v>3518</v>
      </c>
    </row>
  </sheetData>
  <phoneticPr fontId="21"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395"/>
  <sheetViews>
    <sheetView zoomScaleNormal="100" workbookViewId="0">
      <pane xSplit="1" ySplit="2" topLeftCell="B321" activePane="bottomRight" state="frozen"/>
      <selection pane="topRight" activeCell="B1" sqref="B1"/>
      <selection pane="bottomLeft" activeCell="A3" sqref="A3"/>
      <selection pane="bottomRight" activeCell="H212" sqref="H212"/>
    </sheetView>
  </sheetViews>
  <sheetFormatPr defaultColWidth="8.6640625" defaultRowHeight="14.25"/>
  <cols>
    <col min="1" max="1" width="16" customWidth="1"/>
    <col min="2" max="2" width="20" customWidth="1"/>
    <col min="3" max="4" width="14" customWidth="1"/>
    <col min="5" max="5" width="18" customWidth="1"/>
    <col min="6" max="6" width="10" customWidth="1"/>
    <col min="7" max="7" width="14" customWidth="1"/>
    <col min="8" max="8" width="20" customWidth="1"/>
    <col min="9" max="9" width="12" customWidth="1"/>
    <col min="10" max="11" width="12" style="61" customWidth="1"/>
    <col min="12" max="12" width="16" customWidth="1"/>
    <col min="13" max="14" width="12" customWidth="1"/>
    <col min="15" max="16" width="10" customWidth="1"/>
    <col min="17" max="17" width="255.59765625" bestFit="1" customWidth="1"/>
    <col min="18" max="21" width="10" customWidth="1"/>
    <col min="22" max="22" width="12" customWidth="1"/>
    <col min="23" max="23" width="14" customWidth="1"/>
    <col min="24" max="25" width="10" customWidth="1"/>
    <col min="26" max="26" width="14" customWidth="1"/>
    <col min="27" max="27" width="24" customWidth="1"/>
  </cols>
  <sheetData>
    <row r="1" spans="1:36" ht="37.5" customHeight="1">
      <c r="A1" s="12" t="s">
        <v>27</v>
      </c>
      <c r="B1" s="12" t="s">
        <v>28</v>
      </c>
      <c r="C1" s="12" t="s">
        <v>29</v>
      </c>
      <c r="D1" s="12" t="s">
        <v>30</v>
      </c>
      <c r="E1" s="12" t="s">
        <v>31</v>
      </c>
      <c r="F1" s="12" t="s">
        <v>32</v>
      </c>
      <c r="G1" s="12" t="s">
        <v>33</v>
      </c>
      <c r="H1" s="12" t="s">
        <v>34</v>
      </c>
      <c r="I1" s="12" t="s">
        <v>35</v>
      </c>
      <c r="J1" s="67" t="s">
        <v>36</v>
      </c>
      <c r="K1" s="67" t="s">
        <v>37</v>
      </c>
      <c r="L1" s="12" t="s">
        <v>38</v>
      </c>
      <c r="M1" s="12" t="s">
        <v>39</v>
      </c>
      <c r="N1" s="12" t="s">
        <v>40</v>
      </c>
      <c r="O1" s="12" t="s">
        <v>41</v>
      </c>
      <c r="P1" s="12" t="s">
        <v>42</v>
      </c>
      <c r="Q1" s="12" t="s">
        <v>43</v>
      </c>
      <c r="R1" s="12" t="s">
        <v>44</v>
      </c>
      <c r="S1" s="12" t="s">
        <v>45</v>
      </c>
      <c r="T1" s="12" t="s">
        <v>46</v>
      </c>
      <c r="U1" s="12" t="s">
        <v>47</v>
      </c>
      <c r="V1" s="12" t="s">
        <v>48</v>
      </c>
      <c r="W1" s="12" t="s">
        <v>49</v>
      </c>
      <c r="X1" s="12" t="s">
        <v>50</v>
      </c>
      <c r="Y1" s="12" t="s">
        <v>51</v>
      </c>
      <c r="Z1" s="12" t="s">
        <v>52</v>
      </c>
      <c r="AA1" s="12" t="s">
        <v>53</v>
      </c>
      <c r="AB1" s="45" t="s">
        <v>1043</v>
      </c>
      <c r="AC1" s="44" t="s">
        <v>1048</v>
      </c>
      <c r="AD1" t="s">
        <v>1049</v>
      </c>
      <c r="AE1" t="s">
        <v>1050</v>
      </c>
      <c r="AF1" t="s">
        <v>1051</v>
      </c>
      <c r="AG1" t="s">
        <v>1052</v>
      </c>
      <c r="AH1" t="s">
        <v>3480</v>
      </c>
      <c r="AI1" t="s">
        <v>3551</v>
      </c>
      <c r="AJ1" t="s">
        <v>3589</v>
      </c>
    </row>
    <row r="2" spans="1:36" ht="30" customHeight="1">
      <c r="A2" s="13" t="s">
        <v>54</v>
      </c>
      <c r="B2" s="14" t="s">
        <v>55</v>
      </c>
      <c r="C2" s="13" t="s">
        <v>56</v>
      </c>
      <c r="D2" s="13" t="s">
        <v>57</v>
      </c>
      <c r="E2" s="13" t="s">
        <v>58</v>
      </c>
      <c r="F2" s="13" t="s">
        <v>59</v>
      </c>
      <c r="G2" s="15" t="s">
        <v>60</v>
      </c>
      <c r="H2" s="14" t="s">
        <v>61</v>
      </c>
      <c r="I2" s="13" t="s">
        <v>62</v>
      </c>
      <c r="J2" s="68" t="s">
        <v>63</v>
      </c>
      <c r="K2" s="68" t="s">
        <v>64</v>
      </c>
      <c r="L2" s="13" t="s">
        <v>65</v>
      </c>
      <c r="M2" s="13" t="s">
        <v>66</v>
      </c>
      <c r="N2" s="13" t="s">
        <v>67</v>
      </c>
      <c r="O2" s="13" t="s">
        <v>68</v>
      </c>
      <c r="P2" s="16" t="s">
        <v>69</v>
      </c>
      <c r="Q2" s="13" t="s">
        <v>70</v>
      </c>
      <c r="R2" s="16" t="s">
        <v>71</v>
      </c>
      <c r="S2" s="13" t="s">
        <v>72</v>
      </c>
      <c r="T2" s="16" t="s">
        <v>73</v>
      </c>
      <c r="U2" s="16" t="s">
        <v>74</v>
      </c>
      <c r="V2" s="16" t="s">
        <v>3553</v>
      </c>
      <c r="W2" s="16" t="s">
        <v>75</v>
      </c>
      <c r="X2" s="15" t="s">
        <v>76</v>
      </c>
      <c r="Y2" s="14" t="s">
        <v>77</v>
      </c>
      <c r="Z2" s="15" t="s">
        <v>78</v>
      </c>
      <c r="AA2" s="16" t="s">
        <v>79</v>
      </c>
      <c r="AB2" s="46" t="s">
        <v>1044</v>
      </c>
      <c r="AC2" s="46" t="s">
        <v>1053</v>
      </c>
      <c r="AD2" s="46" t="s">
        <v>1054</v>
      </c>
      <c r="AE2" s="46" t="s">
        <v>1055</v>
      </c>
      <c r="AF2" s="46" t="s">
        <v>1056</v>
      </c>
      <c r="AG2" s="46" t="s">
        <v>1057</v>
      </c>
      <c r="AH2" s="46" t="s">
        <v>3481</v>
      </c>
      <c r="AI2" s="46" t="s">
        <v>3552</v>
      </c>
      <c r="AJ2" s="46" t="s">
        <v>3590</v>
      </c>
    </row>
    <row r="3" spans="1:36" ht="21.75" customHeight="1">
      <c r="A3" s="17" t="s">
        <v>80</v>
      </c>
      <c r="B3" s="18" t="s">
        <v>81</v>
      </c>
      <c r="C3" s="19" t="s">
        <v>82</v>
      </c>
      <c r="D3" s="19">
        <f>IFERROR(IF(ISNUMBER($C3),$C3-2,DATEVALUE($C3)-2),"")</f>
        <v>46133</v>
      </c>
      <c r="E3" s="17" t="s">
        <v>3582</v>
      </c>
      <c r="F3" s="17">
        <v>1</v>
      </c>
      <c r="G3" s="17" t="s">
        <v>84</v>
      </c>
      <c r="H3" s="17" t="s">
        <v>85</v>
      </c>
      <c r="I3" s="20">
        <v>77.7</v>
      </c>
      <c r="J3" s="20">
        <v>70</v>
      </c>
      <c r="K3" s="20">
        <v>77.7</v>
      </c>
      <c r="L3" s="20">
        <v>4549000000</v>
      </c>
      <c r="M3" s="17">
        <v>8</v>
      </c>
      <c r="N3" s="17">
        <v>531.33000000000004</v>
      </c>
      <c r="O3" s="17">
        <v>0</v>
      </c>
      <c r="P3" s="21">
        <v>0.15</v>
      </c>
      <c r="Q3" s="18" t="s">
        <v>86</v>
      </c>
      <c r="R3" s="17">
        <v>2</v>
      </c>
      <c r="S3" s="17">
        <v>1</v>
      </c>
      <c r="T3" s="17">
        <v>1</v>
      </c>
      <c r="U3" s="17">
        <v>12.2</v>
      </c>
      <c r="V3" s="17" t="str">
        <f>IFERROR((SUMIFS($U$3:$U$392,$H$3:$H$392,$H3,$U$3:$U$392,"&gt;0")-IF(IFERROR($U3,0)&gt;0,$U3,0))/(COUNTIFS($H$3:$H$392,$H3,$U$3:$U$392,"&gt;0")-IF(IFERROR($U3,0)&gt;0,1,0)),"")</f>
        <v/>
      </c>
      <c r="W3" s="21">
        <v>-0.28000000000000003</v>
      </c>
      <c r="X3" s="17">
        <v>6</v>
      </c>
      <c r="Y3" s="17">
        <v>0</v>
      </c>
      <c r="Z3" s="19"/>
      <c r="AA3" s="17" t="s">
        <v>87</v>
      </c>
      <c r="AC3" t="s">
        <v>216</v>
      </c>
      <c r="AI3" t="s">
        <v>83</v>
      </c>
      <c r="AJ3">
        <v>0</v>
      </c>
    </row>
    <row r="4" spans="1:36" ht="21.75" customHeight="1">
      <c r="A4" s="22" t="s">
        <v>221</v>
      </c>
      <c r="B4" s="23" t="s">
        <v>1045</v>
      </c>
      <c r="C4" s="47">
        <v>45797</v>
      </c>
      <c r="D4" s="19">
        <f t="shared" ref="D4:D67" si="0">IFERROR(IF(ISNUMBER($C4),$C4-2,DATEVALUE($C4)-2),"")</f>
        <v>45795</v>
      </c>
      <c r="E4" s="17" t="s">
        <v>3582</v>
      </c>
      <c r="F4">
        <f t="shared" ref="F4:F67" si="1">IF(AND(G4&lt;&gt;"",G4&lt;&gt;0),1,0)</f>
        <v>1</v>
      </c>
      <c r="G4" s="23" t="s">
        <v>1047</v>
      </c>
      <c r="H4" t="s">
        <v>2226</v>
      </c>
      <c r="I4" s="48">
        <v>263</v>
      </c>
      <c r="J4" s="69" t="s">
        <v>1046</v>
      </c>
      <c r="K4" s="69">
        <v>263</v>
      </c>
      <c r="L4">
        <v>41005723900</v>
      </c>
      <c r="M4">
        <v>15.17</v>
      </c>
      <c r="N4">
        <v>151.15</v>
      </c>
      <c r="O4">
        <f t="shared" ref="O4:O67" si="2">IF(IFERROR(N4*1,0)&gt;=15,1,0)</f>
        <v>1</v>
      </c>
      <c r="P4">
        <v>53.052999999999997</v>
      </c>
      <c r="Q4" t="s">
        <v>1475</v>
      </c>
      <c r="R4">
        <f t="shared" ref="R4:R67" si="3">IF(Q4="",0,LEN(Q4)-LEN(SUBSTITUTE(Q4,",",""))+1)</f>
        <v>9</v>
      </c>
      <c r="U4">
        <v>21.245431797508299</v>
      </c>
      <c r="V4" s="17">
        <f t="shared" ref="V4:V67" si="4">IFERROR((SUMIFS($U$3:$U$392,$H$3:$H$392,$H4,$U$3:$U$392,"&gt;0")-IF(IFERROR($U4,0)&gt;0,$U4,0))/(COUNTIFS($H$3:$H$392,$H4,$U$3:$U$392,"&gt;0")-IF(IFERROR($U4,0)&gt;0,1,0)),"")</f>
        <v>167.77740086664431</v>
      </c>
      <c r="W4" s="23"/>
      <c r="X4" s="23">
        <v>6</v>
      </c>
      <c r="Y4" s="24" t="s">
        <v>1058</v>
      </c>
      <c r="Z4" s="24" t="s">
        <v>1046</v>
      </c>
      <c r="AA4" s="23"/>
      <c r="AB4" t="str">
        <f t="shared" ref="AB4:AB67" si="5">IF(LEFT(A4,1)="0",MID(A4,2,99),A4)</f>
        <v>3750.HK</v>
      </c>
      <c r="AC4" s="50">
        <v>306.2</v>
      </c>
      <c r="AD4" s="50">
        <v>296</v>
      </c>
      <c r="AE4" s="50">
        <v>311.39999999999998</v>
      </c>
      <c r="AF4" s="50">
        <v>291</v>
      </c>
      <c r="AG4" t="s">
        <v>224</v>
      </c>
      <c r="AH4" t="s">
        <v>2293</v>
      </c>
      <c r="AI4" t="s">
        <v>224</v>
      </c>
      <c r="AJ4">
        <v>0</v>
      </c>
    </row>
    <row r="5" spans="1:36">
      <c r="A5" t="s">
        <v>222</v>
      </c>
      <c r="B5" t="s">
        <v>223</v>
      </c>
      <c r="C5" s="40">
        <v>45552</v>
      </c>
      <c r="D5" s="19">
        <f t="shared" si="0"/>
        <v>45550</v>
      </c>
      <c r="E5" s="17" t="s">
        <v>3582</v>
      </c>
      <c r="F5">
        <f t="shared" si="1"/>
        <v>1</v>
      </c>
      <c r="G5" t="s">
        <v>225</v>
      </c>
      <c r="H5" t="s">
        <v>2201</v>
      </c>
      <c r="I5" s="49">
        <v>54.8</v>
      </c>
      <c r="J5" s="61">
        <v>52</v>
      </c>
      <c r="K5" s="61">
        <v>54.8</v>
      </c>
      <c r="L5">
        <v>35666497800</v>
      </c>
      <c r="M5">
        <v>8.06</v>
      </c>
      <c r="N5">
        <v>5.31</v>
      </c>
      <c r="O5">
        <f t="shared" si="2"/>
        <v>0</v>
      </c>
      <c r="P5">
        <v>46.145000000000003</v>
      </c>
      <c r="Q5" t="s">
        <v>1679</v>
      </c>
      <c r="R5">
        <f t="shared" si="3"/>
        <v>10</v>
      </c>
      <c r="U5">
        <v>11.134371520361601</v>
      </c>
      <c r="V5" s="17">
        <f t="shared" si="4"/>
        <v>6.9752519211255954</v>
      </c>
      <c r="X5">
        <v>6</v>
      </c>
      <c r="Y5" s="51" t="str">
        <f>[1]!wss(AB5,"sec_status","cols=1;rows=1")</f>
        <v/>
      </c>
      <c r="AB5" t="str">
        <f t="shared" si="5"/>
        <v>300.HK</v>
      </c>
      <c r="AC5" s="50">
        <v>59.1</v>
      </c>
      <c r="AD5" s="50">
        <v>59.2</v>
      </c>
      <c r="AE5" s="50">
        <v>60</v>
      </c>
      <c r="AF5" s="50">
        <v>58</v>
      </c>
      <c r="AG5" t="s">
        <v>224</v>
      </c>
      <c r="AH5" t="s">
        <v>2293</v>
      </c>
      <c r="AI5" t="s">
        <v>224</v>
      </c>
      <c r="AJ5">
        <v>0</v>
      </c>
    </row>
    <row r="6" spans="1:36">
      <c r="A6" t="s">
        <v>226</v>
      </c>
      <c r="B6" t="s">
        <v>227</v>
      </c>
      <c r="C6" s="40">
        <v>45623</v>
      </c>
      <c r="D6" s="19">
        <f t="shared" si="0"/>
        <v>45621</v>
      </c>
      <c r="E6" s="17" t="s">
        <v>3582</v>
      </c>
      <c r="F6">
        <f t="shared" si="1"/>
        <v>1</v>
      </c>
      <c r="G6" t="s">
        <v>228</v>
      </c>
      <c r="H6" t="s">
        <v>2249</v>
      </c>
      <c r="I6" s="50">
        <v>34.299999999999997</v>
      </c>
      <c r="J6" s="61">
        <v>32.299999999999997</v>
      </c>
      <c r="K6" s="61">
        <v>36.299999999999997</v>
      </c>
      <c r="L6">
        <v>5831000000</v>
      </c>
      <c r="M6">
        <v>10.1</v>
      </c>
      <c r="N6">
        <v>79.069999999999993</v>
      </c>
      <c r="O6">
        <f t="shared" si="2"/>
        <v>1</v>
      </c>
      <c r="P6">
        <v>0</v>
      </c>
      <c r="Q6" t="s">
        <v>1518</v>
      </c>
      <c r="R6">
        <f t="shared" si="3"/>
        <v>11</v>
      </c>
      <c r="U6">
        <v>18.821726512280101</v>
      </c>
      <c r="V6" s="17">
        <f t="shared" si="4"/>
        <v>16.263306624873206</v>
      </c>
      <c r="X6">
        <v>6</v>
      </c>
      <c r="Y6" s="72" t="str">
        <f>[1]!wss(AB6,"sec_status","cols=1;rows=1")</f>
        <v>L</v>
      </c>
      <c r="AB6" t="str">
        <f t="shared" si="5"/>
        <v>6936.HK</v>
      </c>
      <c r="AC6" s="50">
        <v>34.299999999999997</v>
      </c>
      <c r="AD6" s="50">
        <v>34.299999999999997</v>
      </c>
      <c r="AE6" s="50">
        <v>35.5</v>
      </c>
      <c r="AF6" s="50">
        <v>34.299999999999997</v>
      </c>
      <c r="AG6" t="s">
        <v>224</v>
      </c>
      <c r="AH6" t="s">
        <v>2293</v>
      </c>
      <c r="AI6" t="s">
        <v>224</v>
      </c>
      <c r="AJ6">
        <v>0</v>
      </c>
    </row>
    <row r="7" spans="1:36" ht="25.5">
      <c r="A7" t="s">
        <v>229</v>
      </c>
      <c r="B7" t="s">
        <v>230</v>
      </c>
      <c r="C7" s="40">
        <v>45925</v>
      </c>
      <c r="D7" s="19">
        <f t="shared" si="0"/>
        <v>45923</v>
      </c>
      <c r="E7" s="17" t="s">
        <v>3583</v>
      </c>
      <c r="F7">
        <f t="shared" si="1"/>
        <v>0</v>
      </c>
      <c r="H7" t="s">
        <v>2234</v>
      </c>
      <c r="I7" s="50">
        <v>30.75</v>
      </c>
      <c r="J7" s="61">
        <v>27.75</v>
      </c>
      <c r="K7" s="61">
        <v>30.75</v>
      </c>
      <c r="L7">
        <v>10417266675</v>
      </c>
      <c r="M7">
        <v>11.61</v>
      </c>
      <c r="N7">
        <v>308.18</v>
      </c>
      <c r="O7">
        <f t="shared" si="2"/>
        <v>1</v>
      </c>
      <c r="P7">
        <v>12.493</v>
      </c>
      <c r="Q7" t="s">
        <v>1659</v>
      </c>
      <c r="R7">
        <f t="shared" si="3"/>
        <v>8</v>
      </c>
      <c r="U7">
        <v>11.6183972693015</v>
      </c>
      <c r="V7" s="17">
        <f t="shared" si="4"/>
        <v>18.637358158757355</v>
      </c>
      <c r="X7">
        <v>6</v>
      </c>
      <c r="Y7" s="72" t="str">
        <f>[1]!wss(AB7,"sec_status","cols=1;rows=1")</f>
        <v>L</v>
      </c>
      <c r="AB7" t="str">
        <f t="shared" si="5"/>
        <v>9973.HK</v>
      </c>
      <c r="AC7" s="50">
        <v>31.92</v>
      </c>
      <c r="AD7" s="50">
        <v>34.200000000000003</v>
      </c>
      <c r="AE7" s="50">
        <v>34.979999999999997</v>
      </c>
      <c r="AF7" s="50">
        <v>31.72</v>
      </c>
      <c r="AG7" t="s">
        <v>224</v>
      </c>
      <c r="AH7" t="s">
        <v>2293</v>
      </c>
      <c r="AI7" t="s">
        <v>224</v>
      </c>
      <c r="AJ7">
        <v>0</v>
      </c>
    </row>
    <row r="8" spans="1:36">
      <c r="A8" t="s">
        <v>231</v>
      </c>
      <c r="B8" t="s">
        <v>232</v>
      </c>
      <c r="C8" s="40">
        <v>46059</v>
      </c>
      <c r="D8" s="19">
        <f t="shared" si="0"/>
        <v>46057</v>
      </c>
      <c r="E8" s="17" t="s">
        <v>3582</v>
      </c>
      <c r="F8">
        <f t="shared" si="1"/>
        <v>1</v>
      </c>
      <c r="G8" t="s">
        <v>233</v>
      </c>
      <c r="H8" t="s">
        <v>2244</v>
      </c>
      <c r="I8" s="50">
        <v>39</v>
      </c>
      <c r="K8" s="61">
        <v>39</v>
      </c>
      <c r="L8">
        <v>12098700900</v>
      </c>
      <c r="M8">
        <v>8.6199999999999992</v>
      </c>
      <c r="N8">
        <v>5.88</v>
      </c>
      <c r="O8">
        <f t="shared" si="2"/>
        <v>0</v>
      </c>
      <c r="P8">
        <v>13.95</v>
      </c>
      <c r="Q8" t="s">
        <v>1665</v>
      </c>
      <c r="R8">
        <f t="shared" si="3"/>
        <v>16</v>
      </c>
      <c r="U8">
        <v>11.586708579878399</v>
      </c>
      <c r="V8" s="17">
        <f t="shared" si="4"/>
        <v>12.9275815766792</v>
      </c>
      <c r="X8">
        <v>6</v>
      </c>
      <c r="Y8" s="72" t="str">
        <f>[1]!wss(AB8,"sec_status","cols=1;rows=1")</f>
        <v>L</v>
      </c>
      <c r="AB8" t="str">
        <f t="shared" si="5"/>
        <v>2714.HK</v>
      </c>
      <c r="AC8" s="50">
        <v>40.520000000000003</v>
      </c>
      <c r="AD8" s="50">
        <v>39</v>
      </c>
      <c r="AE8" s="50">
        <v>41.72</v>
      </c>
      <c r="AF8" s="50">
        <v>38.979999999999997</v>
      </c>
      <c r="AG8" t="s">
        <v>224</v>
      </c>
      <c r="AH8" t="s">
        <v>2293</v>
      </c>
      <c r="AI8" t="s">
        <v>224</v>
      </c>
      <c r="AJ8">
        <v>0</v>
      </c>
    </row>
    <row r="9" spans="1:36">
      <c r="A9" t="s">
        <v>219</v>
      </c>
      <c r="B9" t="s">
        <v>81</v>
      </c>
      <c r="C9" s="40">
        <v>46135</v>
      </c>
      <c r="D9" s="19">
        <f t="shared" si="0"/>
        <v>46133</v>
      </c>
      <c r="E9" s="17" t="s">
        <v>3582</v>
      </c>
      <c r="F9">
        <f t="shared" si="1"/>
        <v>1</v>
      </c>
      <c r="G9" t="s">
        <v>84</v>
      </c>
      <c r="H9" t="s">
        <v>2230</v>
      </c>
      <c r="I9" s="50">
        <v>77.7</v>
      </c>
      <c r="K9" s="61">
        <v>77.7</v>
      </c>
      <c r="L9">
        <v>4549195140</v>
      </c>
      <c r="M9">
        <v>13.34</v>
      </c>
      <c r="N9">
        <v>531.33000000000004</v>
      </c>
      <c r="O9">
        <f t="shared" si="2"/>
        <v>1</v>
      </c>
      <c r="P9">
        <v>0</v>
      </c>
      <c r="Q9" t="s">
        <v>1520</v>
      </c>
      <c r="R9">
        <f t="shared" si="3"/>
        <v>8</v>
      </c>
      <c r="U9">
        <v>18.472671704315001</v>
      </c>
      <c r="V9" s="17">
        <f t="shared" si="4"/>
        <v>44.7357668058185</v>
      </c>
      <c r="X9">
        <v>6</v>
      </c>
      <c r="Y9" s="72" t="str">
        <f>[1]!wss(AB9,"sec_status","cols=1;rows=1")</f>
        <v>L</v>
      </c>
      <c r="AB9" t="str">
        <f t="shared" si="5"/>
        <v>3296.HK</v>
      </c>
      <c r="AC9" s="50">
        <v>88</v>
      </c>
      <c r="AD9" s="50">
        <v>87.55</v>
      </c>
      <c r="AE9" s="50">
        <v>90.95</v>
      </c>
      <c r="AF9" s="50">
        <v>85</v>
      </c>
      <c r="AG9" t="s">
        <v>224</v>
      </c>
      <c r="AH9" t="s">
        <v>2293</v>
      </c>
      <c r="AI9" t="s">
        <v>224</v>
      </c>
      <c r="AJ9">
        <v>0</v>
      </c>
    </row>
    <row r="10" spans="1:36" ht="25.5">
      <c r="A10" t="s">
        <v>234</v>
      </c>
      <c r="B10" t="s">
        <v>235</v>
      </c>
      <c r="C10" s="40">
        <v>44610</v>
      </c>
      <c r="D10" s="19">
        <f t="shared" si="0"/>
        <v>44608</v>
      </c>
      <c r="E10" s="17" t="s">
        <v>3583</v>
      </c>
      <c r="F10">
        <f t="shared" si="1"/>
        <v>0</v>
      </c>
      <c r="H10" t="s">
        <v>2239</v>
      </c>
      <c r="I10" s="50">
        <v>43</v>
      </c>
      <c r="J10" s="61">
        <v>43</v>
      </c>
      <c r="K10" s="61">
        <v>48</v>
      </c>
      <c r="L10">
        <v>2318207400</v>
      </c>
      <c r="M10">
        <v>2.0497000000000001</v>
      </c>
      <c r="N10">
        <v>1.67</v>
      </c>
      <c r="O10">
        <f t="shared" si="2"/>
        <v>0</v>
      </c>
      <c r="P10">
        <v>0.95660000000000001</v>
      </c>
      <c r="Q10" t="s">
        <v>2128</v>
      </c>
      <c r="R10">
        <f t="shared" si="3"/>
        <v>14</v>
      </c>
      <c r="U10">
        <v>-50.029371962173101</v>
      </c>
      <c r="V10" s="17">
        <f t="shared" si="4"/>
        <v>28.634595887856236</v>
      </c>
      <c r="X10">
        <v>6</v>
      </c>
      <c r="Y10" s="72" t="str">
        <f>[1]!wss(AB10,"sec_status","cols=1;rows=1")</f>
        <v>L</v>
      </c>
      <c r="AB10" t="str">
        <f t="shared" si="5"/>
        <v>9878.HK</v>
      </c>
      <c r="AC10" s="50">
        <v>45.1</v>
      </c>
      <c r="AD10" s="50">
        <v>43.55</v>
      </c>
      <c r="AE10" s="50">
        <v>45.5</v>
      </c>
      <c r="AF10" s="50">
        <v>43</v>
      </c>
      <c r="AG10" t="s">
        <v>224</v>
      </c>
      <c r="AH10" t="s">
        <v>2293</v>
      </c>
      <c r="AI10" t="s">
        <v>224</v>
      </c>
      <c r="AJ10">
        <v>0</v>
      </c>
    </row>
    <row r="11" spans="1:36" ht="25.5">
      <c r="A11" t="s">
        <v>236</v>
      </c>
      <c r="B11" t="s">
        <v>237</v>
      </c>
      <c r="C11" s="40">
        <v>44904</v>
      </c>
      <c r="D11" s="19">
        <f t="shared" si="0"/>
        <v>44902</v>
      </c>
      <c r="E11" s="17" t="s">
        <v>3583</v>
      </c>
      <c r="F11">
        <f t="shared" si="1"/>
        <v>0</v>
      </c>
      <c r="H11" t="s">
        <v>2272</v>
      </c>
      <c r="I11" s="50">
        <v>5.83</v>
      </c>
      <c r="J11" s="61">
        <v>5.83</v>
      </c>
      <c r="K11" s="61">
        <v>6.45</v>
      </c>
      <c r="L11">
        <v>6705389075</v>
      </c>
      <c r="M11">
        <v>1.34</v>
      </c>
      <c r="N11">
        <v>0.13</v>
      </c>
      <c r="O11">
        <f t="shared" si="2"/>
        <v>0</v>
      </c>
      <c r="P11">
        <v>0</v>
      </c>
      <c r="Q11" t="s">
        <v>1722</v>
      </c>
      <c r="R11">
        <f t="shared" si="3"/>
        <v>13</v>
      </c>
      <c r="U11">
        <v>9.3189272753153194</v>
      </c>
      <c r="V11" s="17">
        <f t="shared" si="4"/>
        <v>140.71723170414134</v>
      </c>
      <c r="Y11" s="72" t="str">
        <f>[1]!wss(AB11,"sec_status","cols=1;rows=1")</f>
        <v>L</v>
      </c>
      <c r="AB11" t="str">
        <f t="shared" si="5"/>
        <v>6963.HK</v>
      </c>
      <c r="AC11" s="50">
        <v>5.83</v>
      </c>
      <c r="AD11" s="50">
        <v>5.83</v>
      </c>
      <c r="AE11" s="50">
        <v>5.83</v>
      </c>
      <c r="AF11" s="50">
        <v>5.51</v>
      </c>
      <c r="AG11" t="s">
        <v>224</v>
      </c>
      <c r="AH11" t="s">
        <v>2293</v>
      </c>
      <c r="AI11" t="s">
        <v>224</v>
      </c>
      <c r="AJ11">
        <v>0</v>
      </c>
    </row>
    <row r="12" spans="1:36">
      <c r="A12" t="s">
        <v>238</v>
      </c>
      <c r="B12" t="s">
        <v>239</v>
      </c>
      <c r="C12" s="40">
        <v>44692</v>
      </c>
      <c r="D12" s="19">
        <f t="shared" si="0"/>
        <v>44690</v>
      </c>
      <c r="E12" s="17" t="s">
        <v>3584</v>
      </c>
      <c r="F12">
        <f t="shared" si="1"/>
        <v>0</v>
      </c>
      <c r="H12" t="s">
        <v>2262</v>
      </c>
      <c r="I12" s="50"/>
      <c r="L12">
        <v>0</v>
      </c>
      <c r="M12">
        <v>0</v>
      </c>
      <c r="N12">
        <v>0</v>
      </c>
      <c r="O12">
        <f t="shared" si="2"/>
        <v>0</v>
      </c>
      <c r="P12">
        <v>0</v>
      </c>
      <c r="Q12">
        <v>0</v>
      </c>
      <c r="R12">
        <f t="shared" si="3"/>
        <v>1</v>
      </c>
      <c r="U12">
        <v>0</v>
      </c>
      <c r="V12" s="17" t="str">
        <f t="shared" si="4"/>
        <v/>
      </c>
      <c r="Y12" s="72" t="str">
        <f>[1]!wss(AB12,"sec_status","cols=1;rows=1")</f>
        <v>L</v>
      </c>
      <c r="AB12" t="str">
        <f t="shared" si="5"/>
        <v>2423.HK</v>
      </c>
      <c r="AC12" s="50">
        <v>30.75</v>
      </c>
      <c r="AD12" s="50">
        <v>30</v>
      </c>
      <c r="AE12" s="50">
        <v>32.450000000000003</v>
      </c>
      <c r="AF12" s="50">
        <v>30</v>
      </c>
      <c r="AG12" t="s">
        <v>224</v>
      </c>
      <c r="AI12" t="s">
        <v>224</v>
      </c>
      <c r="AJ12">
        <v>0</v>
      </c>
    </row>
    <row r="13" spans="1:36">
      <c r="A13" t="s">
        <v>240</v>
      </c>
      <c r="B13" t="s">
        <v>241</v>
      </c>
      <c r="C13" s="40">
        <v>45958</v>
      </c>
      <c r="D13" s="19">
        <f t="shared" si="0"/>
        <v>45956</v>
      </c>
      <c r="E13" s="17" t="s">
        <v>3582</v>
      </c>
      <c r="F13">
        <f t="shared" si="1"/>
        <v>1</v>
      </c>
      <c r="G13" t="s">
        <v>242</v>
      </c>
      <c r="H13" t="s">
        <v>2205</v>
      </c>
      <c r="I13" s="50">
        <v>21.3</v>
      </c>
      <c r="J13" s="61">
        <v>20.3</v>
      </c>
      <c r="K13" s="61">
        <v>21.3</v>
      </c>
      <c r="L13">
        <v>15349086720</v>
      </c>
      <c r="M13">
        <v>13.96</v>
      </c>
      <c r="N13">
        <v>52.93</v>
      </c>
      <c r="O13">
        <f t="shared" si="2"/>
        <v>1</v>
      </c>
      <c r="P13">
        <v>18.824000000000002</v>
      </c>
      <c r="Q13" t="s">
        <v>1332</v>
      </c>
      <c r="R13">
        <f t="shared" si="3"/>
        <v>7</v>
      </c>
      <c r="U13">
        <v>30.058394073637199</v>
      </c>
      <c r="V13" s="17">
        <f t="shared" si="4"/>
        <v>19.366735140043399</v>
      </c>
      <c r="X13">
        <v>6</v>
      </c>
      <c r="Y13" s="72" t="str">
        <f>[1]!wss(AB13,"sec_status","cols=1;rows=1")</f>
        <v>L</v>
      </c>
      <c r="AB13" t="str">
        <f t="shared" si="5"/>
        <v>6031.HK</v>
      </c>
      <c r="AC13" s="50">
        <v>21.9</v>
      </c>
      <c r="AD13" s="50">
        <v>21.3</v>
      </c>
      <c r="AE13" s="50">
        <v>22.3</v>
      </c>
      <c r="AF13" s="50">
        <v>21.3</v>
      </c>
      <c r="AG13" t="s">
        <v>224</v>
      </c>
      <c r="AH13" t="s">
        <v>2293</v>
      </c>
      <c r="AI13" t="s">
        <v>224</v>
      </c>
      <c r="AJ13">
        <v>0</v>
      </c>
    </row>
    <row r="14" spans="1:36">
      <c r="A14" t="s">
        <v>243</v>
      </c>
      <c r="B14" t="s">
        <v>244</v>
      </c>
      <c r="C14" s="40">
        <v>44798</v>
      </c>
      <c r="D14" s="19">
        <f t="shared" si="0"/>
        <v>44796</v>
      </c>
      <c r="E14" s="17" t="s">
        <v>3582</v>
      </c>
      <c r="F14">
        <f t="shared" si="1"/>
        <v>1</v>
      </c>
      <c r="G14" t="s">
        <v>245</v>
      </c>
      <c r="H14" t="s">
        <v>2290</v>
      </c>
      <c r="I14" s="50">
        <v>158</v>
      </c>
      <c r="J14" s="61">
        <v>143.5</v>
      </c>
      <c r="K14" s="61">
        <v>165.5</v>
      </c>
      <c r="L14">
        <v>18388593000</v>
      </c>
      <c r="M14">
        <v>4.7</v>
      </c>
      <c r="N14">
        <v>1.06</v>
      </c>
      <c r="O14">
        <f t="shared" si="2"/>
        <v>0</v>
      </c>
      <c r="P14">
        <v>21.198</v>
      </c>
      <c r="Q14" t="s">
        <v>1366</v>
      </c>
      <c r="R14">
        <f t="shared" si="3"/>
        <v>15</v>
      </c>
      <c r="U14">
        <v>27.296114874551701</v>
      </c>
      <c r="V14" s="17" t="str">
        <f t="shared" si="4"/>
        <v/>
      </c>
      <c r="X14">
        <v>6</v>
      </c>
      <c r="Y14" s="72" t="str">
        <f>[1]!wss(AB14,"sec_status","cols=1;rows=1")</f>
        <v>L</v>
      </c>
      <c r="AB14" t="str">
        <f t="shared" si="5"/>
        <v>1880.HK</v>
      </c>
      <c r="AC14" s="50">
        <v>158</v>
      </c>
      <c r="AD14" s="50">
        <v>120</v>
      </c>
      <c r="AE14" s="50">
        <v>159.30000000000001</v>
      </c>
      <c r="AF14" s="50">
        <v>120</v>
      </c>
      <c r="AG14" t="s">
        <v>224</v>
      </c>
      <c r="AH14" t="s">
        <v>2293</v>
      </c>
      <c r="AI14" t="s">
        <v>224</v>
      </c>
      <c r="AJ14">
        <v>0</v>
      </c>
    </row>
    <row r="15" spans="1:36">
      <c r="A15" t="s">
        <v>246</v>
      </c>
      <c r="B15" t="s">
        <v>247</v>
      </c>
      <c r="C15" s="40">
        <v>45226</v>
      </c>
      <c r="D15" s="19">
        <f t="shared" si="0"/>
        <v>45224</v>
      </c>
      <c r="E15" s="17" t="s">
        <v>3584</v>
      </c>
      <c r="F15">
        <f t="shared" si="1"/>
        <v>0</v>
      </c>
      <c r="H15" t="s">
        <v>2249</v>
      </c>
      <c r="I15" s="50">
        <v>12</v>
      </c>
      <c r="J15" s="61">
        <v>12</v>
      </c>
      <c r="K15" s="61">
        <v>12</v>
      </c>
      <c r="L15">
        <v>3918604800</v>
      </c>
      <c r="M15">
        <v>1.91</v>
      </c>
      <c r="N15">
        <v>1.36</v>
      </c>
      <c r="O15">
        <f t="shared" si="2"/>
        <v>0</v>
      </c>
      <c r="P15">
        <v>0</v>
      </c>
      <c r="Q15" t="s">
        <v>1750</v>
      </c>
      <c r="R15">
        <f t="shared" si="3"/>
        <v>21</v>
      </c>
      <c r="U15">
        <v>8.1892873163458102</v>
      </c>
      <c r="V15" s="17">
        <f t="shared" si="4"/>
        <v>21.57952622284035</v>
      </c>
      <c r="X15">
        <v>6</v>
      </c>
      <c r="Y15" s="72" t="str">
        <f>[1]!wss(AB15,"sec_status","cols=1;rows=1")</f>
        <v>L</v>
      </c>
      <c r="AB15" t="str">
        <f t="shared" si="5"/>
        <v>1519.HK</v>
      </c>
      <c r="AC15" s="50">
        <v>12</v>
      </c>
      <c r="AD15" s="50">
        <v>12</v>
      </c>
      <c r="AE15" s="50">
        <v>12.2</v>
      </c>
      <c r="AF15" s="50">
        <v>11.8</v>
      </c>
      <c r="AG15" t="s">
        <v>224</v>
      </c>
      <c r="AI15" t="s">
        <v>224</v>
      </c>
      <c r="AJ15">
        <v>0</v>
      </c>
    </row>
    <row r="16" spans="1:36">
      <c r="A16" t="s">
        <v>248</v>
      </c>
      <c r="B16" t="s">
        <v>249</v>
      </c>
      <c r="C16" s="40">
        <v>45967</v>
      </c>
      <c r="D16" s="19">
        <f t="shared" si="0"/>
        <v>45965</v>
      </c>
      <c r="E16" s="17" t="s">
        <v>3582</v>
      </c>
      <c r="F16">
        <f t="shared" si="1"/>
        <v>1</v>
      </c>
      <c r="G16" t="s">
        <v>250</v>
      </c>
      <c r="H16" t="s">
        <v>2245</v>
      </c>
      <c r="I16" s="50">
        <v>22</v>
      </c>
      <c r="K16" s="61">
        <v>23.6</v>
      </c>
      <c r="L16">
        <v>3412200000</v>
      </c>
      <c r="M16">
        <v>9.7799999999999994</v>
      </c>
      <c r="N16">
        <v>147.66999999999999</v>
      </c>
      <c r="O16">
        <f t="shared" si="2"/>
        <v>1</v>
      </c>
      <c r="P16">
        <v>0</v>
      </c>
      <c r="Q16" t="s">
        <v>1297</v>
      </c>
      <c r="R16">
        <f t="shared" si="3"/>
        <v>8</v>
      </c>
      <c r="U16">
        <v>32.893960860340698</v>
      </c>
      <c r="V16" s="17">
        <f t="shared" si="4"/>
        <v>10.854153944189299</v>
      </c>
      <c r="X16">
        <v>6</v>
      </c>
      <c r="Y16" s="51" t="str">
        <f>[1]!wss(AB16,"sec_status","cols=1;rows=1")</f>
        <v/>
      </c>
      <c r="AB16" t="str">
        <f t="shared" si="5"/>
        <v>699.HK</v>
      </c>
      <c r="AC16" s="50">
        <v>20.239999999999998</v>
      </c>
      <c r="AD16" s="50">
        <v>21.5</v>
      </c>
      <c r="AE16" s="50">
        <v>21.5</v>
      </c>
      <c r="AF16" s="50">
        <v>19.850000000000001</v>
      </c>
      <c r="AG16" t="s">
        <v>224</v>
      </c>
      <c r="AH16" t="s">
        <v>2293</v>
      </c>
      <c r="AI16" t="s">
        <v>224</v>
      </c>
      <c r="AJ16">
        <v>0</v>
      </c>
    </row>
    <row r="17" spans="1:36">
      <c r="A17" t="s">
        <v>251</v>
      </c>
      <c r="B17" t="s">
        <v>252</v>
      </c>
      <c r="C17" s="40">
        <v>44630</v>
      </c>
      <c r="D17" s="19">
        <f t="shared" si="0"/>
        <v>44628</v>
      </c>
      <c r="E17" s="17" t="s">
        <v>3585</v>
      </c>
      <c r="F17">
        <f t="shared" si="1"/>
        <v>0</v>
      </c>
      <c r="H17" t="s">
        <v>2234</v>
      </c>
      <c r="I17" s="50"/>
      <c r="L17">
        <v>0</v>
      </c>
      <c r="M17">
        <v>0</v>
      </c>
      <c r="N17">
        <v>0</v>
      </c>
      <c r="O17">
        <f t="shared" si="2"/>
        <v>0</v>
      </c>
      <c r="P17">
        <v>0</v>
      </c>
      <c r="Q17">
        <v>0</v>
      </c>
      <c r="R17">
        <f t="shared" si="3"/>
        <v>1</v>
      </c>
      <c r="U17">
        <v>0</v>
      </c>
      <c r="V17" s="17">
        <f t="shared" si="4"/>
        <v>16.882617936393391</v>
      </c>
      <c r="Y17" s="72" t="str">
        <f>[1]!wss(AB17,"sec_status","cols=1;rows=1")</f>
        <v>L</v>
      </c>
      <c r="AB17" t="str">
        <f t="shared" si="5"/>
        <v>9866.HK</v>
      </c>
      <c r="AC17" s="50">
        <v>158.9</v>
      </c>
      <c r="AD17" s="50">
        <v>160</v>
      </c>
      <c r="AE17" s="50">
        <v>169.5</v>
      </c>
      <c r="AF17" s="50">
        <v>158.80000000000001</v>
      </c>
      <c r="AG17" t="s">
        <v>224</v>
      </c>
      <c r="AI17" t="s">
        <v>224</v>
      </c>
      <c r="AJ17">
        <v>0</v>
      </c>
    </row>
    <row r="18" spans="1:36">
      <c r="A18" t="s">
        <v>253</v>
      </c>
      <c r="B18" t="s">
        <v>254</v>
      </c>
      <c r="C18" s="40">
        <v>45847</v>
      </c>
      <c r="D18" s="19">
        <f t="shared" si="0"/>
        <v>45845</v>
      </c>
      <c r="E18" s="17" t="s">
        <v>3582</v>
      </c>
      <c r="F18">
        <f t="shared" si="1"/>
        <v>1</v>
      </c>
      <c r="G18" t="s">
        <v>255</v>
      </c>
      <c r="H18" t="s">
        <v>2216</v>
      </c>
      <c r="I18" s="50">
        <v>18.18</v>
      </c>
      <c r="J18" s="61">
        <v>17.38</v>
      </c>
      <c r="K18" s="61">
        <v>18.18</v>
      </c>
      <c r="L18">
        <v>5483000736</v>
      </c>
      <c r="M18">
        <v>16.68</v>
      </c>
      <c r="N18">
        <v>462.76</v>
      </c>
      <c r="O18">
        <f t="shared" si="2"/>
        <v>1</v>
      </c>
      <c r="P18">
        <v>7.1079999999999997</v>
      </c>
      <c r="Q18" t="s">
        <v>1409</v>
      </c>
      <c r="R18">
        <f t="shared" si="3"/>
        <v>7</v>
      </c>
      <c r="U18">
        <v>24.366614458447401</v>
      </c>
      <c r="V18" s="17">
        <f t="shared" si="4"/>
        <v>35.876825148674484</v>
      </c>
      <c r="X18">
        <v>6</v>
      </c>
      <c r="Y18" s="72" t="str">
        <f>[1]!wss(AB18,"sec_status","cols=1;rows=1")</f>
        <v>L</v>
      </c>
      <c r="AB18" t="str">
        <f t="shared" si="5"/>
        <v>6613.HK</v>
      </c>
      <c r="AC18" s="50">
        <v>19.84</v>
      </c>
      <c r="AD18" s="50">
        <v>18.88</v>
      </c>
      <c r="AE18" s="50">
        <v>19.98</v>
      </c>
      <c r="AF18" s="50">
        <v>18.54</v>
      </c>
      <c r="AG18" t="s">
        <v>224</v>
      </c>
      <c r="AH18" t="s">
        <v>2293</v>
      </c>
      <c r="AI18" t="s">
        <v>224</v>
      </c>
      <c r="AJ18">
        <v>0</v>
      </c>
    </row>
    <row r="19" spans="1:36">
      <c r="A19" t="s">
        <v>256</v>
      </c>
      <c r="B19" t="s">
        <v>257</v>
      </c>
      <c r="C19" s="40">
        <v>44755</v>
      </c>
      <c r="D19" s="19">
        <f t="shared" si="0"/>
        <v>44753</v>
      </c>
      <c r="E19" s="17" t="s">
        <v>3582</v>
      </c>
      <c r="F19">
        <f t="shared" si="1"/>
        <v>1</v>
      </c>
      <c r="G19" t="s">
        <v>258</v>
      </c>
      <c r="H19" t="s">
        <v>2217</v>
      </c>
      <c r="I19" s="50">
        <v>82</v>
      </c>
      <c r="J19" s="61">
        <v>69</v>
      </c>
      <c r="K19" s="61">
        <v>82</v>
      </c>
      <c r="L19">
        <v>13458020400</v>
      </c>
      <c r="M19">
        <v>5.2</v>
      </c>
      <c r="N19">
        <v>9.3000000000000007</v>
      </c>
      <c r="O19">
        <f t="shared" si="2"/>
        <v>0</v>
      </c>
      <c r="P19">
        <v>0</v>
      </c>
      <c r="Q19" t="s">
        <v>1326</v>
      </c>
      <c r="R19">
        <f t="shared" si="3"/>
        <v>9</v>
      </c>
      <c r="U19">
        <v>30.152690760645399</v>
      </c>
      <c r="V19" s="17">
        <f t="shared" si="4"/>
        <v>34.494408599522956</v>
      </c>
      <c r="X19">
        <v>6</v>
      </c>
      <c r="Y19" s="72" t="str">
        <f>[1]!wss(AB19,"sec_status","cols=1;rows=1")</f>
        <v>L</v>
      </c>
      <c r="AB19" t="str">
        <f t="shared" si="5"/>
        <v>9696.HK</v>
      </c>
      <c r="AC19" s="50">
        <v>82</v>
      </c>
      <c r="AD19" s="50">
        <v>74.5</v>
      </c>
      <c r="AE19" s="50">
        <v>82</v>
      </c>
      <c r="AF19" s="50">
        <v>72.650000000000006</v>
      </c>
      <c r="AG19" t="s">
        <v>224</v>
      </c>
      <c r="AH19" t="s">
        <v>2293</v>
      </c>
      <c r="AI19" t="s">
        <v>224</v>
      </c>
      <c r="AJ19">
        <v>0</v>
      </c>
    </row>
    <row r="20" spans="1:36">
      <c r="A20" t="s">
        <v>259</v>
      </c>
      <c r="B20" t="s">
        <v>260</v>
      </c>
      <c r="C20" s="40">
        <v>45966</v>
      </c>
      <c r="D20" s="19">
        <f t="shared" si="0"/>
        <v>45964</v>
      </c>
      <c r="E20" s="17" t="s">
        <v>3582</v>
      </c>
      <c r="F20">
        <f t="shared" si="1"/>
        <v>1</v>
      </c>
      <c r="G20" t="s">
        <v>261</v>
      </c>
      <c r="H20" t="s">
        <v>2234</v>
      </c>
      <c r="I20" s="50">
        <v>131.5</v>
      </c>
      <c r="K20" s="61">
        <v>131.5</v>
      </c>
      <c r="L20">
        <v>14283398500</v>
      </c>
      <c r="M20">
        <v>8.61</v>
      </c>
      <c r="N20">
        <v>132.68</v>
      </c>
      <c r="O20">
        <f t="shared" si="2"/>
        <v>1</v>
      </c>
      <c r="P20">
        <v>0</v>
      </c>
      <c r="Q20" t="s">
        <v>1285</v>
      </c>
      <c r="R20">
        <f t="shared" si="3"/>
        <v>3</v>
      </c>
      <c r="U20">
        <v>35.676237297634998</v>
      </c>
      <c r="V20" s="17">
        <f t="shared" si="4"/>
        <v>10.618078149312856</v>
      </c>
      <c r="X20">
        <v>6</v>
      </c>
      <c r="Y20" s="72" t="str">
        <f>[1]!wss(AB20,"sec_status","cols=1;rows=1")</f>
        <v>L</v>
      </c>
      <c r="AB20" t="str">
        <f t="shared" si="5"/>
        <v>9927.HK</v>
      </c>
      <c r="AC20" s="50">
        <v>131.5</v>
      </c>
      <c r="AD20" s="50">
        <v>128.9</v>
      </c>
      <c r="AE20" s="50">
        <v>131.5</v>
      </c>
      <c r="AF20" s="50">
        <v>118</v>
      </c>
      <c r="AG20" t="s">
        <v>224</v>
      </c>
      <c r="AH20" t="s">
        <v>2293</v>
      </c>
      <c r="AI20" t="s">
        <v>224</v>
      </c>
      <c r="AJ20">
        <v>0</v>
      </c>
    </row>
    <row r="21" spans="1:36">
      <c r="A21" t="s">
        <v>262</v>
      </c>
      <c r="B21" t="s">
        <v>263</v>
      </c>
      <c r="C21" s="40">
        <v>45978</v>
      </c>
      <c r="D21" s="19">
        <f t="shared" si="0"/>
        <v>45976</v>
      </c>
      <c r="E21" s="17" t="s">
        <v>3582</v>
      </c>
      <c r="F21">
        <f t="shared" si="1"/>
        <v>1</v>
      </c>
      <c r="G21" t="s">
        <v>264</v>
      </c>
      <c r="H21" t="s">
        <v>2202</v>
      </c>
      <c r="I21" s="50">
        <v>34</v>
      </c>
      <c r="J21" s="61">
        <v>34</v>
      </c>
      <c r="K21" s="61">
        <v>37.799999999999997</v>
      </c>
      <c r="L21">
        <v>3543663600</v>
      </c>
      <c r="M21">
        <v>4.08</v>
      </c>
      <c r="N21">
        <v>27.9</v>
      </c>
      <c r="O21">
        <f t="shared" si="2"/>
        <v>1</v>
      </c>
      <c r="P21">
        <v>0</v>
      </c>
      <c r="Q21" t="s">
        <v>1456</v>
      </c>
      <c r="R21">
        <f t="shared" si="3"/>
        <v>12</v>
      </c>
      <c r="U21">
        <v>22.365867741066701</v>
      </c>
      <c r="V21" s="17">
        <f t="shared" si="4"/>
        <v>10.481442862329606</v>
      </c>
      <c r="X21">
        <v>6</v>
      </c>
      <c r="Y21" s="72" t="str">
        <f>[1]!wss(AB21,"sec_status","cols=1;rows=1")</f>
        <v>L</v>
      </c>
      <c r="AB21" t="str">
        <f t="shared" si="5"/>
        <v>2579.HK</v>
      </c>
      <c r="AC21" s="50">
        <v>33.96</v>
      </c>
      <c r="AD21" s="50">
        <v>34</v>
      </c>
      <c r="AE21" s="50">
        <v>34</v>
      </c>
      <c r="AF21" s="50">
        <v>32</v>
      </c>
      <c r="AG21" t="s">
        <v>224</v>
      </c>
      <c r="AH21" t="s">
        <v>2293</v>
      </c>
      <c r="AI21" t="s">
        <v>224</v>
      </c>
      <c r="AJ21">
        <v>0</v>
      </c>
    </row>
    <row r="22" spans="1:36">
      <c r="A22" t="s">
        <v>265</v>
      </c>
      <c r="B22" t="s">
        <v>266</v>
      </c>
      <c r="C22" s="40">
        <v>44648</v>
      </c>
      <c r="D22" s="19">
        <f t="shared" si="0"/>
        <v>44646</v>
      </c>
      <c r="E22" s="17" t="s">
        <v>3582</v>
      </c>
      <c r="F22">
        <f t="shared" si="1"/>
        <v>1</v>
      </c>
      <c r="G22" t="s">
        <v>267</v>
      </c>
      <c r="H22" t="s">
        <v>2220</v>
      </c>
      <c r="I22" s="50"/>
      <c r="L22">
        <v>0</v>
      </c>
      <c r="M22">
        <v>0</v>
      </c>
      <c r="N22">
        <v>0</v>
      </c>
      <c r="O22">
        <f t="shared" si="2"/>
        <v>0</v>
      </c>
      <c r="P22">
        <v>0</v>
      </c>
      <c r="Q22">
        <v>0</v>
      </c>
      <c r="R22">
        <f t="shared" si="3"/>
        <v>1</v>
      </c>
      <c r="U22">
        <v>0</v>
      </c>
      <c r="V22" s="17">
        <f t="shared" si="4"/>
        <v>10.989343168418779</v>
      </c>
      <c r="Y22" s="72" t="str">
        <f>[1]!wss(AB22,"sec_status","cols=1;rows=1")</f>
        <v>L</v>
      </c>
      <c r="AB22" t="str">
        <f t="shared" si="5"/>
        <v>6655.HK</v>
      </c>
      <c r="AC22" s="50">
        <v>13.8</v>
      </c>
      <c r="AD22" s="50">
        <v>14.74</v>
      </c>
      <c r="AE22" s="50">
        <v>14.74</v>
      </c>
      <c r="AF22" s="50">
        <v>11.2</v>
      </c>
      <c r="AG22" t="s">
        <v>224</v>
      </c>
      <c r="AH22" t="s">
        <v>2293</v>
      </c>
      <c r="AI22" t="s">
        <v>224</v>
      </c>
      <c r="AJ22">
        <v>0</v>
      </c>
    </row>
    <row r="23" spans="1:36" ht="25.5">
      <c r="A23" t="s">
        <v>268</v>
      </c>
      <c r="B23" t="s">
        <v>269</v>
      </c>
      <c r="C23" s="40">
        <v>44833</v>
      </c>
      <c r="D23" s="19">
        <f t="shared" si="0"/>
        <v>44831</v>
      </c>
      <c r="E23" s="17" t="s">
        <v>3583</v>
      </c>
      <c r="F23">
        <f t="shared" si="1"/>
        <v>0</v>
      </c>
      <c r="H23" t="s">
        <v>2218</v>
      </c>
      <c r="I23" s="50">
        <v>49.35</v>
      </c>
      <c r="J23" s="61">
        <v>47.1</v>
      </c>
      <c r="K23" s="61">
        <v>52.7</v>
      </c>
      <c r="L23">
        <v>6319203345</v>
      </c>
      <c r="M23">
        <v>3.3</v>
      </c>
      <c r="N23">
        <v>0.82</v>
      </c>
      <c r="O23">
        <f t="shared" si="2"/>
        <v>0</v>
      </c>
      <c r="P23">
        <v>5.5510000000000002</v>
      </c>
      <c r="Q23" t="s">
        <v>1352</v>
      </c>
      <c r="R23">
        <f t="shared" si="3"/>
        <v>11</v>
      </c>
      <c r="U23">
        <v>28.2387804019328</v>
      </c>
      <c r="V23" s="17">
        <f t="shared" si="4"/>
        <v>18.089726820077814</v>
      </c>
      <c r="X23">
        <v>6</v>
      </c>
      <c r="Y23" s="72" t="str">
        <f>[1]!wss(AB23,"sec_status","cols=1;rows=1")</f>
        <v>L</v>
      </c>
      <c r="AB23" t="str">
        <f t="shared" si="5"/>
        <v>2602.HK</v>
      </c>
      <c r="AC23" s="50">
        <v>46</v>
      </c>
      <c r="AD23" s="50">
        <v>45.6</v>
      </c>
      <c r="AE23" s="50">
        <v>47.45</v>
      </c>
      <c r="AF23" s="50">
        <v>42.05</v>
      </c>
      <c r="AG23" t="s">
        <v>224</v>
      </c>
      <c r="AH23" t="s">
        <v>2293</v>
      </c>
      <c r="AI23" t="s">
        <v>224</v>
      </c>
      <c r="AJ23">
        <v>0</v>
      </c>
    </row>
    <row r="24" spans="1:36">
      <c r="A24" t="s">
        <v>270</v>
      </c>
      <c r="B24" t="s">
        <v>271</v>
      </c>
      <c r="C24" s="40">
        <v>44825</v>
      </c>
      <c r="D24" s="19">
        <f t="shared" si="0"/>
        <v>44823</v>
      </c>
      <c r="E24" s="17" t="s">
        <v>3585</v>
      </c>
      <c r="F24">
        <f t="shared" si="1"/>
        <v>0</v>
      </c>
      <c r="H24" t="s">
        <v>2237</v>
      </c>
      <c r="I24" s="50"/>
      <c r="L24">
        <v>0</v>
      </c>
      <c r="M24">
        <v>0</v>
      </c>
      <c r="N24">
        <v>0</v>
      </c>
      <c r="O24">
        <f t="shared" si="2"/>
        <v>0</v>
      </c>
      <c r="P24">
        <v>0</v>
      </c>
      <c r="Q24">
        <v>0</v>
      </c>
      <c r="R24">
        <f t="shared" si="3"/>
        <v>1</v>
      </c>
      <c r="U24">
        <v>0</v>
      </c>
      <c r="V24" s="17">
        <f t="shared" si="4"/>
        <v>71.440652628579983</v>
      </c>
      <c r="Y24" s="72" t="str">
        <f>[1]!wss(AB24,"sec_status","cols=1;rows=1")</f>
        <v>L</v>
      </c>
      <c r="AB24" t="str">
        <f t="shared" si="5"/>
        <v>1698.HK</v>
      </c>
      <c r="AC24" s="50">
        <v>18.22</v>
      </c>
      <c r="AD24" s="50">
        <v>18</v>
      </c>
      <c r="AE24" s="50">
        <v>18.3</v>
      </c>
      <c r="AF24" s="50">
        <v>18</v>
      </c>
      <c r="AG24" t="s">
        <v>224</v>
      </c>
      <c r="AI24" t="s">
        <v>224</v>
      </c>
      <c r="AJ24">
        <v>0</v>
      </c>
    </row>
    <row r="25" spans="1:36">
      <c r="A25" t="s">
        <v>272</v>
      </c>
      <c r="B25" t="s">
        <v>273</v>
      </c>
      <c r="C25" s="40">
        <v>46044</v>
      </c>
      <c r="D25" s="19">
        <f t="shared" si="0"/>
        <v>46042</v>
      </c>
      <c r="E25" s="17" t="s">
        <v>3582</v>
      </c>
      <c r="F25">
        <f t="shared" si="1"/>
        <v>1</v>
      </c>
      <c r="G25" t="s">
        <v>274</v>
      </c>
      <c r="H25" t="s">
        <v>2230</v>
      </c>
      <c r="I25" s="50">
        <v>31</v>
      </c>
      <c r="K25" s="61">
        <v>31</v>
      </c>
      <c r="L25">
        <v>1620032100</v>
      </c>
      <c r="M25">
        <v>9.02</v>
      </c>
      <c r="N25">
        <v>1149.76</v>
      </c>
      <c r="O25">
        <f t="shared" si="2"/>
        <v>1</v>
      </c>
      <c r="P25">
        <v>0</v>
      </c>
      <c r="Q25" t="s">
        <v>1336</v>
      </c>
      <c r="R25">
        <f t="shared" si="3"/>
        <v>9</v>
      </c>
      <c r="U25">
        <v>29.936493856035</v>
      </c>
      <c r="V25" s="17">
        <f t="shared" si="4"/>
        <v>39.003855729958502</v>
      </c>
      <c r="X25">
        <v>6</v>
      </c>
      <c r="Y25" s="72" t="str">
        <f>[1]!wss(AB25,"sec_status","cols=1;rows=1")</f>
        <v>L</v>
      </c>
      <c r="AB25" t="str">
        <f t="shared" si="5"/>
        <v>9611.HK</v>
      </c>
      <c r="AC25" s="50">
        <v>32.1</v>
      </c>
      <c r="AD25" s="50">
        <v>35</v>
      </c>
      <c r="AE25" s="50">
        <v>36.86</v>
      </c>
      <c r="AF25" s="50">
        <v>31.22</v>
      </c>
      <c r="AG25" t="s">
        <v>224</v>
      </c>
      <c r="AH25" t="s">
        <v>2293</v>
      </c>
      <c r="AI25" t="s">
        <v>224</v>
      </c>
      <c r="AJ25">
        <v>0</v>
      </c>
    </row>
    <row r="26" spans="1:36" ht="25.5">
      <c r="A26" t="s">
        <v>275</v>
      </c>
      <c r="B26" t="s">
        <v>276</v>
      </c>
      <c r="C26" s="40">
        <v>44840</v>
      </c>
      <c r="D26" s="19">
        <f t="shared" si="0"/>
        <v>44838</v>
      </c>
      <c r="E26" s="17" t="s">
        <v>3583</v>
      </c>
      <c r="F26">
        <f t="shared" si="1"/>
        <v>0</v>
      </c>
      <c r="H26" t="s">
        <v>2226</v>
      </c>
      <c r="I26" s="50">
        <v>38</v>
      </c>
      <c r="J26" s="61">
        <v>38</v>
      </c>
      <c r="K26" s="61">
        <v>51</v>
      </c>
      <c r="L26">
        <v>10102121400</v>
      </c>
      <c r="M26">
        <v>2.11</v>
      </c>
      <c r="N26">
        <v>0.21</v>
      </c>
      <c r="O26">
        <f t="shared" si="2"/>
        <v>0</v>
      </c>
      <c r="P26">
        <v>0</v>
      </c>
      <c r="Q26" t="s">
        <v>1079</v>
      </c>
      <c r="R26">
        <f t="shared" si="3"/>
        <v>6</v>
      </c>
      <c r="U26">
        <v>393.22777400274498</v>
      </c>
      <c r="V26" s="17">
        <f t="shared" si="4"/>
        <v>93.380932425596995</v>
      </c>
      <c r="X26">
        <v>6</v>
      </c>
      <c r="Y26" s="72" t="str">
        <f>[1]!wss(AB26,"sec_status","cols=1;rows=1")</f>
        <v>L</v>
      </c>
      <c r="AB26" t="str">
        <f t="shared" si="5"/>
        <v>3931.HK</v>
      </c>
      <c r="AC26" s="50">
        <v>38</v>
      </c>
      <c r="AD26" s="50">
        <v>38</v>
      </c>
      <c r="AE26" s="50">
        <v>38.450000000000003</v>
      </c>
      <c r="AF26" s="50">
        <v>37.15</v>
      </c>
      <c r="AG26" t="s">
        <v>224</v>
      </c>
      <c r="AH26" t="s">
        <v>2293</v>
      </c>
      <c r="AI26" t="s">
        <v>224</v>
      </c>
      <c r="AJ26">
        <v>0</v>
      </c>
    </row>
    <row r="27" spans="1:36" ht="25.5">
      <c r="A27" t="s">
        <v>277</v>
      </c>
      <c r="B27" t="s">
        <v>278</v>
      </c>
      <c r="C27" s="40">
        <v>45902</v>
      </c>
      <c r="D27" s="19">
        <f t="shared" si="0"/>
        <v>45900</v>
      </c>
      <c r="E27" s="17" t="s">
        <v>3583</v>
      </c>
      <c r="F27">
        <f t="shared" si="1"/>
        <v>0</v>
      </c>
      <c r="H27" t="s">
        <v>2201</v>
      </c>
      <c r="I27" s="50">
        <v>17.420000000000002</v>
      </c>
      <c r="J27" s="61">
        <v>16</v>
      </c>
      <c r="K27" s="61">
        <v>17.420000000000002</v>
      </c>
      <c r="L27">
        <v>4150057184</v>
      </c>
      <c r="M27">
        <v>8.3000000000000007</v>
      </c>
      <c r="N27">
        <v>557.20000000000005</v>
      </c>
      <c r="O27">
        <f t="shared" si="2"/>
        <v>1</v>
      </c>
      <c r="P27">
        <v>0</v>
      </c>
      <c r="Q27" t="s">
        <v>1730</v>
      </c>
      <c r="R27">
        <f t="shared" si="3"/>
        <v>6</v>
      </c>
      <c r="U27">
        <v>8.8038818456617705</v>
      </c>
      <c r="V27" s="17">
        <f t="shared" si="4"/>
        <v>8.1404967584755106</v>
      </c>
      <c r="X27">
        <v>6</v>
      </c>
      <c r="Y27" s="72" t="str">
        <f>[1]!wss(AB27,"sec_status","cols=1;rows=1")</f>
        <v>L</v>
      </c>
      <c r="AB27" t="str">
        <f t="shared" si="5"/>
        <v>2580.HK</v>
      </c>
      <c r="AC27" s="50">
        <v>16.48</v>
      </c>
      <c r="AD27" s="50">
        <v>16.100000000000001</v>
      </c>
      <c r="AE27" s="50">
        <v>16.79</v>
      </c>
      <c r="AF27" s="50">
        <v>15.68</v>
      </c>
      <c r="AG27" t="s">
        <v>224</v>
      </c>
      <c r="AI27" t="s">
        <v>224</v>
      </c>
      <c r="AJ27">
        <v>0</v>
      </c>
    </row>
    <row r="28" spans="1:36">
      <c r="A28" t="s">
        <v>279</v>
      </c>
      <c r="B28" t="s">
        <v>280</v>
      </c>
      <c r="C28" s="40">
        <v>45827</v>
      </c>
      <c r="D28" s="19">
        <f t="shared" si="0"/>
        <v>45825</v>
      </c>
      <c r="E28" s="17" t="s">
        <v>3582</v>
      </c>
      <c r="F28">
        <f t="shared" si="1"/>
        <v>1</v>
      </c>
      <c r="G28" t="s">
        <v>281</v>
      </c>
      <c r="H28" t="s">
        <v>2209</v>
      </c>
      <c r="I28" s="50">
        <v>36.299999999999997</v>
      </c>
      <c r="J28" s="61">
        <v>35</v>
      </c>
      <c r="K28" s="61">
        <v>36.299999999999997</v>
      </c>
      <c r="L28">
        <v>10571445720</v>
      </c>
      <c r="M28">
        <v>22.93</v>
      </c>
      <c r="N28">
        <v>918.15</v>
      </c>
      <c r="O28">
        <f t="shared" si="2"/>
        <v>1</v>
      </c>
      <c r="P28">
        <v>4.3685999999999998</v>
      </c>
      <c r="Q28" t="s">
        <v>1309</v>
      </c>
      <c r="R28">
        <f t="shared" si="3"/>
        <v>16</v>
      </c>
      <c r="U28">
        <v>30.942120233643799</v>
      </c>
      <c r="V28" s="17">
        <f t="shared" si="4"/>
        <v>38.802333077005592</v>
      </c>
      <c r="X28">
        <v>6</v>
      </c>
      <c r="Y28" s="72" t="str">
        <f>[1]!wss(AB28,"sec_status","cols=1;rows=1")</f>
        <v>L</v>
      </c>
      <c r="AB28" t="str">
        <f t="shared" si="5"/>
        <v>3288.HK</v>
      </c>
      <c r="AC28" s="50">
        <v>36.5</v>
      </c>
      <c r="AD28" s="50">
        <v>37.5</v>
      </c>
      <c r="AE28" s="50">
        <v>38</v>
      </c>
      <c r="AF28" s="50">
        <v>36.049999999999997</v>
      </c>
      <c r="AG28" t="s">
        <v>224</v>
      </c>
      <c r="AH28" t="s">
        <v>2293</v>
      </c>
      <c r="AI28" t="s">
        <v>224</v>
      </c>
      <c r="AJ28">
        <v>0</v>
      </c>
    </row>
    <row r="29" spans="1:36">
      <c r="A29" t="s">
        <v>282</v>
      </c>
      <c r="B29" t="s">
        <v>283</v>
      </c>
      <c r="C29" s="40">
        <v>45831</v>
      </c>
      <c r="D29" s="19">
        <f t="shared" si="0"/>
        <v>45829</v>
      </c>
      <c r="E29" s="17" t="s">
        <v>3582</v>
      </c>
      <c r="F29">
        <f t="shared" si="1"/>
        <v>1</v>
      </c>
      <c r="G29" t="s">
        <v>284</v>
      </c>
      <c r="H29" t="s">
        <v>2224</v>
      </c>
      <c r="I29" s="50">
        <v>22.53</v>
      </c>
      <c r="J29" s="61">
        <v>21.21</v>
      </c>
      <c r="K29" s="61">
        <v>22.53</v>
      </c>
      <c r="L29">
        <v>10736365092</v>
      </c>
      <c r="M29">
        <v>23.57</v>
      </c>
      <c r="N29">
        <v>747.92</v>
      </c>
      <c r="O29">
        <f t="shared" si="2"/>
        <v>1</v>
      </c>
      <c r="P29">
        <v>13.9</v>
      </c>
      <c r="Q29" t="s">
        <v>1356</v>
      </c>
      <c r="R29">
        <f t="shared" si="3"/>
        <v>7</v>
      </c>
      <c r="U29">
        <v>27.916186184430799</v>
      </c>
      <c r="V29" s="17">
        <f t="shared" si="4"/>
        <v>88.140922842498071</v>
      </c>
      <c r="X29">
        <v>6</v>
      </c>
      <c r="Y29" s="72" t="str">
        <f>[1]!wss(AB29,"sec_status","cols=1;rows=1")</f>
        <v>L</v>
      </c>
      <c r="AB29" t="str">
        <f t="shared" si="5"/>
        <v>2050.HK</v>
      </c>
      <c r="AC29" s="50">
        <v>22.5</v>
      </c>
      <c r="AD29" s="50">
        <v>20.95</v>
      </c>
      <c r="AE29" s="50">
        <v>22.55</v>
      </c>
      <c r="AF29" s="50">
        <v>20.7</v>
      </c>
      <c r="AG29" t="s">
        <v>224</v>
      </c>
      <c r="AH29" t="s">
        <v>2293</v>
      </c>
      <c r="AI29" t="s">
        <v>224</v>
      </c>
      <c r="AJ29">
        <v>0</v>
      </c>
    </row>
    <row r="30" spans="1:36">
      <c r="A30" t="s">
        <v>285</v>
      </c>
      <c r="B30" t="s">
        <v>286</v>
      </c>
      <c r="C30" s="40">
        <v>45800</v>
      </c>
      <c r="D30" s="19">
        <f t="shared" si="0"/>
        <v>45798</v>
      </c>
      <c r="E30" s="17" t="s">
        <v>3582</v>
      </c>
      <c r="F30">
        <f t="shared" si="1"/>
        <v>1</v>
      </c>
      <c r="G30" t="s">
        <v>287</v>
      </c>
      <c r="H30" t="s">
        <v>2223</v>
      </c>
      <c r="I30" s="50">
        <v>44.05</v>
      </c>
      <c r="J30" s="61">
        <v>41.45</v>
      </c>
      <c r="K30" s="61">
        <v>44.05</v>
      </c>
      <c r="L30">
        <v>11373604280</v>
      </c>
      <c r="M30">
        <v>17.09</v>
      </c>
      <c r="N30">
        <v>454.85</v>
      </c>
      <c r="O30">
        <f t="shared" si="2"/>
        <v>1</v>
      </c>
      <c r="P30">
        <v>14.715</v>
      </c>
      <c r="Q30" t="s">
        <v>1262</v>
      </c>
      <c r="R30">
        <f t="shared" si="3"/>
        <v>8</v>
      </c>
      <c r="U30">
        <v>42.510870996206101</v>
      </c>
      <c r="V30" s="17">
        <f t="shared" si="4"/>
        <v>101.02218061128404</v>
      </c>
      <c r="X30">
        <v>6</v>
      </c>
      <c r="Y30" s="72" t="str">
        <f>[1]!wss(AB30,"sec_status","cols=1;rows=1")</f>
        <v>L</v>
      </c>
      <c r="AB30" t="str">
        <f t="shared" si="5"/>
        <v>1276.HK</v>
      </c>
      <c r="AC30" s="50">
        <v>55.15</v>
      </c>
      <c r="AD30" s="50">
        <v>57</v>
      </c>
      <c r="AE30" s="50">
        <v>60.5</v>
      </c>
      <c r="AF30" s="50">
        <v>55.15</v>
      </c>
      <c r="AG30" t="s">
        <v>224</v>
      </c>
      <c r="AH30" t="s">
        <v>2293</v>
      </c>
      <c r="AI30" t="s">
        <v>224</v>
      </c>
      <c r="AJ30">
        <v>0</v>
      </c>
    </row>
    <row r="31" spans="1:36" ht="25.5">
      <c r="A31" t="s">
        <v>288</v>
      </c>
      <c r="B31" t="s">
        <v>289</v>
      </c>
      <c r="C31" s="40">
        <v>45030</v>
      </c>
      <c r="D31" s="19">
        <f t="shared" si="0"/>
        <v>45028</v>
      </c>
      <c r="E31" s="17" t="s">
        <v>3583</v>
      </c>
      <c r="F31">
        <f t="shared" si="1"/>
        <v>0</v>
      </c>
      <c r="H31" t="s">
        <v>2253</v>
      </c>
      <c r="I31" s="50"/>
      <c r="L31">
        <v>0</v>
      </c>
      <c r="M31">
        <v>0</v>
      </c>
      <c r="N31">
        <v>0</v>
      </c>
      <c r="O31">
        <f t="shared" si="2"/>
        <v>0</v>
      </c>
      <c r="P31">
        <v>0</v>
      </c>
      <c r="Q31">
        <v>0</v>
      </c>
      <c r="R31">
        <f t="shared" si="3"/>
        <v>1</v>
      </c>
      <c r="U31">
        <v>0</v>
      </c>
      <c r="V31" s="17">
        <f t="shared" si="4"/>
        <v>7.7662205671225655</v>
      </c>
      <c r="Y31" s="72" t="str">
        <f>[1]!wss(AB31,"sec_status","cols=1;rows=1")</f>
        <v>L</v>
      </c>
      <c r="AB31" t="str">
        <f t="shared" si="5"/>
        <v>6623.HK</v>
      </c>
      <c r="AC31" s="50">
        <v>34.75</v>
      </c>
      <c r="AD31" s="50">
        <v>33.5</v>
      </c>
      <c r="AE31" s="50">
        <v>36.5</v>
      </c>
      <c r="AF31" s="50">
        <v>33.4</v>
      </c>
      <c r="AG31" t="s">
        <v>224</v>
      </c>
      <c r="AI31" t="s">
        <v>224</v>
      </c>
      <c r="AJ31">
        <v>0</v>
      </c>
    </row>
    <row r="32" spans="1:36" ht="25.5">
      <c r="A32" t="s">
        <v>290</v>
      </c>
      <c r="B32" t="s">
        <v>291</v>
      </c>
      <c r="C32" s="40">
        <v>44896</v>
      </c>
      <c r="D32" s="19">
        <f t="shared" si="0"/>
        <v>44894</v>
      </c>
      <c r="E32" s="17" t="s">
        <v>3583</v>
      </c>
      <c r="F32">
        <f t="shared" si="1"/>
        <v>0</v>
      </c>
      <c r="H32" t="s">
        <v>2217</v>
      </c>
      <c r="I32" s="50">
        <v>15.8</v>
      </c>
      <c r="J32" s="61">
        <v>15.6</v>
      </c>
      <c r="K32" s="61">
        <v>19.96</v>
      </c>
      <c r="L32">
        <v>3762969080</v>
      </c>
      <c r="M32">
        <v>1.4</v>
      </c>
      <c r="N32">
        <v>1.47</v>
      </c>
      <c r="O32">
        <f t="shared" si="2"/>
        <v>0</v>
      </c>
      <c r="P32">
        <v>0.85299999999999998</v>
      </c>
      <c r="Q32" t="s">
        <v>1526</v>
      </c>
      <c r="R32">
        <f t="shared" si="3"/>
        <v>8</v>
      </c>
      <c r="U32">
        <v>18.214611112068301</v>
      </c>
      <c r="V32" s="17">
        <f t="shared" si="4"/>
        <v>36.882024529238372</v>
      </c>
      <c r="X32">
        <v>6</v>
      </c>
      <c r="Y32" s="72" t="str">
        <f>[1]!wss(AB32,"sec_status","cols=1;rows=1")</f>
        <v>L</v>
      </c>
      <c r="AB32" t="str">
        <f t="shared" si="5"/>
        <v>2245.HK</v>
      </c>
      <c r="AC32" s="50">
        <v>15.8</v>
      </c>
      <c r="AD32" s="50">
        <v>15.8</v>
      </c>
      <c r="AE32" s="50">
        <v>16.02</v>
      </c>
      <c r="AF32" s="50">
        <v>15.8</v>
      </c>
      <c r="AG32" t="s">
        <v>224</v>
      </c>
      <c r="AH32" t="s">
        <v>2293</v>
      </c>
      <c r="AI32" t="s">
        <v>224</v>
      </c>
      <c r="AJ32">
        <v>0</v>
      </c>
    </row>
    <row r="33" spans="1:36">
      <c r="A33" t="s">
        <v>292</v>
      </c>
      <c r="B33" t="s">
        <v>293</v>
      </c>
      <c r="C33" s="40">
        <v>46034</v>
      </c>
      <c r="D33" s="19">
        <f t="shared" si="0"/>
        <v>46032</v>
      </c>
      <c r="E33" s="17" t="s">
        <v>3582</v>
      </c>
      <c r="F33">
        <f t="shared" si="1"/>
        <v>1</v>
      </c>
      <c r="G33" t="s">
        <v>294</v>
      </c>
      <c r="H33" t="s">
        <v>2219</v>
      </c>
      <c r="I33" s="50">
        <v>104.8</v>
      </c>
      <c r="K33" s="61">
        <v>104.8</v>
      </c>
      <c r="L33">
        <v>5317667280</v>
      </c>
      <c r="M33">
        <v>9.73</v>
      </c>
      <c r="N33">
        <v>9.2799999999999994</v>
      </c>
      <c r="O33">
        <f t="shared" si="2"/>
        <v>0</v>
      </c>
      <c r="P33">
        <v>5.1120000000000001</v>
      </c>
      <c r="Q33" t="s">
        <v>1276</v>
      </c>
      <c r="R33">
        <f t="shared" si="3"/>
        <v>7</v>
      </c>
      <c r="U33">
        <v>36.733359052602303</v>
      </c>
      <c r="V33" s="17">
        <f t="shared" si="4"/>
        <v>62.754445215233496</v>
      </c>
      <c r="X33">
        <v>6</v>
      </c>
      <c r="Y33" s="51" t="str">
        <f>[1]!wss(AB33,"sec_status","cols=1;rows=1")</f>
        <v/>
      </c>
      <c r="AB33" t="str">
        <f t="shared" si="5"/>
        <v>501.HK</v>
      </c>
      <c r="AC33" s="50">
        <v>121.8</v>
      </c>
      <c r="AD33" s="50">
        <v>108</v>
      </c>
      <c r="AE33" s="50">
        <v>121.8</v>
      </c>
      <c r="AF33" s="50">
        <v>108</v>
      </c>
      <c r="AG33" t="s">
        <v>224</v>
      </c>
      <c r="AH33" t="s">
        <v>2293</v>
      </c>
      <c r="AI33" t="s">
        <v>224</v>
      </c>
      <c r="AJ33">
        <v>0</v>
      </c>
    </row>
    <row r="34" spans="1:36" ht="25.5">
      <c r="A34" t="s">
        <v>295</v>
      </c>
      <c r="B34" t="s">
        <v>296</v>
      </c>
      <c r="C34" s="40">
        <v>45719</v>
      </c>
      <c r="D34" s="19">
        <f t="shared" si="0"/>
        <v>45717</v>
      </c>
      <c r="E34" s="17" t="s">
        <v>3583</v>
      </c>
      <c r="F34">
        <f t="shared" si="1"/>
        <v>0</v>
      </c>
      <c r="H34" t="s">
        <v>2221</v>
      </c>
      <c r="I34" s="50">
        <v>202.5</v>
      </c>
      <c r="J34" s="61">
        <v>202.5</v>
      </c>
      <c r="K34" s="61">
        <v>202.5</v>
      </c>
      <c r="L34">
        <v>3972807000</v>
      </c>
      <c r="M34">
        <v>35.229999999999997</v>
      </c>
      <c r="N34">
        <v>5258.21</v>
      </c>
      <c r="O34">
        <f t="shared" si="2"/>
        <v>1</v>
      </c>
      <c r="P34">
        <v>5.0776965993000003</v>
      </c>
      <c r="Q34" t="s">
        <v>1463</v>
      </c>
      <c r="R34">
        <f t="shared" si="3"/>
        <v>8</v>
      </c>
      <c r="U34">
        <v>22.055011735111002</v>
      </c>
      <c r="V34" s="17">
        <f t="shared" si="4"/>
        <v>27.018666175102698</v>
      </c>
      <c r="X34">
        <v>6</v>
      </c>
      <c r="Y34" s="72" t="str">
        <f>[1]!wss(AB34,"sec_status","cols=1;rows=1")</f>
        <v>L</v>
      </c>
      <c r="AB34" t="str">
        <f t="shared" si="5"/>
        <v>2097.HK</v>
      </c>
      <c r="AC34" s="50">
        <v>290</v>
      </c>
      <c r="AD34" s="50">
        <v>262</v>
      </c>
      <c r="AE34" s="50">
        <v>298</v>
      </c>
      <c r="AF34" s="50">
        <v>256</v>
      </c>
      <c r="AG34" t="s">
        <v>224</v>
      </c>
      <c r="AH34" t="s">
        <v>2293</v>
      </c>
      <c r="AI34" t="s">
        <v>224</v>
      </c>
      <c r="AJ34">
        <v>0</v>
      </c>
    </row>
    <row r="35" spans="1:36" ht="25.5">
      <c r="A35" t="s">
        <v>297</v>
      </c>
      <c r="B35" t="s">
        <v>298</v>
      </c>
      <c r="C35" s="40">
        <v>45625</v>
      </c>
      <c r="D35" s="19">
        <f t="shared" si="0"/>
        <v>45623</v>
      </c>
      <c r="E35" s="17" t="s">
        <v>3583</v>
      </c>
      <c r="F35">
        <f t="shared" si="1"/>
        <v>0</v>
      </c>
      <c r="H35" t="s">
        <v>2231</v>
      </c>
      <c r="I35" s="50">
        <v>12</v>
      </c>
      <c r="J35" s="61">
        <v>12</v>
      </c>
      <c r="K35" s="61">
        <v>14.4</v>
      </c>
      <c r="L35">
        <v>527481600</v>
      </c>
      <c r="M35">
        <v>0.98</v>
      </c>
      <c r="N35">
        <v>20.58</v>
      </c>
      <c r="O35">
        <f t="shared" si="2"/>
        <v>1</v>
      </c>
      <c r="P35">
        <v>0</v>
      </c>
      <c r="Q35" t="s">
        <v>1608</v>
      </c>
      <c r="R35">
        <f t="shared" si="3"/>
        <v>6</v>
      </c>
      <c r="U35">
        <v>12.887821613900099</v>
      </c>
      <c r="V35" s="17">
        <f t="shared" si="4"/>
        <v>13.610447795210698</v>
      </c>
      <c r="X35">
        <v>6</v>
      </c>
      <c r="Y35" s="72" t="str">
        <f>[1]!wss(AB35,"sec_status","cols=1;rows=1")</f>
        <v>L</v>
      </c>
      <c r="AB35" t="str">
        <f t="shared" si="5"/>
        <v>2585.HK</v>
      </c>
      <c r="AC35" s="50">
        <v>12.9</v>
      </c>
      <c r="AD35" s="50">
        <v>12.5</v>
      </c>
      <c r="AE35" s="50">
        <v>13.2</v>
      </c>
      <c r="AF35" s="50">
        <v>11.2</v>
      </c>
      <c r="AG35" t="s">
        <v>224</v>
      </c>
      <c r="AH35" t="s">
        <v>2293</v>
      </c>
      <c r="AI35" t="s">
        <v>224</v>
      </c>
      <c r="AJ35">
        <v>0</v>
      </c>
    </row>
    <row r="36" spans="1:36" ht="25.5">
      <c r="A36" t="s">
        <v>299</v>
      </c>
      <c r="B36" t="s">
        <v>300</v>
      </c>
      <c r="C36" s="40">
        <v>45845</v>
      </c>
      <c r="D36" s="19">
        <f t="shared" si="0"/>
        <v>45843</v>
      </c>
      <c r="E36" s="17" t="s">
        <v>3583</v>
      </c>
      <c r="F36">
        <f t="shared" si="1"/>
        <v>0</v>
      </c>
      <c r="H36" t="s">
        <v>2272</v>
      </c>
      <c r="I36" s="50">
        <v>38</v>
      </c>
      <c r="J36" s="61">
        <v>38</v>
      </c>
      <c r="K36" s="61">
        <v>38</v>
      </c>
      <c r="L36">
        <v>3661053000</v>
      </c>
      <c r="M36">
        <v>2.3199999999999998</v>
      </c>
      <c r="N36">
        <v>37.130000000000003</v>
      </c>
      <c r="O36">
        <f t="shared" si="2"/>
        <v>1</v>
      </c>
      <c r="P36">
        <v>1.7230000000000001</v>
      </c>
      <c r="Q36" t="s">
        <v>1086</v>
      </c>
      <c r="R36">
        <f t="shared" si="3"/>
        <v>13</v>
      </c>
      <c r="U36">
        <v>259.24879174415901</v>
      </c>
      <c r="V36" s="17">
        <f t="shared" si="4"/>
        <v>15.752299469719503</v>
      </c>
      <c r="X36">
        <v>6</v>
      </c>
      <c r="Y36" s="72" t="str">
        <f>[1]!wss(AB36,"sec_status","cols=1;rows=1")</f>
        <v>L</v>
      </c>
      <c r="AB36" t="str">
        <f t="shared" si="5"/>
        <v>1828.HK</v>
      </c>
      <c r="AC36" s="50">
        <v>38.4</v>
      </c>
      <c r="AD36" s="50">
        <v>38</v>
      </c>
      <c r="AE36" s="50">
        <v>38.799999999999997</v>
      </c>
      <c r="AF36" s="50">
        <v>37.049999999999997</v>
      </c>
      <c r="AG36" t="s">
        <v>224</v>
      </c>
      <c r="AI36" t="s">
        <v>224</v>
      </c>
      <c r="AJ36">
        <v>0</v>
      </c>
    </row>
    <row r="37" spans="1:36">
      <c r="A37" t="s">
        <v>301</v>
      </c>
      <c r="B37" t="s">
        <v>302</v>
      </c>
      <c r="C37" s="40">
        <v>45785</v>
      </c>
      <c r="D37" s="19">
        <f t="shared" si="0"/>
        <v>45783</v>
      </c>
      <c r="E37" s="17" t="s">
        <v>3582</v>
      </c>
      <c r="F37">
        <f t="shared" si="1"/>
        <v>1</v>
      </c>
      <c r="G37" t="s">
        <v>303</v>
      </c>
      <c r="H37" t="s">
        <v>2266</v>
      </c>
      <c r="I37" s="50">
        <v>22.15</v>
      </c>
      <c r="J37" s="61">
        <v>20.399999999999999</v>
      </c>
      <c r="K37" s="61">
        <v>28.6</v>
      </c>
      <c r="L37">
        <v>1405025445</v>
      </c>
      <c r="M37">
        <v>1.08</v>
      </c>
      <c r="N37">
        <v>3.5</v>
      </c>
      <c r="O37">
        <f t="shared" si="2"/>
        <v>0</v>
      </c>
      <c r="P37">
        <v>0</v>
      </c>
      <c r="Q37" t="s">
        <v>1889</v>
      </c>
      <c r="R37">
        <f t="shared" si="3"/>
        <v>18</v>
      </c>
      <c r="U37">
        <v>-10.1527482251902</v>
      </c>
      <c r="V37" s="17" t="str">
        <f t="shared" si="4"/>
        <v/>
      </c>
      <c r="X37">
        <v>6</v>
      </c>
      <c r="Y37" s="72" t="str">
        <f>[1]!wss(AB37,"sec_status","cols=1;rows=1")</f>
        <v>L</v>
      </c>
      <c r="AB37" t="str">
        <f t="shared" si="5"/>
        <v>2865.HK</v>
      </c>
      <c r="AC37" s="50">
        <v>26.6</v>
      </c>
      <c r="AD37" s="50">
        <v>22.2</v>
      </c>
      <c r="AE37" s="50">
        <v>27.5</v>
      </c>
      <c r="AF37" s="50">
        <v>22.1</v>
      </c>
      <c r="AG37" t="s">
        <v>224</v>
      </c>
      <c r="AH37" t="s">
        <v>2293</v>
      </c>
      <c r="AI37" t="s">
        <v>224</v>
      </c>
      <c r="AJ37">
        <v>0</v>
      </c>
    </row>
    <row r="38" spans="1:36">
      <c r="A38" t="s">
        <v>304</v>
      </c>
      <c r="B38" t="s">
        <v>305</v>
      </c>
      <c r="C38" s="40">
        <v>46057</v>
      </c>
      <c r="D38" s="19">
        <f t="shared" si="0"/>
        <v>46055</v>
      </c>
      <c r="E38" s="17" t="s">
        <v>3582</v>
      </c>
      <c r="F38">
        <f t="shared" si="1"/>
        <v>1</v>
      </c>
      <c r="G38" t="s">
        <v>306</v>
      </c>
      <c r="H38" t="s">
        <v>2202</v>
      </c>
      <c r="I38" s="50">
        <v>36</v>
      </c>
      <c r="J38" s="61">
        <v>34</v>
      </c>
      <c r="K38" s="61">
        <v>42</v>
      </c>
      <c r="L38">
        <v>1080000000</v>
      </c>
      <c r="M38">
        <v>10.029999999999999</v>
      </c>
      <c r="N38">
        <v>2251.85</v>
      </c>
      <c r="O38">
        <f t="shared" si="2"/>
        <v>1</v>
      </c>
      <c r="P38">
        <v>0</v>
      </c>
      <c r="Q38" t="s">
        <v>1560</v>
      </c>
      <c r="R38">
        <f t="shared" si="3"/>
        <v>6</v>
      </c>
      <c r="U38">
        <v>14.6562095757349</v>
      </c>
      <c r="V38" s="17">
        <f t="shared" si="4"/>
        <v>12.408857403662557</v>
      </c>
      <c r="X38">
        <v>6</v>
      </c>
      <c r="Y38" s="72" t="str">
        <f>[1]!wss(AB38,"sec_status","cols=1;rows=1")</f>
        <v>L</v>
      </c>
      <c r="AB38" t="str">
        <f t="shared" si="5"/>
        <v>2768.HK</v>
      </c>
      <c r="AC38" s="50">
        <v>40.159999999999997</v>
      </c>
      <c r="AD38" s="50">
        <v>45</v>
      </c>
      <c r="AE38" s="50">
        <v>50.8</v>
      </c>
      <c r="AF38" s="50">
        <v>39.799999999999997</v>
      </c>
      <c r="AG38" t="s">
        <v>224</v>
      </c>
      <c r="AH38" t="s">
        <v>2293</v>
      </c>
      <c r="AI38" t="s">
        <v>224</v>
      </c>
      <c r="AJ38">
        <v>0</v>
      </c>
    </row>
    <row r="39" spans="1:36" ht="25.5">
      <c r="A39" t="s">
        <v>307</v>
      </c>
      <c r="B39" t="s">
        <v>308</v>
      </c>
      <c r="C39" s="40">
        <v>46002</v>
      </c>
      <c r="D39" s="19">
        <f t="shared" si="0"/>
        <v>46000</v>
      </c>
      <c r="E39" s="17" t="s">
        <v>3583</v>
      </c>
      <c r="F39">
        <f t="shared" si="1"/>
        <v>0</v>
      </c>
      <c r="H39" t="s">
        <v>2242</v>
      </c>
      <c r="I39" s="50">
        <v>14.1</v>
      </c>
      <c r="J39" s="61">
        <v>12.7</v>
      </c>
      <c r="K39" s="61">
        <v>15.5</v>
      </c>
      <c r="L39">
        <v>3033843420</v>
      </c>
      <c r="M39">
        <v>7.88</v>
      </c>
      <c r="N39">
        <v>60.52</v>
      </c>
      <c r="O39">
        <f t="shared" si="2"/>
        <v>1</v>
      </c>
      <c r="P39">
        <v>0.54700000000000004</v>
      </c>
      <c r="Q39" t="s">
        <v>1234</v>
      </c>
      <c r="R39">
        <f t="shared" si="3"/>
        <v>16</v>
      </c>
      <c r="U39">
        <v>46.076256115593402</v>
      </c>
      <c r="V39" s="17">
        <f t="shared" si="4"/>
        <v>10.954967253725922</v>
      </c>
      <c r="X39">
        <v>6</v>
      </c>
      <c r="Y39" s="72" t="str">
        <f>[1]!wss(AB39,"sec_status","cols=1;rows=1")</f>
        <v>L</v>
      </c>
      <c r="AB39" t="str">
        <f t="shared" si="5"/>
        <v>7618.HK</v>
      </c>
      <c r="AC39" s="50">
        <v>14.1</v>
      </c>
      <c r="AD39" s="50">
        <v>13</v>
      </c>
      <c r="AE39" s="50">
        <v>14.15</v>
      </c>
      <c r="AF39" s="50">
        <v>12.66</v>
      </c>
      <c r="AG39" t="s">
        <v>224</v>
      </c>
      <c r="AI39" t="s">
        <v>224</v>
      </c>
      <c r="AJ39">
        <v>0</v>
      </c>
    </row>
    <row r="40" spans="1:36" ht="25.5">
      <c r="A40" t="s">
        <v>309</v>
      </c>
      <c r="B40" t="s">
        <v>310</v>
      </c>
      <c r="C40" s="40">
        <v>45105</v>
      </c>
      <c r="D40" s="19">
        <f t="shared" si="0"/>
        <v>45103</v>
      </c>
      <c r="E40" s="17" t="s">
        <v>3583</v>
      </c>
      <c r="F40">
        <f t="shared" si="1"/>
        <v>0</v>
      </c>
      <c r="H40" t="s">
        <v>2268</v>
      </c>
      <c r="I40" s="50">
        <v>20</v>
      </c>
      <c r="J40" s="61">
        <v>19</v>
      </c>
      <c r="K40" s="61">
        <v>23</v>
      </c>
      <c r="L40">
        <v>344708000</v>
      </c>
      <c r="M40">
        <v>2.08</v>
      </c>
      <c r="N40">
        <v>5.6</v>
      </c>
      <c r="O40">
        <f t="shared" si="2"/>
        <v>0</v>
      </c>
      <c r="P40">
        <v>0.27200000000000002</v>
      </c>
      <c r="Q40" t="s">
        <v>1847</v>
      </c>
      <c r="R40">
        <f t="shared" si="3"/>
        <v>8</v>
      </c>
      <c r="U40">
        <v>-7.5886865609186103</v>
      </c>
      <c r="V40" s="17" t="str">
        <f t="shared" si="4"/>
        <v/>
      </c>
      <c r="X40">
        <v>6</v>
      </c>
      <c r="Y40" s="72" t="str">
        <f>[1]!wss(AB40,"sec_status","cols=1;rows=1")</f>
        <v>L</v>
      </c>
      <c r="AB40" t="str">
        <f t="shared" si="5"/>
        <v>9885.HK</v>
      </c>
      <c r="AC40" s="50">
        <v>21.1</v>
      </c>
      <c r="AD40" s="50">
        <v>23.05</v>
      </c>
      <c r="AE40" s="50">
        <v>23.3</v>
      </c>
      <c r="AF40" s="50">
        <v>20.55</v>
      </c>
      <c r="AG40" t="s">
        <v>224</v>
      </c>
      <c r="AI40" t="s">
        <v>224</v>
      </c>
      <c r="AJ40">
        <v>0</v>
      </c>
    </row>
    <row r="41" spans="1:36" ht="25.5">
      <c r="A41" t="s">
        <v>311</v>
      </c>
      <c r="B41" t="s">
        <v>312</v>
      </c>
      <c r="C41" s="40">
        <v>44833</v>
      </c>
      <c r="D41" s="19">
        <f t="shared" si="0"/>
        <v>44831</v>
      </c>
      <c r="E41" s="17" t="s">
        <v>3583</v>
      </c>
      <c r="F41">
        <f t="shared" si="1"/>
        <v>0</v>
      </c>
      <c r="H41" t="s">
        <v>2234</v>
      </c>
      <c r="I41" s="50">
        <v>48</v>
      </c>
      <c r="J41" s="61">
        <v>48</v>
      </c>
      <c r="K41" s="61">
        <v>62</v>
      </c>
      <c r="L41">
        <v>6279316800</v>
      </c>
      <c r="M41">
        <v>2.33</v>
      </c>
      <c r="N41">
        <v>0.16</v>
      </c>
      <c r="O41">
        <f t="shared" si="2"/>
        <v>0</v>
      </c>
      <c r="P41">
        <v>0</v>
      </c>
      <c r="Q41" t="s">
        <v>1964</v>
      </c>
      <c r="R41">
        <f t="shared" si="3"/>
        <v>13</v>
      </c>
      <c r="U41">
        <v>-15.7585551427479</v>
      </c>
      <c r="V41" s="17">
        <f t="shared" si="4"/>
        <v>16.882617936393391</v>
      </c>
      <c r="X41">
        <v>6</v>
      </c>
      <c r="Y41" s="72" t="str">
        <f>[1]!wss(AB41,"sec_status","cols=1;rows=1")</f>
        <v>L</v>
      </c>
      <c r="AB41" t="str">
        <f t="shared" si="5"/>
        <v>9863.HK</v>
      </c>
      <c r="AC41" s="50">
        <v>31.9</v>
      </c>
      <c r="AD41" s="50">
        <v>41</v>
      </c>
      <c r="AE41" s="50">
        <v>41</v>
      </c>
      <c r="AF41" s="50">
        <v>28.05</v>
      </c>
      <c r="AG41" t="s">
        <v>224</v>
      </c>
      <c r="AH41" t="s">
        <v>2293</v>
      </c>
      <c r="AI41" t="s">
        <v>224</v>
      </c>
      <c r="AJ41">
        <v>0</v>
      </c>
    </row>
    <row r="42" spans="1:36">
      <c r="A42" t="s">
        <v>313</v>
      </c>
      <c r="B42" t="s">
        <v>314</v>
      </c>
      <c r="C42" s="40">
        <v>46064</v>
      </c>
      <c r="D42" s="19">
        <f t="shared" si="0"/>
        <v>46062</v>
      </c>
      <c r="E42" s="17" t="s">
        <v>3582</v>
      </c>
      <c r="F42">
        <f t="shared" si="1"/>
        <v>1</v>
      </c>
      <c r="G42" t="s">
        <v>315</v>
      </c>
      <c r="H42" t="s">
        <v>2224</v>
      </c>
      <c r="I42" s="50">
        <v>45.8</v>
      </c>
      <c r="K42" s="61">
        <v>45.8</v>
      </c>
      <c r="L42">
        <v>4949074720</v>
      </c>
      <c r="M42">
        <v>10.47</v>
      </c>
      <c r="N42">
        <v>79.540000000000006</v>
      </c>
      <c r="O42">
        <f t="shared" si="2"/>
        <v>1</v>
      </c>
      <c r="P42">
        <v>0.18</v>
      </c>
      <c r="Q42" t="s">
        <v>1089</v>
      </c>
      <c r="R42">
        <f t="shared" si="3"/>
        <v>9</v>
      </c>
      <c r="U42">
        <v>248.13412273315001</v>
      </c>
      <c r="V42" s="17">
        <f t="shared" si="4"/>
        <v>60.613680773908172</v>
      </c>
      <c r="X42">
        <v>6</v>
      </c>
      <c r="Y42" s="51" t="str">
        <f>[1]!wss(AB42,"sec_status","cols=1;rows=1")</f>
        <v/>
      </c>
      <c r="AB42" t="str">
        <f t="shared" si="5"/>
        <v>470.HK</v>
      </c>
      <c r="AC42" s="50">
        <v>45.8</v>
      </c>
      <c r="AD42" s="50">
        <v>46.26</v>
      </c>
      <c r="AE42" s="50">
        <v>46.54</v>
      </c>
      <c r="AF42" s="50">
        <v>45.04</v>
      </c>
      <c r="AG42" t="s">
        <v>224</v>
      </c>
      <c r="AH42" t="s">
        <v>2293</v>
      </c>
      <c r="AI42" t="s">
        <v>224</v>
      </c>
      <c r="AJ42">
        <v>0</v>
      </c>
    </row>
    <row r="43" spans="1:36" ht="25.5">
      <c r="A43" t="s">
        <v>316</v>
      </c>
      <c r="B43" t="s">
        <v>317</v>
      </c>
      <c r="C43" s="40">
        <v>45266</v>
      </c>
      <c r="D43" s="19">
        <f t="shared" si="0"/>
        <v>45264</v>
      </c>
      <c r="E43" s="17" t="s">
        <v>3583</v>
      </c>
      <c r="F43">
        <f t="shared" si="1"/>
        <v>0</v>
      </c>
      <c r="H43" t="s">
        <v>2244</v>
      </c>
      <c r="I43" s="50">
        <v>36.950000000000003</v>
      </c>
      <c r="J43" s="61">
        <v>30.35</v>
      </c>
      <c r="K43" s="61">
        <v>36.950000000000003</v>
      </c>
      <c r="L43">
        <v>994398400</v>
      </c>
      <c r="M43">
        <v>1.1299999999999999</v>
      </c>
      <c r="N43">
        <v>1.88</v>
      </c>
      <c r="O43">
        <f t="shared" si="2"/>
        <v>0</v>
      </c>
      <c r="P43">
        <v>0</v>
      </c>
      <c r="Q43" t="s">
        <v>1604</v>
      </c>
      <c r="R43">
        <f t="shared" si="3"/>
        <v>12</v>
      </c>
      <c r="U43">
        <v>12.9275815766792</v>
      </c>
      <c r="V43" s="17">
        <f t="shared" si="4"/>
        <v>11.586708579878399</v>
      </c>
      <c r="X43">
        <v>6</v>
      </c>
      <c r="Y43" s="72" t="str">
        <f>[1]!wss(AB43,"sec_status","cols=1;rows=1")</f>
        <v>L</v>
      </c>
      <c r="AB43" t="str">
        <f t="shared" si="5"/>
        <v>2419.HK</v>
      </c>
      <c r="AC43" s="50">
        <v>37.5</v>
      </c>
      <c r="AD43" s="50">
        <v>36.950000000000003</v>
      </c>
      <c r="AE43" s="50">
        <v>38</v>
      </c>
      <c r="AF43" s="50">
        <v>36.950000000000003</v>
      </c>
      <c r="AG43" t="s">
        <v>224</v>
      </c>
      <c r="AH43" t="s">
        <v>2293</v>
      </c>
      <c r="AI43" t="s">
        <v>224</v>
      </c>
      <c r="AJ43">
        <v>0</v>
      </c>
    </row>
    <row r="44" spans="1:36" ht="25.5">
      <c r="A44" t="s">
        <v>318</v>
      </c>
      <c r="B44" t="s">
        <v>319</v>
      </c>
      <c r="C44" s="40">
        <v>45930</v>
      </c>
      <c r="D44" s="19">
        <f t="shared" si="0"/>
        <v>45928</v>
      </c>
      <c r="E44" s="17" t="s">
        <v>3583</v>
      </c>
      <c r="F44">
        <f t="shared" si="1"/>
        <v>0</v>
      </c>
      <c r="H44" t="s">
        <v>2247</v>
      </c>
      <c r="I44" s="50">
        <v>71.59</v>
      </c>
      <c r="J44" s="61">
        <v>71.59</v>
      </c>
      <c r="K44" s="61">
        <v>71.59</v>
      </c>
      <c r="L44">
        <v>28731880487</v>
      </c>
      <c r="M44">
        <v>20.38</v>
      </c>
      <c r="N44">
        <v>240.74</v>
      </c>
      <c r="O44">
        <f t="shared" si="2"/>
        <v>1</v>
      </c>
      <c r="P44">
        <v>37.023000000000003</v>
      </c>
      <c r="Q44" t="s">
        <v>1224</v>
      </c>
      <c r="R44">
        <f t="shared" si="3"/>
        <v>7</v>
      </c>
      <c r="U44">
        <v>50.272703622611999</v>
      </c>
      <c r="V44" s="17">
        <f t="shared" si="4"/>
        <v>20.3513654082222</v>
      </c>
      <c r="X44">
        <v>6</v>
      </c>
      <c r="Y44" s="72" t="str">
        <f>[1]!wss(AB44,"sec_status","cols=1;rows=1")</f>
        <v>L</v>
      </c>
      <c r="AB44" t="str">
        <f t="shared" si="5"/>
        <v>2259.HK</v>
      </c>
      <c r="AC44" s="50">
        <v>120.6</v>
      </c>
      <c r="AD44" s="50">
        <v>111.5</v>
      </c>
      <c r="AE44" s="50">
        <v>123</v>
      </c>
      <c r="AF44" s="50">
        <v>111</v>
      </c>
      <c r="AG44" t="s">
        <v>224</v>
      </c>
      <c r="AI44" t="s">
        <v>224</v>
      </c>
      <c r="AJ44">
        <v>0</v>
      </c>
    </row>
    <row r="45" spans="1:36">
      <c r="A45" t="s">
        <v>320</v>
      </c>
      <c r="B45" t="s">
        <v>321</v>
      </c>
      <c r="C45" s="40">
        <v>44894</v>
      </c>
      <c r="D45" s="19">
        <f t="shared" si="0"/>
        <v>44892</v>
      </c>
      <c r="E45" s="17" t="s">
        <v>3585</v>
      </c>
      <c r="F45">
        <f t="shared" si="1"/>
        <v>0</v>
      </c>
      <c r="H45" t="s">
        <v>2253</v>
      </c>
      <c r="I45" s="50">
        <v>50.03</v>
      </c>
      <c r="J45" s="61">
        <v>50.03</v>
      </c>
      <c r="K45" s="61">
        <v>88.8</v>
      </c>
      <c r="L45">
        <v>318691100</v>
      </c>
      <c r="M45">
        <v>5.3</v>
      </c>
      <c r="N45">
        <v>2.46</v>
      </c>
      <c r="O45">
        <f t="shared" si="2"/>
        <v>0</v>
      </c>
      <c r="P45">
        <v>0.377</v>
      </c>
      <c r="Q45" t="s">
        <v>1803</v>
      </c>
      <c r="R45">
        <f t="shared" si="3"/>
        <v>7</v>
      </c>
      <c r="U45">
        <v>2.27081879577903</v>
      </c>
      <c r="V45" s="17">
        <f t="shared" si="4"/>
        <v>13.261622338466101</v>
      </c>
      <c r="Y45" s="72" t="str">
        <f>[1]!wss(AB45,"sec_status","cols=1;rows=1")</f>
        <v>L</v>
      </c>
      <c r="AB45" t="str">
        <f t="shared" si="5"/>
        <v>3660.HK</v>
      </c>
      <c r="AC45" s="50">
        <v>51.75</v>
      </c>
      <c r="AD45" s="50">
        <v>50.6</v>
      </c>
      <c r="AE45" s="50">
        <v>51.95</v>
      </c>
      <c r="AF45" s="50">
        <v>50</v>
      </c>
      <c r="AG45" t="s">
        <v>224</v>
      </c>
      <c r="AI45" t="s">
        <v>224</v>
      </c>
      <c r="AJ45">
        <v>0</v>
      </c>
    </row>
    <row r="46" spans="1:36">
      <c r="A46" t="s">
        <v>322</v>
      </c>
      <c r="B46" t="s">
        <v>323</v>
      </c>
      <c r="C46" s="40">
        <v>45842</v>
      </c>
      <c r="D46" s="19">
        <f t="shared" si="0"/>
        <v>45840</v>
      </c>
      <c r="E46" s="17" t="s">
        <v>3582</v>
      </c>
      <c r="F46">
        <f t="shared" si="1"/>
        <v>1</v>
      </c>
      <c r="G46" t="s">
        <v>324</v>
      </c>
      <c r="H46" t="s">
        <v>2214</v>
      </c>
      <c r="I46" s="50">
        <v>60</v>
      </c>
      <c r="K46" s="61">
        <v>66</v>
      </c>
      <c r="L46">
        <v>2399682000</v>
      </c>
      <c r="M46">
        <v>5.85</v>
      </c>
      <c r="N46">
        <v>44.2</v>
      </c>
      <c r="O46">
        <f t="shared" si="2"/>
        <v>1</v>
      </c>
      <c r="P46">
        <v>0</v>
      </c>
      <c r="Q46" t="s">
        <v>1634</v>
      </c>
      <c r="R46">
        <f t="shared" si="3"/>
        <v>10</v>
      </c>
      <c r="U46">
        <v>12.4716772180516</v>
      </c>
      <c r="V46" s="17">
        <f t="shared" si="4"/>
        <v>31.243203294853753</v>
      </c>
      <c r="X46">
        <v>6</v>
      </c>
      <c r="Y46" s="72" t="str">
        <f>[1]!wss(AB46,"sec_status","cols=1;rows=1")</f>
        <v>L</v>
      </c>
      <c r="AB46" t="str">
        <f t="shared" si="5"/>
        <v>2648.HK</v>
      </c>
      <c r="AC46" s="50">
        <v>57</v>
      </c>
      <c r="AD46" s="50">
        <v>60</v>
      </c>
      <c r="AE46" s="50">
        <v>60.1</v>
      </c>
      <c r="AF46" s="50">
        <v>57</v>
      </c>
      <c r="AG46" t="s">
        <v>224</v>
      </c>
      <c r="AH46" t="s">
        <v>2293</v>
      </c>
      <c r="AI46" t="s">
        <v>224</v>
      </c>
      <c r="AJ46">
        <v>0</v>
      </c>
    </row>
    <row r="47" spans="1:36" ht="25.5">
      <c r="A47" t="s">
        <v>325</v>
      </c>
      <c r="B47" t="s">
        <v>326</v>
      </c>
      <c r="C47" s="40">
        <v>45985</v>
      </c>
      <c r="D47" s="19">
        <f t="shared" si="0"/>
        <v>45983</v>
      </c>
      <c r="E47" s="17" t="s">
        <v>3583</v>
      </c>
      <c r="F47">
        <f t="shared" si="1"/>
        <v>0</v>
      </c>
      <c r="H47" t="s">
        <v>2222</v>
      </c>
      <c r="I47" s="50">
        <v>10.99</v>
      </c>
      <c r="J47" s="61">
        <v>10.18</v>
      </c>
      <c r="K47" s="61">
        <v>10.99</v>
      </c>
      <c r="L47">
        <v>6319250000</v>
      </c>
      <c r="M47">
        <v>19.850000000000001</v>
      </c>
      <c r="N47">
        <v>447.2</v>
      </c>
      <c r="O47">
        <f t="shared" si="2"/>
        <v>1</v>
      </c>
      <c r="P47">
        <v>8.1180000000000003</v>
      </c>
      <c r="Q47" t="s">
        <v>1711</v>
      </c>
      <c r="R47">
        <f t="shared" si="3"/>
        <v>10</v>
      </c>
      <c r="U47">
        <v>9.8988872337538591</v>
      </c>
      <c r="V47" s="17">
        <f t="shared" si="4"/>
        <v>5.016575209858571</v>
      </c>
      <c r="X47">
        <v>6</v>
      </c>
      <c r="Y47" s="72" t="str">
        <f>[1]!wss(AB47,"sec_status","cols=1;rows=1")</f>
        <v>L</v>
      </c>
      <c r="AB47" t="str">
        <f t="shared" si="5"/>
        <v>2788.HK</v>
      </c>
      <c r="AC47" s="50">
        <v>14.59</v>
      </c>
      <c r="AD47" s="50">
        <v>15.2</v>
      </c>
      <c r="AE47" s="50">
        <v>15.8</v>
      </c>
      <c r="AF47" s="50">
        <v>14.18</v>
      </c>
      <c r="AG47" t="s">
        <v>224</v>
      </c>
      <c r="AI47" t="s">
        <v>224</v>
      </c>
      <c r="AJ47">
        <v>0</v>
      </c>
    </row>
    <row r="48" spans="1:36" ht="25.5">
      <c r="A48" t="s">
        <v>327</v>
      </c>
      <c r="B48" t="s">
        <v>328</v>
      </c>
      <c r="C48" s="40">
        <v>45278</v>
      </c>
      <c r="D48" s="19">
        <f t="shared" si="0"/>
        <v>45276</v>
      </c>
      <c r="E48" s="17" t="s">
        <v>3583</v>
      </c>
      <c r="F48">
        <f t="shared" si="1"/>
        <v>0</v>
      </c>
      <c r="H48" t="s">
        <v>2226</v>
      </c>
      <c r="I48" s="50">
        <v>18.3</v>
      </c>
      <c r="J48" s="61">
        <v>18.2</v>
      </c>
      <c r="K48" s="61">
        <v>20.6</v>
      </c>
      <c r="L48">
        <v>2124084660</v>
      </c>
      <c r="M48">
        <v>1.21</v>
      </c>
      <c r="N48">
        <v>1.27</v>
      </c>
      <c r="O48">
        <f t="shared" si="2"/>
        <v>0</v>
      </c>
      <c r="P48">
        <v>0</v>
      </c>
      <c r="Q48" t="s">
        <v>2160</v>
      </c>
      <c r="R48">
        <f t="shared" si="3"/>
        <v>13</v>
      </c>
      <c r="U48">
        <v>-105.104464497661</v>
      </c>
      <c r="V48" s="17">
        <f t="shared" si="4"/>
        <v>143.35540602178833</v>
      </c>
      <c r="Y48" s="51" t="str">
        <f>[1]!wss(AB48,"sec_status","cols=1;rows=1")</f>
        <v/>
      </c>
      <c r="AB48" t="str">
        <f t="shared" si="5"/>
        <v>666.HK</v>
      </c>
      <c r="AC48" s="50">
        <v>18.78</v>
      </c>
      <c r="AD48" s="50">
        <v>18.600000000000001</v>
      </c>
      <c r="AE48" s="50">
        <v>19.66</v>
      </c>
      <c r="AF48" s="50">
        <v>18.559999999999999</v>
      </c>
      <c r="AG48" t="s">
        <v>224</v>
      </c>
      <c r="AH48" t="s">
        <v>2293</v>
      </c>
      <c r="AI48" t="s">
        <v>224</v>
      </c>
      <c r="AJ48">
        <v>0</v>
      </c>
    </row>
    <row r="49" spans="1:36">
      <c r="A49" t="s">
        <v>329</v>
      </c>
      <c r="B49" t="s">
        <v>330</v>
      </c>
      <c r="C49" s="40">
        <v>45195</v>
      </c>
      <c r="D49" s="19">
        <f t="shared" si="0"/>
        <v>45193</v>
      </c>
      <c r="E49" s="17" t="s">
        <v>3584</v>
      </c>
      <c r="F49">
        <f t="shared" si="1"/>
        <v>0</v>
      </c>
      <c r="H49" t="s">
        <v>2233</v>
      </c>
      <c r="I49" s="50">
        <v>28</v>
      </c>
      <c r="J49" s="61">
        <v>28</v>
      </c>
      <c r="K49" s="61">
        <v>31</v>
      </c>
      <c r="L49">
        <v>1315042400</v>
      </c>
      <c r="M49">
        <v>2.2999999999999998</v>
      </c>
      <c r="N49">
        <v>2.67</v>
      </c>
      <c r="O49">
        <f t="shared" si="2"/>
        <v>0</v>
      </c>
      <c r="P49">
        <v>1.228</v>
      </c>
      <c r="Q49" t="s">
        <v>1878</v>
      </c>
      <c r="R49">
        <f t="shared" si="3"/>
        <v>9</v>
      </c>
      <c r="U49">
        <v>-9.5351360160599494</v>
      </c>
      <c r="V49" s="17" t="str">
        <f t="shared" si="4"/>
        <v/>
      </c>
      <c r="X49">
        <v>6</v>
      </c>
      <c r="Y49" s="72" t="str">
        <f>[1]!wss(AB49,"sec_status","cols=1;rows=1")</f>
        <v>L</v>
      </c>
      <c r="AB49" t="str">
        <f t="shared" si="5"/>
        <v>9690.HK</v>
      </c>
      <c r="AC49" s="50">
        <v>29.5</v>
      </c>
      <c r="AD49" s="50">
        <v>28</v>
      </c>
      <c r="AE49" s="50">
        <v>29.8</v>
      </c>
      <c r="AF49" s="50">
        <v>28</v>
      </c>
      <c r="AG49" t="s">
        <v>224</v>
      </c>
      <c r="AI49" t="s">
        <v>224</v>
      </c>
      <c r="AJ49">
        <v>0</v>
      </c>
    </row>
    <row r="50" spans="1:36" ht="25.5">
      <c r="A50" t="s">
        <v>331</v>
      </c>
      <c r="B50" t="s">
        <v>332</v>
      </c>
      <c r="C50" s="40">
        <v>45588</v>
      </c>
      <c r="D50" s="19">
        <f t="shared" si="0"/>
        <v>45586</v>
      </c>
      <c r="E50" s="17" t="s">
        <v>3583</v>
      </c>
      <c r="F50">
        <f t="shared" si="1"/>
        <v>0</v>
      </c>
      <c r="H50" t="s">
        <v>2221</v>
      </c>
      <c r="I50" s="50">
        <v>14.5</v>
      </c>
      <c r="J50" s="61">
        <v>13.5</v>
      </c>
      <c r="K50" s="61">
        <v>14.5</v>
      </c>
      <c r="L50">
        <v>5773850700</v>
      </c>
      <c r="M50">
        <v>24.47</v>
      </c>
      <c r="N50">
        <v>234.49</v>
      </c>
      <c r="O50">
        <f t="shared" si="2"/>
        <v>1</v>
      </c>
      <c r="P50">
        <v>7.1859999999999999</v>
      </c>
      <c r="Q50" t="s">
        <v>1428</v>
      </c>
      <c r="R50">
        <f t="shared" si="3"/>
        <v>10</v>
      </c>
      <c r="U50">
        <v>23.207651276066901</v>
      </c>
      <c r="V50" s="17">
        <f t="shared" si="4"/>
        <v>26.890595114996486</v>
      </c>
      <c r="X50">
        <v>6</v>
      </c>
      <c r="Y50" s="72" t="str">
        <f>[1]!wss(AB50,"sec_status","cols=1;rows=1")</f>
        <v>L</v>
      </c>
      <c r="AB50" t="str">
        <f t="shared" si="5"/>
        <v>2460.HK</v>
      </c>
      <c r="AC50" s="50">
        <v>16.68</v>
      </c>
      <c r="AD50" s="50">
        <v>16.46</v>
      </c>
      <c r="AE50" s="50">
        <v>16.78</v>
      </c>
      <c r="AF50" s="50">
        <v>15.72</v>
      </c>
      <c r="AG50" t="s">
        <v>224</v>
      </c>
      <c r="AH50" t="s">
        <v>2322</v>
      </c>
      <c r="AI50" t="s">
        <v>224</v>
      </c>
      <c r="AJ50">
        <v>0</v>
      </c>
    </row>
    <row r="51" spans="1:36" ht="25.5">
      <c r="A51" t="s">
        <v>333</v>
      </c>
      <c r="B51" t="s">
        <v>334</v>
      </c>
      <c r="C51" s="40">
        <v>46100</v>
      </c>
      <c r="D51" s="19">
        <f t="shared" si="0"/>
        <v>46098</v>
      </c>
      <c r="E51" s="17" t="s">
        <v>3583</v>
      </c>
      <c r="F51">
        <f t="shared" si="1"/>
        <v>0</v>
      </c>
      <c r="H51" t="s">
        <v>2234</v>
      </c>
      <c r="I51" s="50"/>
      <c r="L51">
        <v>0</v>
      </c>
      <c r="M51">
        <v>0</v>
      </c>
      <c r="N51">
        <v>0</v>
      </c>
      <c r="O51">
        <f t="shared" si="2"/>
        <v>0</v>
      </c>
      <c r="P51">
        <v>0</v>
      </c>
      <c r="Q51">
        <v>0</v>
      </c>
      <c r="R51">
        <f t="shared" si="3"/>
        <v>1</v>
      </c>
      <c r="U51">
        <v>0</v>
      </c>
      <c r="V51" s="17">
        <f t="shared" si="4"/>
        <v>16.882617936393391</v>
      </c>
      <c r="Y51" s="72" t="str">
        <f>[1]!wss(AB51,"sec_status","cols=1;rows=1")</f>
        <v>L</v>
      </c>
      <c r="AB51" t="str">
        <f t="shared" si="5"/>
        <v>7489.HK</v>
      </c>
      <c r="AC51" s="50">
        <v>6.51</v>
      </c>
      <c r="AD51" s="50">
        <v>7.5</v>
      </c>
      <c r="AE51" s="50">
        <v>7.5</v>
      </c>
      <c r="AF51" s="50">
        <v>6.25</v>
      </c>
      <c r="AG51" t="s">
        <v>224</v>
      </c>
      <c r="AH51" t="s">
        <v>2293</v>
      </c>
      <c r="AI51" t="s">
        <v>224</v>
      </c>
      <c r="AJ51">
        <v>0</v>
      </c>
    </row>
    <row r="52" spans="1:36" ht="25.5">
      <c r="A52" t="s">
        <v>335</v>
      </c>
      <c r="B52" t="s">
        <v>336</v>
      </c>
      <c r="C52" s="40">
        <v>44755</v>
      </c>
      <c r="D52" s="19">
        <f t="shared" si="0"/>
        <v>44753</v>
      </c>
      <c r="E52" s="17" t="s">
        <v>3583</v>
      </c>
      <c r="F52">
        <f t="shared" si="1"/>
        <v>0</v>
      </c>
      <c r="H52" t="s">
        <v>2254</v>
      </c>
      <c r="I52" s="50">
        <v>13.8</v>
      </c>
      <c r="K52" s="61">
        <v>22.1</v>
      </c>
      <c r="L52">
        <v>573889560</v>
      </c>
      <c r="M52">
        <v>4.84</v>
      </c>
      <c r="N52">
        <v>1.4</v>
      </c>
      <c r="O52">
        <f t="shared" si="2"/>
        <v>0</v>
      </c>
      <c r="P52">
        <v>6.4000000000000001E-2</v>
      </c>
      <c r="Q52" t="s">
        <v>1893</v>
      </c>
      <c r="R52">
        <f t="shared" si="3"/>
        <v>6</v>
      </c>
      <c r="U52">
        <v>-10.2789060297976</v>
      </c>
      <c r="V52" s="17" t="str">
        <f t="shared" si="4"/>
        <v/>
      </c>
      <c r="Y52" s="72" t="str">
        <f>[1]!wss(AB52,"sec_status","cols=1;rows=1")</f>
        <v>L</v>
      </c>
      <c r="AB52" t="str">
        <f t="shared" si="5"/>
        <v>9896.HK</v>
      </c>
      <c r="AC52" s="50">
        <v>13.38</v>
      </c>
      <c r="AD52" s="50">
        <v>13.2</v>
      </c>
      <c r="AE52" s="50">
        <v>13.66</v>
      </c>
      <c r="AF52" s="50">
        <v>13.12</v>
      </c>
      <c r="AG52" t="s">
        <v>224</v>
      </c>
      <c r="AI52" t="s">
        <v>224</v>
      </c>
      <c r="AJ52">
        <v>0</v>
      </c>
    </row>
    <row r="53" spans="1:36" ht="25.5">
      <c r="A53" t="s">
        <v>337</v>
      </c>
      <c r="B53" t="s">
        <v>338</v>
      </c>
      <c r="C53" s="40">
        <v>44942</v>
      </c>
      <c r="D53" s="19">
        <f t="shared" si="0"/>
        <v>44940</v>
      </c>
      <c r="E53" s="17" t="s">
        <v>3583</v>
      </c>
      <c r="F53">
        <f t="shared" si="1"/>
        <v>0</v>
      </c>
      <c r="H53" t="s">
        <v>2214</v>
      </c>
      <c r="I53" s="50">
        <v>5.6</v>
      </c>
      <c r="J53" s="61">
        <v>5</v>
      </c>
      <c r="K53" s="61">
        <v>6.2</v>
      </c>
      <c r="L53">
        <v>495846400</v>
      </c>
      <c r="M53">
        <v>2.8</v>
      </c>
      <c r="N53">
        <v>12.2</v>
      </c>
      <c r="O53">
        <f t="shared" si="2"/>
        <v>0</v>
      </c>
      <c r="P53">
        <v>0.51600000000000001</v>
      </c>
      <c r="Q53" t="s">
        <v>1305</v>
      </c>
      <c r="R53">
        <f t="shared" si="3"/>
        <v>6</v>
      </c>
      <c r="U53">
        <v>31.384687601641001</v>
      </c>
      <c r="V53" s="17">
        <f t="shared" si="4"/>
        <v>28.541344668626699</v>
      </c>
      <c r="X53">
        <v>6</v>
      </c>
      <c r="Y53" s="72" t="str">
        <f>[1]!wss(AB53,"sec_status","cols=1;rows=1")</f>
        <v>L</v>
      </c>
      <c r="AB53" t="str">
        <f t="shared" si="5"/>
        <v>2411.HK</v>
      </c>
      <c r="AC53" s="50">
        <v>6</v>
      </c>
      <c r="AD53" s="50">
        <v>6.52</v>
      </c>
      <c r="AE53" s="50">
        <v>7.12</v>
      </c>
      <c r="AF53" s="50">
        <v>6</v>
      </c>
      <c r="AG53" t="s">
        <v>224</v>
      </c>
      <c r="AH53" t="s">
        <v>2293</v>
      </c>
      <c r="AI53" t="s">
        <v>224</v>
      </c>
      <c r="AJ53">
        <v>0</v>
      </c>
    </row>
    <row r="54" spans="1:36">
      <c r="A54" t="s">
        <v>339</v>
      </c>
      <c r="B54" t="s">
        <v>340</v>
      </c>
      <c r="C54" s="40">
        <v>46056</v>
      </c>
      <c r="D54" s="19">
        <f t="shared" si="0"/>
        <v>46054</v>
      </c>
      <c r="E54" s="17" t="s">
        <v>3582</v>
      </c>
      <c r="F54">
        <f t="shared" si="1"/>
        <v>1</v>
      </c>
      <c r="G54" t="s">
        <v>341</v>
      </c>
      <c r="H54" t="s">
        <v>2221</v>
      </c>
      <c r="I54" s="50">
        <v>248</v>
      </c>
      <c r="K54" s="61">
        <v>248</v>
      </c>
      <c r="L54">
        <v>11099413600</v>
      </c>
      <c r="M54">
        <v>15.6</v>
      </c>
      <c r="N54">
        <v>57.46</v>
      </c>
      <c r="O54">
        <f t="shared" si="2"/>
        <v>1</v>
      </c>
      <c r="P54">
        <v>9.4905000000000008</v>
      </c>
      <c r="Q54" t="s">
        <v>1272</v>
      </c>
      <c r="R54">
        <f t="shared" si="3"/>
        <v>3</v>
      </c>
      <c r="U54">
        <v>38.7216779749266</v>
      </c>
      <c r="V54" s="17">
        <f t="shared" si="4"/>
        <v>25.166814370678747</v>
      </c>
      <c r="X54">
        <v>6</v>
      </c>
      <c r="Y54" s="72" t="str">
        <f>[1]!wss(AB54,"sec_status","cols=1;rows=1")</f>
        <v>L</v>
      </c>
      <c r="AB54" t="str">
        <f t="shared" si="5"/>
        <v>9980.HK</v>
      </c>
      <c r="AC54" s="50">
        <v>251.8</v>
      </c>
      <c r="AD54" s="50">
        <v>248</v>
      </c>
      <c r="AE54" s="50">
        <v>251.8</v>
      </c>
      <c r="AF54" s="50">
        <v>245.6</v>
      </c>
      <c r="AG54" t="s">
        <v>224</v>
      </c>
      <c r="AH54" t="s">
        <v>2293</v>
      </c>
      <c r="AI54" t="s">
        <v>224</v>
      </c>
      <c r="AJ54">
        <v>0</v>
      </c>
    </row>
    <row r="55" spans="1:36" ht="25.5">
      <c r="A55" t="s">
        <v>342</v>
      </c>
      <c r="B55" t="s">
        <v>343</v>
      </c>
      <c r="C55" s="40">
        <v>45252</v>
      </c>
      <c r="D55" s="19">
        <f t="shared" si="0"/>
        <v>45250</v>
      </c>
      <c r="E55" s="17" t="s">
        <v>3583</v>
      </c>
      <c r="F55">
        <f t="shared" si="1"/>
        <v>0</v>
      </c>
      <c r="H55" t="s">
        <v>2277</v>
      </c>
      <c r="I55" s="50">
        <v>2.1800000000000002</v>
      </c>
      <c r="J55" s="61">
        <v>2.1</v>
      </c>
      <c r="K55" s="61">
        <v>2.36</v>
      </c>
      <c r="L55">
        <v>814199480</v>
      </c>
      <c r="M55">
        <v>1.33</v>
      </c>
      <c r="N55">
        <v>0.6</v>
      </c>
      <c r="O55">
        <f t="shared" si="2"/>
        <v>0</v>
      </c>
      <c r="P55">
        <v>0.84499999999999997</v>
      </c>
      <c r="Q55" t="s">
        <v>1544</v>
      </c>
      <c r="R55">
        <f t="shared" si="3"/>
        <v>12</v>
      </c>
      <c r="U55">
        <v>17.208410755109298</v>
      </c>
      <c r="V55" s="17">
        <f t="shared" si="4"/>
        <v>9.3172195082810898</v>
      </c>
      <c r="X55">
        <v>36</v>
      </c>
      <c r="Y55" s="72" t="str">
        <f>[1]!wss(AB55,"sec_status","cols=1;rows=1")</f>
        <v>L</v>
      </c>
      <c r="AB55" t="str">
        <f t="shared" si="5"/>
        <v>2520.HK</v>
      </c>
      <c r="AC55" s="50">
        <v>2.1800000000000002</v>
      </c>
      <c r="AD55" s="50">
        <v>2.1800000000000002</v>
      </c>
      <c r="AE55" s="50">
        <v>2.25</v>
      </c>
      <c r="AF55" s="50">
        <v>2.1800000000000002</v>
      </c>
      <c r="AG55" t="s">
        <v>224</v>
      </c>
      <c r="AH55" t="s">
        <v>2293</v>
      </c>
      <c r="AI55" t="s">
        <v>224</v>
      </c>
      <c r="AJ55">
        <v>0</v>
      </c>
    </row>
    <row r="56" spans="1:36" ht="25.5">
      <c r="A56" t="s">
        <v>344</v>
      </c>
      <c r="B56" t="s">
        <v>345</v>
      </c>
      <c r="C56" s="40">
        <v>45833</v>
      </c>
      <c r="D56" s="19">
        <f t="shared" si="0"/>
        <v>45831</v>
      </c>
      <c r="E56" s="17" t="s">
        <v>3583</v>
      </c>
      <c r="F56">
        <f t="shared" si="1"/>
        <v>0</v>
      </c>
      <c r="H56" t="s">
        <v>2215</v>
      </c>
      <c r="I56" s="50">
        <v>41.94</v>
      </c>
      <c r="J56" s="61">
        <v>41.94</v>
      </c>
      <c r="K56" s="61">
        <v>41.94</v>
      </c>
      <c r="L56">
        <v>1852850484</v>
      </c>
      <c r="M56">
        <v>2.78</v>
      </c>
      <c r="N56">
        <v>21.14</v>
      </c>
      <c r="O56">
        <f t="shared" si="2"/>
        <v>1</v>
      </c>
      <c r="P56">
        <v>0</v>
      </c>
      <c r="Q56" t="s">
        <v>1971</v>
      </c>
      <c r="R56">
        <f t="shared" si="3"/>
        <v>15</v>
      </c>
      <c r="U56">
        <v>-16.897502626147102</v>
      </c>
      <c r="V56" s="17">
        <f t="shared" si="4"/>
        <v>17.992258357016201</v>
      </c>
      <c r="X56">
        <v>6</v>
      </c>
      <c r="Y56" s="72" t="str">
        <f>[1]!wss(AB56,"sec_status","cols=1;rows=1")</f>
        <v>L</v>
      </c>
      <c r="AB56" t="str">
        <f t="shared" si="5"/>
        <v>2643.HK</v>
      </c>
      <c r="AC56" s="50">
        <v>36</v>
      </c>
      <c r="AD56" s="50">
        <v>33.799999999999997</v>
      </c>
      <c r="AE56" s="50">
        <v>36.799999999999997</v>
      </c>
      <c r="AF56" s="50">
        <v>32.85</v>
      </c>
      <c r="AG56" t="s">
        <v>224</v>
      </c>
      <c r="AI56" t="s">
        <v>224</v>
      </c>
      <c r="AJ56">
        <v>0</v>
      </c>
    </row>
    <row r="57" spans="1:36" ht="25.5">
      <c r="A57" t="s">
        <v>346</v>
      </c>
      <c r="B57" t="s">
        <v>347</v>
      </c>
      <c r="C57" s="40">
        <v>46050</v>
      </c>
      <c r="D57" s="19">
        <f t="shared" si="0"/>
        <v>46048</v>
      </c>
      <c r="E57" s="17" t="s">
        <v>3583</v>
      </c>
      <c r="F57">
        <f t="shared" si="1"/>
        <v>0</v>
      </c>
      <c r="H57" t="s">
        <v>2214</v>
      </c>
      <c r="I57" s="50">
        <v>236.6</v>
      </c>
      <c r="J57" s="61">
        <v>229.6</v>
      </c>
      <c r="K57" s="61">
        <v>236.6</v>
      </c>
      <c r="L57">
        <v>4220423480</v>
      </c>
      <c r="M57">
        <v>44.44</v>
      </c>
      <c r="N57">
        <v>1899.49</v>
      </c>
      <c r="O57">
        <f t="shared" si="2"/>
        <v>1</v>
      </c>
      <c r="P57">
        <v>5.34</v>
      </c>
      <c r="Q57" t="s">
        <v>1202</v>
      </c>
      <c r="R57">
        <f t="shared" si="3"/>
        <v>6</v>
      </c>
      <c r="U57">
        <v>56.637491407491197</v>
      </c>
      <c r="V57" s="17">
        <f t="shared" si="4"/>
        <v>24.933801267790955</v>
      </c>
      <c r="X57">
        <v>6</v>
      </c>
      <c r="Y57" s="72" t="str">
        <f>[1]!wss(AB57,"sec_status","cols=1;rows=1")</f>
        <v>L</v>
      </c>
      <c r="AB57" t="str">
        <f t="shared" si="5"/>
        <v>1768.HK</v>
      </c>
      <c r="AC57" s="50">
        <v>400</v>
      </c>
      <c r="AD57" s="50">
        <v>445</v>
      </c>
      <c r="AE57" s="50">
        <v>445</v>
      </c>
      <c r="AF57" s="50">
        <v>399.2</v>
      </c>
      <c r="AG57" t="s">
        <v>224</v>
      </c>
      <c r="AH57" t="s">
        <v>2293</v>
      </c>
      <c r="AI57" t="s">
        <v>224</v>
      </c>
      <c r="AJ57">
        <v>0</v>
      </c>
    </row>
    <row r="58" spans="1:36" ht="25.5">
      <c r="A58" t="s">
        <v>348</v>
      </c>
      <c r="B58" t="s">
        <v>349</v>
      </c>
      <c r="C58" s="40">
        <v>45071</v>
      </c>
      <c r="D58" s="19">
        <f t="shared" si="0"/>
        <v>45069</v>
      </c>
      <c r="E58" s="17" t="s">
        <v>3583</v>
      </c>
      <c r="F58">
        <f t="shared" si="1"/>
        <v>0</v>
      </c>
      <c r="H58" t="s">
        <v>2205</v>
      </c>
      <c r="I58" s="50">
        <v>4.5199999999999996</v>
      </c>
      <c r="J58" s="61">
        <v>4.5199999999999996</v>
      </c>
      <c r="K58" s="61">
        <v>4.8</v>
      </c>
      <c r="L58">
        <v>1648416880</v>
      </c>
      <c r="M58">
        <v>1.47</v>
      </c>
      <c r="N58">
        <v>0.12</v>
      </c>
      <c r="O58">
        <f t="shared" si="2"/>
        <v>0</v>
      </c>
      <c r="P58">
        <v>0</v>
      </c>
      <c r="Q58" t="s">
        <v>1508</v>
      </c>
      <c r="R58">
        <f t="shared" si="3"/>
        <v>15</v>
      </c>
      <c r="U58">
        <v>19.366735140043399</v>
      </c>
      <c r="V58" s="17">
        <f t="shared" si="4"/>
        <v>30.058394073637199</v>
      </c>
      <c r="X58">
        <v>6</v>
      </c>
      <c r="Y58" s="72" t="str">
        <f>[1]!wss(AB58,"sec_status","cols=1;rows=1")</f>
        <v>L</v>
      </c>
      <c r="AB58" t="str">
        <f t="shared" si="5"/>
        <v>9930.HK</v>
      </c>
      <c r="AC58" s="50">
        <v>3.21</v>
      </c>
      <c r="AD58" s="50">
        <v>3.26</v>
      </c>
      <c r="AE58" s="50">
        <v>3.74</v>
      </c>
      <c r="AF58" s="50">
        <v>3.13</v>
      </c>
      <c r="AG58" t="s">
        <v>224</v>
      </c>
      <c r="AH58" t="s">
        <v>2322</v>
      </c>
      <c r="AI58" t="s">
        <v>224</v>
      </c>
      <c r="AJ58">
        <v>0</v>
      </c>
    </row>
    <row r="59" spans="1:36" ht="25.5">
      <c r="A59" t="s">
        <v>350</v>
      </c>
      <c r="B59" t="s">
        <v>351</v>
      </c>
      <c r="C59" s="40">
        <v>44651</v>
      </c>
      <c r="D59" s="19">
        <f t="shared" si="0"/>
        <v>44649</v>
      </c>
      <c r="E59" s="17" t="s">
        <v>3583</v>
      </c>
      <c r="F59">
        <f t="shared" si="1"/>
        <v>0</v>
      </c>
      <c r="H59" t="s">
        <v>2238</v>
      </c>
      <c r="I59" s="50">
        <v>22.88</v>
      </c>
      <c r="J59" s="61">
        <v>21.82</v>
      </c>
      <c r="K59" s="61">
        <v>28.24</v>
      </c>
      <c r="L59">
        <v>2007667376</v>
      </c>
      <c r="M59">
        <v>2.06</v>
      </c>
      <c r="N59">
        <v>1.07</v>
      </c>
      <c r="O59">
        <f t="shared" si="2"/>
        <v>0</v>
      </c>
      <c r="P59">
        <v>0.91539999999999999</v>
      </c>
      <c r="Q59" t="s">
        <v>1431</v>
      </c>
      <c r="R59">
        <f t="shared" si="3"/>
        <v>3</v>
      </c>
      <c r="U59">
        <v>23.071798264657101</v>
      </c>
      <c r="V59" s="17">
        <f t="shared" si="4"/>
        <v>9.5616297820100193</v>
      </c>
      <c r="X59">
        <v>6</v>
      </c>
      <c r="Y59" s="72" t="str">
        <f>[1]!wss(AB59,"sec_status","cols=1;rows=1")</f>
        <v>L</v>
      </c>
      <c r="AB59" t="str">
        <f t="shared" si="5"/>
        <v>9638.HK</v>
      </c>
      <c r="AC59" s="50">
        <v>22.85</v>
      </c>
      <c r="AD59" s="50">
        <v>23.05</v>
      </c>
      <c r="AE59" s="50">
        <v>23.75</v>
      </c>
      <c r="AF59" s="50">
        <v>22.85</v>
      </c>
      <c r="AG59" t="s">
        <v>224</v>
      </c>
      <c r="AH59" t="s">
        <v>2322</v>
      </c>
      <c r="AI59" t="s">
        <v>224</v>
      </c>
      <c r="AJ59">
        <v>0</v>
      </c>
    </row>
    <row r="60" spans="1:36">
      <c r="A60" t="s">
        <v>352</v>
      </c>
      <c r="B60" t="s">
        <v>353</v>
      </c>
      <c r="C60" s="40">
        <v>45595</v>
      </c>
      <c r="D60" s="19">
        <f t="shared" si="0"/>
        <v>45593</v>
      </c>
      <c r="E60" s="17" t="s">
        <v>3582</v>
      </c>
      <c r="F60">
        <f t="shared" si="1"/>
        <v>1</v>
      </c>
      <c r="G60" t="s">
        <v>354</v>
      </c>
      <c r="H60" t="s">
        <v>2226</v>
      </c>
      <c r="I60" s="50">
        <v>5.5</v>
      </c>
      <c r="J60" s="61">
        <v>4.5</v>
      </c>
      <c r="K60" s="61">
        <v>7</v>
      </c>
      <c r="L60">
        <v>550000000</v>
      </c>
      <c r="M60">
        <v>3.23</v>
      </c>
      <c r="N60">
        <v>3.99</v>
      </c>
      <c r="O60">
        <f t="shared" si="2"/>
        <v>0</v>
      </c>
      <c r="P60">
        <v>0</v>
      </c>
      <c r="Q60" t="s">
        <v>1804</v>
      </c>
      <c r="R60">
        <f t="shared" si="3"/>
        <v>10</v>
      </c>
      <c r="U60">
        <v>-2.6878432739082898</v>
      </c>
      <c r="V60" s="17">
        <f t="shared" si="4"/>
        <v>143.35540602178833</v>
      </c>
      <c r="X60">
        <v>6</v>
      </c>
      <c r="Y60" s="72" t="str">
        <f>[1]!wss(AB60,"sec_status","cols=1;rows=1")</f>
        <v>L</v>
      </c>
      <c r="AB60" t="str">
        <f t="shared" si="5"/>
        <v>2465.HK</v>
      </c>
      <c r="AC60" s="50">
        <v>4.75</v>
      </c>
      <c r="AD60" s="50">
        <v>5.08</v>
      </c>
      <c r="AE60" s="50">
        <v>5.46</v>
      </c>
      <c r="AF60" s="50">
        <v>4.2</v>
      </c>
      <c r="AG60" t="s">
        <v>224</v>
      </c>
      <c r="AH60" t="s">
        <v>2293</v>
      </c>
      <c r="AI60" t="s">
        <v>224</v>
      </c>
      <c r="AJ60">
        <v>0</v>
      </c>
    </row>
    <row r="61" spans="1:36" ht="25.5">
      <c r="A61" t="s">
        <v>355</v>
      </c>
      <c r="B61" t="s">
        <v>356</v>
      </c>
      <c r="C61" s="40">
        <v>45604</v>
      </c>
      <c r="D61" s="19">
        <f t="shared" si="0"/>
        <v>45602</v>
      </c>
      <c r="E61" s="17" t="s">
        <v>3583</v>
      </c>
      <c r="F61">
        <f t="shared" si="1"/>
        <v>0</v>
      </c>
      <c r="H61" t="s">
        <v>2270</v>
      </c>
      <c r="I61" s="50">
        <v>15.6</v>
      </c>
      <c r="J61" s="61">
        <v>14.56</v>
      </c>
      <c r="K61" s="61">
        <v>15.6</v>
      </c>
      <c r="L61">
        <v>466357320</v>
      </c>
      <c r="M61">
        <v>2.4500000000000002</v>
      </c>
      <c r="N61">
        <v>17.739999999999998</v>
      </c>
      <c r="O61">
        <f t="shared" si="2"/>
        <v>1</v>
      </c>
      <c r="P61">
        <v>0</v>
      </c>
      <c r="Q61" t="s">
        <v>1688</v>
      </c>
      <c r="R61">
        <f t="shared" si="3"/>
        <v>4</v>
      </c>
      <c r="U61">
        <v>11.0332123852584</v>
      </c>
      <c r="V61" s="17" t="str">
        <f t="shared" si="4"/>
        <v/>
      </c>
      <c r="X61">
        <v>6</v>
      </c>
      <c r="Y61" s="72" t="str">
        <f>[1]!wss(AB61,"sec_status","cols=1;rows=1")</f>
        <v>L</v>
      </c>
      <c r="AB61" t="str">
        <f t="shared" si="5"/>
        <v>2519.HK</v>
      </c>
      <c r="AC61" s="50">
        <v>13.82</v>
      </c>
      <c r="AD61" s="50">
        <v>13.88</v>
      </c>
      <c r="AE61" s="50">
        <v>14.96</v>
      </c>
      <c r="AF61" s="50">
        <v>12.5</v>
      </c>
      <c r="AG61" t="s">
        <v>224</v>
      </c>
      <c r="AH61" t="s">
        <v>2293</v>
      </c>
      <c r="AI61" t="s">
        <v>224</v>
      </c>
      <c r="AJ61">
        <v>0</v>
      </c>
    </row>
    <row r="62" spans="1:36">
      <c r="A62" t="s">
        <v>357</v>
      </c>
      <c r="B62" t="s">
        <v>358</v>
      </c>
      <c r="C62" s="40">
        <v>46133</v>
      </c>
      <c r="D62" s="19">
        <f t="shared" si="0"/>
        <v>46131</v>
      </c>
      <c r="E62" s="17" t="s">
        <v>3582</v>
      </c>
      <c r="F62">
        <f t="shared" si="1"/>
        <v>1</v>
      </c>
      <c r="G62" t="s">
        <v>359</v>
      </c>
      <c r="H62" t="s">
        <v>2216</v>
      </c>
      <c r="I62" s="50">
        <v>209.88</v>
      </c>
      <c r="K62" s="61">
        <v>209.88</v>
      </c>
      <c r="L62">
        <v>23134547700</v>
      </c>
      <c r="M62">
        <v>18.5</v>
      </c>
      <c r="N62">
        <v>431.15</v>
      </c>
      <c r="O62">
        <f t="shared" si="2"/>
        <v>1</v>
      </c>
      <c r="P62">
        <v>29.9039</v>
      </c>
      <c r="Q62" t="s">
        <v>1257</v>
      </c>
      <c r="R62">
        <f t="shared" si="3"/>
        <v>7</v>
      </c>
      <c r="U62">
        <v>42.574064909192899</v>
      </c>
      <c r="V62" s="17">
        <f t="shared" si="4"/>
        <v>32.235335058525379</v>
      </c>
      <c r="X62">
        <v>6</v>
      </c>
      <c r="Y62" s="72" t="str">
        <f>[1]!wss(AB62,"sec_status","cols=1;rows=1")</f>
        <v>L</v>
      </c>
      <c r="AB62" t="str">
        <f t="shared" si="5"/>
        <v>2476.HK</v>
      </c>
      <c r="AC62" s="50">
        <v>315</v>
      </c>
      <c r="AD62" s="50">
        <v>330</v>
      </c>
      <c r="AE62" s="50">
        <v>336.2</v>
      </c>
      <c r="AF62" s="50">
        <v>302</v>
      </c>
      <c r="AG62" t="s">
        <v>224</v>
      </c>
      <c r="AH62" t="s">
        <v>2293</v>
      </c>
      <c r="AI62" t="s">
        <v>224</v>
      </c>
      <c r="AJ62">
        <v>0</v>
      </c>
    </row>
    <row r="63" spans="1:36" ht="25.5">
      <c r="A63" t="s">
        <v>360</v>
      </c>
      <c r="B63" t="s">
        <v>361</v>
      </c>
      <c r="C63" s="40">
        <v>45700</v>
      </c>
      <c r="D63" s="19">
        <f t="shared" si="0"/>
        <v>45698</v>
      </c>
      <c r="E63" s="17" t="s">
        <v>3583</v>
      </c>
      <c r="F63">
        <f t="shared" si="1"/>
        <v>0</v>
      </c>
      <c r="H63" t="s">
        <v>2221</v>
      </c>
      <c r="I63" s="50">
        <v>9.94</v>
      </c>
      <c r="J63" s="61">
        <v>8.68</v>
      </c>
      <c r="K63" s="61">
        <v>9.94</v>
      </c>
      <c r="L63">
        <v>2030471632</v>
      </c>
      <c r="M63">
        <v>15.03</v>
      </c>
      <c r="N63">
        <v>194.87</v>
      </c>
      <c r="O63">
        <f t="shared" si="2"/>
        <v>1</v>
      </c>
      <c r="P63">
        <v>2.09</v>
      </c>
      <c r="Q63" t="s">
        <v>1500</v>
      </c>
      <c r="R63">
        <f t="shared" si="3"/>
        <v>8</v>
      </c>
      <c r="U63">
        <v>19.659820196618199</v>
      </c>
      <c r="V63" s="17">
        <f t="shared" si="4"/>
        <v>27.284798568268567</v>
      </c>
      <c r="X63">
        <v>6</v>
      </c>
      <c r="Y63" s="72" t="str">
        <f>[1]!wss(AB63,"sec_status","cols=1;rows=1")</f>
        <v>L</v>
      </c>
      <c r="AB63" t="str">
        <f t="shared" si="5"/>
        <v>1364.HK</v>
      </c>
      <c r="AC63" s="50">
        <v>9.3000000000000007</v>
      </c>
      <c r="AD63" s="50">
        <v>10</v>
      </c>
      <c r="AE63" s="50">
        <v>10.4</v>
      </c>
      <c r="AF63" s="50">
        <v>8.93</v>
      </c>
      <c r="AG63" t="s">
        <v>224</v>
      </c>
      <c r="AI63" t="s">
        <v>224</v>
      </c>
      <c r="AJ63">
        <v>0</v>
      </c>
    </row>
    <row r="64" spans="1:36" ht="25.5">
      <c r="A64" t="s">
        <v>362</v>
      </c>
      <c r="B64" t="s">
        <v>363</v>
      </c>
      <c r="C64" s="40">
        <v>45485</v>
      </c>
      <c r="D64" s="19">
        <f t="shared" si="0"/>
        <v>45483</v>
      </c>
      <c r="E64" s="17" t="s">
        <v>3583</v>
      </c>
      <c r="F64">
        <f t="shared" si="1"/>
        <v>0</v>
      </c>
      <c r="H64" t="s">
        <v>2203</v>
      </c>
      <c r="I64" s="50">
        <v>27.5</v>
      </c>
      <c r="J64" s="61">
        <v>27.34</v>
      </c>
      <c r="K64" s="61">
        <v>28</v>
      </c>
      <c r="L64">
        <v>1513201250</v>
      </c>
      <c r="M64">
        <v>1.57</v>
      </c>
      <c r="N64">
        <v>1.56</v>
      </c>
      <c r="O64">
        <f t="shared" si="2"/>
        <v>0</v>
      </c>
      <c r="P64">
        <v>0.04</v>
      </c>
      <c r="Q64" t="s">
        <v>1573</v>
      </c>
      <c r="R64">
        <f t="shared" si="3"/>
        <v>12</v>
      </c>
      <c r="U64">
        <v>14.1232429593622</v>
      </c>
      <c r="V64" s="17" t="str">
        <f t="shared" si="4"/>
        <v/>
      </c>
      <c r="X64">
        <v>6</v>
      </c>
      <c r="Y64" s="72" t="str">
        <f>[1]!wss(AB64,"sec_status","cols=1;rows=1")</f>
        <v>L</v>
      </c>
      <c r="AB64" t="str">
        <f t="shared" si="5"/>
        <v>2507.HK</v>
      </c>
      <c r="AC64" s="50">
        <v>27.5</v>
      </c>
      <c r="AD64" s="50">
        <v>27.5</v>
      </c>
      <c r="AE64" s="50">
        <v>27.5</v>
      </c>
      <c r="AF64" s="50">
        <v>26.05</v>
      </c>
      <c r="AG64" t="s">
        <v>224</v>
      </c>
      <c r="AI64" t="s">
        <v>224</v>
      </c>
      <c r="AJ64">
        <v>0</v>
      </c>
    </row>
    <row r="65" spans="1:36">
      <c r="A65" t="s">
        <v>364</v>
      </c>
      <c r="B65" t="s">
        <v>365</v>
      </c>
      <c r="C65" s="40">
        <v>45726</v>
      </c>
      <c r="D65" s="19">
        <f t="shared" si="0"/>
        <v>45724</v>
      </c>
      <c r="E65" s="17" t="s">
        <v>3582</v>
      </c>
      <c r="F65">
        <f t="shared" si="1"/>
        <v>1</v>
      </c>
      <c r="G65" t="s">
        <v>366</v>
      </c>
      <c r="H65" t="s">
        <v>2247</v>
      </c>
      <c r="I65" s="50">
        <v>13.72</v>
      </c>
      <c r="J65" s="61">
        <v>13.72</v>
      </c>
      <c r="K65" s="61">
        <v>15.83</v>
      </c>
      <c r="L65">
        <v>3244777256</v>
      </c>
      <c r="M65">
        <v>3.67</v>
      </c>
      <c r="N65">
        <v>9.5299999999999994</v>
      </c>
      <c r="O65">
        <f t="shared" si="2"/>
        <v>0</v>
      </c>
      <c r="P65">
        <v>4.2320000000000002</v>
      </c>
      <c r="Q65" t="s">
        <v>1342</v>
      </c>
      <c r="R65">
        <f t="shared" si="3"/>
        <v>17</v>
      </c>
      <c r="U65">
        <v>28.894657655678198</v>
      </c>
      <c r="V65" s="17">
        <f t="shared" si="4"/>
        <v>31.040388391689099</v>
      </c>
      <c r="X65">
        <v>6</v>
      </c>
      <c r="Y65" s="72" t="str">
        <f>[1]!wss(AB65,"sec_status","cols=1;rows=1")</f>
        <v>L</v>
      </c>
      <c r="AB65" t="str">
        <f t="shared" si="5"/>
        <v>6693.HK</v>
      </c>
      <c r="AC65" s="50">
        <v>13.72</v>
      </c>
      <c r="AD65" s="50">
        <v>13.72</v>
      </c>
      <c r="AE65" s="50">
        <v>13.92</v>
      </c>
      <c r="AF65" s="50">
        <v>13.54</v>
      </c>
      <c r="AG65" t="s">
        <v>224</v>
      </c>
      <c r="AH65" t="s">
        <v>2293</v>
      </c>
      <c r="AI65" t="s">
        <v>224</v>
      </c>
      <c r="AJ65">
        <v>0</v>
      </c>
    </row>
    <row r="66" spans="1:36" ht="25.5">
      <c r="A66" t="s">
        <v>367</v>
      </c>
      <c r="B66" t="s">
        <v>368</v>
      </c>
      <c r="C66" s="40">
        <v>44925</v>
      </c>
      <c r="D66" s="19">
        <f t="shared" si="0"/>
        <v>44923</v>
      </c>
      <c r="E66" s="17" t="s">
        <v>3583</v>
      </c>
      <c r="F66">
        <f t="shared" si="1"/>
        <v>0</v>
      </c>
      <c r="H66" t="s">
        <v>2251</v>
      </c>
      <c r="I66" s="50"/>
      <c r="L66">
        <v>0</v>
      </c>
      <c r="M66">
        <v>0</v>
      </c>
      <c r="N66">
        <v>0</v>
      </c>
      <c r="O66">
        <f t="shared" si="2"/>
        <v>0</v>
      </c>
      <c r="P66">
        <v>0</v>
      </c>
      <c r="Q66">
        <v>0</v>
      </c>
      <c r="R66">
        <f t="shared" si="3"/>
        <v>1</v>
      </c>
      <c r="U66">
        <v>0</v>
      </c>
      <c r="V66" s="17">
        <f t="shared" si="4"/>
        <v>59.107368732881504</v>
      </c>
      <c r="Y66" s="72" t="str">
        <f>[1]!wss(AB66,"sec_status","cols=1;rows=1")</f>
        <v>L</v>
      </c>
      <c r="AB66" t="str">
        <f t="shared" si="5"/>
        <v>3896.HK</v>
      </c>
      <c r="AC66" s="50">
        <v>2.1</v>
      </c>
      <c r="AD66" s="50">
        <v>1.99</v>
      </c>
      <c r="AE66" s="50">
        <v>2.15</v>
      </c>
      <c r="AF66" s="50">
        <v>1.99</v>
      </c>
      <c r="AG66" t="s">
        <v>224</v>
      </c>
      <c r="AI66" t="s">
        <v>224</v>
      </c>
      <c r="AJ66">
        <v>0</v>
      </c>
    </row>
    <row r="67" spans="1:36" ht="25.5">
      <c r="A67" t="s">
        <v>369</v>
      </c>
      <c r="B67" t="s">
        <v>370</v>
      </c>
      <c r="C67" s="40">
        <v>45043</v>
      </c>
      <c r="D67" s="19">
        <f t="shared" si="0"/>
        <v>45041</v>
      </c>
      <c r="E67" s="17" t="s">
        <v>3583</v>
      </c>
      <c r="F67">
        <f t="shared" si="1"/>
        <v>0</v>
      </c>
      <c r="H67" t="s">
        <v>2263</v>
      </c>
      <c r="I67" s="50">
        <v>10.82</v>
      </c>
      <c r="J67" s="61">
        <v>10.78</v>
      </c>
      <c r="K67" s="61">
        <v>12.98</v>
      </c>
      <c r="L67">
        <v>5309371836</v>
      </c>
      <c r="M67">
        <v>3.9</v>
      </c>
      <c r="N67">
        <v>1.94</v>
      </c>
      <c r="O67">
        <f t="shared" si="2"/>
        <v>0</v>
      </c>
      <c r="P67">
        <v>0</v>
      </c>
      <c r="Q67" t="s">
        <v>1318</v>
      </c>
      <c r="R67">
        <f t="shared" si="3"/>
        <v>4</v>
      </c>
      <c r="U67">
        <v>30.701089285113301</v>
      </c>
      <c r="V67" s="17" t="str">
        <f t="shared" si="4"/>
        <v/>
      </c>
      <c r="Y67" s="72" t="str">
        <f>[1]!wss(AB67,"sec_status","cols=1;rows=1")</f>
        <v>L</v>
      </c>
      <c r="AB67" t="str">
        <f t="shared" si="5"/>
        <v>6979.HK</v>
      </c>
      <c r="AC67" s="50">
        <v>8.8800000000000008</v>
      </c>
      <c r="AD67" s="50">
        <v>9</v>
      </c>
      <c r="AE67" s="50">
        <v>9.9700000000000006</v>
      </c>
      <c r="AF67" s="50">
        <v>8.82</v>
      </c>
      <c r="AG67" t="s">
        <v>224</v>
      </c>
      <c r="AI67" t="s">
        <v>224</v>
      </c>
      <c r="AJ67">
        <v>0</v>
      </c>
    </row>
    <row r="68" spans="1:36">
      <c r="A68" t="s">
        <v>371</v>
      </c>
      <c r="B68" t="s">
        <v>372</v>
      </c>
      <c r="C68" s="40">
        <v>45804</v>
      </c>
      <c r="D68" s="19">
        <f t="shared" ref="D68:D131" si="6">IFERROR(IF(ISNUMBER($C68),$C68-2,DATEVALUE($C68)-2),"")</f>
        <v>45802</v>
      </c>
      <c r="E68" s="17" t="s">
        <v>3582</v>
      </c>
      <c r="F68">
        <f t="shared" ref="F68:F131" si="7">IF(AND(G68&lt;&gt;"",G68&lt;&gt;0),1,0)</f>
        <v>1</v>
      </c>
      <c r="G68" t="s">
        <v>373</v>
      </c>
      <c r="H68" t="s">
        <v>2239</v>
      </c>
      <c r="I68" s="50">
        <v>7.68</v>
      </c>
      <c r="J68" s="61">
        <v>7.48</v>
      </c>
      <c r="K68" s="61">
        <v>10.68</v>
      </c>
      <c r="L68">
        <v>521548800</v>
      </c>
      <c r="M68">
        <v>1.62</v>
      </c>
      <c r="N68">
        <v>49.39</v>
      </c>
      <c r="O68">
        <f t="shared" ref="O68:O131" si="8">IF(IFERROR(N68*1,0)&gt;=15,1,0)</f>
        <v>1</v>
      </c>
      <c r="P68">
        <v>0</v>
      </c>
      <c r="Q68" t="s">
        <v>1538</v>
      </c>
      <c r="R68">
        <f t="shared" ref="R68:R131" si="9">IF(Q68="",0,LEN(Q68)-LEN(SUBSTITUTE(Q68,",",""))+1)</f>
        <v>13</v>
      </c>
      <c r="U68">
        <v>17.6959907984957</v>
      </c>
      <c r="V68" s="17">
        <f t="shared" ref="V68:V131" si="10">IFERROR((SUMIFS($U$3:$U$392,$H$3:$H$392,$H68,$U$3:$U$392,"&gt;0")-IF(IFERROR($U68,0)&gt;0,$U68,0))/(COUNTIFS($H$3:$H$392,$H68,$U$3:$U$392,"&gt;0")-IF(IFERROR($U68,0)&gt;0,1,0)),"")</f>
        <v>34.103898432536504</v>
      </c>
      <c r="X68">
        <v>6</v>
      </c>
      <c r="Y68" s="72" t="str">
        <f>[1]!wss(AB68,"sec_status","cols=1;rows=1")</f>
        <v>L</v>
      </c>
      <c r="AB68" t="str">
        <f t="shared" ref="AB68:AB131" si="11">IF(LEFT(A68,1)="0",MID(A68,2,99),A68)</f>
        <v>2603.HK</v>
      </c>
      <c r="AC68" s="50">
        <v>10.68</v>
      </c>
      <c r="AD68" s="50">
        <v>11</v>
      </c>
      <c r="AE68" s="50">
        <v>12.46</v>
      </c>
      <c r="AF68" s="50">
        <v>10.199999999999999</v>
      </c>
      <c r="AG68" t="s">
        <v>224</v>
      </c>
      <c r="AH68" t="s">
        <v>2293</v>
      </c>
      <c r="AI68" t="s">
        <v>224</v>
      </c>
      <c r="AJ68">
        <v>0</v>
      </c>
    </row>
    <row r="69" spans="1:36">
      <c r="A69" t="s">
        <v>374</v>
      </c>
      <c r="B69" t="s">
        <v>375</v>
      </c>
      <c r="C69" s="40">
        <v>44575</v>
      </c>
      <c r="D69" s="19">
        <f t="shared" si="6"/>
        <v>44573</v>
      </c>
      <c r="E69" s="17" t="s">
        <v>3582</v>
      </c>
      <c r="F69">
        <f t="shared" si="7"/>
        <v>1</v>
      </c>
      <c r="G69" t="s">
        <v>376</v>
      </c>
      <c r="H69" t="s">
        <v>2217</v>
      </c>
      <c r="I69" s="50">
        <v>33.799999999999997</v>
      </c>
      <c r="L69">
        <v>4240750800</v>
      </c>
      <c r="M69">
        <v>1.57</v>
      </c>
      <c r="N69">
        <v>2.39</v>
      </c>
      <c r="O69">
        <f t="shared" si="8"/>
        <v>0</v>
      </c>
      <c r="P69">
        <v>0</v>
      </c>
      <c r="Q69" t="s">
        <v>1154</v>
      </c>
      <c r="R69">
        <f t="shared" si="9"/>
        <v>5</v>
      </c>
      <c r="U69">
        <v>97.318461029492099</v>
      </c>
      <c r="V69" s="17">
        <f t="shared" si="10"/>
        <v>21.061254545753613</v>
      </c>
      <c r="X69">
        <v>6</v>
      </c>
      <c r="Y69" s="72" t="str">
        <f>[1]!wss(AB69,"sec_status","cols=1;rows=1")</f>
        <v>L</v>
      </c>
      <c r="AB69" t="str">
        <f t="shared" si="11"/>
        <v>6680.HK</v>
      </c>
      <c r="AC69" s="50">
        <v>28.2</v>
      </c>
      <c r="AD69" s="50">
        <v>30.8</v>
      </c>
      <c r="AE69" s="50">
        <v>30.8</v>
      </c>
      <c r="AF69" s="50">
        <v>28</v>
      </c>
      <c r="AG69" t="s">
        <v>224</v>
      </c>
      <c r="AI69" t="s">
        <v>224</v>
      </c>
      <c r="AJ69">
        <v>0</v>
      </c>
    </row>
    <row r="70" spans="1:36" ht="25.5">
      <c r="A70" t="s">
        <v>377</v>
      </c>
      <c r="B70" t="s">
        <v>378</v>
      </c>
      <c r="C70" s="40">
        <v>45197</v>
      </c>
      <c r="D70" s="19">
        <f t="shared" si="6"/>
        <v>45195</v>
      </c>
      <c r="E70" s="17" t="s">
        <v>3583</v>
      </c>
      <c r="F70">
        <f t="shared" si="7"/>
        <v>0</v>
      </c>
      <c r="H70" t="s">
        <v>2243</v>
      </c>
      <c r="I70" s="50">
        <v>14</v>
      </c>
      <c r="J70" s="61">
        <v>11</v>
      </c>
      <c r="K70" s="61">
        <v>14</v>
      </c>
      <c r="L70">
        <v>265664000</v>
      </c>
      <c r="M70">
        <v>1.67</v>
      </c>
      <c r="N70">
        <v>104</v>
      </c>
      <c r="O70">
        <f t="shared" si="8"/>
        <v>1</v>
      </c>
      <c r="P70">
        <v>0</v>
      </c>
      <c r="Q70" t="s">
        <v>1599</v>
      </c>
      <c r="R70">
        <f t="shared" si="9"/>
        <v>8</v>
      </c>
      <c r="U70">
        <v>13.0013948332144</v>
      </c>
      <c r="V70" s="17">
        <f t="shared" si="10"/>
        <v>18.341099384784705</v>
      </c>
      <c r="X70">
        <v>12</v>
      </c>
      <c r="Y70" s="72" t="str">
        <f>[1]!wss(AB70,"sec_status","cols=1;rows=1")</f>
        <v>L</v>
      </c>
      <c r="AB70" t="str">
        <f t="shared" si="11"/>
        <v>9890.HK</v>
      </c>
      <c r="AC70" s="50">
        <v>14</v>
      </c>
      <c r="AD70" s="50">
        <v>13.78</v>
      </c>
      <c r="AE70" s="50">
        <v>14.5</v>
      </c>
      <c r="AF70" s="50">
        <v>13.48</v>
      </c>
      <c r="AG70" t="s">
        <v>224</v>
      </c>
      <c r="AI70" t="s">
        <v>224</v>
      </c>
      <c r="AJ70">
        <v>0</v>
      </c>
    </row>
    <row r="71" spans="1:36" ht="25.5">
      <c r="A71" t="s">
        <v>379</v>
      </c>
      <c r="B71" t="s">
        <v>380</v>
      </c>
      <c r="C71" s="40">
        <v>45876</v>
      </c>
      <c r="D71" s="19">
        <f t="shared" si="6"/>
        <v>45874</v>
      </c>
      <c r="E71" s="17" t="s">
        <v>3583</v>
      </c>
      <c r="F71">
        <f t="shared" si="7"/>
        <v>0</v>
      </c>
      <c r="H71" t="s">
        <v>2223</v>
      </c>
      <c r="I71" s="50"/>
      <c r="L71">
        <v>0</v>
      </c>
      <c r="M71">
        <v>0</v>
      </c>
      <c r="N71">
        <v>0</v>
      </c>
      <c r="O71">
        <f t="shared" si="8"/>
        <v>0</v>
      </c>
      <c r="P71">
        <v>0</v>
      </c>
      <c r="Q71">
        <v>0</v>
      </c>
      <c r="R71">
        <f t="shared" si="9"/>
        <v>1</v>
      </c>
      <c r="U71">
        <v>0</v>
      </c>
      <c r="V71" s="17">
        <f t="shared" si="10"/>
        <v>89.319918688268459</v>
      </c>
      <c r="Y71" s="72" t="str">
        <f>[1]!wss(AB71,"sec_status","cols=1;rows=1")</f>
        <v>L</v>
      </c>
      <c r="AB71" t="str">
        <f t="shared" si="11"/>
        <v>6887.HK</v>
      </c>
      <c r="AC71" s="50">
        <v>59.9</v>
      </c>
      <c r="AD71" s="50">
        <v>57.5</v>
      </c>
      <c r="AE71" s="50">
        <v>62.3</v>
      </c>
      <c r="AF71" s="50">
        <v>57.5</v>
      </c>
      <c r="AG71" t="s">
        <v>224</v>
      </c>
      <c r="AH71" t="s">
        <v>2293</v>
      </c>
      <c r="AI71" t="s">
        <v>224</v>
      </c>
      <c r="AJ71">
        <v>0</v>
      </c>
    </row>
    <row r="72" spans="1:36" ht="25.5">
      <c r="A72" t="s">
        <v>381</v>
      </c>
      <c r="B72" t="s">
        <v>382</v>
      </c>
      <c r="C72" s="40">
        <v>45597</v>
      </c>
      <c r="D72" s="19">
        <f t="shared" si="6"/>
        <v>45595</v>
      </c>
      <c r="E72" s="17" t="s">
        <v>3583</v>
      </c>
      <c r="F72">
        <f t="shared" si="7"/>
        <v>0</v>
      </c>
      <c r="H72" t="s">
        <v>2248</v>
      </c>
      <c r="I72" s="50">
        <v>4.18</v>
      </c>
      <c r="J72" s="61">
        <v>3.5</v>
      </c>
      <c r="K72" s="61">
        <v>4.5</v>
      </c>
      <c r="L72">
        <v>1107829580</v>
      </c>
      <c r="M72">
        <v>2.2200000000000002</v>
      </c>
      <c r="N72">
        <v>12.09</v>
      </c>
      <c r="O72">
        <f t="shared" si="8"/>
        <v>0</v>
      </c>
      <c r="P72">
        <v>0.58540000000000003</v>
      </c>
      <c r="Q72" t="s">
        <v>1246</v>
      </c>
      <c r="R72">
        <f t="shared" si="9"/>
        <v>6</v>
      </c>
      <c r="U72">
        <v>42.636666202056396</v>
      </c>
      <c r="V72" s="17">
        <f t="shared" si="10"/>
        <v>3.537110092848085</v>
      </c>
      <c r="X72">
        <v>6</v>
      </c>
      <c r="Y72" s="72" t="str">
        <f>[1]!wss(AB72,"sec_status","cols=1;rows=1")</f>
        <v>L</v>
      </c>
      <c r="AB72" t="str">
        <f t="shared" si="11"/>
        <v>2510.HK</v>
      </c>
      <c r="AC72" s="50">
        <v>4.0999999999999996</v>
      </c>
      <c r="AD72" s="50">
        <v>4.18</v>
      </c>
      <c r="AE72" s="50">
        <v>4.25</v>
      </c>
      <c r="AF72" s="50">
        <v>3.91</v>
      </c>
      <c r="AG72" t="s">
        <v>224</v>
      </c>
      <c r="AI72" t="s">
        <v>224</v>
      </c>
      <c r="AJ72">
        <v>0</v>
      </c>
    </row>
    <row r="73" spans="1:36" ht="25.5">
      <c r="A73" t="s">
        <v>383</v>
      </c>
      <c r="B73" t="s">
        <v>384</v>
      </c>
      <c r="C73" s="40">
        <v>45232</v>
      </c>
      <c r="D73" s="19">
        <f t="shared" si="6"/>
        <v>45230</v>
      </c>
      <c r="E73" s="17" t="s">
        <v>3583</v>
      </c>
      <c r="F73">
        <f t="shared" si="7"/>
        <v>0</v>
      </c>
      <c r="H73" t="s">
        <v>2214</v>
      </c>
      <c r="I73" s="50">
        <v>5.98</v>
      </c>
      <c r="J73" s="61">
        <v>5.98</v>
      </c>
      <c r="K73" s="61">
        <v>5.98</v>
      </c>
      <c r="L73">
        <v>462615192</v>
      </c>
      <c r="M73">
        <v>1.33</v>
      </c>
      <c r="N73">
        <v>4.34</v>
      </c>
      <c r="O73">
        <f t="shared" si="8"/>
        <v>0</v>
      </c>
      <c r="P73">
        <v>0.51500000000000001</v>
      </c>
      <c r="Q73" t="s">
        <v>1192</v>
      </c>
      <c r="R73">
        <f t="shared" si="9"/>
        <v>6</v>
      </c>
      <c r="U73">
        <v>63.634480269817303</v>
      </c>
      <c r="V73" s="17">
        <f t="shared" si="10"/>
        <v>23.934231430315801</v>
      </c>
      <c r="X73">
        <v>6</v>
      </c>
      <c r="Y73" s="72" t="str">
        <f>[1]!wss(AB73,"sec_status","cols=1;rows=1")</f>
        <v>L</v>
      </c>
      <c r="AB73" t="str">
        <f t="shared" si="11"/>
        <v>2517.HK</v>
      </c>
      <c r="AC73" s="50">
        <v>5.98</v>
      </c>
      <c r="AD73" s="50">
        <v>5.98</v>
      </c>
      <c r="AE73" s="50">
        <v>6.22</v>
      </c>
      <c r="AF73" s="50">
        <v>5.98</v>
      </c>
      <c r="AG73" t="s">
        <v>224</v>
      </c>
      <c r="AH73" t="s">
        <v>2293</v>
      </c>
      <c r="AI73" t="s">
        <v>224</v>
      </c>
      <c r="AJ73">
        <v>0</v>
      </c>
    </row>
    <row r="74" spans="1:36">
      <c r="A74" t="s">
        <v>385</v>
      </c>
      <c r="B74" t="s">
        <v>386</v>
      </c>
      <c r="C74" s="40">
        <v>44917</v>
      </c>
      <c r="D74" s="19">
        <f t="shared" si="6"/>
        <v>44915</v>
      </c>
      <c r="E74" s="17" t="s">
        <v>3584</v>
      </c>
      <c r="F74">
        <f t="shared" si="7"/>
        <v>0</v>
      </c>
      <c r="H74" t="s">
        <v>2246</v>
      </c>
      <c r="I74" s="50"/>
      <c r="L74">
        <v>0</v>
      </c>
      <c r="M74">
        <v>0</v>
      </c>
      <c r="N74">
        <v>0</v>
      </c>
      <c r="O74">
        <f t="shared" si="8"/>
        <v>0</v>
      </c>
      <c r="P74">
        <v>0</v>
      </c>
      <c r="Q74">
        <v>0</v>
      </c>
      <c r="R74">
        <f t="shared" si="9"/>
        <v>1</v>
      </c>
      <c r="U74">
        <v>0</v>
      </c>
      <c r="V74" s="17">
        <f t="shared" si="10"/>
        <v>12.3570045090443</v>
      </c>
      <c r="Y74" s="72" t="str">
        <f>[1]!wss(AB74,"sec_status","cols=1;rows=1")</f>
        <v>L</v>
      </c>
      <c r="AB74" t="str">
        <f t="shared" si="11"/>
        <v>2076.HK</v>
      </c>
      <c r="AC74" s="50">
        <v>78.5</v>
      </c>
      <c r="AD74" s="50">
        <v>77.849999999999994</v>
      </c>
      <c r="AE74" s="50">
        <v>78.75</v>
      </c>
      <c r="AF74" s="50">
        <v>77.45</v>
      </c>
      <c r="AG74" t="s">
        <v>224</v>
      </c>
      <c r="AI74" t="s">
        <v>224</v>
      </c>
      <c r="AJ74">
        <v>0</v>
      </c>
    </row>
    <row r="75" spans="1:36">
      <c r="A75" t="s">
        <v>387</v>
      </c>
      <c r="B75" t="s">
        <v>388</v>
      </c>
      <c r="C75" s="40">
        <v>46035</v>
      </c>
      <c r="D75" s="19">
        <f t="shared" si="6"/>
        <v>46033</v>
      </c>
      <c r="E75" s="17" t="s">
        <v>3582</v>
      </c>
      <c r="F75">
        <f t="shared" si="7"/>
        <v>1</v>
      </c>
      <c r="G75" t="s">
        <v>389</v>
      </c>
      <c r="H75" t="s">
        <v>2219</v>
      </c>
      <c r="I75" s="50">
        <v>162</v>
      </c>
      <c r="J75" s="61">
        <v>132</v>
      </c>
      <c r="K75" s="61">
        <v>162</v>
      </c>
      <c r="L75">
        <v>5387002200</v>
      </c>
      <c r="M75">
        <v>18.52</v>
      </c>
      <c r="N75">
        <v>542.22</v>
      </c>
      <c r="O75">
        <f t="shared" si="8"/>
        <v>1</v>
      </c>
      <c r="P75">
        <v>6.97</v>
      </c>
      <c r="Q75" t="s">
        <v>1160</v>
      </c>
      <c r="R75">
        <f t="shared" si="9"/>
        <v>2</v>
      </c>
      <c r="U75">
        <v>94.805961191527601</v>
      </c>
      <c r="V75" s="17">
        <f t="shared" si="10"/>
        <v>48.236294680502169</v>
      </c>
      <c r="X75">
        <v>6</v>
      </c>
      <c r="Y75" s="72" t="str">
        <f>[1]!wss(AB75,"sec_status","cols=1;rows=1")</f>
        <v>L</v>
      </c>
      <c r="AB75" t="str">
        <f t="shared" si="11"/>
        <v>3986.HK</v>
      </c>
      <c r="AC75" s="50">
        <v>222.8</v>
      </c>
      <c r="AD75" s="50">
        <v>235</v>
      </c>
      <c r="AE75" s="50">
        <v>248.8</v>
      </c>
      <c r="AF75" s="50">
        <v>220</v>
      </c>
      <c r="AG75" t="s">
        <v>224</v>
      </c>
      <c r="AH75" t="s">
        <v>2293</v>
      </c>
      <c r="AI75" t="s">
        <v>224</v>
      </c>
      <c r="AJ75">
        <v>0</v>
      </c>
    </row>
    <row r="76" spans="1:36">
      <c r="A76" t="s">
        <v>390</v>
      </c>
      <c r="B76" t="s">
        <v>391</v>
      </c>
      <c r="C76" s="40">
        <v>46066</v>
      </c>
      <c r="D76" s="19">
        <f t="shared" si="6"/>
        <v>46064</v>
      </c>
      <c r="E76" s="17" t="s">
        <v>3582</v>
      </c>
      <c r="F76">
        <f t="shared" si="7"/>
        <v>1</v>
      </c>
      <c r="G76" t="s">
        <v>392</v>
      </c>
      <c r="H76" t="s">
        <v>2224</v>
      </c>
      <c r="I76" s="50">
        <v>20.09</v>
      </c>
      <c r="K76" s="61">
        <v>20.09</v>
      </c>
      <c r="L76">
        <v>2812374992</v>
      </c>
      <c r="M76">
        <v>8.19</v>
      </c>
      <c r="N76">
        <v>569.58000000000004</v>
      </c>
      <c r="O76">
        <f t="shared" si="8"/>
        <v>1</v>
      </c>
      <c r="P76">
        <v>0</v>
      </c>
      <c r="Q76" t="s">
        <v>1313</v>
      </c>
      <c r="R76">
        <f t="shared" si="9"/>
        <v>6</v>
      </c>
      <c r="U76">
        <v>30.728186866009501</v>
      </c>
      <c r="V76" s="17">
        <f t="shared" si="10"/>
        <v>87.789422757300727</v>
      </c>
      <c r="X76">
        <v>6</v>
      </c>
      <c r="Y76" s="72" t="str">
        <f>[1]!wss(AB76,"sec_status","cols=1;rows=1")</f>
        <v>L</v>
      </c>
      <c r="AB76" t="str">
        <f t="shared" si="11"/>
        <v>9981.HK</v>
      </c>
      <c r="AC76" s="50">
        <v>20.68</v>
      </c>
      <c r="AD76" s="50">
        <v>20.100000000000001</v>
      </c>
      <c r="AE76" s="50">
        <v>21.8</v>
      </c>
      <c r="AF76" s="50">
        <v>20.100000000000001</v>
      </c>
      <c r="AG76" t="s">
        <v>224</v>
      </c>
      <c r="AH76" t="s">
        <v>2293</v>
      </c>
      <c r="AI76" t="s">
        <v>224</v>
      </c>
      <c r="AJ76">
        <v>0</v>
      </c>
    </row>
    <row r="77" spans="1:36" ht="25.5">
      <c r="A77" t="s">
        <v>220</v>
      </c>
      <c r="B77" t="s">
        <v>393</v>
      </c>
      <c r="C77" s="40">
        <v>45405</v>
      </c>
      <c r="D77" s="19">
        <f t="shared" si="6"/>
        <v>45403</v>
      </c>
      <c r="E77" s="17" t="s">
        <v>3583</v>
      </c>
      <c r="F77">
        <f t="shared" si="7"/>
        <v>0</v>
      </c>
      <c r="H77" t="s">
        <v>2221</v>
      </c>
      <c r="I77" s="50">
        <v>17.5</v>
      </c>
      <c r="J77" s="61">
        <v>17.5</v>
      </c>
      <c r="K77" s="61">
        <v>17.5</v>
      </c>
      <c r="L77">
        <v>2585859500</v>
      </c>
      <c r="M77">
        <v>1.1100000000000001</v>
      </c>
      <c r="N77">
        <v>0.5</v>
      </c>
      <c r="O77">
        <f t="shared" si="8"/>
        <v>0</v>
      </c>
      <c r="P77">
        <v>0</v>
      </c>
      <c r="Q77" t="s">
        <v>1493</v>
      </c>
      <c r="R77">
        <f t="shared" si="9"/>
        <v>12</v>
      </c>
      <c r="U77">
        <v>20.570008475701599</v>
      </c>
      <c r="V77" s="17">
        <f t="shared" si="10"/>
        <v>27.183666537259299</v>
      </c>
      <c r="Y77" s="72" t="str">
        <f>[1]!wss(AB77,"sec_status","cols=1;rows=1")</f>
        <v>L</v>
      </c>
      <c r="AB77" t="str">
        <f t="shared" si="11"/>
        <v>2555.HK</v>
      </c>
      <c r="AC77" s="50">
        <v>12.8</v>
      </c>
      <c r="AD77" s="50">
        <v>15.74</v>
      </c>
      <c r="AE77" s="50">
        <v>15.74</v>
      </c>
      <c r="AF77" s="50">
        <v>10.8</v>
      </c>
      <c r="AG77" t="s">
        <v>224</v>
      </c>
      <c r="AH77" t="s">
        <v>2293</v>
      </c>
      <c r="AI77" t="s">
        <v>224</v>
      </c>
      <c r="AJ77">
        <v>0</v>
      </c>
    </row>
    <row r="78" spans="1:36">
      <c r="A78" t="s">
        <v>394</v>
      </c>
      <c r="B78" t="s">
        <v>395</v>
      </c>
      <c r="C78" s="40">
        <v>45952</v>
      </c>
      <c r="D78" s="19">
        <f t="shared" si="6"/>
        <v>45950</v>
      </c>
      <c r="E78" s="17" t="s">
        <v>3582</v>
      </c>
      <c r="F78">
        <f t="shared" si="7"/>
        <v>1</v>
      </c>
      <c r="G78" t="s">
        <v>396</v>
      </c>
      <c r="H78" t="s">
        <v>2216</v>
      </c>
      <c r="I78" s="50">
        <v>21.5</v>
      </c>
      <c r="J78" s="61">
        <v>19.88</v>
      </c>
      <c r="K78" s="61">
        <v>21.5</v>
      </c>
      <c r="L78">
        <v>2904224300</v>
      </c>
      <c r="M78">
        <v>9.16</v>
      </c>
      <c r="N78">
        <v>550.99</v>
      </c>
      <c r="O78">
        <f t="shared" si="8"/>
        <v>1</v>
      </c>
      <c r="P78">
        <v>0</v>
      </c>
      <c r="Q78" t="s">
        <v>1371</v>
      </c>
      <c r="R78">
        <f t="shared" si="9"/>
        <v>6</v>
      </c>
      <c r="U78">
        <v>26.842016528579599</v>
      </c>
      <c r="V78" s="17">
        <f t="shared" si="10"/>
        <v>35.381744734648045</v>
      </c>
      <c r="X78">
        <v>6</v>
      </c>
      <c r="Y78" s="51" t="str">
        <f>[1]!wss(AB78,"sec_status","cols=1;rows=1")</f>
        <v/>
      </c>
      <c r="AB78" t="str">
        <f t="shared" si="11"/>
        <v>638.HK</v>
      </c>
      <c r="AC78" s="50">
        <v>18.98</v>
      </c>
      <c r="AD78" s="50">
        <v>21.5</v>
      </c>
      <c r="AE78" s="50">
        <v>21.6</v>
      </c>
      <c r="AF78" s="50">
        <v>18.89</v>
      </c>
      <c r="AG78" t="s">
        <v>224</v>
      </c>
      <c r="AH78" t="s">
        <v>2293</v>
      </c>
      <c r="AI78" t="s">
        <v>224</v>
      </c>
      <c r="AJ78">
        <v>0</v>
      </c>
    </row>
    <row r="79" spans="1:36" ht="25.5">
      <c r="A79" t="s">
        <v>397</v>
      </c>
      <c r="B79" t="s">
        <v>398</v>
      </c>
      <c r="C79" s="40">
        <v>44994</v>
      </c>
      <c r="D79" s="19">
        <f t="shared" si="6"/>
        <v>44992</v>
      </c>
      <c r="E79" s="17" t="s">
        <v>3583</v>
      </c>
      <c r="F79">
        <f t="shared" si="7"/>
        <v>0</v>
      </c>
      <c r="H79" t="s">
        <v>2267</v>
      </c>
      <c r="I79" s="50">
        <v>2.9</v>
      </c>
      <c r="J79" s="61">
        <v>2.9</v>
      </c>
      <c r="K79" s="61">
        <v>3.5</v>
      </c>
      <c r="L79">
        <v>125311900</v>
      </c>
      <c r="M79">
        <v>1.43</v>
      </c>
      <c r="N79">
        <v>23.09</v>
      </c>
      <c r="O79">
        <f t="shared" si="8"/>
        <v>1</v>
      </c>
      <c r="P79">
        <v>0</v>
      </c>
      <c r="Q79" t="s">
        <v>1189</v>
      </c>
      <c r="R79">
        <f t="shared" si="9"/>
        <v>5</v>
      </c>
      <c r="U79">
        <v>65.129591629121904</v>
      </c>
      <c r="V79" s="17" t="str">
        <f t="shared" si="10"/>
        <v/>
      </c>
      <c r="X79">
        <v>6</v>
      </c>
      <c r="Y79" s="72" t="str">
        <f>[1]!wss(AB79,"sec_status","cols=1;rows=1")</f>
        <v>L</v>
      </c>
      <c r="AB79" t="str">
        <f t="shared" si="11"/>
        <v>2482.HK</v>
      </c>
      <c r="AC79" s="50">
        <v>2.84</v>
      </c>
      <c r="AD79" s="50">
        <v>2.81</v>
      </c>
      <c r="AE79" s="50">
        <v>2.9</v>
      </c>
      <c r="AF79" s="50">
        <v>2.7</v>
      </c>
      <c r="AG79" t="s">
        <v>224</v>
      </c>
      <c r="AH79" t="s">
        <v>2293</v>
      </c>
      <c r="AI79" t="s">
        <v>224</v>
      </c>
      <c r="AJ79">
        <v>0</v>
      </c>
    </row>
    <row r="80" spans="1:36" ht="25.5">
      <c r="A80" t="s">
        <v>399</v>
      </c>
      <c r="B80" t="s">
        <v>400</v>
      </c>
      <c r="C80" s="40">
        <v>45834</v>
      </c>
      <c r="D80" s="19">
        <f t="shared" si="6"/>
        <v>45832</v>
      </c>
      <c r="E80" s="17" t="s">
        <v>3583</v>
      </c>
      <c r="F80">
        <f t="shared" si="7"/>
        <v>0</v>
      </c>
      <c r="H80" t="s">
        <v>2231</v>
      </c>
      <c r="I80" s="50">
        <v>24</v>
      </c>
      <c r="J80" s="61">
        <v>24</v>
      </c>
      <c r="K80" s="61">
        <v>24</v>
      </c>
      <c r="L80">
        <v>1485684000</v>
      </c>
      <c r="M80">
        <v>13.55</v>
      </c>
      <c r="N80">
        <v>711.11</v>
      </c>
      <c r="O80">
        <f t="shared" si="8"/>
        <v>1</v>
      </c>
      <c r="P80">
        <v>1.8727</v>
      </c>
      <c r="Q80" t="s">
        <v>1581</v>
      </c>
      <c r="R80">
        <f t="shared" si="9"/>
        <v>10</v>
      </c>
      <c r="U80">
        <v>13.6104477952107</v>
      </c>
      <c r="V80" s="17">
        <f t="shared" si="10"/>
        <v>12.887821613900098</v>
      </c>
      <c r="X80">
        <v>6</v>
      </c>
      <c r="Y80" s="72" t="str">
        <f>[1]!wss(AB80,"sec_status","cols=1;rows=1")</f>
        <v>L</v>
      </c>
      <c r="AB80" t="str">
        <f t="shared" si="11"/>
        <v>6168.HK</v>
      </c>
      <c r="AC80" s="50">
        <v>30</v>
      </c>
      <c r="AD80" s="50">
        <v>26.7</v>
      </c>
      <c r="AE80" s="50">
        <v>30</v>
      </c>
      <c r="AF80" s="50">
        <v>26.7</v>
      </c>
      <c r="AG80" t="s">
        <v>224</v>
      </c>
      <c r="AH80" t="s">
        <v>2293</v>
      </c>
      <c r="AI80" t="s">
        <v>224</v>
      </c>
      <c r="AJ80">
        <v>0</v>
      </c>
    </row>
    <row r="81" spans="1:36" ht="25.5">
      <c r="A81" t="s">
        <v>401</v>
      </c>
      <c r="B81" t="s">
        <v>402</v>
      </c>
      <c r="C81" s="40">
        <v>45211</v>
      </c>
      <c r="D81" s="19">
        <f t="shared" si="6"/>
        <v>45209</v>
      </c>
      <c r="E81" s="17" t="s">
        <v>3583</v>
      </c>
      <c r="F81">
        <f t="shared" si="7"/>
        <v>0</v>
      </c>
      <c r="H81" t="s">
        <v>2232</v>
      </c>
      <c r="I81" s="50">
        <v>7.37</v>
      </c>
      <c r="J81" s="61">
        <v>6</v>
      </c>
      <c r="K81" s="61">
        <v>8</v>
      </c>
      <c r="L81">
        <v>786135790</v>
      </c>
      <c r="M81">
        <v>0.9</v>
      </c>
      <c r="N81">
        <v>7.66</v>
      </c>
      <c r="O81">
        <f t="shared" si="8"/>
        <v>0</v>
      </c>
      <c r="P81">
        <v>0</v>
      </c>
      <c r="Q81" t="s">
        <v>1419</v>
      </c>
      <c r="R81">
        <f t="shared" si="9"/>
        <v>13</v>
      </c>
      <c r="U81">
        <v>23.798351987912401</v>
      </c>
      <c r="V81" s="17" t="str">
        <f t="shared" si="10"/>
        <v/>
      </c>
      <c r="X81">
        <v>6</v>
      </c>
      <c r="Y81" s="72" t="str">
        <f>[1]!wss(AB81,"sec_status","cols=1;rows=1")</f>
        <v>L</v>
      </c>
      <c r="AB81" t="str">
        <f t="shared" si="11"/>
        <v>2451.HK</v>
      </c>
      <c r="AC81" s="50">
        <v>7.44</v>
      </c>
      <c r="AD81" s="50">
        <v>7.34</v>
      </c>
      <c r="AE81" s="50">
        <v>8.0500000000000007</v>
      </c>
      <c r="AF81" s="50">
        <v>7.21</v>
      </c>
      <c r="AG81" t="s">
        <v>224</v>
      </c>
      <c r="AI81" t="s">
        <v>224</v>
      </c>
      <c r="AJ81">
        <v>0</v>
      </c>
    </row>
    <row r="82" spans="1:36" ht="25.5">
      <c r="A82" t="s">
        <v>403</v>
      </c>
      <c r="B82" t="s">
        <v>404</v>
      </c>
      <c r="C82" s="40">
        <v>44925</v>
      </c>
      <c r="D82" s="19">
        <f t="shared" si="6"/>
        <v>44923</v>
      </c>
      <c r="E82" s="17" t="s">
        <v>3583</v>
      </c>
      <c r="F82">
        <f t="shared" si="7"/>
        <v>0</v>
      </c>
      <c r="H82" t="s">
        <v>2207</v>
      </c>
      <c r="I82" s="50"/>
      <c r="L82">
        <v>0</v>
      </c>
      <c r="M82">
        <v>0</v>
      </c>
      <c r="N82">
        <v>0</v>
      </c>
      <c r="O82">
        <f t="shared" si="8"/>
        <v>0</v>
      </c>
      <c r="P82">
        <v>0</v>
      </c>
      <c r="Q82">
        <v>0</v>
      </c>
      <c r="R82">
        <f t="shared" si="9"/>
        <v>1</v>
      </c>
      <c r="U82">
        <v>0</v>
      </c>
      <c r="V82" s="17">
        <f t="shared" si="10"/>
        <v>35.389356898710936</v>
      </c>
      <c r="Y82" s="72" t="str">
        <f>[1]!wss(AB82,"sec_status","cols=1;rows=1")</f>
        <v>L</v>
      </c>
      <c r="AB82" t="str">
        <f t="shared" si="11"/>
        <v>9658.HK</v>
      </c>
      <c r="AC82" s="50">
        <v>9.94</v>
      </c>
      <c r="AD82" s="50">
        <v>7</v>
      </c>
      <c r="AE82" s="50">
        <v>14.5</v>
      </c>
      <c r="AF82" s="50">
        <v>7</v>
      </c>
      <c r="AG82" t="s">
        <v>224</v>
      </c>
      <c r="AI82" t="s">
        <v>224</v>
      </c>
      <c r="AJ82">
        <v>0</v>
      </c>
    </row>
    <row r="83" spans="1:36" ht="25.5">
      <c r="A83" t="s">
        <v>405</v>
      </c>
      <c r="B83" t="s">
        <v>406</v>
      </c>
      <c r="C83" s="40">
        <v>44910</v>
      </c>
      <c r="D83" s="19">
        <f t="shared" si="6"/>
        <v>44908</v>
      </c>
      <c r="E83" s="17" t="s">
        <v>3583</v>
      </c>
      <c r="F83">
        <f t="shared" si="7"/>
        <v>0</v>
      </c>
      <c r="H83" t="s">
        <v>2214</v>
      </c>
      <c r="I83" s="50">
        <v>10.56</v>
      </c>
      <c r="J83" s="61">
        <v>10.4</v>
      </c>
      <c r="K83" s="61">
        <v>11.4</v>
      </c>
      <c r="L83">
        <v>1017952320</v>
      </c>
      <c r="M83">
        <v>2.6</v>
      </c>
      <c r="N83">
        <v>15.3</v>
      </c>
      <c r="O83">
        <f t="shared" si="8"/>
        <v>1</v>
      </c>
      <c r="P83">
        <v>0</v>
      </c>
      <c r="Q83" t="s">
        <v>1405</v>
      </c>
      <c r="R83">
        <f t="shared" si="9"/>
        <v>6</v>
      </c>
      <c r="U83">
        <v>24.553937693595799</v>
      </c>
      <c r="V83" s="17">
        <f t="shared" si="10"/>
        <v>29.517166084061728</v>
      </c>
      <c r="X83">
        <v>6</v>
      </c>
      <c r="Y83" s="72" t="str">
        <f>[1]!wss(AB83,"sec_status","cols=1;rows=1")</f>
        <v>L</v>
      </c>
      <c r="AB83" t="str">
        <f t="shared" si="11"/>
        <v>9985.HK</v>
      </c>
      <c r="AC83" s="50">
        <v>10.02</v>
      </c>
      <c r="AD83" s="50">
        <v>10.199999999999999</v>
      </c>
      <c r="AE83" s="50">
        <v>10.78</v>
      </c>
      <c r="AF83" s="50">
        <v>10.02</v>
      </c>
      <c r="AG83" t="s">
        <v>224</v>
      </c>
      <c r="AI83" t="s">
        <v>224</v>
      </c>
      <c r="AJ83">
        <v>0</v>
      </c>
    </row>
    <row r="84" spans="1:36" ht="25.5">
      <c r="A84" t="s">
        <v>407</v>
      </c>
      <c r="B84" t="s">
        <v>408</v>
      </c>
      <c r="C84" s="40">
        <v>45211</v>
      </c>
      <c r="D84" s="19">
        <f t="shared" si="6"/>
        <v>45209</v>
      </c>
      <c r="E84" s="17" t="s">
        <v>3583</v>
      </c>
      <c r="F84">
        <f t="shared" si="7"/>
        <v>0</v>
      </c>
      <c r="H84" t="s">
        <v>2275</v>
      </c>
      <c r="I84" s="50">
        <v>15.36</v>
      </c>
      <c r="J84" s="61">
        <v>13</v>
      </c>
      <c r="K84" s="61">
        <v>15.8</v>
      </c>
      <c r="L84">
        <v>820339200</v>
      </c>
      <c r="M84">
        <v>1.26</v>
      </c>
      <c r="N84">
        <v>1.31</v>
      </c>
      <c r="O84">
        <f t="shared" si="8"/>
        <v>0</v>
      </c>
      <c r="P84">
        <v>0</v>
      </c>
      <c r="Q84" t="s">
        <v>2044</v>
      </c>
      <c r="R84">
        <f t="shared" si="9"/>
        <v>4</v>
      </c>
      <c r="U84">
        <v>-25.975252807253401</v>
      </c>
      <c r="V84" s="17">
        <f t="shared" si="10"/>
        <v>9.9402559414990908</v>
      </c>
      <c r="X84">
        <v>6</v>
      </c>
      <c r="Y84" s="72" t="str">
        <f>[1]!wss(AB84,"sec_status","cols=1;rows=1")</f>
        <v>L</v>
      </c>
      <c r="AB84" t="str">
        <f t="shared" si="11"/>
        <v>9676.HK</v>
      </c>
      <c r="AC84" s="50">
        <v>18.84</v>
      </c>
      <c r="AD84" s="50">
        <v>16.600000000000001</v>
      </c>
      <c r="AE84" s="50">
        <v>19.940000000000001</v>
      </c>
      <c r="AF84" s="50">
        <v>16.600000000000001</v>
      </c>
      <c r="AG84" t="s">
        <v>224</v>
      </c>
      <c r="AH84" t="s">
        <v>2293</v>
      </c>
      <c r="AI84" t="s">
        <v>224</v>
      </c>
      <c r="AJ84">
        <v>0</v>
      </c>
    </row>
    <row r="85" spans="1:36" ht="25.5">
      <c r="A85" t="s">
        <v>409</v>
      </c>
      <c r="B85" t="s">
        <v>410</v>
      </c>
      <c r="C85" s="40">
        <v>44818</v>
      </c>
      <c r="D85" s="19">
        <f t="shared" si="6"/>
        <v>44816</v>
      </c>
      <c r="E85" s="17" t="s">
        <v>3583</v>
      </c>
      <c r="F85">
        <f t="shared" si="7"/>
        <v>0</v>
      </c>
      <c r="H85" t="s">
        <v>2268</v>
      </c>
      <c r="I85" s="50">
        <v>12</v>
      </c>
      <c r="L85">
        <v>402444000</v>
      </c>
      <c r="M85">
        <v>1.7</v>
      </c>
      <c r="N85">
        <v>7.2</v>
      </c>
      <c r="O85">
        <f t="shared" si="8"/>
        <v>0</v>
      </c>
      <c r="P85">
        <v>0</v>
      </c>
      <c r="Q85" t="s">
        <v>1859</v>
      </c>
      <c r="R85">
        <f t="shared" si="9"/>
        <v>4</v>
      </c>
      <c r="U85">
        <v>-8.3404575634662592</v>
      </c>
      <c r="V85" s="17" t="str">
        <f t="shared" si="10"/>
        <v/>
      </c>
      <c r="X85">
        <v>6</v>
      </c>
      <c r="Y85" s="72" t="str">
        <f>[1]!wss(AB85,"sec_status","cols=1;rows=1")</f>
        <v>L</v>
      </c>
      <c r="AB85" t="str">
        <f t="shared" si="11"/>
        <v>9886.HK</v>
      </c>
      <c r="AC85" s="50">
        <v>12</v>
      </c>
      <c r="AD85" s="50">
        <v>12.34</v>
      </c>
      <c r="AE85" s="50">
        <v>12.34</v>
      </c>
      <c r="AF85" s="50">
        <v>12</v>
      </c>
      <c r="AG85" t="s">
        <v>224</v>
      </c>
      <c r="AI85" t="s">
        <v>224</v>
      </c>
      <c r="AJ85">
        <v>0</v>
      </c>
    </row>
    <row r="86" spans="1:36" ht="25.5">
      <c r="A86" t="s">
        <v>411</v>
      </c>
      <c r="B86" t="s">
        <v>412</v>
      </c>
      <c r="C86" s="40">
        <v>45741</v>
      </c>
      <c r="D86" s="19">
        <f t="shared" si="6"/>
        <v>45739</v>
      </c>
      <c r="E86" s="17" t="s">
        <v>3583</v>
      </c>
      <c r="F86">
        <f t="shared" si="7"/>
        <v>0</v>
      </c>
      <c r="H86" t="s">
        <v>2222</v>
      </c>
      <c r="I86" s="50">
        <v>26.6</v>
      </c>
      <c r="J86" s="61">
        <v>26.6</v>
      </c>
      <c r="K86" s="61">
        <v>31.5</v>
      </c>
      <c r="L86">
        <v>2378976320</v>
      </c>
      <c r="M86">
        <v>1.67</v>
      </c>
      <c r="N86">
        <v>3.89</v>
      </c>
      <c r="O86">
        <f t="shared" si="8"/>
        <v>0</v>
      </c>
      <c r="P86">
        <v>0.30959999999999999</v>
      </c>
      <c r="Q86" t="s">
        <v>1793</v>
      </c>
      <c r="R86">
        <f t="shared" si="9"/>
        <v>16</v>
      </c>
      <c r="U86">
        <v>5.0165752098585701</v>
      </c>
      <c r="V86" s="17">
        <f t="shared" si="10"/>
        <v>9.8988872337538609</v>
      </c>
      <c r="X86">
        <v>6</v>
      </c>
      <c r="Y86" s="72" t="str">
        <f>[1]!wss(AB86,"sec_status","cols=1;rows=1")</f>
        <v>L</v>
      </c>
      <c r="AB86" t="str">
        <f t="shared" si="11"/>
        <v>2610.HK</v>
      </c>
      <c r="AC86" s="50">
        <v>25.25</v>
      </c>
      <c r="AD86" s="50">
        <v>26.6</v>
      </c>
      <c r="AE86" s="50">
        <v>26.9</v>
      </c>
      <c r="AF86" s="50">
        <v>25.25</v>
      </c>
      <c r="AG86" t="s">
        <v>224</v>
      </c>
      <c r="AI86" t="s">
        <v>224</v>
      </c>
      <c r="AJ86">
        <v>0</v>
      </c>
    </row>
    <row r="87" spans="1:36" ht="25.5">
      <c r="A87" t="s">
        <v>413</v>
      </c>
      <c r="B87" t="s">
        <v>414</v>
      </c>
      <c r="C87" s="40">
        <v>45372</v>
      </c>
      <c r="D87" s="19">
        <f t="shared" si="6"/>
        <v>45370</v>
      </c>
      <c r="E87" s="17" t="s">
        <v>3583</v>
      </c>
      <c r="F87">
        <f t="shared" si="7"/>
        <v>0</v>
      </c>
      <c r="H87" t="s">
        <v>2212</v>
      </c>
      <c r="I87" s="50">
        <v>4.08</v>
      </c>
      <c r="J87" s="61">
        <v>3.3</v>
      </c>
      <c r="K87" s="61">
        <v>4.3</v>
      </c>
      <c r="L87">
        <v>954475200</v>
      </c>
      <c r="M87">
        <v>1.28</v>
      </c>
      <c r="N87">
        <v>9.7899999999999991</v>
      </c>
      <c r="O87">
        <f t="shared" si="8"/>
        <v>0</v>
      </c>
      <c r="P87">
        <v>0.3574</v>
      </c>
      <c r="Q87" t="s">
        <v>1756</v>
      </c>
      <c r="R87">
        <f t="shared" si="9"/>
        <v>10</v>
      </c>
      <c r="U87">
        <v>7.9353068584928304</v>
      </c>
      <c r="V87" s="17" t="str">
        <f t="shared" si="10"/>
        <v/>
      </c>
      <c r="X87">
        <v>12</v>
      </c>
      <c r="Y87" s="72" t="str">
        <f>[1]!wss(AB87,"sec_status","cols=1;rows=1")</f>
        <v>L</v>
      </c>
      <c r="AB87" t="str">
        <f t="shared" si="11"/>
        <v>9879.HK</v>
      </c>
      <c r="AC87" s="50">
        <v>4.09</v>
      </c>
      <c r="AD87" s="50">
        <v>4.38</v>
      </c>
      <c r="AE87" s="50">
        <v>4.58</v>
      </c>
      <c r="AF87" s="50">
        <v>4.08</v>
      </c>
      <c r="AG87" t="s">
        <v>224</v>
      </c>
      <c r="AI87" t="s">
        <v>224</v>
      </c>
      <c r="AJ87">
        <v>0</v>
      </c>
    </row>
    <row r="88" spans="1:36" ht="25.5">
      <c r="A88" t="s">
        <v>415</v>
      </c>
      <c r="B88" t="s">
        <v>416</v>
      </c>
      <c r="C88" s="40">
        <v>44918</v>
      </c>
      <c r="D88" s="19">
        <f t="shared" si="6"/>
        <v>44916</v>
      </c>
      <c r="E88" s="17" t="s">
        <v>3583</v>
      </c>
      <c r="F88">
        <f t="shared" si="7"/>
        <v>0</v>
      </c>
      <c r="H88" t="s">
        <v>2268</v>
      </c>
      <c r="I88" s="50">
        <v>18.600000000000001</v>
      </c>
      <c r="J88" s="61">
        <v>18.600000000000001</v>
      </c>
      <c r="K88" s="61">
        <v>18.600000000000001</v>
      </c>
      <c r="L88">
        <v>184500840</v>
      </c>
      <c r="M88">
        <v>1.41</v>
      </c>
      <c r="N88">
        <v>8.27</v>
      </c>
      <c r="O88">
        <f t="shared" si="8"/>
        <v>0</v>
      </c>
      <c r="P88">
        <v>0</v>
      </c>
      <c r="Q88" t="s">
        <v>1808</v>
      </c>
      <c r="R88">
        <f t="shared" si="9"/>
        <v>5</v>
      </c>
      <c r="U88">
        <v>-3.1021896103845799</v>
      </c>
      <c r="V88" s="17" t="str">
        <f t="shared" si="10"/>
        <v/>
      </c>
      <c r="Y88" s="51" t="str">
        <f>[1]!wss(AB88,"sec_status","cols=1;rows=1")</f>
        <v/>
      </c>
      <c r="AB88" t="str">
        <f t="shared" si="11"/>
        <v>314.HK</v>
      </c>
      <c r="AC88" s="50">
        <v>25</v>
      </c>
      <c r="AD88" s="50">
        <v>23.7</v>
      </c>
      <c r="AE88" s="50">
        <v>26.35</v>
      </c>
      <c r="AF88" s="50">
        <v>21.75</v>
      </c>
      <c r="AG88" t="s">
        <v>224</v>
      </c>
      <c r="AI88" t="s">
        <v>224</v>
      </c>
      <c r="AJ88">
        <v>0</v>
      </c>
    </row>
    <row r="89" spans="1:36" ht="25.5">
      <c r="A89" t="s">
        <v>417</v>
      </c>
      <c r="B89" t="s">
        <v>418</v>
      </c>
      <c r="C89" s="40">
        <v>44925</v>
      </c>
      <c r="D89" s="19">
        <f t="shared" si="6"/>
        <v>44923</v>
      </c>
      <c r="E89" s="17" t="s">
        <v>3583</v>
      </c>
      <c r="F89">
        <f t="shared" si="7"/>
        <v>0</v>
      </c>
      <c r="H89" t="s">
        <v>2278</v>
      </c>
      <c r="I89" s="50">
        <v>6.4</v>
      </c>
      <c r="J89" s="61">
        <v>5.79</v>
      </c>
      <c r="K89" s="61">
        <v>7</v>
      </c>
      <c r="L89">
        <v>199974400</v>
      </c>
      <c r="M89">
        <v>1.1599999999999999</v>
      </c>
      <c r="N89">
        <v>2.08</v>
      </c>
      <c r="O89">
        <f t="shared" si="8"/>
        <v>0</v>
      </c>
      <c r="P89">
        <v>3.8800000000000001E-2</v>
      </c>
      <c r="Q89" t="s">
        <v>1785</v>
      </c>
      <c r="R89">
        <f t="shared" si="9"/>
        <v>7</v>
      </c>
      <c r="U89">
        <v>5.4927135291466502</v>
      </c>
      <c r="V89" s="17" t="str">
        <f t="shared" si="10"/>
        <v/>
      </c>
      <c r="X89">
        <v>6</v>
      </c>
      <c r="Y89" s="72" t="str">
        <f>[1]!wss(AB89,"sec_status","cols=1;rows=1")</f>
        <v>L</v>
      </c>
      <c r="AB89" t="str">
        <f t="shared" si="11"/>
        <v>2425.HK</v>
      </c>
      <c r="AC89" s="50">
        <v>6.37</v>
      </c>
      <c r="AD89" s="50">
        <v>6.1</v>
      </c>
      <c r="AE89" s="50">
        <v>6.38</v>
      </c>
      <c r="AF89" s="50">
        <v>5.42</v>
      </c>
      <c r="AG89" t="s">
        <v>224</v>
      </c>
      <c r="AI89" t="s">
        <v>224</v>
      </c>
      <c r="AJ89">
        <v>0</v>
      </c>
    </row>
    <row r="90" spans="1:36">
      <c r="A90" t="s">
        <v>419</v>
      </c>
      <c r="B90" t="s">
        <v>420</v>
      </c>
      <c r="C90" s="40">
        <v>46090</v>
      </c>
      <c r="D90" s="19">
        <f t="shared" si="6"/>
        <v>46088</v>
      </c>
      <c r="E90" s="17" t="s">
        <v>3582</v>
      </c>
      <c r="F90">
        <f t="shared" si="7"/>
        <v>1</v>
      </c>
      <c r="G90" t="s">
        <v>421</v>
      </c>
      <c r="H90" t="s">
        <v>2205</v>
      </c>
      <c r="I90" s="50">
        <v>15.36</v>
      </c>
      <c r="J90" s="61">
        <v>15.36</v>
      </c>
      <c r="K90" s="61">
        <v>17</v>
      </c>
      <c r="L90">
        <v>1486540800</v>
      </c>
      <c r="M90">
        <v>3.34</v>
      </c>
      <c r="N90">
        <v>19.670000000000002</v>
      </c>
      <c r="O90">
        <f t="shared" si="8"/>
        <v>1</v>
      </c>
      <c r="P90">
        <v>0</v>
      </c>
      <c r="Q90" t="s">
        <v>1975</v>
      </c>
      <c r="R90">
        <f t="shared" si="9"/>
        <v>11</v>
      </c>
      <c r="U90">
        <v>-16.975518719680299</v>
      </c>
      <c r="V90" s="17">
        <f t="shared" si="10"/>
        <v>24.712564606840299</v>
      </c>
      <c r="X90">
        <v>6</v>
      </c>
      <c r="Y90" s="72" t="str">
        <f>[1]!wss(AB90,"sec_status","cols=1;rows=1")</f>
        <v>L</v>
      </c>
      <c r="AB90" t="str">
        <f t="shared" si="11"/>
        <v>2715.HK</v>
      </c>
      <c r="AC90" s="50">
        <v>12.9</v>
      </c>
      <c r="AD90" s="50">
        <v>15.36</v>
      </c>
      <c r="AE90" s="50">
        <v>15.36</v>
      </c>
      <c r="AF90" s="50">
        <v>12.5</v>
      </c>
      <c r="AG90" t="s">
        <v>224</v>
      </c>
      <c r="AH90" t="s">
        <v>2293</v>
      </c>
      <c r="AI90" t="s">
        <v>224</v>
      </c>
      <c r="AJ90">
        <v>0</v>
      </c>
    </row>
    <row r="91" spans="1:36" ht="25.5">
      <c r="A91" t="s">
        <v>422</v>
      </c>
      <c r="B91" t="s">
        <v>423</v>
      </c>
      <c r="C91" s="40">
        <v>45646</v>
      </c>
      <c r="D91" s="19">
        <f t="shared" si="6"/>
        <v>45644</v>
      </c>
      <c r="E91" s="17" t="s">
        <v>3583</v>
      </c>
      <c r="F91">
        <f t="shared" si="7"/>
        <v>0</v>
      </c>
      <c r="H91" t="s">
        <v>2207</v>
      </c>
      <c r="I91" s="50">
        <v>8.5</v>
      </c>
      <c r="J91" s="61">
        <v>8.5</v>
      </c>
      <c r="K91" s="61">
        <v>8.5</v>
      </c>
      <c r="L91">
        <v>860036800</v>
      </c>
      <c r="M91">
        <v>1.29</v>
      </c>
      <c r="N91">
        <v>1.44</v>
      </c>
      <c r="O91">
        <f t="shared" si="8"/>
        <v>0</v>
      </c>
      <c r="P91">
        <v>0</v>
      </c>
      <c r="Q91" t="s">
        <v>1546</v>
      </c>
      <c r="R91">
        <f t="shared" si="9"/>
        <v>8</v>
      </c>
      <c r="U91">
        <v>17.0330195879705</v>
      </c>
      <c r="V91" s="17">
        <f t="shared" si="10"/>
        <v>44.567525554081158</v>
      </c>
      <c r="Y91" s="51" t="str">
        <f>[1]!wss(AB91,"sec_status","cols=1;rows=1")</f>
        <v/>
      </c>
      <c r="AB91" t="str">
        <f t="shared" si="11"/>
        <v>999.HK</v>
      </c>
      <c r="AC91" s="50">
        <v>9.66</v>
      </c>
      <c r="AD91" s="50">
        <v>9</v>
      </c>
      <c r="AE91" s="50">
        <v>9.6999999999999993</v>
      </c>
      <c r="AF91" s="50">
        <v>8.5</v>
      </c>
      <c r="AG91" t="s">
        <v>224</v>
      </c>
      <c r="AI91" t="s">
        <v>224</v>
      </c>
      <c r="AJ91">
        <v>0</v>
      </c>
    </row>
    <row r="92" spans="1:36" ht="25.5">
      <c r="A92" t="s">
        <v>424</v>
      </c>
      <c r="B92" t="s">
        <v>425</v>
      </c>
      <c r="C92" s="40">
        <v>45895</v>
      </c>
      <c r="D92" s="19">
        <f t="shared" si="6"/>
        <v>45893</v>
      </c>
      <c r="E92" s="17" t="s">
        <v>3583</v>
      </c>
      <c r="F92">
        <f t="shared" si="7"/>
        <v>0</v>
      </c>
      <c r="H92" t="s">
        <v>2226</v>
      </c>
      <c r="I92" s="50">
        <v>14.51</v>
      </c>
      <c r="J92" s="61">
        <v>14.51</v>
      </c>
      <c r="K92" s="61">
        <v>14.51</v>
      </c>
      <c r="L92">
        <v>977110655</v>
      </c>
      <c r="M92">
        <v>18.75</v>
      </c>
      <c r="N92">
        <v>3876.25</v>
      </c>
      <c r="O92">
        <f t="shared" si="8"/>
        <v>1</v>
      </c>
      <c r="P92">
        <v>1.2158</v>
      </c>
      <c r="Q92" t="s">
        <v>1555</v>
      </c>
      <c r="R92">
        <f t="shared" si="9"/>
        <v>7</v>
      </c>
      <c r="U92">
        <v>15.851494594503199</v>
      </c>
      <c r="V92" s="17">
        <f t="shared" si="10"/>
        <v>168.85618830724536</v>
      </c>
      <c r="X92">
        <v>12</v>
      </c>
      <c r="Y92" s="72" t="str">
        <f>[1]!wss(AB92,"sec_status","cols=1;rows=1")</f>
        <v>L</v>
      </c>
      <c r="AB92" t="str">
        <f t="shared" si="11"/>
        <v>6960.HK</v>
      </c>
      <c r="AC92" s="50">
        <v>19.05</v>
      </c>
      <c r="AD92" s="50">
        <v>22.5</v>
      </c>
      <c r="AE92" s="50">
        <v>23.18</v>
      </c>
      <c r="AF92" s="50">
        <v>18.86</v>
      </c>
      <c r="AG92" t="s">
        <v>224</v>
      </c>
      <c r="AH92" t="s">
        <v>2293</v>
      </c>
      <c r="AI92" t="s">
        <v>224</v>
      </c>
      <c r="AJ92">
        <v>0</v>
      </c>
    </row>
    <row r="93" spans="1:36" ht="25.5">
      <c r="A93" t="s">
        <v>426</v>
      </c>
      <c r="B93" t="s">
        <v>427</v>
      </c>
      <c r="C93" s="40">
        <v>45197</v>
      </c>
      <c r="D93" s="19">
        <f t="shared" si="6"/>
        <v>45195</v>
      </c>
      <c r="E93" s="17" t="s">
        <v>3583</v>
      </c>
      <c r="F93">
        <f t="shared" si="7"/>
        <v>0</v>
      </c>
      <c r="H93" t="s">
        <v>2206</v>
      </c>
      <c r="I93" s="50">
        <v>55.6</v>
      </c>
      <c r="J93" s="61">
        <v>55.6</v>
      </c>
      <c r="K93" s="61">
        <v>61.16</v>
      </c>
      <c r="L93">
        <v>1122797520</v>
      </c>
      <c r="M93">
        <v>1.57</v>
      </c>
      <c r="N93">
        <v>11.4</v>
      </c>
      <c r="O93">
        <f t="shared" si="8"/>
        <v>0</v>
      </c>
      <c r="P93">
        <v>0.96499999999999997</v>
      </c>
      <c r="Q93" t="s">
        <v>1926</v>
      </c>
      <c r="R93">
        <f t="shared" si="9"/>
        <v>10</v>
      </c>
      <c r="U93">
        <v>-14.0117850470867</v>
      </c>
      <c r="V93" s="17">
        <f t="shared" si="10"/>
        <v>472.70515240668021</v>
      </c>
      <c r="X93">
        <v>6</v>
      </c>
      <c r="Y93" s="72" t="str">
        <f>[1]!wss(AB93,"sec_status","cols=1;rows=1")</f>
        <v>L</v>
      </c>
      <c r="AB93" t="str">
        <f t="shared" si="11"/>
        <v>6682.HK</v>
      </c>
      <c r="AC93" s="50">
        <v>58.5</v>
      </c>
      <c r="AD93" s="50">
        <v>63.1</v>
      </c>
      <c r="AE93" s="50">
        <v>65</v>
      </c>
      <c r="AF93" s="50">
        <v>56.45</v>
      </c>
      <c r="AG93" t="s">
        <v>224</v>
      </c>
      <c r="AH93" t="s">
        <v>2293</v>
      </c>
      <c r="AI93" t="s">
        <v>224</v>
      </c>
      <c r="AJ93">
        <v>0</v>
      </c>
    </row>
    <row r="94" spans="1:36">
      <c r="A94" t="s">
        <v>428</v>
      </c>
      <c r="B94" t="s">
        <v>429</v>
      </c>
      <c r="C94" s="40">
        <v>44673</v>
      </c>
      <c r="D94" s="19">
        <f t="shared" si="6"/>
        <v>44671</v>
      </c>
      <c r="E94" s="17" t="s">
        <v>3584</v>
      </c>
      <c r="F94">
        <f t="shared" si="7"/>
        <v>0</v>
      </c>
      <c r="H94" t="s">
        <v>2261</v>
      </c>
      <c r="I94" s="50">
        <v>32.06</v>
      </c>
      <c r="K94" s="61">
        <v>51.8</v>
      </c>
      <c r="L94">
        <v>833560000</v>
      </c>
      <c r="M94">
        <v>4.37</v>
      </c>
      <c r="N94">
        <v>1</v>
      </c>
      <c r="O94">
        <f t="shared" si="8"/>
        <v>0</v>
      </c>
      <c r="P94">
        <v>0</v>
      </c>
      <c r="Q94" t="s">
        <v>1828</v>
      </c>
      <c r="R94">
        <f t="shared" si="9"/>
        <v>7</v>
      </c>
      <c r="U94">
        <v>-6.5802734833268097</v>
      </c>
      <c r="V94" s="17">
        <f t="shared" si="10"/>
        <v>60.57327800900093</v>
      </c>
      <c r="Y94" s="72" t="str">
        <f>[1]!wss(AB94,"sec_status","cols=1;rows=1")</f>
        <v>L</v>
      </c>
      <c r="AB94" t="str">
        <f t="shared" si="11"/>
        <v>2390.HK</v>
      </c>
      <c r="AC94" s="50">
        <v>24.5</v>
      </c>
      <c r="AD94" s="50">
        <v>24.95</v>
      </c>
      <c r="AE94" s="50">
        <v>26.1</v>
      </c>
      <c r="AF94" s="50">
        <v>23.45</v>
      </c>
      <c r="AG94" t="s">
        <v>224</v>
      </c>
      <c r="AI94" t="s">
        <v>224</v>
      </c>
      <c r="AJ94">
        <v>0</v>
      </c>
    </row>
    <row r="95" spans="1:36" ht="25.5">
      <c r="A95" t="s">
        <v>430</v>
      </c>
      <c r="B95" t="s">
        <v>431</v>
      </c>
      <c r="C95" s="40">
        <v>44917</v>
      </c>
      <c r="D95" s="19">
        <f t="shared" si="6"/>
        <v>44915</v>
      </c>
      <c r="E95" s="17" t="s">
        <v>3583</v>
      </c>
      <c r="F95">
        <f t="shared" si="7"/>
        <v>0</v>
      </c>
      <c r="H95" t="s">
        <v>2225</v>
      </c>
      <c r="I95" s="50">
        <v>25.2</v>
      </c>
      <c r="J95" s="61">
        <v>25.2</v>
      </c>
      <c r="K95" s="61">
        <v>29.8</v>
      </c>
      <c r="L95">
        <v>956539080</v>
      </c>
      <c r="M95">
        <v>1.42</v>
      </c>
      <c r="N95">
        <v>0.48</v>
      </c>
      <c r="O95">
        <f t="shared" si="8"/>
        <v>0</v>
      </c>
      <c r="P95">
        <v>0.246</v>
      </c>
      <c r="Q95" t="s">
        <v>1417</v>
      </c>
      <c r="R95">
        <f t="shared" si="9"/>
        <v>10</v>
      </c>
      <c r="U95">
        <v>24.134098068559702</v>
      </c>
      <c r="V95" s="17">
        <f t="shared" si="10"/>
        <v>28.188533553659077</v>
      </c>
      <c r="Y95" s="72" t="str">
        <f>[1]!wss(AB95,"sec_status","cols=1;rows=1")</f>
        <v>L</v>
      </c>
      <c r="AB95" t="str">
        <f t="shared" si="11"/>
        <v>2145.HK</v>
      </c>
      <c r="AC95" s="50">
        <v>25.2</v>
      </c>
      <c r="AD95" s="50">
        <v>25.2</v>
      </c>
      <c r="AE95" s="50">
        <v>26</v>
      </c>
      <c r="AF95" s="50">
        <v>24.2</v>
      </c>
      <c r="AG95" t="s">
        <v>224</v>
      </c>
      <c r="AH95" t="s">
        <v>2293</v>
      </c>
      <c r="AI95" t="s">
        <v>224</v>
      </c>
      <c r="AJ95">
        <v>0</v>
      </c>
    </row>
    <row r="96" spans="1:36" ht="25.5">
      <c r="A96" t="s">
        <v>432</v>
      </c>
      <c r="B96" t="s">
        <v>433</v>
      </c>
      <c r="C96" s="40">
        <v>45761</v>
      </c>
      <c r="D96" s="19">
        <f t="shared" si="6"/>
        <v>45759</v>
      </c>
      <c r="E96" s="17" t="s">
        <v>3583</v>
      </c>
      <c r="F96">
        <f t="shared" si="7"/>
        <v>0</v>
      </c>
      <c r="H96" t="s">
        <v>2226</v>
      </c>
      <c r="I96" s="50">
        <v>8.27</v>
      </c>
      <c r="J96" s="61">
        <v>8.27</v>
      </c>
      <c r="K96" s="61">
        <v>8.27</v>
      </c>
      <c r="L96">
        <v>1005000999</v>
      </c>
      <c r="M96">
        <v>1.1299999999999999</v>
      </c>
      <c r="N96">
        <v>3.51</v>
      </c>
      <c r="O96">
        <f t="shared" si="8"/>
        <v>0</v>
      </c>
      <c r="P96">
        <v>0</v>
      </c>
      <c r="Q96" t="s">
        <v>1095</v>
      </c>
      <c r="R96">
        <f t="shared" si="9"/>
        <v>13</v>
      </c>
      <c r="U96">
        <v>211.07712847045701</v>
      </c>
      <c r="V96" s="17">
        <f t="shared" si="10"/>
        <v>129.81106153205459</v>
      </c>
      <c r="X96">
        <v>6</v>
      </c>
      <c r="Y96" s="72" t="str">
        <f>[1]!wss(AB96,"sec_status","cols=1;rows=1")</f>
        <v>L</v>
      </c>
      <c r="AB96" t="str">
        <f t="shared" si="11"/>
        <v>3677.HK</v>
      </c>
      <c r="AC96" s="50">
        <v>8.39</v>
      </c>
      <c r="AD96" s="50">
        <v>8.4600000000000009</v>
      </c>
      <c r="AE96" s="50">
        <v>8.4600000000000009</v>
      </c>
      <c r="AF96" s="50">
        <v>8.33</v>
      </c>
      <c r="AG96" t="s">
        <v>224</v>
      </c>
      <c r="AH96" t="s">
        <v>2293</v>
      </c>
      <c r="AI96" t="s">
        <v>224</v>
      </c>
      <c r="AJ96">
        <v>0</v>
      </c>
    </row>
    <row r="97" spans="1:36" ht="25.5">
      <c r="A97" t="s">
        <v>434</v>
      </c>
      <c r="B97" t="s">
        <v>435</v>
      </c>
      <c r="C97" s="40">
        <v>44748</v>
      </c>
      <c r="D97" s="19">
        <f t="shared" si="6"/>
        <v>44746</v>
      </c>
      <c r="E97" s="17" t="s">
        <v>3583</v>
      </c>
      <c r="F97">
        <f t="shared" si="7"/>
        <v>0</v>
      </c>
      <c r="H97" t="s">
        <v>2210</v>
      </c>
      <c r="I97" s="50">
        <v>30.5</v>
      </c>
      <c r="L97">
        <v>579500000</v>
      </c>
      <c r="M97">
        <v>2.15</v>
      </c>
      <c r="N97">
        <v>7.89</v>
      </c>
      <c r="O97">
        <f t="shared" si="8"/>
        <v>0</v>
      </c>
      <c r="P97">
        <v>0</v>
      </c>
      <c r="Q97" t="s">
        <v>1809</v>
      </c>
      <c r="R97">
        <f t="shared" si="9"/>
        <v>6</v>
      </c>
      <c r="U97">
        <v>-3.5368838773753399</v>
      </c>
      <c r="V97" s="17">
        <f t="shared" si="10"/>
        <v>140.51038887538766</v>
      </c>
      <c r="X97">
        <v>6</v>
      </c>
      <c r="Y97" s="72" t="str">
        <f>[1]!wss(AB97,"sec_status","cols=1;rows=1")</f>
        <v>L</v>
      </c>
      <c r="AB97" t="str">
        <f t="shared" si="11"/>
        <v>9955.HK</v>
      </c>
      <c r="AC97" s="50">
        <v>28.2</v>
      </c>
      <c r="AD97" s="50">
        <v>30.5</v>
      </c>
      <c r="AE97" s="50">
        <v>30.7</v>
      </c>
      <c r="AF97" s="50">
        <v>24.35</v>
      </c>
      <c r="AG97" t="s">
        <v>224</v>
      </c>
      <c r="AI97" t="s">
        <v>224</v>
      </c>
      <c r="AJ97">
        <v>0</v>
      </c>
    </row>
    <row r="98" spans="1:36" ht="25.5">
      <c r="A98" t="s">
        <v>436</v>
      </c>
      <c r="B98" t="s">
        <v>437</v>
      </c>
      <c r="C98" s="40">
        <v>45793</v>
      </c>
      <c r="D98" s="19">
        <f t="shared" si="6"/>
        <v>45791</v>
      </c>
      <c r="E98" s="17" t="s">
        <v>3583</v>
      </c>
      <c r="F98">
        <f t="shared" si="7"/>
        <v>0</v>
      </c>
      <c r="H98" t="s">
        <v>2207</v>
      </c>
      <c r="I98" s="50">
        <v>7.19</v>
      </c>
      <c r="J98" s="61">
        <v>7.19</v>
      </c>
      <c r="K98" s="61">
        <v>7.19</v>
      </c>
      <c r="L98">
        <v>847376012</v>
      </c>
      <c r="M98">
        <v>7.2</v>
      </c>
      <c r="N98">
        <v>317.54000000000002</v>
      </c>
      <c r="O98">
        <f t="shared" si="8"/>
        <v>1</v>
      </c>
      <c r="P98">
        <v>0</v>
      </c>
      <c r="Q98" t="s">
        <v>1615</v>
      </c>
      <c r="R98">
        <f t="shared" si="9"/>
        <v>18</v>
      </c>
      <c r="U98">
        <v>12.805362403403199</v>
      </c>
      <c r="V98" s="17">
        <f t="shared" si="10"/>
        <v>46.681354146364811</v>
      </c>
      <c r="X98">
        <v>6</v>
      </c>
      <c r="Y98" s="72" t="str">
        <f>[1]!wss(AB98,"sec_status","cols=1;rows=1")</f>
        <v>L</v>
      </c>
      <c r="AB98" t="str">
        <f t="shared" si="11"/>
        <v>6831.HK</v>
      </c>
      <c r="AC98" s="50">
        <v>6.29</v>
      </c>
      <c r="AD98" s="50">
        <v>7.19</v>
      </c>
      <c r="AE98" s="50">
        <v>7.2</v>
      </c>
      <c r="AF98" s="50">
        <v>6.29</v>
      </c>
      <c r="AG98" t="s">
        <v>224</v>
      </c>
      <c r="AI98" t="s">
        <v>224</v>
      </c>
      <c r="AJ98">
        <v>0</v>
      </c>
    </row>
    <row r="99" spans="1:36" ht="25.5">
      <c r="A99" t="s">
        <v>438</v>
      </c>
      <c r="B99" t="s">
        <v>439</v>
      </c>
      <c r="C99" s="40">
        <v>44869</v>
      </c>
      <c r="D99" s="19">
        <f t="shared" si="6"/>
        <v>44867</v>
      </c>
      <c r="E99" s="17" t="s">
        <v>3583</v>
      </c>
      <c r="F99">
        <f t="shared" si="7"/>
        <v>0</v>
      </c>
      <c r="H99" t="s">
        <v>2225</v>
      </c>
      <c r="I99" s="50">
        <v>24.3</v>
      </c>
      <c r="J99" s="61">
        <v>24.3</v>
      </c>
      <c r="K99" s="61">
        <v>27.7</v>
      </c>
      <c r="L99">
        <v>631800000</v>
      </c>
      <c r="M99">
        <v>4.22</v>
      </c>
      <c r="N99">
        <v>2.08</v>
      </c>
      <c r="O99">
        <f t="shared" si="8"/>
        <v>0</v>
      </c>
      <c r="P99">
        <v>0.77900000000000003</v>
      </c>
      <c r="Q99" t="s">
        <v>1425</v>
      </c>
      <c r="R99">
        <f t="shared" si="9"/>
        <v>6</v>
      </c>
      <c r="U99">
        <v>23.789645036762298</v>
      </c>
      <c r="V99" s="17">
        <f t="shared" si="10"/>
        <v>28.274646811608427</v>
      </c>
      <c r="Y99" s="72" t="str">
        <f>[1]!wss(AB99,"sec_status","cols=1;rows=1")</f>
        <v>L</v>
      </c>
      <c r="AB99" t="str">
        <f t="shared" si="11"/>
        <v>2367.HK</v>
      </c>
      <c r="AC99" s="50">
        <v>26.7</v>
      </c>
      <c r="AD99" s="50">
        <v>26</v>
      </c>
      <c r="AE99" s="50">
        <v>31.1</v>
      </c>
      <c r="AF99" s="50">
        <v>26</v>
      </c>
      <c r="AG99" t="s">
        <v>224</v>
      </c>
      <c r="AI99" t="s">
        <v>224</v>
      </c>
      <c r="AJ99">
        <v>0</v>
      </c>
    </row>
    <row r="100" spans="1:36" ht="25.5">
      <c r="A100" t="s">
        <v>440</v>
      </c>
      <c r="B100" t="s">
        <v>441</v>
      </c>
      <c r="C100" s="40">
        <v>45785</v>
      </c>
      <c r="D100" s="19">
        <f t="shared" si="6"/>
        <v>45783</v>
      </c>
      <c r="E100" s="17" t="s">
        <v>3583</v>
      </c>
      <c r="F100">
        <f t="shared" si="7"/>
        <v>0</v>
      </c>
      <c r="H100" t="s">
        <v>2221</v>
      </c>
      <c r="I100" s="50">
        <v>113.12</v>
      </c>
      <c r="J100" s="61">
        <v>95.57</v>
      </c>
      <c r="K100" s="61">
        <v>113.12</v>
      </c>
      <c r="L100">
        <v>313684022.39999998</v>
      </c>
      <c r="M100">
        <v>2.57</v>
      </c>
      <c r="N100">
        <v>3616.83</v>
      </c>
      <c r="O100">
        <f t="shared" si="8"/>
        <v>1</v>
      </c>
      <c r="P100">
        <v>0.38900000000000001</v>
      </c>
      <c r="Q100" t="s">
        <v>1294</v>
      </c>
      <c r="R100">
        <f t="shared" si="9"/>
        <v>9</v>
      </c>
      <c r="U100">
        <v>33.388499383506101</v>
      </c>
      <c r="V100" s="17">
        <f t="shared" si="10"/>
        <v>25.75938976972547</v>
      </c>
      <c r="X100">
        <v>6</v>
      </c>
      <c r="Y100" s="72" t="str">
        <f>[1]!wss(AB100,"sec_status","cols=1;rows=1")</f>
        <v>L</v>
      </c>
      <c r="AB100" t="str">
        <f t="shared" si="11"/>
        <v>2589.HK</v>
      </c>
      <c r="AC100" s="50">
        <v>158.4</v>
      </c>
      <c r="AD100" s="50">
        <v>190.6</v>
      </c>
      <c r="AE100" s="50">
        <v>197.6</v>
      </c>
      <c r="AF100" s="50">
        <v>152</v>
      </c>
      <c r="AG100" t="s">
        <v>224</v>
      </c>
      <c r="AH100" t="s">
        <v>2293</v>
      </c>
      <c r="AI100" t="s">
        <v>224</v>
      </c>
      <c r="AJ100">
        <v>0</v>
      </c>
    </row>
    <row r="101" spans="1:36" ht="25.5">
      <c r="A101" t="s">
        <v>442</v>
      </c>
      <c r="B101" t="s">
        <v>443</v>
      </c>
      <c r="C101" s="40">
        <v>45107</v>
      </c>
      <c r="D101" s="19">
        <f t="shared" si="6"/>
        <v>45105</v>
      </c>
      <c r="E101" s="17" t="s">
        <v>3583</v>
      </c>
      <c r="F101">
        <f t="shared" si="7"/>
        <v>0</v>
      </c>
      <c r="H101" t="s">
        <v>2211</v>
      </c>
      <c r="I101" s="50">
        <v>12.32</v>
      </c>
      <c r="J101" s="61">
        <v>12.32</v>
      </c>
      <c r="K101" s="61">
        <v>12.32</v>
      </c>
      <c r="L101">
        <v>261073120</v>
      </c>
      <c r="M101">
        <v>1.8</v>
      </c>
      <c r="N101">
        <v>1.06</v>
      </c>
      <c r="O101">
        <f t="shared" si="8"/>
        <v>0</v>
      </c>
      <c r="P101">
        <v>0.46200000000000002</v>
      </c>
      <c r="Q101" t="s">
        <v>1653</v>
      </c>
      <c r="R101">
        <f t="shared" si="9"/>
        <v>12</v>
      </c>
      <c r="U101">
        <v>11.694678072090801</v>
      </c>
      <c r="V101" s="17">
        <f t="shared" si="10"/>
        <v>36.021408298001617</v>
      </c>
      <c r="X101">
        <v>6</v>
      </c>
      <c r="Y101" s="72" t="str">
        <f>[1]!wss(AB101,"sec_status","cols=1;rows=1")</f>
        <v>L</v>
      </c>
      <c r="AB101" t="str">
        <f t="shared" si="11"/>
        <v>9860.HK</v>
      </c>
      <c r="AC101" s="50">
        <v>13.8</v>
      </c>
      <c r="AD101" s="50">
        <v>12.32</v>
      </c>
      <c r="AE101" s="50">
        <v>13.8</v>
      </c>
      <c r="AF101" s="50">
        <v>12.02</v>
      </c>
      <c r="AG101" t="s">
        <v>224</v>
      </c>
      <c r="AI101" t="s">
        <v>224</v>
      </c>
      <c r="AJ101">
        <v>0</v>
      </c>
    </row>
    <row r="102" spans="1:36" ht="25.5">
      <c r="A102" t="s">
        <v>444</v>
      </c>
      <c r="B102" t="s">
        <v>445</v>
      </c>
      <c r="C102" s="40">
        <v>44755</v>
      </c>
      <c r="D102" s="19">
        <f t="shared" si="6"/>
        <v>44753</v>
      </c>
      <c r="E102" s="17" t="s">
        <v>3583</v>
      </c>
      <c r="F102">
        <f t="shared" si="7"/>
        <v>0</v>
      </c>
      <c r="H102" t="s">
        <v>2229</v>
      </c>
      <c r="I102" s="50">
        <v>292</v>
      </c>
      <c r="K102" s="61">
        <v>307</v>
      </c>
      <c r="L102">
        <v>336430720</v>
      </c>
      <c r="M102">
        <v>5.9</v>
      </c>
      <c r="N102">
        <v>3.26</v>
      </c>
      <c r="O102">
        <f t="shared" si="8"/>
        <v>0</v>
      </c>
      <c r="P102">
        <v>0.14499999999999999</v>
      </c>
      <c r="Q102" t="s">
        <v>1784</v>
      </c>
      <c r="R102">
        <f t="shared" si="9"/>
        <v>4</v>
      </c>
      <c r="U102">
        <v>5.8314448244687904</v>
      </c>
      <c r="V102" s="17">
        <f t="shared" si="10"/>
        <v>7.1947492737925201</v>
      </c>
      <c r="Y102" s="72" t="str">
        <f>[1]!wss(AB102,"sec_status","cols=1;rows=1")</f>
        <v>L</v>
      </c>
      <c r="AB102" t="str">
        <f t="shared" si="11"/>
        <v>6686.HK</v>
      </c>
      <c r="AC102" s="50">
        <v>279</v>
      </c>
      <c r="AD102" s="50">
        <v>285</v>
      </c>
      <c r="AE102" s="50">
        <v>286.39999999999998</v>
      </c>
      <c r="AF102" s="50">
        <v>270.60000000000002</v>
      </c>
      <c r="AG102" t="s">
        <v>224</v>
      </c>
      <c r="AI102" t="s">
        <v>224</v>
      </c>
      <c r="AJ102">
        <v>0</v>
      </c>
    </row>
    <row r="103" spans="1:36" ht="25.5">
      <c r="A103" t="s">
        <v>446</v>
      </c>
      <c r="B103" t="s">
        <v>447</v>
      </c>
      <c r="C103" s="40">
        <v>45471</v>
      </c>
      <c r="D103" s="19">
        <f t="shared" si="6"/>
        <v>45469</v>
      </c>
      <c r="E103" s="17" t="s">
        <v>3583</v>
      </c>
      <c r="F103">
        <f t="shared" si="7"/>
        <v>0</v>
      </c>
      <c r="H103" t="s">
        <v>2284</v>
      </c>
      <c r="I103" s="50">
        <v>40.5</v>
      </c>
      <c r="J103" s="61">
        <v>40.5</v>
      </c>
      <c r="K103" s="61">
        <v>40.5</v>
      </c>
      <c r="L103">
        <v>1041830100</v>
      </c>
      <c r="M103">
        <v>11.9</v>
      </c>
      <c r="N103">
        <v>582.15</v>
      </c>
      <c r="O103">
        <f t="shared" si="8"/>
        <v>1</v>
      </c>
      <c r="P103">
        <v>1.3044</v>
      </c>
      <c r="Q103" t="s">
        <v>1569</v>
      </c>
      <c r="R103">
        <f t="shared" si="9"/>
        <v>4</v>
      </c>
      <c r="U103">
        <v>14.5476926648779</v>
      </c>
      <c r="V103" s="17">
        <f t="shared" si="10"/>
        <v>32.674867650158099</v>
      </c>
      <c r="X103">
        <v>6</v>
      </c>
      <c r="Y103" s="72" t="str">
        <f>[1]!wss(AB103,"sec_status","cols=1;rows=1")</f>
        <v>L</v>
      </c>
      <c r="AB103" t="str">
        <f t="shared" si="11"/>
        <v>6181.HK</v>
      </c>
      <c r="AC103" s="50">
        <v>70</v>
      </c>
      <c r="AD103" s="50">
        <v>64.5</v>
      </c>
      <c r="AE103" s="50">
        <v>75.599999999999994</v>
      </c>
      <c r="AF103" s="50">
        <v>60.95</v>
      </c>
      <c r="AG103" t="s">
        <v>224</v>
      </c>
      <c r="AH103" t="s">
        <v>2293</v>
      </c>
      <c r="AI103" t="s">
        <v>224</v>
      </c>
      <c r="AJ103">
        <v>0</v>
      </c>
    </row>
    <row r="104" spans="1:36" ht="25.5">
      <c r="A104" t="s">
        <v>448</v>
      </c>
      <c r="B104" t="s">
        <v>449</v>
      </c>
      <c r="C104" s="40">
        <v>44757</v>
      </c>
      <c r="D104" s="19">
        <f t="shared" si="6"/>
        <v>44755</v>
      </c>
      <c r="E104" s="17" t="s">
        <v>3583</v>
      </c>
      <c r="F104">
        <f t="shared" si="7"/>
        <v>0</v>
      </c>
      <c r="H104" t="s">
        <v>2242</v>
      </c>
      <c r="I104" s="50">
        <v>1.8</v>
      </c>
      <c r="J104" s="61">
        <v>1.78</v>
      </c>
      <c r="K104" s="61">
        <v>2.13</v>
      </c>
      <c r="L104">
        <v>1092676500</v>
      </c>
      <c r="M104">
        <v>1.41</v>
      </c>
      <c r="N104">
        <v>0.42</v>
      </c>
      <c r="O104">
        <f t="shared" si="8"/>
        <v>0</v>
      </c>
      <c r="P104">
        <v>1.1519999999999999</v>
      </c>
      <c r="Q104" t="s">
        <v>1727</v>
      </c>
      <c r="R104">
        <f t="shared" si="9"/>
        <v>10</v>
      </c>
      <c r="U104">
        <v>8.8125765675357499</v>
      </c>
      <c r="V104" s="17">
        <f t="shared" si="10"/>
        <v>29.586807027754748</v>
      </c>
      <c r="X104">
        <v>6</v>
      </c>
      <c r="Y104" s="72" t="str">
        <f>[1]!wss(AB104,"sec_status","cols=1;rows=1")</f>
        <v>L</v>
      </c>
      <c r="AB104" t="str">
        <f t="shared" si="11"/>
        <v>2418.HK</v>
      </c>
      <c r="AC104" s="50">
        <v>1.8</v>
      </c>
      <c r="AD104" s="50">
        <v>1.75</v>
      </c>
      <c r="AE104" s="50">
        <v>1.82</v>
      </c>
      <c r="AF104" s="50">
        <v>1.6</v>
      </c>
      <c r="AG104" t="s">
        <v>224</v>
      </c>
      <c r="AH104" t="s">
        <v>2293</v>
      </c>
      <c r="AI104" t="s">
        <v>224</v>
      </c>
      <c r="AJ104">
        <v>0</v>
      </c>
    </row>
    <row r="105" spans="1:36">
      <c r="A105" t="s">
        <v>450</v>
      </c>
      <c r="B105" t="s">
        <v>451</v>
      </c>
      <c r="C105" s="40">
        <v>45958</v>
      </c>
      <c r="D105" s="19">
        <f t="shared" si="6"/>
        <v>45956</v>
      </c>
      <c r="E105" s="17" t="s">
        <v>3582</v>
      </c>
      <c r="F105">
        <f t="shared" si="7"/>
        <v>1</v>
      </c>
      <c r="G105" t="s">
        <v>452</v>
      </c>
      <c r="H105" t="s">
        <v>2252</v>
      </c>
      <c r="I105" s="50">
        <v>68.88</v>
      </c>
      <c r="K105" s="61">
        <v>68.88</v>
      </c>
      <c r="L105">
        <v>5308030560</v>
      </c>
      <c r="M105">
        <v>16.5</v>
      </c>
      <c r="N105">
        <v>338.7</v>
      </c>
      <c r="O105">
        <f t="shared" si="8"/>
        <v>1</v>
      </c>
      <c r="P105">
        <v>6.7709999999999999</v>
      </c>
      <c r="Q105" t="s">
        <v>1126</v>
      </c>
      <c r="R105">
        <f t="shared" si="9"/>
        <v>3</v>
      </c>
      <c r="U105">
        <v>128.20971263645899</v>
      </c>
      <c r="V105" s="17" t="str">
        <f t="shared" si="10"/>
        <v/>
      </c>
      <c r="X105">
        <v>6</v>
      </c>
      <c r="Y105" s="72" t="str">
        <f>[1]!wss(AB105,"sec_status","cols=1;rows=1")</f>
        <v>L</v>
      </c>
      <c r="AB105" t="str">
        <f t="shared" si="11"/>
        <v>6166.HK</v>
      </c>
      <c r="AC105" s="50">
        <v>92.2</v>
      </c>
      <c r="AD105" s="50">
        <v>94</v>
      </c>
      <c r="AE105" s="50">
        <v>109</v>
      </c>
      <c r="AF105" s="50">
        <v>90.2</v>
      </c>
      <c r="AG105" t="s">
        <v>224</v>
      </c>
      <c r="AH105" t="s">
        <v>2293</v>
      </c>
      <c r="AI105" t="s">
        <v>224</v>
      </c>
      <c r="AJ105">
        <v>0</v>
      </c>
    </row>
    <row r="106" spans="1:36">
      <c r="A106" t="s">
        <v>453</v>
      </c>
      <c r="B106" t="s">
        <v>454</v>
      </c>
      <c r="C106" s="40">
        <v>46141</v>
      </c>
      <c r="D106" s="19">
        <f t="shared" si="6"/>
        <v>46139</v>
      </c>
      <c r="E106" s="17" t="s">
        <v>3584</v>
      </c>
      <c r="F106">
        <f t="shared" si="7"/>
        <v>0</v>
      </c>
      <c r="H106" t="s">
        <v>2204</v>
      </c>
      <c r="I106" s="50">
        <v>24.86</v>
      </c>
      <c r="J106" s="61">
        <v>24.86</v>
      </c>
      <c r="K106" s="61">
        <v>24.86</v>
      </c>
      <c r="L106">
        <v>1059702248</v>
      </c>
      <c r="M106">
        <v>7.91</v>
      </c>
      <c r="N106">
        <v>2003.16</v>
      </c>
      <c r="O106">
        <f t="shared" si="8"/>
        <v>1</v>
      </c>
      <c r="P106">
        <v>0</v>
      </c>
      <c r="Q106" t="s">
        <v>1265</v>
      </c>
      <c r="R106">
        <f t="shared" si="9"/>
        <v>16</v>
      </c>
      <c r="U106">
        <v>40.613483211838897</v>
      </c>
      <c r="V106" s="17">
        <f t="shared" si="10"/>
        <v>21.217149326432398</v>
      </c>
      <c r="X106">
        <v>6</v>
      </c>
      <c r="Y106" s="72" t="str">
        <f>[1]!wss(AB106,"sec_status","cols=1;rows=1")</f>
        <v>L</v>
      </c>
      <c r="AB106" t="str">
        <f t="shared" si="11"/>
        <v>6810.HK</v>
      </c>
      <c r="AC106" s="50">
        <v>84.8</v>
      </c>
      <c r="AD106" s="50">
        <v>97.5</v>
      </c>
      <c r="AE106" s="50">
        <v>99.8</v>
      </c>
      <c r="AF106" s="50">
        <v>80.650000000000006</v>
      </c>
      <c r="AG106" t="s">
        <v>224</v>
      </c>
      <c r="AH106" t="s">
        <v>2293</v>
      </c>
      <c r="AI106" t="s">
        <v>224</v>
      </c>
      <c r="AJ106">
        <v>0</v>
      </c>
    </row>
    <row r="107" spans="1:36" ht="25.5">
      <c r="A107" t="s">
        <v>455</v>
      </c>
      <c r="B107" t="s">
        <v>456</v>
      </c>
      <c r="C107" s="40">
        <v>45013</v>
      </c>
      <c r="D107" s="19">
        <f t="shared" si="6"/>
        <v>45011</v>
      </c>
      <c r="E107" s="17" t="s">
        <v>3583</v>
      </c>
      <c r="F107">
        <f t="shared" si="7"/>
        <v>0</v>
      </c>
      <c r="H107" t="s">
        <v>2207</v>
      </c>
      <c r="I107" s="50">
        <v>46</v>
      </c>
      <c r="J107" s="61">
        <v>46</v>
      </c>
      <c r="K107" s="61">
        <v>55</v>
      </c>
      <c r="L107">
        <v>626713200</v>
      </c>
      <c r="M107">
        <v>1.9</v>
      </c>
      <c r="N107">
        <v>0.45</v>
      </c>
      <c r="O107">
        <f t="shared" si="8"/>
        <v>0</v>
      </c>
      <c r="P107">
        <v>0.36399999999999999</v>
      </c>
      <c r="Q107" t="s">
        <v>2033</v>
      </c>
      <c r="R107">
        <f t="shared" si="9"/>
        <v>2</v>
      </c>
      <c r="U107">
        <v>-23.749800051660898</v>
      </c>
      <c r="V107" s="17">
        <f t="shared" si="10"/>
        <v>35.389356898710936</v>
      </c>
      <c r="Y107" s="72" t="str">
        <f>[1]!wss(AB107,"sec_status","cols=1;rows=1")</f>
        <v>L</v>
      </c>
      <c r="AB107" t="str">
        <f t="shared" si="11"/>
        <v>1405.HK</v>
      </c>
      <c r="AC107" s="50">
        <v>45.95</v>
      </c>
      <c r="AD107" s="50">
        <v>46</v>
      </c>
      <c r="AE107" s="50">
        <v>46.5</v>
      </c>
      <c r="AF107" s="50">
        <v>45.85</v>
      </c>
      <c r="AG107" t="s">
        <v>224</v>
      </c>
      <c r="AI107" t="s">
        <v>224</v>
      </c>
      <c r="AJ107">
        <v>0</v>
      </c>
    </row>
    <row r="108" spans="1:36" ht="25.5">
      <c r="A108" t="s">
        <v>457</v>
      </c>
      <c r="B108" t="s">
        <v>458</v>
      </c>
      <c r="C108" s="40">
        <v>44935</v>
      </c>
      <c r="D108" s="19">
        <f t="shared" si="6"/>
        <v>44933</v>
      </c>
      <c r="E108" s="17" t="s">
        <v>3583</v>
      </c>
      <c r="F108">
        <f t="shared" si="7"/>
        <v>0</v>
      </c>
      <c r="H108" t="s">
        <v>2241</v>
      </c>
      <c r="I108" s="50">
        <v>9.9</v>
      </c>
      <c r="J108" s="61">
        <v>9.5</v>
      </c>
      <c r="K108" s="61">
        <v>9.9</v>
      </c>
      <c r="L108">
        <v>198000000</v>
      </c>
      <c r="M108">
        <v>2.3243</v>
      </c>
      <c r="N108">
        <v>33.880000000000003</v>
      </c>
      <c r="O108">
        <f t="shared" si="8"/>
        <v>1</v>
      </c>
      <c r="P108">
        <v>0</v>
      </c>
      <c r="Q108" t="s">
        <v>1858</v>
      </c>
      <c r="R108">
        <f t="shared" si="9"/>
        <v>15</v>
      </c>
      <c r="U108">
        <v>-8.2973386748492501</v>
      </c>
      <c r="V108" s="17">
        <f t="shared" si="10"/>
        <v>26.626293672242099</v>
      </c>
      <c r="Y108" s="72" t="str">
        <f>[1]!wss(AB108,"sec_status","cols=1;rows=1")</f>
        <v>L</v>
      </c>
      <c r="AB108" t="str">
        <f t="shared" si="11"/>
        <v>2469.HK</v>
      </c>
      <c r="AC108" s="50">
        <v>11.1</v>
      </c>
      <c r="AD108" s="50">
        <v>10.5</v>
      </c>
      <c r="AE108" s="50">
        <v>12.1</v>
      </c>
      <c r="AF108" s="50">
        <v>10.26</v>
      </c>
      <c r="AG108" t="s">
        <v>224</v>
      </c>
      <c r="AI108" t="s">
        <v>224</v>
      </c>
      <c r="AJ108">
        <v>0</v>
      </c>
    </row>
    <row r="109" spans="1:36" ht="25.5">
      <c r="A109" t="s">
        <v>459</v>
      </c>
      <c r="B109" t="s">
        <v>460</v>
      </c>
      <c r="C109" s="40">
        <v>44876</v>
      </c>
      <c r="D109" s="19">
        <f t="shared" si="6"/>
        <v>44874</v>
      </c>
      <c r="E109" s="17" t="s">
        <v>3583</v>
      </c>
      <c r="F109">
        <f t="shared" si="7"/>
        <v>0</v>
      </c>
      <c r="H109" t="s">
        <v>2271</v>
      </c>
      <c r="I109" s="50">
        <v>7.86</v>
      </c>
      <c r="J109" s="61">
        <v>7.86</v>
      </c>
      <c r="K109" s="61">
        <v>9.42</v>
      </c>
      <c r="L109">
        <v>229905000</v>
      </c>
      <c r="M109">
        <v>1.56</v>
      </c>
      <c r="N109">
        <v>1.91</v>
      </c>
      <c r="O109">
        <f t="shared" si="8"/>
        <v>0</v>
      </c>
      <c r="P109">
        <v>0</v>
      </c>
      <c r="Q109" t="s">
        <v>1549</v>
      </c>
      <c r="R109">
        <f t="shared" si="9"/>
        <v>6</v>
      </c>
      <c r="U109">
        <v>16.025056231889799</v>
      </c>
      <c r="V109" s="17" t="str">
        <f t="shared" si="10"/>
        <v/>
      </c>
      <c r="X109">
        <v>6</v>
      </c>
      <c r="Y109" s="72" t="str">
        <f>[1]!wss(AB109,"sec_status","cols=1;rows=1")</f>
        <v>L</v>
      </c>
      <c r="AB109" t="str">
        <f t="shared" si="11"/>
        <v>2420.HK</v>
      </c>
      <c r="AC109" s="50">
        <v>8.2899999999999991</v>
      </c>
      <c r="AD109" s="50">
        <v>8.36</v>
      </c>
      <c r="AE109" s="50">
        <v>9.4</v>
      </c>
      <c r="AF109" s="50">
        <v>6.2</v>
      </c>
      <c r="AG109" t="s">
        <v>224</v>
      </c>
      <c r="AI109" t="s">
        <v>224</v>
      </c>
      <c r="AJ109">
        <v>0</v>
      </c>
    </row>
    <row r="110" spans="1:36" ht="25.5">
      <c r="A110" t="s">
        <v>461</v>
      </c>
      <c r="B110" t="s">
        <v>462</v>
      </c>
      <c r="C110" s="40">
        <v>45971</v>
      </c>
      <c r="D110" s="19">
        <f t="shared" si="6"/>
        <v>45969</v>
      </c>
      <c r="E110" s="17" t="s">
        <v>3583</v>
      </c>
      <c r="F110">
        <f t="shared" si="7"/>
        <v>0</v>
      </c>
      <c r="H110" t="s">
        <v>2250</v>
      </c>
      <c r="I110" s="50">
        <v>26.2</v>
      </c>
      <c r="J110" s="61">
        <v>24.2</v>
      </c>
      <c r="K110" s="61">
        <v>26.2</v>
      </c>
      <c r="L110">
        <v>2738334920</v>
      </c>
      <c r="M110">
        <v>34.33</v>
      </c>
      <c r="N110">
        <v>1813.77</v>
      </c>
      <c r="O110">
        <f t="shared" si="8"/>
        <v>1</v>
      </c>
      <c r="P110">
        <v>3.4460000000000002</v>
      </c>
      <c r="Q110" t="s">
        <v>1470</v>
      </c>
      <c r="R110">
        <f t="shared" si="9"/>
        <v>3</v>
      </c>
      <c r="U110">
        <v>21.50094449977</v>
      </c>
      <c r="V110" s="17">
        <f t="shared" si="10"/>
        <v>8.6259684754616295</v>
      </c>
      <c r="X110">
        <v>6</v>
      </c>
      <c r="Y110" s="72" t="str">
        <f>[1]!wss(AB110,"sec_status","cols=1;rows=1")</f>
        <v>L</v>
      </c>
      <c r="AB110" t="str">
        <f t="shared" si="11"/>
        <v>2698.HK</v>
      </c>
      <c r="AC110" s="50">
        <v>33</v>
      </c>
      <c r="AD110" s="50">
        <v>34.979999999999997</v>
      </c>
      <c r="AE110" s="50">
        <v>36.799999999999997</v>
      </c>
      <c r="AF110" s="50">
        <v>33</v>
      </c>
      <c r="AG110" t="s">
        <v>224</v>
      </c>
      <c r="AI110" t="s">
        <v>224</v>
      </c>
      <c r="AJ110">
        <v>0</v>
      </c>
    </row>
    <row r="111" spans="1:36" ht="25.5">
      <c r="A111" t="s">
        <v>463</v>
      </c>
      <c r="B111" t="s">
        <v>464</v>
      </c>
      <c r="C111" s="40">
        <v>45636</v>
      </c>
      <c r="D111" s="19">
        <f t="shared" si="6"/>
        <v>45634</v>
      </c>
      <c r="E111" s="17" t="s">
        <v>3583</v>
      </c>
      <c r="F111">
        <f t="shared" si="7"/>
        <v>0</v>
      </c>
      <c r="H111" t="s">
        <v>2225</v>
      </c>
      <c r="I111" s="50">
        <v>29.8</v>
      </c>
      <c r="J111" s="61">
        <v>26.3</v>
      </c>
      <c r="K111" s="61">
        <v>29.8</v>
      </c>
      <c r="L111">
        <v>2687569620</v>
      </c>
      <c r="M111">
        <v>30.34</v>
      </c>
      <c r="N111">
        <v>919.18</v>
      </c>
      <c r="O111">
        <f t="shared" si="8"/>
        <v>1</v>
      </c>
      <c r="P111">
        <v>3.3650000000000002</v>
      </c>
      <c r="Q111" t="s">
        <v>1503</v>
      </c>
      <c r="R111">
        <f t="shared" si="9"/>
        <v>8</v>
      </c>
      <c r="U111">
        <v>19.5187304899179</v>
      </c>
      <c r="V111" s="17">
        <f t="shared" si="10"/>
        <v>29.342375448319526</v>
      </c>
      <c r="X111">
        <v>6</v>
      </c>
      <c r="Y111" s="72" t="str">
        <f>[1]!wss(AB111,"sec_status","cols=1;rows=1")</f>
        <v>L</v>
      </c>
      <c r="AB111" t="str">
        <f t="shared" si="11"/>
        <v>1318.HK</v>
      </c>
      <c r="AC111" s="50">
        <v>52.6</v>
      </c>
      <c r="AD111" s="50">
        <v>47.65</v>
      </c>
      <c r="AE111" s="50">
        <v>57.2</v>
      </c>
      <c r="AF111" s="50">
        <v>47.65</v>
      </c>
      <c r="AG111" t="s">
        <v>224</v>
      </c>
      <c r="AH111" t="s">
        <v>2293</v>
      </c>
      <c r="AI111" t="s">
        <v>224</v>
      </c>
      <c r="AJ111">
        <v>0</v>
      </c>
    </row>
    <row r="112" spans="1:36">
      <c r="A112" t="s">
        <v>465</v>
      </c>
      <c r="B112" t="s">
        <v>466</v>
      </c>
      <c r="C112" s="40">
        <v>46148</v>
      </c>
      <c r="D112" s="19">
        <f t="shared" si="6"/>
        <v>46146</v>
      </c>
      <c r="E112" s="17" t="s">
        <v>3582</v>
      </c>
      <c r="F112">
        <f t="shared" si="7"/>
        <v>1</v>
      </c>
      <c r="G112" t="s">
        <v>467</v>
      </c>
      <c r="H112" t="s">
        <v>2210</v>
      </c>
      <c r="I112" s="50">
        <v>39.33</v>
      </c>
      <c r="K112" s="61">
        <v>39.33</v>
      </c>
      <c r="L112">
        <v>1061910000</v>
      </c>
      <c r="M112">
        <v>3.4</v>
      </c>
      <c r="N112">
        <v>399.08</v>
      </c>
      <c r="O112">
        <f t="shared" si="8"/>
        <v>1</v>
      </c>
      <c r="P112">
        <v>0</v>
      </c>
      <c r="Q112" t="s">
        <v>1447</v>
      </c>
      <c r="R112">
        <f t="shared" si="9"/>
        <v>3</v>
      </c>
      <c r="U112">
        <v>22.550431418086301</v>
      </c>
      <c r="V112" s="17">
        <f t="shared" si="10"/>
        <v>170.000378239713</v>
      </c>
      <c r="X112">
        <v>6</v>
      </c>
      <c r="Y112" s="72" t="str">
        <f>[1]!wss(AB112,"sec_status","cols=1;rows=1")</f>
        <v>L</v>
      </c>
      <c r="AB112" t="str">
        <f t="shared" si="11"/>
        <v>1187.HK</v>
      </c>
      <c r="AC112" s="50">
        <v>4.5</v>
      </c>
      <c r="AD112" s="50">
        <v>4</v>
      </c>
      <c r="AE112" s="50">
        <v>4.5999999999999996</v>
      </c>
      <c r="AF112" s="50">
        <v>4</v>
      </c>
      <c r="AG112" t="s">
        <v>224</v>
      </c>
      <c r="AH112" t="s">
        <v>2293</v>
      </c>
      <c r="AI112" t="s">
        <v>224</v>
      </c>
      <c r="AJ112">
        <v>0</v>
      </c>
    </row>
    <row r="113" spans="1:36" ht="25.5">
      <c r="A113" t="s">
        <v>468</v>
      </c>
      <c r="B113" t="s">
        <v>469</v>
      </c>
      <c r="C113" s="40">
        <v>44630</v>
      </c>
      <c r="D113" s="19">
        <f t="shared" si="6"/>
        <v>44628</v>
      </c>
      <c r="E113" s="17" t="s">
        <v>3583</v>
      </c>
      <c r="F113">
        <f t="shared" si="7"/>
        <v>0</v>
      </c>
      <c r="H113" t="s">
        <v>2218</v>
      </c>
      <c r="I113" s="50">
        <v>8.14</v>
      </c>
      <c r="J113" s="61">
        <v>7.52</v>
      </c>
      <c r="K113" s="61">
        <v>8.14</v>
      </c>
      <c r="L113">
        <v>848098460</v>
      </c>
      <c r="M113">
        <v>1.4</v>
      </c>
      <c r="N113">
        <v>1.2</v>
      </c>
      <c r="O113">
        <f t="shared" si="8"/>
        <v>0</v>
      </c>
      <c r="P113">
        <v>0.223</v>
      </c>
      <c r="Q113" t="s">
        <v>1168</v>
      </c>
      <c r="R113">
        <f t="shared" si="9"/>
        <v>11</v>
      </c>
      <c r="U113">
        <v>80.072672000420098</v>
      </c>
      <c r="V113" s="17">
        <f t="shared" si="10"/>
        <v>12.330405531357007</v>
      </c>
      <c r="X113">
        <v>6</v>
      </c>
      <c r="Y113" s="51" t="str">
        <f>[1]!wss(AB113,"sec_status","cols=1;rows=1")</f>
        <v/>
      </c>
      <c r="AB113" t="str">
        <f t="shared" si="11"/>
        <v>816.HK</v>
      </c>
      <c r="AC113" s="50">
        <v>5.8</v>
      </c>
      <c r="AD113" s="50">
        <v>7.4</v>
      </c>
      <c r="AE113" s="50">
        <v>7.4</v>
      </c>
      <c r="AF113" s="50">
        <v>5.21</v>
      </c>
      <c r="AG113" t="s">
        <v>224</v>
      </c>
      <c r="AH113" t="s">
        <v>2322</v>
      </c>
      <c r="AI113" t="s">
        <v>224</v>
      </c>
      <c r="AJ113">
        <v>0</v>
      </c>
    </row>
    <row r="114" spans="1:36" ht="25.5">
      <c r="A114" t="s">
        <v>470</v>
      </c>
      <c r="B114" t="s">
        <v>471</v>
      </c>
      <c r="C114" s="40">
        <v>46013</v>
      </c>
      <c r="D114" s="19">
        <f t="shared" si="6"/>
        <v>46011</v>
      </c>
      <c r="E114" s="17" t="s">
        <v>3583</v>
      </c>
      <c r="F114">
        <f t="shared" si="7"/>
        <v>0</v>
      </c>
      <c r="H114" t="s">
        <v>2211</v>
      </c>
      <c r="I114" s="50">
        <v>9.34</v>
      </c>
      <c r="J114" s="61">
        <v>9.34</v>
      </c>
      <c r="K114" s="61">
        <v>11.68</v>
      </c>
      <c r="L114">
        <v>625780000</v>
      </c>
      <c r="M114">
        <v>1.28</v>
      </c>
      <c r="N114">
        <v>6.28</v>
      </c>
      <c r="O114">
        <f t="shared" si="8"/>
        <v>0</v>
      </c>
      <c r="P114">
        <v>0</v>
      </c>
      <c r="Q114" t="s">
        <v>1397</v>
      </c>
      <c r="R114">
        <f t="shared" si="9"/>
        <v>8</v>
      </c>
      <c r="U114">
        <v>24.770743698253899</v>
      </c>
      <c r="V114" s="17">
        <f t="shared" si="10"/>
        <v>34.153398922835457</v>
      </c>
      <c r="Y114" s="72" t="str">
        <f>[1]!wss(AB114,"sec_status","cols=1;rows=1")</f>
        <v>L</v>
      </c>
      <c r="AB114" t="str">
        <f t="shared" si="11"/>
        <v>2581.HK</v>
      </c>
      <c r="AC114" s="50">
        <v>4.72</v>
      </c>
      <c r="AD114" s="50">
        <v>6.5</v>
      </c>
      <c r="AE114" s="50">
        <v>6.5</v>
      </c>
      <c r="AF114" s="50">
        <v>4.72</v>
      </c>
      <c r="AG114" t="s">
        <v>224</v>
      </c>
      <c r="AI114" t="s">
        <v>224</v>
      </c>
      <c r="AJ114">
        <v>0</v>
      </c>
    </row>
    <row r="115" spans="1:36" ht="25.5">
      <c r="A115" t="s">
        <v>472</v>
      </c>
      <c r="B115" t="s">
        <v>473</v>
      </c>
      <c r="C115" s="40">
        <v>45461</v>
      </c>
      <c r="D115" s="19">
        <f t="shared" si="6"/>
        <v>45459</v>
      </c>
      <c r="E115" s="17" t="s">
        <v>3583</v>
      </c>
      <c r="F115">
        <f t="shared" si="7"/>
        <v>0</v>
      </c>
      <c r="H115" t="s">
        <v>2202</v>
      </c>
      <c r="I115" s="50">
        <v>5.5</v>
      </c>
      <c r="J115" s="61">
        <v>5.5</v>
      </c>
      <c r="K115" s="61">
        <v>8.5</v>
      </c>
      <c r="L115">
        <v>100650000</v>
      </c>
      <c r="M115">
        <v>0.92</v>
      </c>
      <c r="N115">
        <v>337.57</v>
      </c>
      <c r="O115">
        <f t="shared" si="8"/>
        <v>1</v>
      </c>
      <c r="P115">
        <v>0</v>
      </c>
      <c r="Q115" t="s">
        <v>1782</v>
      </c>
      <c r="R115">
        <f t="shared" si="9"/>
        <v>20</v>
      </c>
      <c r="U115">
        <v>6.3787933527200904</v>
      </c>
      <c r="V115" s="17">
        <f t="shared" si="10"/>
        <v>14.47821145941626</v>
      </c>
      <c r="Y115" s="72" t="str">
        <f>[1]!wss(AB115,"sec_status","cols=1;rows=1")</f>
        <v>L</v>
      </c>
      <c r="AB115" t="str">
        <f t="shared" si="11"/>
        <v>2881.HK</v>
      </c>
      <c r="AC115" s="50">
        <v>7.02</v>
      </c>
      <c r="AD115" s="50">
        <v>9.8800000000000008</v>
      </c>
      <c r="AE115" s="50">
        <v>10.3</v>
      </c>
      <c r="AF115" s="50">
        <v>6.8</v>
      </c>
      <c r="AG115" t="s">
        <v>224</v>
      </c>
      <c r="AI115" t="s">
        <v>224</v>
      </c>
      <c r="AJ115">
        <v>0</v>
      </c>
    </row>
    <row r="116" spans="1:36">
      <c r="A116" t="s">
        <v>474</v>
      </c>
      <c r="B116" t="s">
        <v>475</v>
      </c>
      <c r="C116" s="40">
        <v>46101</v>
      </c>
      <c r="D116" s="19">
        <f t="shared" si="6"/>
        <v>46099</v>
      </c>
      <c r="E116" s="17" t="s">
        <v>3582</v>
      </c>
      <c r="F116">
        <f t="shared" si="7"/>
        <v>1</v>
      </c>
      <c r="G116" t="s">
        <v>476</v>
      </c>
      <c r="H116" t="s">
        <v>2216</v>
      </c>
      <c r="I116" s="50">
        <v>71.88</v>
      </c>
      <c r="K116" s="61">
        <v>71.88</v>
      </c>
      <c r="L116">
        <v>3306480000</v>
      </c>
      <c r="M116">
        <v>14.64</v>
      </c>
      <c r="N116">
        <v>1070.72</v>
      </c>
      <c r="O116">
        <f t="shared" si="8"/>
        <v>1</v>
      </c>
      <c r="P116">
        <v>0</v>
      </c>
      <c r="Q116" t="s">
        <v>1321</v>
      </c>
      <c r="R116">
        <f t="shared" si="9"/>
        <v>5</v>
      </c>
      <c r="U116">
        <v>30.196091169140701</v>
      </c>
      <c r="V116" s="17">
        <f t="shared" si="10"/>
        <v>34.710929806535816</v>
      </c>
      <c r="X116">
        <v>6</v>
      </c>
      <c r="Y116" s="72" t="str">
        <f>[1]!wss(AB116,"sec_status","cols=1;rows=1")</f>
        <v>L</v>
      </c>
      <c r="AB116" t="str">
        <f t="shared" si="11"/>
        <v>1989.HK</v>
      </c>
      <c r="AC116" s="50">
        <v>96</v>
      </c>
      <c r="AD116" s="50">
        <v>95.05</v>
      </c>
      <c r="AE116" s="50">
        <v>147.9</v>
      </c>
      <c r="AF116" s="50">
        <v>95</v>
      </c>
      <c r="AG116" t="s">
        <v>224</v>
      </c>
      <c r="AH116" t="s">
        <v>2293</v>
      </c>
      <c r="AI116" t="s">
        <v>224</v>
      </c>
      <c r="AJ116">
        <v>0</v>
      </c>
    </row>
    <row r="117" spans="1:36" ht="25.5">
      <c r="A117" t="s">
        <v>477</v>
      </c>
      <c r="B117" t="s">
        <v>478</v>
      </c>
      <c r="C117" s="40">
        <v>45233</v>
      </c>
      <c r="D117" s="19">
        <f t="shared" si="6"/>
        <v>45231</v>
      </c>
      <c r="E117" s="17" t="s">
        <v>3583</v>
      </c>
      <c r="F117">
        <f t="shared" si="7"/>
        <v>0</v>
      </c>
      <c r="H117" t="s">
        <v>2221</v>
      </c>
      <c r="I117" s="50">
        <v>10.35</v>
      </c>
      <c r="J117" s="61">
        <v>9.4</v>
      </c>
      <c r="K117" s="61">
        <v>11.4</v>
      </c>
      <c r="L117">
        <v>233666775</v>
      </c>
      <c r="M117">
        <v>1.41</v>
      </c>
      <c r="N117">
        <v>11.29</v>
      </c>
      <c r="O117">
        <f t="shared" si="8"/>
        <v>0</v>
      </c>
      <c r="P117">
        <v>0</v>
      </c>
      <c r="Q117" t="s">
        <v>2040</v>
      </c>
      <c r="R117">
        <f t="shared" si="9"/>
        <v>9</v>
      </c>
      <c r="U117">
        <v>-25.339586584818001</v>
      </c>
      <c r="V117" s="17">
        <f t="shared" si="10"/>
        <v>26.522300731103531</v>
      </c>
      <c r="X117">
        <v>12</v>
      </c>
      <c r="Y117" s="72" t="str">
        <f>[1]!wss(AB117,"sec_status","cols=1;rows=1")</f>
        <v>L</v>
      </c>
      <c r="AB117" t="str">
        <f t="shared" si="11"/>
        <v>2429.HK</v>
      </c>
      <c r="AC117" s="50">
        <v>14.58</v>
      </c>
      <c r="AD117" s="50">
        <v>12.5</v>
      </c>
      <c r="AE117" s="50">
        <v>14.98</v>
      </c>
      <c r="AF117" s="50">
        <v>12.32</v>
      </c>
      <c r="AG117" t="s">
        <v>224</v>
      </c>
      <c r="AH117" t="s">
        <v>2293</v>
      </c>
      <c r="AI117" t="s">
        <v>224</v>
      </c>
      <c r="AJ117">
        <v>0</v>
      </c>
    </row>
    <row r="118" spans="1:36" ht="25.5">
      <c r="A118" t="s">
        <v>479</v>
      </c>
      <c r="B118" t="s">
        <v>480</v>
      </c>
      <c r="C118" s="40">
        <v>44755</v>
      </c>
      <c r="D118" s="19">
        <f t="shared" si="6"/>
        <v>44753</v>
      </c>
      <c r="E118" s="17" t="s">
        <v>3583</v>
      </c>
      <c r="F118">
        <f t="shared" si="7"/>
        <v>0</v>
      </c>
      <c r="H118" t="s">
        <v>2208</v>
      </c>
      <c r="I118" s="50">
        <v>6.08</v>
      </c>
      <c r="L118">
        <v>320504160</v>
      </c>
      <c r="M118">
        <v>1.18</v>
      </c>
      <c r="N118">
        <v>8.08</v>
      </c>
      <c r="O118">
        <f t="shared" si="8"/>
        <v>0</v>
      </c>
      <c r="P118">
        <v>0.16500000000000001</v>
      </c>
      <c r="Q118" t="s">
        <v>1745</v>
      </c>
      <c r="R118">
        <f t="shared" si="9"/>
        <v>12</v>
      </c>
      <c r="U118">
        <v>8.3048064553853393</v>
      </c>
      <c r="V118" s="17" t="str">
        <f t="shared" si="10"/>
        <v/>
      </c>
      <c r="X118">
        <v>6</v>
      </c>
      <c r="Y118" s="72" t="str">
        <f>[1]!wss(AB118,"sec_status","cols=1;rows=1")</f>
        <v>L</v>
      </c>
      <c r="AB118" t="str">
        <f t="shared" si="11"/>
        <v>6661.HK</v>
      </c>
      <c r="AC118" s="50">
        <v>5.6</v>
      </c>
      <c r="AD118" s="50">
        <v>5.98</v>
      </c>
      <c r="AE118" s="50">
        <v>6.13</v>
      </c>
      <c r="AF118" s="50">
        <v>5.5</v>
      </c>
      <c r="AG118" t="s">
        <v>224</v>
      </c>
      <c r="AH118" t="s">
        <v>2293</v>
      </c>
      <c r="AI118" t="s">
        <v>224</v>
      </c>
      <c r="AJ118">
        <v>0</v>
      </c>
    </row>
    <row r="119" spans="1:36" ht="25.5">
      <c r="A119" t="s">
        <v>481</v>
      </c>
      <c r="B119" t="s">
        <v>482</v>
      </c>
      <c r="C119" s="40">
        <v>45482</v>
      </c>
      <c r="D119" s="19">
        <f t="shared" si="6"/>
        <v>45480</v>
      </c>
      <c r="E119" s="17" t="s">
        <v>3583</v>
      </c>
      <c r="F119">
        <f t="shared" si="7"/>
        <v>0</v>
      </c>
      <c r="H119" t="s">
        <v>2268</v>
      </c>
      <c r="I119" s="50">
        <v>8.18</v>
      </c>
      <c r="J119" s="61">
        <v>7.6</v>
      </c>
      <c r="K119" s="61">
        <v>8.36</v>
      </c>
      <c r="L119">
        <v>194684000</v>
      </c>
      <c r="M119">
        <v>1.66</v>
      </c>
      <c r="N119">
        <v>16.63</v>
      </c>
      <c r="O119">
        <f t="shared" si="8"/>
        <v>1</v>
      </c>
      <c r="P119">
        <v>0</v>
      </c>
      <c r="Q119" t="s">
        <v>2132</v>
      </c>
      <c r="R119">
        <f t="shared" si="9"/>
        <v>22</v>
      </c>
      <c r="U119">
        <v>-50.487028124373303</v>
      </c>
      <c r="V119" s="17" t="str">
        <f t="shared" si="10"/>
        <v/>
      </c>
      <c r="Y119" s="72" t="str">
        <f>[1]!wss(AB119,"sec_status","cols=1;rows=1")</f>
        <v>L</v>
      </c>
      <c r="AB119" t="str">
        <f t="shared" si="11"/>
        <v>6086.HK</v>
      </c>
      <c r="AC119" s="50">
        <v>4.53</v>
      </c>
      <c r="AD119" s="50">
        <v>4.68</v>
      </c>
      <c r="AE119" s="50">
        <v>4.95</v>
      </c>
      <c r="AF119" s="50">
        <v>4.3</v>
      </c>
      <c r="AG119" t="s">
        <v>224</v>
      </c>
      <c r="AI119" t="s">
        <v>224</v>
      </c>
      <c r="AJ119">
        <v>0</v>
      </c>
    </row>
    <row r="120" spans="1:36" ht="25.5">
      <c r="A120" t="s">
        <v>483</v>
      </c>
      <c r="B120" t="s">
        <v>484</v>
      </c>
      <c r="C120" s="40">
        <v>45666</v>
      </c>
      <c r="D120" s="19">
        <f t="shared" si="6"/>
        <v>45664</v>
      </c>
      <c r="E120" s="17" t="s">
        <v>3583</v>
      </c>
      <c r="F120">
        <f t="shared" si="7"/>
        <v>0</v>
      </c>
      <c r="H120" t="s">
        <v>2202</v>
      </c>
      <c r="I120" s="50">
        <v>3</v>
      </c>
      <c r="J120" s="61">
        <v>3</v>
      </c>
      <c r="K120" s="61">
        <v>3.3</v>
      </c>
      <c r="L120">
        <v>434922000</v>
      </c>
      <c r="M120">
        <v>1.04</v>
      </c>
      <c r="N120">
        <v>25.83</v>
      </c>
      <c r="O120">
        <f t="shared" si="8"/>
        <v>1</v>
      </c>
      <c r="P120">
        <v>0</v>
      </c>
      <c r="Q120" t="s">
        <v>1586</v>
      </c>
      <c r="R120">
        <f t="shared" si="9"/>
        <v>19</v>
      </c>
      <c r="U120">
        <v>13.4800699600694</v>
      </c>
      <c r="V120" s="17">
        <f t="shared" si="10"/>
        <v>12.702892307578932</v>
      </c>
      <c r="X120">
        <v>6</v>
      </c>
      <c r="Y120" s="72" t="str">
        <f>[1]!wss(AB120,"sec_status","cols=1;rows=1")</f>
        <v>L</v>
      </c>
      <c r="AB120" t="str">
        <f t="shared" si="11"/>
        <v>2560.HK</v>
      </c>
      <c r="AC120" s="50">
        <v>1.57</v>
      </c>
      <c r="AD120" s="50">
        <v>1.8</v>
      </c>
      <c r="AE120" s="50">
        <v>1.93</v>
      </c>
      <c r="AF120" s="50">
        <v>1.57</v>
      </c>
      <c r="AG120" t="s">
        <v>224</v>
      </c>
      <c r="AH120" t="s">
        <v>2293</v>
      </c>
      <c r="AI120" t="s">
        <v>224</v>
      </c>
      <c r="AJ120">
        <v>0</v>
      </c>
    </row>
    <row r="121" spans="1:36" ht="25.5">
      <c r="A121" t="s">
        <v>485</v>
      </c>
      <c r="B121" t="s">
        <v>486</v>
      </c>
      <c r="C121" s="40">
        <v>45280</v>
      </c>
      <c r="D121" s="19">
        <f t="shared" si="6"/>
        <v>45278</v>
      </c>
      <c r="E121" s="17" t="s">
        <v>3583</v>
      </c>
      <c r="F121">
        <f t="shared" si="7"/>
        <v>0</v>
      </c>
      <c r="H121" t="s">
        <v>2202</v>
      </c>
      <c r="I121" s="50">
        <v>1.2</v>
      </c>
      <c r="J121" s="61">
        <v>1.1000000000000001</v>
      </c>
      <c r="K121" s="61">
        <v>1.5</v>
      </c>
      <c r="L121">
        <v>286692000</v>
      </c>
      <c r="M121">
        <v>1.07</v>
      </c>
      <c r="N121">
        <v>42.82</v>
      </c>
      <c r="O121">
        <f t="shared" si="8"/>
        <v>1</v>
      </c>
      <c r="P121">
        <v>0</v>
      </c>
      <c r="Q121" t="s">
        <v>1762</v>
      </c>
      <c r="R121">
        <f t="shared" si="9"/>
        <v>14</v>
      </c>
      <c r="U121">
        <v>7.4106985607940397</v>
      </c>
      <c r="V121" s="17">
        <f t="shared" si="10"/>
        <v>14.220235157397772</v>
      </c>
      <c r="X121">
        <v>6</v>
      </c>
      <c r="Y121" s="72" t="str">
        <f>[1]!wss(AB121,"sec_status","cols=1;rows=1")</f>
        <v>L</v>
      </c>
      <c r="AB121" t="str">
        <f t="shared" si="11"/>
        <v>2502.HK</v>
      </c>
      <c r="AC121" s="50">
        <v>0.87</v>
      </c>
      <c r="AD121" s="50">
        <v>1.06</v>
      </c>
      <c r="AE121" s="50">
        <v>1.0900000000000001</v>
      </c>
      <c r="AF121" s="50">
        <v>0.87</v>
      </c>
      <c r="AG121" t="s">
        <v>224</v>
      </c>
      <c r="AH121" t="s">
        <v>2293</v>
      </c>
      <c r="AI121" t="s">
        <v>224</v>
      </c>
      <c r="AJ121">
        <v>0</v>
      </c>
    </row>
    <row r="122" spans="1:36">
      <c r="A122" t="s">
        <v>487</v>
      </c>
      <c r="B122" t="s">
        <v>488</v>
      </c>
      <c r="C122" s="40">
        <v>46062</v>
      </c>
      <c r="D122" s="19">
        <f t="shared" si="6"/>
        <v>46060</v>
      </c>
      <c r="E122" s="17" t="s">
        <v>3582</v>
      </c>
      <c r="F122">
        <f t="shared" si="7"/>
        <v>1</v>
      </c>
      <c r="G122" t="s">
        <v>489</v>
      </c>
      <c r="H122" t="s">
        <v>2219</v>
      </c>
      <c r="I122" s="50">
        <v>106.89</v>
      </c>
      <c r="K122" s="61">
        <v>106.89</v>
      </c>
      <c r="L122">
        <v>8099429415</v>
      </c>
      <c r="M122">
        <v>37.67</v>
      </c>
      <c r="N122">
        <v>707.3</v>
      </c>
      <c r="O122">
        <f t="shared" si="8"/>
        <v>1</v>
      </c>
      <c r="P122">
        <v>10.432</v>
      </c>
      <c r="Q122" t="s">
        <v>1165</v>
      </c>
      <c r="R122">
        <f t="shared" si="9"/>
        <v>5</v>
      </c>
      <c r="U122">
        <v>84.999512921585506</v>
      </c>
      <c r="V122" s="17">
        <f t="shared" si="10"/>
        <v>50.687906747987697</v>
      </c>
      <c r="X122">
        <v>6</v>
      </c>
      <c r="Y122" s="72" t="str">
        <f>[1]!wss(AB122,"sec_status","cols=1;rows=1")</f>
        <v>L</v>
      </c>
      <c r="AB122" t="str">
        <f t="shared" si="11"/>
        <v>6809.HK</v>
      </c>
      <c r="AC122" s="50">
        <v>175</v>
      </c>
      <c r="AD122" s="50">
        <v>168</v>
      </c>
      <c r="AE122" s="50">
        <v>176</v>
      </c>
      <c r="AF122" s="50">
        <v>156</v>
      </c>
      <c r="AG122" t="s">
        <v>224</v>
      </c>
      <c r="AH122" t="s">
        <v>2293</v>
      </c>
      <c r="AI122" t="s">
        <v>224</v>
      </c>
      <c r="AJ122">
        <v>0</v>
      </c>
    </row>
    <row r="123" spans="1:36" ht="25.5">
      <c r="A123" t="s">
        <v>490</v>
      </c>
      <c r="B123" t="s">
        <v>491</v>
      </c>
      <c r="C123" s="40">
        <v>46104</v>
      </c>
      <c r="D123" s="19">
        <f t="shared" si="6"/>
        <v>46102</v>
      </c>
      <c r="E123" s="17" t="s">
        <v>3583</v>
      </c>
      <c r="F123">
        <f t="shared" si="7"/>
        <v>0</v>
      </c>
      <c r="H123" t="s">
        <v>2251</v>
      </c>
      <c r="I123" s="50">
        <v>41.6</v>
      </c>
      <c r="J123" s="61">
        <v>35.200000000000003</v>
      </c>
      <c r="K123" s="61">
        <v>41.6</v>
      </c>
      <c r="L123">
        <v>1900109120</v>
      </c>
      <c r="M123">
        <v>10.92</v>
      </c>
      <c r="N123">
        <v>1579.71</v>
      </c>
      <c r="O123">
        <f t="shared" si="8"/>
        <v>1</v>
      </c>
      <c r="P123">
        <v>2.2810000000000001</v>
      </c>
      <c r="Q123" t="s">
        <v>1391</v>
      </c>
      <c r="R123">
        <f t="shared" si="9"/>
        <v>3</v>
      </c>
      <c r="U123">
        <v>24.988288262824899</v>
      </c>
      <c r="V123" s="17">
        <f t="shared" si="10"/>
        <v>76.166908967909805</v>
      </c>
      <c r="X123">
        <v>6</v>
      </c>
      <c r="Y123" s="72" t="str">
        <f>[1]!wss(AB123,"sec_status","cols=1;rows=1")</f>
        <v>L</v>
      </c>
      <c r="AB123" t="str">
        <f t="shared" si="11"/>
        <v>3355.HK</v>
      </c>
      <c r="AC123" s="50">
        <v>47.2</v>
      </c>
      <c r="AD123" s="50">
        <v>56</v>
      </c>
      <c r="AE123" s="50">
        <v>57</v>
      </c>
      <c r="AF123" s="50">
        <v>43.3</v>
      </c>
      <c r="AG123" t="s">
        <v>224</v>
      </c>
      <c r="AH123" t="s">
        <v>2293</v>
      </c>
      <c r="AI123" t="s">
        <v>224</v>
      </c>
      <c r="AJ123">
        <v>0</v>
      </c>
    </row>
    <row r="124" spans="1:36" ht="25.5">
      <c r="A124" t="s">
        <v>492</v>
      </c>
      <c r="B124" t="s">
        <v>493</v>
      </c>
      <c r="C124" s="40">
        <v>45483</v>
      </c>
      <c r="D124" s="19">
        <f t="shared" si="6"/>
        <v>45481</v>
      </c>
      <c r="E124" s="17" t="s">
        <v>3583</v>
      </c>
      <c r="F124">
        <f t="shared" si="7"/>
        <v>0</v>
      </c>
      <c r="H124" t="s">
        <v>2215</v>
      </c>
      <c r="I124" s="50">
        <v>35</v>
      </c>
      <c r="J124" s="61">
        <v>34</v>
      </c>
      <c r="K124" s="61">
        <v>45.4</v>
      </c>
      <c r="L124">
        <v>1050168000</v>
      </c>
      <c r="M124">
        <v>1.17</v>
      </c>
      <c r="N124">
        <v>0.6</v>
      </c>
      <c r="O124">
        <f t="shared" si="8"/>
        <v>0</v>
      </c>
      <c r="P124">
        <v>0</v>
      </c>
      <c r="Q124" t="s">
        <v>1872</v>
      </c>
      <c r="R124">
        <f t="shared" si="9"/>
        <v>4</v>
      </c>
      <c r="U124">
        <v>-9.3448007973227298</v>
      </c>
      <c r="V124" s="17">
        <f t="shared" si="10"/>
        <v>17.992258357016201</v>
      </c>
      <c r="X124">
        <v>12</v>
      </c>
      <c r="Y124" s="72" t="str">
        <f>[1]!wss(AB124,"sec_status","cols=1;rows=1")</f>
        <v>L</v>
      </c>
      <c r="AB124" t="str">
        <f t="shared" si="11"/>
        <v>9680.HK</v>
      </c>
      <c r="AC124" s="50">
        <v>33.9</v>
      </c>
      <c r="AD124" s="50">
        <v>30</v>
      </c>
      <c r="AE124" s="50">
        <v>35.200000000000003</v>
      </c>
      <c r="AF124" s="50">
        <v>30</v>
      </c>
      <c r="AG124" t="s">
        <v>224</v>
      </c>
      <c r="AH124" t="s">
        <v>2322</v>
      </c>
      <c r="AI124" t="s">
        <v>224</v>
      </c>
      <c r="AJ124">
        <v>0</v>
      </c>
    </row>
    <row r="125" spans="1:36">
      <c r="A125" t="s">
        <v>494</v>
      </c>
      <c r="B125" t="s">
        <v>495</v>
      </c>
      <c r="C125" s="40">
        <v>46091</v>
      </c>
      <c r="D125" s="19">
        <f t="shared" si="6"/>
        <v>46089</v>
      </c>
      <c r="E125" s="17" t="s">
        <v>3582</v>
      </c>
      <c r="F125">
        <f t="shared" si="7"/>
        <v>1</v>
      </c>
      <c r="G125" t="s">
        <v>496</v>
      </c>
      <c r="H125" t="s">
        <v>2230</v>
      </c>
      <c r="I125" s="50">
        <v>28.86</v>
      </c>
      <c r="K125" s="61">
        <v>28.86</v>
      </c>
      <c r="L125">
        <v>1161615000</v>
      </c>
      <c r="M125">
        <v>4.5</v>
      </c>
      <c r="N125">
        <v>174.12</v>
      </c>
      <c r="O125">
        <f t="shared" si="8"/>
        <v>1</v>
      </c>
      <c r="P125">
        <v>0</v>
      </c>
      <c r="Q125" t="s">
        <v>1197</v>
      </c>
      <c r="R125">
        <f t="shared" si="9"/>
        <v>6</v>
      </c>
      <c r="U125">
        <v>59.535039755602</v>
      </c>
      <c r="V125" s="17">
        <f t="shared" si="10"/>
        <v>24.204582780175002</v>
      </c>
      <c r="X125">
        <v>6</v>
      </c>
      <c r="Y125" s="72" t="str">
        <f>[1]!wss(AB125,"sec_status","cols=1;rows=1")</f>
        <v>L</v>
      </c>
      <c r="AB125" t="str">
        <f t="shared" si="11"/>
        <v>3268.HK</v>
      </c>
      <c r="AC125" s="50">
        <v>29.3</v>
      </c>
      <c r="AD125" s="50">
        <v>29.04</v>
      </c>
      <c r="AE125" s="50">
        <v>30.66</v>
      </c>
      <c r="AF125" s="50">
        <v>28.42</v>
      </c>
      <c r="AG125" t="s">
        <v>224</v>
      </c>
      <c r="AH125" t="s">
        <v>2293</v>
      </c>
      <c r="AI125" t="s">
        <v>224</v>
      </c>
      <c r="AJ125">
        <v>0</v>
      </c>
    </row>
    <row r="126" spans="1:36" ht="25.5">
      <c r="A126" t="s">
        <v>497</v>
      </c>
      <c r="B126" t="s">
        <v>498</v>
      </c>
      <c r="C126" s="40">
        <v>44942</v>
      </c>
      <c r="D126" s="19">
        <f t="shared" si="6"/>
        <v>44940</v>
      </c>
      <c r="E126" s="17" t="s">
        <v>3583</v>
      </c>
      <c r="F126">
        <f t="shared" si="7"/>
        <v>0</v>
      </c>
      <c r="H126" t="s">
        <v>2211</v>
      </c>
      <c r="I126" s="50">
        <v>19.32</v>
      </c>
      <c r="J126" s="61">
        <v>19.32</v>
      </c>
      <c r="K126" s="61">
        <v>19.32</v>
      </c>
      <c r="L126">
        <v>588786660</v>
      </c>
      <c r="M126">
        <v>4.7</v>
      </c>
      <c r="N126">
        <v>22.12</v>
      </c>
      <c r="O126">
        <f t="shared" si="8"/>
        <v>1</v>
      </c>
      <c r="P126">
        <v>1.1220000000000001</v>
      </c>
      <c r="Q126" t="s">
        <v>1514</v>
      </c>
      <c r="R126">
        <f t="shared" si="9"/>
        <v>8</v>
      </c>
      <c r="U126">
        <v>18.825511971687199</v>
      </c>
      <c r="V126" s="17">
        <f t="shared" si="10"/>
        <v>35.002717740916417</v>
      </c>
      <c r="X126">
        <v>6</v>
      </c>
      <c r="Y126" s="72" t="str">
        <f>[1]!wss(AB126,"sec_status","cols=1;rows=1")</f>
        <v>L</v>
      </c>
      <c r="AB126" t="str">
        <f t="shared" si="11"/>
        <v>2373.HK</v>
      </c>
      <c r="AC126" s="50">
        <v>29.65</v>
      </c>
      <c r="AD126" s="50">
        <v>30.5</v>
      </c>
      <c r="AE126" s="50">
        <v>32.9</v>
      </c>
      <c r="AF126" s="50">
        <v>28.05</v>
      </c>
      <c r="AG126" t="s">
        <v>224</v>
      </c>
      <c r="AI126" t="s">
        <v>224</v>
      </c>
      <c r="AJ126">
        <v>0</v>
      </c>
    </row>
    <row r="127" spans="1:36">
      <c r="A127" t="s">
        <v>499</v>
      </c>
      <c r="B127" t="s">
        <v>500</v>
      </c>
      <c r="C127" s="40">
        <v>45847</v>
      </c>
      <c r="D127" s="19">
        <f t="shared" si="6"/>
        <v>45845</v>
      </c>
      <c r="E127" s="17" t="s">
        <v>3584</v>
      </c>
      <c r="F127">
        <f t="shared" si="7"/>
        <v>0</v>
      </c>
      <c r="H127" t="s">
        <v>2206</v>
      </c>
      <c r="I127" s="50">
        <v>16.8</v>
      </c>
      <c r="J127" s="61">
        <v>16.8</v>
      </c>
      <c r="K127" s="61">
        <v>16.8</v>
      </c>
      <c r="L127">
        <v>2991670080</v>
      </c>
      <c r="M127">
        <v>30.17</v>
      </c>
      <c r="N127">
        <v>133.62</v>
      </c>
      <c r="O127">
        <f t="shared" si="8"/>
        <v>1</v>
      </c>
      <c r="P127">
        <v>2.6882999999999999</v>
      </c>
      <c r="Q127" t="s">
        <v>2035</v>
      </c>
      <c r="R127">
        <f t="shared" si="9"/>
        <v>11</v>
      </c>
      <c r="U127">
        <v>-24.708887999657801</v>
      </c>
      <c r="V127" s="17">
        <f t="shared" si="10"/>
        <v>472.70515240668021</v>
      </c>
      <c r="X127">
        <v>6</v>
      </c>
      <c r="Y127" s="72" t="str">
        <f>[1]!wss(AB127,"sec_status","cols=1;rows=1")</f>
        <v>L</v>
      </c>
      <c r="AB127" t="str">
        <f t="shared" si="11"/>
        <v>2590.HK</v>
      </c>
      <c r="AC127" s="50">
        <v>17.7</v>
      </c>
      <c r="AD127" s="50">
        <v>16.899999999999999</v>
      </c>
      <c r="AE127" s="50">
        <v>17.8</v>
      </c>
      <c r="AF127" s="50">
        <v>16.059999999999999</v>
      </c>
      <c r="AG127" t="s">
        <v>224</v>
      </c>
      <c r="AH127" t="s">
        <v>2293</v>
      </c>
      <c r="AI127" t="s">
        <v>224</v>
      </c>
      <c r="AJ127">
        <v>0</v>
      </c>
    </row>
    <row r="128" spans="1:36" ht="25.5">
      <c r="A128" t="s">
        <v>501</v>
      </c>
      <c r="B128" t="s">
        <v>502</v>
      </c>
      <c r="C128" s="40">
        <v>45119</v>
      </c>
      <c r="D128" s="19">
        <f t="shared" si="6"/>
        <v>45117</v>
      </c>
      <c r="E128" s="17" t="s">
        <v>3583</v>
      </c>
      <c r="F128">
        <f t="shared" si="7"/>
        <v>0</v>
      </c>
      <c r="H128" t="s">
        <v>2280</v>
      </c>
      <c r="I128" s="50">
        <v>28.92</v>
      </c>
      <c r="J128" s="61">
        <v>28.92</v>
      </c>
      <c r="K128" s="61">
        <v>61.46</v>
      </c>
      <c r="L128">
        <v>313452312</v>
      </c>
      <c r="M128">
        <v>1.37</v>
      </c>
      <c r="N128">
        <v>3.08</v>
      </c>
      <c r="O128">
        <f t="shared" si="8"/>
        <v>0</v>
      </c>
      <c r="P128">
        <v>0</v>
      </c>
      <c r="Q128" t="s">
        <v>2164</v>
      </c>
      <c r="R128">
        <f t="shared" si="9"/>
        <v>6</v>
      </c>
      <c r="U128">
        <v>-129.88759646231</v>
      </c>
      <c r="V128" s="17">
        <f t="shared" si="10"/>
        <v>17.59832015103315</v>
      </c>
      <c r="X128">
        <v>12</v>
      </c>
      <c r="Y128" s="72" t="str">
        <f>[1]!wss(AB128,"sec_status","cols=1;rows=1")</f>
        <v>L</v>
      </c>
      <c r="AB128" t="str">
        <f t="shared" si="11"/>
        <v>3650.HK</v>
      </c>
      <c r="AC128" s="50">
        <v>29</v>
      </c>
      <c r="AD128" s="50">
        <v>30.3</v>
      </c>
      <c r="AE128" s="50">
        <v>32</v>
      </c>
      <c r="AF128" s="50">
        <v>28.55</v>
      </c>
      <c r="AG128" t="s">
        <v>224</v>
      </c>
      <c r="AI128" t="s">
        <v>224</v>
      </c>
      <c r="AJ128">
        <v>0</v>
      </c>
    </row>
    <row r="129" spans="1:36" ht="25.5">
      <c r="A129" t="s">
        <v>503</v>
      </c>
      <c r="B129" t="s">
        <v>504</v>
      </c>
      <c r="C129" s="40">
        <v>45247</v>
      </c>
      <c r="D129" s="19">
        <f t="shared" si="6"/>
        <v>45245</v>
      </c>
      <c r="E129" s="17" t="s">
        <v>3583</v>
      </c>
      <c r="F129">
        <f t="shared" si="7"/>
        <v>0</v>
      </c>
      <c r="H129" t="s">
        <v>2227</v>
      </c>
      <c r="I129" s="50">
        <v>20.6</v>
      </c>
      <c r="J129" s="61">
        <v>19.899999999999999</v>
      </c>
      <c r="K129" s="61">
        <v>20.6</v>
      </c>
      <c r="L129">
        <v>4070652700</v>
      </c>
      <c r="M129">
        <v>19.600000000000001</v>
      </c>
      <c r="N129">
        <v>49.96</v>
      </c>
      <c r="O129">
        <f t="shared" si="8"/>
        <v>1</v>
      </c>
      <c r="P129">
        <v>3.8079999999999998</v>
      </c>
      <c r="Q129" t="s">
        <v>1115</v>
      </c>
      <c r="R129">
        <f t="shared" si="9"/>
        <v>8</v>
      </c>
      <c r="U129">
        <v>139.24659472713799</v>
      </c>
      <c r="V129" s="17">
        <f t="shared" si="10"/>
        <v>27.471028338505747</v>
      </c>
      <c r="X129">
        <v>6</v>
      </c>
      <c r="Y129" s="72" t="str">
        <f>[1]!wss(AB129,"sec_status","cols=1;rows=1")</f>
        <v>L</v>
      </c>
      <c r="AB129" t="str">
        <f t="shared" si="11"/>
        <v>2268.HK</v>
      </c>
      <c r="AC129" s="50">
        <v>28</v>
      </c>
      <c r="AD129" s="50">
        <v>26.95</v>
      </c>
      <c r="AE129" s="50">
        <v>29.25</v>
      </c>
      <c r="AF129" s="50">
        <v>26.8</v>
      </c>
      <c r="AG129" t="s">
        <v>224</v>
      </c>
      <c r="AI129" t="s">
        <v>224</v>
      </c>
      <c r="AJ129">
        <v>0</v>
      </c>
    </row>
    <row r="130" spans="1:36" ht="25.5">
      <c r="A130" t="s">
        <v>505</v>
      </c>
      <c r="B130" t="s">
        <v>506</v>
      </c>
      <c r="C130" s="40">
        <v>45958</v>
      </c>
      <c r="D130" s="19">
        <f t="shared" si="6"/>
        <v>45956</v>
      </c>
      <c r="E130" s="17" t="s">
        <v>3583</v>
      </c>
      <c r="F130">
        <f t="shared" si="7"/>
        <v>0</v>
      </c>
      <c r="H130" t="s">
        <v>2221</v>
      </c>
      <c r="I130" s="50">
        <v>50</v>
      </c>
      <c r="J130" s="61">
        <v>45</v>
      </c>
      <c r="K130" s="61">
        <v>50</v>
      </c>
      <c r="L130">
        <v>450000000</v>
      </c>
      <c r="M130">
        <v>13.58</v>
      </c>
      <c r="N130">
        <v>2680.04</v>
      </c>
      <c r="O130">
        <f t="shared" si="8"/>
        <v>1</v>
      </c>
      <c r="P130">
        <v>0</v>
      </c>
      <c r="Q130" t="s">
        <v>1542</v>
      </c>
      <c r="R130">
        <f t="shared" si="9"/>
        <v>17</v>
      </c>
      <c r="U130">
        <v>17.543014299468702</v>
      </c>
      <c r="V130" s="17">
        <f t="shared" si="10"/>
        <v>27.519999223507401</v>
      </c>
      <c r="Y130" s="72" t="str">
        <f>[1]!wss(AB130,"sec_status","cols=1;rows=1")</f>
        <v>L</v>
      </c>
      <c r="AB130" t="str">
        <f t="shared" si="11"/>
        <v>6980.HK</v>
      </c>
      <c r="AC130" s="50">
        <v>93.35</v>
      </c>
      <c r="AD130" s="50">
        <v>80.099999999999994</v>
      </c>
      <c r="AE130" s="50">
        <v>97.9</v>
      </c>
      <c r="AF130" s="50">
        <v>80</v>
      </c>
      <c r="AG130" t="s">
        <v>224</v>
      </c>
      <c r="AH130" t="s">
        <v>2293</v>
      </c>
      <c r="AI130" t="s">
        <v>224</v>
      </c>
      <c r="AJ130">
        <v>0</v>
      </c>
    </row>
    <row r="131" spans="1:36" ht="25.5">
      <c r="A131" t="s">
        <v>507</v>
      </c>
      <c r="B131" t="s">
        <v>508</v>
      </c>
      <c r="C131" s="40">
        <v>45282</v>
      </c>
      <c r="D131" s="19">
        <f t="shared" si="6"/>
        <v>45280</v>
      </c>
      <c r="E131" s="17" t="s">
        <v>3583</v>
      </c>
      <c r="F131">
        <f t="shared" si="7"/>
        <v>0</v>
      </c>
      <c r="H131" t="s">
        <v>2249</v>
      </c>
      <c r="I131" s="50">
        <v>0.9</v>
      </c>
      <c r="J131" s="61">
        <v>0.9</v>
      </c>
      <c r="K131" s="61">
        <v>1.22</v>
      </c>
      <c r="L131">
        <v>126000000</v>
      </c>
      <c r="M131">
        <v>1.04</v>
      </c>
      <c r="N131">
        <v>14.49</v>
      </c>
      <c r="O131">
        <f t="shared" si="8"/>
        <v>0</v>
      </c>
      <c r="P131">
        <v>0</v>
      </c>
      <c r="Q131" t="s">
        <v>1412</v>
      </c>
      <c r="R131">
        <f t="shared" si="9"/>
        <v>6</v>
      </c>
      <c r="U131">
        <v>24.337325933400599</v>
      </c>
      <c r="V131" s="17">
        <f t="shared" si="10"/>
        <v>13.505506914312956</v>
      </c>
      <c r="X131">
        <v>6</v>
      </c>
      <c r="Y131" s="72" t="str">
        <f>[1]!wss(AB131,"sec_status","cols=1;rows=1")</f>
        <v>L</v>
      </c>
      <c r="AB131" t="str">
        <f t="shared" si="11"/>
        <v>2516.HK</v>
      </c>
      <c r="AC131" s="50">
        <v>1</v>
      </c>
      <c r="AD131" s="50">
        <v>1.3</v>
      </c>
      <c r="AE131" s="50">
        <v>1.32</v>
      </c>
      <c r="AF131" s="50">
        <v>0.91</v>
      </c>
      <c r="AG131" t="s">
        <v>224</v>
      </c>
      <c r="AI131" t="s">
        <v>224</v>
      </c>
      <c r="AJ131">
        <v>0</v>
      </c>
    </row>
    <row r="132" spans="1:36" ht="25.5">
      <c r="A132" t="s">
        <v>509</v>
      </c>
      <c r="B132" t="s">
        <v>510</v>
      </c>
      <c r="C132" s="40">
        <v>44995</v>
      </c>
      <c r="D132" s="19">
        <f t="shared" ref="D132:D195" si="12">IFERROR(IF(ISNUMBER($C132),$C132-2,DATEVALUE($C132)-2),"")</f>
        <v>44993</v>
      </c>
      <c r="E132" s="17" t="s">
        <v>3583</v>
      </c>
      <c r="F132">
        <f t="shared" ref="F132:F195" si="13">IF(AND(G132&lt;&gt;"",G132&lt;&gt;0),1,0)</f>
        <v>0</v>
      </c>
      <c r="H132" t="s">
        <v>2213</v>
      </c>
      <c r="I132" s="50">
        <v>17</v>
      </c>
      <c r="J132" s="61">
        <v>16.98</v>
      </c>
      <c r="K132" s="61">
        <v>18.78</v>
      </c>
      <c r="L132">
        <v>1018929000</v>
      </c>
      <c r="M132">
        <v>1.85</v>
      </c>
      <c r="N132">
        <v>2.59</v>
      </c>
      <c r="O132">
        <f t="shared" ref="O132:O195" si="14">IF(IFERROR(N132*1,0)&gt;=15,1,0)</f>
        <v>0</v>
      </c>
      <c r="P132">
        <v>5.1999999999999998E-2</v>
      </c>
      <c r="Q132" t="s">
        <v>1361</v>
      </c>
      <c r="R132">
        <f t="shared" ref="R132:R195" si="15">IF(Q132="",0,LEN(Q132)-LEN(SUBSTITUTE(Q132,",",""))+1)</f>
        <v>11</v>
      </c>
      <c r="U132">
        <v>27.882958485300101</v>
      </c>
      <c r="V132" s="17">
        <f t="shared" ref="V132:V195" si="16">IFERROR((SUMIFS($U$3:$U$392,$H$3:$H$392,$H132,$U$3:$U$392,"&gt;0")-IF(IFERROR($U132,0)&gt;0,$U132,0))/(COUNTIFS($H$3:$H$392,$H132,$U$3:$U$392,"&gt;0")-IF(IFERROR($U132,0)&gt;0,1,0)),"")</f>
        <v>273.58232271077793</v>
      </c>
      <c r="Y132" s="72" t="str">
        <f>[1]!wss(AB132,"sec_status","cols=1;rows=1")</f>
        <v>L</v>
      </c>
      <c r="AB132" t="str">
        <f t="shared" ref="AB132:AB195" si="17">IF(LEFT(A132,1)="0",MID(A132,2,99),A132)</f>
        <v>9636.HK</v>
      </c>
      <c r="AC132" s="50">
        <v>17.14</v>
      </c>
      <c r="AD132" s="50">
        <v>17.02</v>
      </c>
      <c r="AE132" s="50">
        <v>17.14</v>
      </c>
      <c r="AF132" s="50">
        <v>16.559999999999999</v>
      </c>
      <c r="AG132" t="s">
        <v>224</v>
      </c>
      <c r="AI132" t="s">
        <v>224</v>
      </c>
      <c r="AJ132">
        <v>0</v>
      </c>
    </row>
    <row r="133" spans="1:36" ht="25.5">
      <c r="A133" t="s">
        <v>511</v>
      </c>
      <c r="B133" t="s">
        <v>512</v>
      </c>
      <c r="C133" s="40">
        <v>45272</v>
      </c>
      <c r="D133" s="19">
        <f t="shared" si="12"/>
        <v>45270</v>
      </c>
      <c r="E133" s="17" t="s">
        <v>3583</v>
      </c>
      <c r="F133">
        <f t="shared" si="13"/>
        <v>0</v>
      </c>
      <c r="H133" t="s">
        <v>2214</v>
      </c>
      <c r="I133" s="50">
        <v>9.6999999999999993</v>
      </c>
      <c r="J133" s="61">
        <v>8.8000000000000007</v>
      </c>
      <c r="K133" s="61">
        <v>11</v>
      </c>
      <c r="L133">
        <v>310400000</v>
      </c>
      <c r="M133">
        <v>1.27</v>
      </c>
      <c r="N133">
        <v>83.63</v>
      </c>
      <c r="O133">
        <f t="shared" si="14"/>
        <v>1</v>
      </c>
      <c r="P133">
        <v>0</v>
      </c>
      <c r="Q133" t="s">
        <v>1486</v>
      </c>
      <c r="R133">
        <f t="shared" si="15"/>
        <v>7</v>
      </c>
      <c r="U133">
        <v>21.024951493431999</v>
      </c>
      <c r="V133" s="17">
        <f t="shared" si="16"/>
        <v>30.021306969799411</v>
      </c>
      <c r="X133">
        <v>12</v>
      </c>
      <c r="Y133" s="72" t="str">
        <f>[1]!wss(AB133,"sec_status","cols=1;rows=1")</f>
        <v>L</v>
      </c>
      <c r="AB133" t="str">
        <f t="shared" si="17"/>
        <v>1497.HK</v>
      </c>
      <c r="AC133" s="50">
        <v>9.6999999999999993</v>
      </c>
      <c r="AD133" s="50">
        <v>10.5</v>
      </c>
      <c r="AE133" s="50">
        <v>10.7</v>
      </c>
      <c r="AF133" s="50">
        <v>9.6199999999999992</v>
      </c>
      <c r="AG133" t="s">
        <v>224</v>
      </c>
      <c r="AH133" t="s">
        <v>2293</v>
      </c>
      <c r="AI133" t="s">
        <v>224</v>
      </c>
      <c r="AJ133">
        <v>0</v>
      </c>
    </row>
    <row r="134" spans="1:36" ht="25.5">
      <c r="A134" t="s">
        <v>513</v>
      </c>
      <c r="B134" t="s">
        <v>514</v>
      </c>
      <c r="C134" s="40">
        <v>45015</v>
      </c>
      <c r="D134" s="19">
        <f t="shared" si="12"/>
        <v>45013</v>
      </c>
      <c r="E134" s="17" t="s">
        <v>3583</v>
      </c>
      <c r="F134">
        <f t="shared" si="13"/>
        <v>0</v>
      </c>
      <c r="H134" t="s">
        <v>2269</v>
      </c>
      <c r="I134" s="50">
        <v>1.18</v>
      </c>
      <c r="J134" s="61">
        <v>1.08</v>
      </c>
      <c r="K134" s="61">
        <v>1.28</v>
      </c>
      <c r="L134">
        <v>141600000</v>
      </c>
      <c r="M134">
        <v>1.01</v>
      </c>
      <c r="N134">
        <v>10.62</v>
      </c>
      <c r="O134">
        <f t="shared" si="14"/>
        <v>0</v>
      </c>
      <c r="P134">
        <v>0</v>
      </c>
      <c r="Q134" t="s">
        <v>1760</v>
      </c>
      <c r="R134">
        <f t="shared" si="15"/>
        <v>12</v>
      </c>
      <c r="U134">
        <v>7.8476854399652503</v>
      </c>
      <c r="V134" s="17">
        <f t="shared" si="16"/>
        <v>17.24478285103876</v>
      </c>
      <c r="Y134" s="72" t="str">
        <f>[1]!wss(AB134,"sec_status","cols=1;rows=1")</f>
        <v>L</v>
      </c>
      <c r="AB134" t="str">
        <f t="shared" si="17"/>
        <v>2433.HK</v>
      </c>
      <c r="AC134" s="50">
        <v>2.67</v>
      </c>
      <c r="AD134" s="50">
        <v>2.92</v>
      </c>
      <c r="AE134" s="50">
        <v>3.09</v>
      </c>
      <c r="AF134" s="50">
        <v>2.4</v>
      </c>
      <c r="AG134" t="s">
        <v>224</v>
      </c>
      <c r="AI134" t="s">
        <v>224</v>
      </c>
      <c r="AJ134">
        <v>0</v>
      </c>
    </row>
    <row r="135" spans="1:36" ht="25.5">
      <c r="A135" t="s">
        <v>515</v>
      </c>
      <c r="B135" t="s">
        <v>516</v>
      </c>
      <c r="C135" s="40">
        <v>44650</v>
      </c>
      <c r="D135" s="19">
        <f t="shared" si="12"/>
        <v>44648</v>
      </c>
      <c r="E135" s="17" t="s">
        <v>3583</v>
      </c>
      <c r="F135">
        <f t="shared" si="13"/>
        <v>0</v>
      </c>
      <c r="H135" t="s">
        <v>2282</v>
      </c>
      <c r="I135" s="50"/>
      <c r="L135">
        <v>0</v>
      </c>
      <c r="M135">
        <v>0</v>
      </c>
      <c r="N135">
        <v>0</v>
      </c>
      <c r="O135">
        <f t="shared" si="14"/>
        <v>0</v>
      </c>
      <c r="P135">
        <v>0</v>
      </c>
      <c r="Q135">
        <v>0</v>
      </c>
      <c r="R135">
        <f t="shared" si="15"/>
        <v>1</v>
      </c>
      <c r="U135">
        <v>0</v>
      </c>
      <c r="V135" s="17" t="str">
        <f t="shared" si="16"/>
        <v/>
      </c>
      <c r="Y135" s="51" t="str">
        <f>[1]!wss(AB135,"sec_status","cols=1;rows=1")</f>
        <v/>
      </c>
      <c r="AB135" t="str">
        <f t="shared" si="17"/>
        <v>587.HK</v>
      </c>
      <c r="AC135" s="50">
        <v>9.77</v>
      </c>
      <c r="AD135" s="50">
        <v>10</v>
      </c>
      <c r="AE135" s="50">
        <v>15.1</v>
      </c>
      <c r="AF135" s="50">
        <v>9.77</v>
      </c>
      <c r="AG135" t="s">
        <v>224</v>
      </c>
      <c r="AI135" t="s">
        <v>224</v>
      </c>
      <c r="AJ135">
        <v>0</v>
      </c>
    </row>
    <row r="136" spans="1:36">
      <c r="A136" t="s">
        <v>517</v>
      </c>
      <c r="B136" t="s">
        <v>518</v>
      </c>
      <c r="C136" s="40">
        <v>45916</v>
      </c>
      <c r="D136" s="19">
        <f t="shared" si="12"/>
        <v>45914</v>
      </c>
      <c r="E136" s="17" t="s">
        <v>3584</v>
      </c>
      <c r="F136">
        <f t="shared" si="13"/>
        <v>0</v>
      </c>
      <c r="H136" t="s">
        <v>2206</v>
      </c>
      <c r="I136" s="50">
        <v>212.8</v>
      </c>
      <c r="K136" s="61">
        <v>228</v>
      </c>
      <c r="L136">
        <v>4784276000</v>
      </c>
      <c r="M136">
        <v>14.09</v>
      </c>
      <c r="N136">
        <v>168.65</v>
      </c>
      <c r="O136">
        <f t="shared" si="14"/>
        <v>1</v>
      </c>
      <c r="P136">
        <v>6.0590000000000002</v>
      </c>
      <c r="Q136" t="s">
        <v>2181</v>
      </c>
      <c r="R136">
        <f t="shared" si="15"/>
        <v>10</v>
      </c>
      <c r="U136">
        <v>-294.91000489177998</v>
      </c>
      <c r="V136" s="17">
        <f t="shared" si="16"/>
        <v>472.70515240668021</v>
      </c>
      <c r="X136">
        <v>6</v>
      </c>
      <c r="Y136" s="72" t="str">
        <f>[1]!wss(AB136,"sec_status","cols=1;rows=1")</f>
        <v>L</v>
      </c>
      <c r="AB136" t="str">
        <f t="shared" si="17"/>
        <v>2525.HK</v>
      </c>
      <c r="AC136" s="50">
        <v>234</v>
      </c>
      <c r="AD136" s="50">
        <v>229.2</v>
      </c>
      <c r="AE136" s="50">
        <v>244</v>
      </c>
      <c r="AF136" s="50">
        <v>229.2</v>
      </c>
      <c r="AG136" t="s">
        <v>224</v>
      </c>
      <c r="AI136" t="s">
        <v>224</v>
      </c>
      <c r="AJ136">
        <v>0</v>
      </c>
    </row>
    <row r="137" spans="1:36" ht="25.5">
      <c r="A137" t="s">
        <v>519</v>
      </c>
      <c r="B137" t="s">
        <v>520</v>
      </c>
      <c r="C137" s="40">
        <v>45604</v>
      </c>
      <c r="D137" s="19">
        <f t="shared" si="12"/>
        <v>45602</v>
      </c>
      <c r="E137" s="17" t="s">
        <v>3583</v>
      </c>
      <c r="F137">
        <f t="shared" si="13"/>
        <v>0</v>
      </c>
      <c r="H137" t="s">
        <v>2216</v>
      </c>
      <c r="I137" s="50">
        <v>3.61</v>
      </c>
      <c r="J137" s="61">
        <v>3.61</v>
      </c>
      <c r="K137" s="61">
        <v>3.61</v>
      </c>
      <c r="L137">
        <v>139490400</v>
      </c>
      <c r="M137">
        <v>6.95</v>
      </c>
      <c r="N137">
        <v>5677.83</v>
      </c>
      <c r="O137">
        <f t="shared" si="14"/>
        <v>1</v>
      </c>
      <c r="P137">
        <v>0</v>
      </c>
      <c r="Q137" t="s">
        <v>1382</v>
      </c>
      <c r="R137">
        <f t="shared" si="15"/>
        <v>11</v>
      </c>
      <c r="U137">
        <v>26.473392647778301</v>
      </c>
      <c r="V137" s="17">
        <f t="shared" si="16"/>
        <v>35.4554695108083</v>
      </c>
      <c r="Y137" s="72" t="str">
        <f>[1]!wss(AB137,"sec_status","cols=1;rows=1")</f>
        <v>L</v>
      </c>
      <c r="AB137" t="str">
        <f t="shared" si="17"/>
        <v>2551.HK</v>
      </c>
      <c r="AC137" s="50">
        <v>5.33</v>
      </c>
      <c r="AD137" s="50">
        <v>4.2</v>
      </c>
      <c r="AE137" s="50">
        <v>5.56</v>
      </c>
      <c r="AF137" s="50">
        <v>4.2</v>
      </c>
      <c r="AG137" t="s">
        <v>224</v>
      </c>
      <c r="AH137" t="s">
        <v>2293</v>
      </c>
      <c r="AI137" t="s">
        <v>224</v>
      </c>
      <c r="AJ137">
        <v>0</v>
      </c>
    </row>
    <row r="138" spans="1:36" ht="25.5">
      <c r="A138" t="s">
        <v>521</v>
      </c>
      <c r="B138" t="s">
        <v>522</v>
      </c>
      <c r="C138" s="40">
        <v>45014</v>
      </c>
      <c r="D138" s="19">
        <f t="shared" si="12"/>
        <v>45012</v>
      </c>
      <c r="E138" s="17" t="s">
        <v>3583</v>
      </c>
      <c r="F138">
        <f t="shared" si="13"/>
        <v>0</v>
      </c>
      <c r="H138" t="s">
        <v>2248</v>
      </c>
      <c r="I138" s="50">
        <v>3.27</v>
      </c>
      <c r="J138" s="61">
        <v>3.27</v>
      </c>
      <c r="K138" s="61">
        <v>3.91</v>
      </c>
      <c r="L138">
        <v>408750000</v>
      </c>
      <c r="M138">
        <v>1.0900000000000001</v>
      </c>
      <c r="N138">
        <v>1.1399999999999999</v>
      </c>
      <c r="O138">
        <f t="shared" si="14"/>
        <v>0</v>
      </c>
      <c r="P138">
        <v>0</v>
      </c>
      <c r="Q138" t="s">
        <v>1798</v>
      </c>
      <c r="R138">
        <f t="shared" si="15"/>
        <v>7</v>
      </c>
      <c r="U138">
        <v>3.6587139237930701</v>
      </c>
      <c r="V138" s="17">
        <f t="shared" si="16"/>
        <v>23.026086231979747</v>
      </c>
      <c r="X138">
        <v>6</v>
      </c>
      <c r="Y138" s="72" t="str">
        <f>[1]!wss(AB138,"sec_status","cols=1;rows=1")</f>
        <v>L</v>
      </c>
      <c r="AB138" t="str">
        <f t="shared" si="17"/>
        <v>2409.HK</v>
      </c>
      <c r="AC138" s="50">
        <v>2.58</v>
      </c>
      <c r="AD138" s="50">
        <v>3.28</v>
      </c>
      <c r="AE138" s="50">
        <v>3.31</v>
      </c>
      <c r="AF138" s="50">
        <v>2.58</v>
      </c>
      <c r="AG138" t="s">
        <v>224</v>
      </c>
      <c r="AI138" t="s">
        <v>224</v>
      </c>
      <c r="AJ138">
        <v>0</v>
      </c>
    </row>
    <row r="139" spans="1:36" ht="25.5">
      <c r="A139" t="s">
        <v>523</v>
      </c>
      <c r="B139" t="s">
        <v>524</v>
      </c>
      <c r="C139" s="40">
        <v>44889</v>
      </c>
      <c r="D139" s="19">
        <f t="shared" si="12"/>
        <v>44887</v>
      </c>
      <c r="E139" s="17" t="s">
        <v>3583</v>
      </c>
      <c r="F139">
        <f t="shared" si="13"/>
        <v>0</v>
      </c>
      <c r="H139" t="s">
        <v>2204</v>
      </c>
      <c r="I139" s="50">
        <v>7.6</v>
      </c>
      <c r="J139" s="61">
        <v>7.6</v>
      </c>
      <c r="K139" s="61">
        <v>8.74</v>
      </c>
      <c r="L139">
        <v>404768400</v>
      </c>
      <c r="M139">
        <v>1.1200000000000001</v>
      </c>
      <c r="N139">
        <v>6.16</v>
      </c>
      <c r="O139">
        <f t="shared" si="14"/>
        <v>0</v>
      </c>
      <c r="P139">
        <v>0</v>
      </c>
      <c r="Q139" t="s">
        <v>1818</v>
      </c>
      <c r="R139">
        <f t="shared" si="15"/>
        <v>4</v>
      </c>
      <c r="U139">
        <v>-4.8920366832329698</v>
      </c>
      <c r="V139" s="17">
        <f t="shared" si="16"/>
        <v>30.915316269135648</v>
      </c>
      <c r="Y139" s="72" t="str">
        <f>[1]!wss(AB139,"sec_status","cols=1;rows=1")</f>
        <v>L</v>
      </c>
      <c r="AB139" t="str">
        <f t="shared" si="17"/>
        <v>2436.HK</v>
      </c>
      <c r="AC139" s="50">
        <v>7.8</v>
      </c>
      <c r="AD139" s="50">
        <v>7.9</v>
      </c>
      <c r="AE139" s="50">
        <v>7.95</v>
      </c>
      <c r="AF139" s="50">
        <v>6.96</v>
      </c>
      <c r="AG139" t="s">
        <v>224</v>
      </c>
      <c r="AI139" t="s">
        <v>224</v>
      </c>
      <c r="AJ139">
        <v>0</v>
      </c>
    </row>
    <row r="140" spans="1:36">
      <c r="A140" t="s">
        <v>525</v>
      </c>
      <c r="B140" t="s">
        <v>526</v>
      </c>
      <c r="C140" s="40">
        <v>45762</v>
      </c>
      <c r="D140" s="19">
        <f t="shared" si="12"/>
        <v>45760</v>
      </c>
      <c r="E140" s="17" t="s">
        <v>3586</v>
      </c>
      <c r="F140">
        <f t="shared" si="13"/>
        <v>0</v>
      </c>
      <c r="H140" t="s">
        <v>2227</v>
      </c>
      <c r="I140" s="50">
        <v>94.6</v>
      </c>
      <c r="J140" s="61">
        <v>94.6</v>
      </c>
      <c r="K140" s="61">
        <v>103.2</v>
      </c>
      <c r="L140">
        <v>1885576660</v>
      </c>
      <c r="M140">
        <v>13.52</v>
      </c>
      <c r="N140">
        <v>115.14</v>
      </c>
      <c r="O140">
        <f t="shared" si="14"/>
        <v>1</v>
      </c>
      <c r="P140">
        <v>2.3490000000000002</v>
      </c>
      <c r="Q140" t="s">
        <v>1838</v>
      </c>
      <c r="R140">
        <f t="shared" si="15"/>
        <v>9</v>
      </c>
      <c r="U140">
        <v>-7.1251724176808597</v>
      </c>
      <c r="V140" s="17">
        <f t="shared" si="16"/>
        <v>64.729550468049823</v>
      </c>
      <c r="X140">
        <v>6</v>
      </c>
      <c r="Y140" s="72" t="str">
        <f>[1]!wss(AB140,"sec_status","cols=1;rows=1")</f>
        <v>L</v>
      </c>
      <c r="AB140" t="str">
        <f t="shared" si="17"/>
        <v>9606.HK</v>
      </c>
      <c r="AC140" s="50">
        <v>205</v>
      </c>
      <c r="AD140" s="50">
        <v>181</v>
      </c>
      <c r="AE140" s="50">
        <v>222</v>
      </c>
      <c r="AF140" s="50">
        <v>181</v>
      </c>
      <c r="AG140" t="s">
        <v>224</v>
      </c>
      <c r="AI140" t="s">
        <v>224</v>
      </c>
      <c r="AJ140">
        <v>0</v>
      </c>
    </row>
    <row r="141" spans="1:36" ht="25.5">
      <c r="A141" t="s">
        <v>527</v>
      </c>
      <c r="B141" t="s">
        <v>528</v>
      </c>
      <c r="C141" s="40">
        <v>44588</v>
      </c>
      <c r="D141" s="19">
        <f t="shared" si="12"/>
        <v>44586</v>
      </c>
      <c r="E141" s="17" t="s">
        <v>3583</v>
      </c>
      <c r="F141">
        <f t="shared" si="13"/>
        <v>0</v>
      </c>
      <c r="H141" t="s">
        <v>2206</v>
      </c>
      <c r="I141" s="50">
        <v>26.3</v>
      </c>
      <c r="J141" s="61">
        <v>26.3</v>
      </c>
      <c r="K141" s="61">
        <v>27.3</v>
      </c>
      <c r="L141">
        <v>1176777720</v>
      </c>
      <c r="M141">
        <v>2.62</v>
      </c>
      <c r="N141">
        <v>13.89</v>
      </c>
      <c r="O141">
        <f t="shared" si="14"/>
        <v>0</v>
      </c>
      <c r="P141">
        <v>0</v>
      </c>
      <c r="Q141" t="s">
        <v>2088</v>
      </c>
      <c r="R141">
        <f t="shared" si="15"/>
        <v>11</v>
      </c>
      <c r="U141">
        <v>-34.294517207440002</v>
      </c>
      <c r="V141" s="17">
        <f t="shared" si="16"/>
        <v>472.70515240668021</v>
      </c>
      <c r="X141">
        <v>6</v>
      </c>
      <c r="Y141" s="72" t="str">
        <f>[1]!wss(AB141,"sec_status","cols=1;rows=1")</f>
        <v>L</v>
      </c>
      <c r="AB141" t="str">
        <f t="shared" si="17"/>
        <v>2121.HK</v>
      </c>
      <c r="AC141" s="50">
        <v>19.600000000000001</v>
      </c>
      <c r="AD141" s="50">
        <v>26.3</v>
      </c>
      <c r="AE141" s="50">
        <v>27</v>
      </c>
      <c r="AF141" s="50">
        <v>19.600000000000001</v>
      </c>
      <c r="AG141" t="s">
        <v>224</v>
      </c>
      <c r="AH141" t="s">
        <v>2293</v>
      </c>
      <c r="AI141" t="s">
        <v>224</v>
      </c>
      <c r="AJ141">
        <v>0</v>
      </c>
    </row>
    <row r="142" spans="1:36" ht="25.5">
      <c r="A142" t="s">
        <v>529</v>
      </c>
      <c r="B142" t="s">
        <v>530</v>
      </c>
      <c r="C142" s="40">
        <v>45834</v>
      </c>
      <c r="D142" s="19">
        <f t="shared" si="12"/>
        <v>45832</v>
      </c>
      <c r="E142" s="17" t="s">
        <v>3583</v>
      </c>
      <c r="F142">
        <f t="shared" si="13"/>
        <v>0</v>
      </c>
      <c r="H142" t="s">
        <v>2225</v>
      </c>
      <c r="I142" s="50">
        <v>2.88</v>
      </c>
      <c r="J142" s="61">
        <v>2.8</v>
      </c>
      <c r="K142" s="61">
        <v>3.38</v>
      </c>
      <c r="L142">
        <v>960192000</v>
      </c>
      <c r="M142">
        <v>3.5</v>
      </c>
      <c r="N142">
        <v>35.840000000000003</v>
      </c>
      <c r="O142">
        <f t="shared" si="14"/>
        <v>1</v>
      </c>
      <c r="P142">
        <v>0</v>
      </c>
      <c r="Q142" t="s">
        <v>1558</v>
      </c>
      <c r="R142">
        <f t="shared" si="15"/>
        <v>9</v>
      </c>
      <c r="U142">
        <v>15.609655080892701</v>
      </c>
      <c r="V142" s="17">
        <f t="shared" si="16"/>
        <v>30.319644300575824</v>
      </c>
      <c r="Y142" s="72" t="str">
        <f>[1]!wss(AB142,"sec_status","cols=1;rows=1")</f>
        <v>L</v>
      </c>
      <c r="AB142" t="str">
        <f t="shared" si="17"/>
        <v>6883.HK</v>
      </c>
      <c r="AC142" s="50">
        <v>2.4</v>
      </c>
      <c r="AD142" s="50">
        <v>2.58</v>
      </c>
      <c r="AE142" s="50">
        <v>2.79</v>
      </c>
      <c r="AF142" s="50">
        <v>2.25</v>
      </c>
      <c r="AG142" t="s">
        <v>224</v>
      </c>
      <c r="AI142" t="s">
        <v>224</v>
      </c>
      <c r="AJ142">
        <v>0</v>
      </c>
    </row>
    <row r="143" spans="1:36" ht="25.5">
      <c r="A143" t="s">
        <v>531</v>
      </c>
      <c r="B143" t="s">
        <v>532</v>
      </c>
      <c r="C143" s="40">
        <v>45807</v>
      </c>
      <c r="D143" s="19">
        <f t="shared" si="12"/>
        <v>45805</v>
      </c>
      <c r="E143" s="17" t="s">
        <v>3583</v>
      </c>
      <c r="F143">
        <f t="shared" si="13"/>
        <v>0</v>
      </c>
      <c r="H143" t="s">
        <v>2272</v>
      </c>
      <c r="I143" s="50">
        <v>8.08</v>
      </c>
      <c r="J143" s="61">
        <v>6.48</v>
      </c>
      <c r="K143" s="61">
        <v>8.08</v>
      </c>
      <c r="L143">
        <v>196815872</v>
      </c>
      <c r="M143">
        <v>1.1299999999999999</v>
      </c>
      <c r="N143">
        <v>990</v>
      </c>
      <c r="O143">
        <f t="shared" si="14"/>
        <v>1</v>
      </c>
      <c r="P143">
        <v>0</v>
      </c>
      <c r="Q143" t="s">
        <v>1923</v>
      </c>
      <c r="R143">
        <f t="shared" si="15"/>
        <v>10</v>
      </c>
      <c r="U143">
        <v>-12.444209064706</v>
      </c>
      <c r="V143" s="17">
        <f t="shared" si="16"/>
        <v>96.917796894532671</v>
      </c>
      <c r="X143">
        <v>6</v>
      </c>
      <c r="Y143" s="72" t="str">
        <f>[1]!wss(AB143,"sec_status","cols=1;rows=1")</f>
        <v>L</v>
      </c>
      <c r="AB143" t="str">
        <f t="shared" si="17"/>
        <v>2621.HK</v>
      </c>
      <c r="AC143" s="50">
        <v>6.61</v>
      </c>
      <c r="AD143" s="50">
        <v>7.5</v>
      </c>
      <c r="AE143" s="50">
        <v>7.5</v>
      </c>
      <c r="AF143" s="50">
        <v>6.61</v>
      </c>
      <c r="AG143" t="s">
        <v>224</v>
      </c>
      <c r="AI143" t="s">
        <v>224</v>
      </c>
      <c r="AJ143">
        <v>0</v>
      </c>
    </row>
    <row r="144" spans="1:36">
      <c r="A144" t="s">
        <v>533</v>
      </c>
      <c r="B144" t="s">
        <v>534</v>
      </c>
      <c r="C144" s="40">
        <v>46059</v>
      </c>
      <c r="D144" s="19">
        <f t="shared" si="12"/>
        <v>46057</v>
      </c>
      <c r="E144" s="17" t="s">
        <v>3582</v>
      </c>
      <c r="F144">
        <f t="shared" si="13"/>
        <v>1</v>
      </c>
      <c r="G144" t="s">
        <v>535</v>
      </c>
      <c r="H144" t="s">
        <v>2224</v>
      </c>
      <c r="I144" s="50">
        <v>95.8</v>
      </c>
      <c r="K144" s="61">
        <v>95.8</v>
      </c>
      <c r="L144">
        <v>5558268100</v>
      </c>
      <c r="M144">
        <v>21.07</v>
      </c>
      <c r="N144">
        <v>446.39</v>
      </c>
      <c r="O144">
        <f t="shared" si="14"/>
        <v>1</v>
      </c>
      <c r="P144">
        <v>7.0679999999999996</v>
      </c>
      <c r="Q144" t="s">
        <v>1109</v>
      </c>
      <c r="R144">
        <f t="shared" si="15"/>
        <v>6</v>
      </c>
      <c r="U144">
        <v>140.19755861295499</v>
      </c>
      <c r="V144" s="17">
        <f t="shared" si="16"/>
        <v>74.105751288932538</v>
      </c>
      <c r="X144">
        <v>6</v>
      </c>
      <c r="Y144" s="72" t="str">
        <f>[1]!wss(AB144,"sec_status","cols=1;rows=1")</f>
        <v>L</v>
      </c>
      <c r="AB144" t="str">
        <f t="shared" si="17"/>
        <v>3200.HK</v>
      </c>
      <c r="AC144" s="50">
        <v>110</v>
      </c>
      <c r="AD144" s="50">
        <v>106</v>
      </c>
      <c r="AE144" s="50">
        <v>116</v>
      </c>
      <c r="AF144" s="50">
        <v>105.1</v>
      </c>
      <c r="AG144" t="s">
        <v>224</v>
      </c>
      <c r="AH144" t="s">
        <v>2293</v>
      </c>
      <c r="AI144" t="s">
        <v>224</v>
      </c>
      <c r="AJ144">
        <v>0</v>
      </c>
    </row>
    <row r="145" spans="1:36">
      <c r="A145" t="s">
        <v>536</v>
      </c>
      <c r="B145" t="s">
        <v>537</v>
      </c>
      <c r="C145" s="40">
        <v>44747</v>
      </c>
      <c r="D145" s="19">
        <f t="shared" si="12"/>
        <v>44745</v>
      </c>
      <c r="E145" s="17" t="s">
        <v>3584</v>
      </c>
      <c r="F145">
        <f t="shared" si="13"/>
        <v>0</v>
      </c>
      <c r="H145" t="s">
        <v>2213</v>
      </c>
      <c r="I145" s="50">
        <v>19.3</v>
      </c>
      <c r="K145" s="61">
        <v>22.8</v>
      </c>
      <c r="L145">
        <v>140890000</v>
      </c>
      <c r="M145">
        <v>1.3</v>
      </c>
      <c r="N145">
        <v>9.9499999999999993</v>
      </c>
      <c r="O145">
        <f t="shared" si="14"/>
        <v>0</v>
      </c>
      <c r="P145">
        <v>0</v>
      </c>
      <c r="Q145" t="s">
        <v>1853</v>
      </c>
      <c r="R145">
        <f t="shared" si="15"/>
        <v>5</v>
      </c>
      <c r="U145">
        <v>-8.1624329009560306</v>
      </c>
      <c r="V145" s="17">
        <f t="shared" si="16"/>
        <v>232.63242867319829</v>
      </c>
      <c r="Y145" s="72" t="str">
        <f>[1]!wss(AB145,"sec_status","cols=1;rows=1")</f>
        <v>L</v>
      </c>
      <c r="AB145" t="str">
        <f t="shared" si="17"/>
        <v>2391.HK</v>
      </c>
      <c r="AC145" s="50">
        <v>19.3</v>
      </c>
      <c r="AD145" s="50">
        <v>19.559999999999999</v>
      </c>
      <c r="AE145" s="50">
        <v>19.940000000000001</v>
      </c>
      <c r="AF145" s="50">
        <v>19.3</v>
      </c>
      <c r="AG145" t="s">
        <v>224</v>
      </c>
      <c r="AI145" t="s">
        <v>224</v>
      </c>
      <c r="AJ145">
        <v>0</v>
      </c>
    </row>
    <row r="146" spans="1:36" ht="25.5">
      <c r="A146" t="s">
        <v>538</v>
      </c>
      <c r="B146" t="s">
        <v>539</v>
      </c>
      <c r="C146" s="40">
        <v>45632</v>
      </c>
      <c r="D146" s="19">
        <f t="shared" si="12"/>
        <v>45630</v>
      </c>
      <c r="E146" s="17" t="s">
        <v>3583</v>
      </c>
      <c r="F146">
        <f t="shared" si="13"/>
        <v>0</v>
      </c>
      <c r="H146" t="s">
        <v>2206</v>
      </c>
      <c r="I146" s="50">
        <v>30.21</v>
      </c>
      <c r="J146" s="61">
        <v>30.21</v>
      </c>
      <c r="K146" s="61">
        <v>30.21</v>
      </c>
      <c r="L146">
        <v>778632540</v>
      </c>
      <c r="M146">
        <v>1.36</v>
      </c>
      <c r="N146">
        <v>1.94</v>
      </c>
      <c r="O146">
        <f t="shared" si="14"/>
        <v>0</v>
      </c>
      <c r="P146">
        <v>0</v>
      </c>
      <c r="Q146" t="s">
        <v>2111</v>
      </c>
      <c r="R146">
        <f t="shared" si="15"/>
        <v>24</v>
      </c>
      <c r="U146">
        <v>-40.979795012187502</v>
      </c>
      <c r="V146" s="17">
        <f t="shared" si="16"/>
        <v>472.70515240668021</v>
      </c>
      <c r="X146">
        <v>6</v>
      </c>
      <c r="Y146" s="72" t="str">
        <f>[1]!wss(AB146,"sec_status","cols=1;rows=1")</f>
        <v>L</v>
      </c>
      <c r="AB146" t="str">
        <f t="shared" si="17"/>
        <v>2586.HK</v>
      </c>
      <c r="AC146" s="50">
        <v>13.8</v>
      </c>
      <c r="AD146" s="50">
        <v>21.7</v>
      </c>
      <c r="AE146" s="50">
        <v>21.75</v>
      </c>
      <c r="AF146" s="50">
        <v>13.8</v>
      </c>
      <c r="AG146" t="s">
        <v>224</v>
      </c>
      <c r="AI146" t="s">
        <v>224</v>
      </c>
      <c r="AJ146">
        <v>0</v>
      </c>
    </row>
    <row r="147" spans="1:36" ht="25.5">
      <c r="A147" t="s">
        <v>540</v>
      </c>
      <c r="B147" t="s">
        <v>541</v>
      </c>
      <c r="C147" s="40">
        <v>45567</v>
      </c>
      <c r="D147" s="19">
        <f t="shared" si="12"/>
        <v>45565</v>
      </c>
      <c r="E147" s="17" t="s">
        <v>3583</v>
      </c>
      <c r="F147">
        <f t="shared" si="13"/>
        <v>0</v>
      </c>
      <c r="H147" t="s">
        <v>2260</v>
      </c>
      <c r="I147" s="50">
        <v>5.78</v>
      </c>
      <c r="J147" s="61">
        <v>5.72</v>
      </c>
      <c r="K147" s="61">
        <v>5.78</v>
      </c>
      <c r="L147">
        <v>863208320</v>
      </c>
      <c r="M147">
        <v>7.91</v>
      </c>
      <c r="N147">
        <v>1347.27</v>
      </c>
      <c r="O147">
        <f t="shared" si="14"/>
        <v>1</v>
      </c>
      <c r="P147">
        <v>1.0978000000000001</v>
      </c>
      <c r="Q147" t="s">
        <v>1648</v>
      </c>
      <c r="R147">
        <f t="shared" si="15"/>
        <v>6</v>
      </c>
      <c r="U147">
        <v>11.8290406966667</v>
      </c>
      <c r="V147" s="17">
        <f t="shared" si="16"/>
        <v>102.255890920742</v>
      </c>
      <c r="X147">
        <v>6</v>
      </c>
      <c r="Y147" s="72" t="str">
        <f>[1]!wss(AB147,"sec_status","cols=1;rows=1")</f>
        <v>L</v>
      </c>
      <c r="AB147" t="str">
        <f t="shared" si="17"/>
        <v>2549.HK</v>
      </c>
      <c r="AC147" s="50">
        <v>9.15</v>
      </c>
      <c r="AD147" s="50">
        <v>9.5</v>
      </c>
      <c r="AE147" s="50">
        <v>10.88</v>
      </c>
      <c r="AF147" s="50">
        <v>6.68</v>
      </c>
      <c r="AG147" t="s">
        <v>224</v>
      </c>
      <c r="AI147" t="s">
        <v>224</v>
      </c>
      <c r="AJ147">
        <v>0</v>
      </c>
    </row>
    <row r="148" spans="1:36">
      <c r="A148" t="s">
        <v>542</v>
      </c>
      <c r="B148" t="s">
        <v>543</v>
      </c>
      <c r="C148" s="40">
        <v>45589</v>
      </c>
      <c r="D148" s="19">
        <f t="shared" si="12"/>
        <v>45587</v>
      </c>
      <c r="E148" s="17" t="s">
        <v>3584</v>
      </c>
      <c r="F148">
        <f t="shared" si="13"/>
        <v>0</v>
      </c>
      <c r="H148" t="s">
        <v>2206</v>
      </c>
      <c r="I148" s="50">
        <v>3.99</v>
      </c>
      <c r="J148" s="61">
        <v>3.73</v>
      </c>
      <c r="K148" s="61">
        <v>3.99</v>
      </c>
      <c r="L148">
        <v>6086881458</v>
      </c>
      <c r="M148">
        <v>13.81</v>
      </c>
      <c r="N148">
        <v>33.83</v>
      </c>
      <c r="O148">
        <f t="shared" si="14"/>
        <v>1</v>
      </c>
      <c r="P148">
        <v>6.56</v>
      </c>
      <c r="Q148" t="s">
        <v>1835</v>
      </c>
      <c r="R148">
        <f t="shared" si="15"/>
        <v>20</v>
      </c>
      <c r="U148">
        <v>-6.9911670717322103</v>
      </c>
      <c r="V148" s="17">
        <f t="shared" si="16"/>
        <v>472.70515240668021</v>
      </c>
      <c r="X148">
        <v>6</v>
      </c>
      <c r="Y148" s="72" t="str">
        <f>[1]!wss(AB148,"sec_status","cols=1;rows=1")</f>
        <v>L</v>
      </c>
      <c r="AB148" t="str">
        <f t="shared" si="17"/>
        <v>9660.HK</v>
      </c>
      <c r="AC148" s="50">
        <v>4.0999999999999996</v>
      </c>
      <c r="AD148" s="50">
        <v>5.12</v>
      </c>
      <c r="AE148" s="50">
        <v>5.5</v>
      </c>
      <c r="AF148" s="50">
        <v>4.0999999999999996</v>
      </c>
      <c r="AG148" t="s">
        <v>224</v>
      </c>
      <c r="AI148" t="s">
        <v>224</v>
      </c>
      <c r="AJ148">
        <v>0</v>
      </c>
    </row>
    <row r="149" spans="1:36" ht="25.5">
      <c r="A149" t="s">
        <v>544</v>
      </c>
      <c r="B149" t="s">
        <v>545</v>
      </c>
      <c r="C149" s="40">
        <v>45117</v>
      </c>
      <c r="D149" s="19">
        <f t="shared" si="12"/>
        <v>45115</v>
      </c>
      <c r="E149" s="17" t="s">
        <v>3583</v>
      </c>
      <c r="F149">
        <f t="shared" si="13"/>
        <v>0</v>
      </c>
      <c r="H149" t="s">
        <v>2265</v>
      </c>
      <c r="I149" s="50">
        <v>3.6</v>
      </c>
      <c r="J149" s="61">
        <v>3</v>
      </c>
      <c r="K149" s="61">
        <v>4.2</v>
      </c>
      <c r="L149">
        <v>272160000</v>
      </c>
      <c r="M149">
        <v>1.35</v>
      </c>
      <c r="N149">
        <v>1.54</v>
      </c>
      <c r="O149">
        <f t="shared" si="14"/>
        <v>0</v>
      </c>
      <c r="P149">
        <v>0</v>
      </c>
      <c r="Q149" t="s">
        <v>1708</v>
      </c>
      <c r="R149">
        <f t="shared" si="15"/>
        <v>6</v>
      </c>
      <c r="U149">
        <v>10.057728688907099</v>
      </c>
      <c r="V149" s="17" t="str">
        <f t="shared" si="16"/>
        <v/>
      </c>
      <c r="X149">
        <v>6</v>
      </c>
      <c r="Y149" s="72" t="str">
        <f>[1]!wss(AB149,"sec_status","cols=1;rows=1")</f>
        <v>L</v>
      </c>
      <c r="AB149" t="str">
        <f t="shared" si="17"/>
        <v>2481.HK</v>
      </c>
      <c r="AC149" s="50">
        <v>3.6</v>
      </c>
      <c r="AD149" s="50">
        <v>3.6</v>
      </c>
      <c r="AE149" s="50">
        <v>3.62</v>
      </c>
      <c r="AF149" s="50">
        <v>3.32</v>
      </c>
      <c r="AG149" t="s">
        <v>224</v>
      </c>
      <c r="AH149" t="s">
        <v>2293</v>
      </c>
      <c r="AI149" t="s">
        <v>224</v>
      </c>
      <c r="AJ149">
        <v>0</v>
      </c>
    </row>
    <row r="150" spans="1:36">
      <c r="A150" t="s">
        <v>546</v>
      </c>
      <c r="B150" t="s">
        <v>547</v>
      </c>
      <c r="C150" s="40">
        <v>45118</v>
      </c>
      <c r="D150" s="19">
        <f t="shared" si="12"/>
        <v>45116</v>
      </c>
      <c r="E150" s="17" t="s">
        <v>3586</v>
      </c>
      <c r="F150">
        <f t="shared" si="13"/>
        <v>0</v>
      </c>
      <c r="H150" t="s">
        <v>2227</v>
      </c>
      <c r="I150" s="50">
        <v>60.6</v>
      </c>
      <c r="J150" s="61">
        <v>60.6</v>
      </c>
      <c r="K150" s="61">
        <v>72.8</v>
      </c>
      <c r="L150">
        <v>1564267800</v>
      </c>
      <c r="M150">
        <v>3.4</v>
      </c>
      <c r="N150">
        <v>1.27</v>
      </c>
      <c r="O150">
        <f t="shared" si="14"/>
        <v>0</v>
      </c>
      <c r="P150">
        <v>1.96</v>
      </c>
      <c r="Q150" t="s">
        <v>2006</v>
      </c>
      <c r="R150">
        <f t="shared" si="15"/>
        <v>6</v>
      </c>
      <c r="U150">
        <v>-18.963297595518</v>
      </c>
      <c r="V150" s="17">
        <f t="shared" si="16"/>
        <v>64.729550468049823</v>
      </c>
      <c r="X150">
        <v>6</v>
      </c>
      <c r="Y150" s="72" t="str">
        <f>[1]!wss(AB150,"sec_status","cols=1;rows=1")</f>
        <v>L</v>
      </c>
      <c r="AB150" t="str">
        <f t="shared" si="17"/>
        <v>6990.HK</v>
      </c>
      <c r="AC150" s="50">
        <v>62.5</v>
      </c>
      <c r="AD150" s="50">
        <v>60.6</v>
      </c>
      <c r="AE150" s="50">
        <v>64.5</v>
      </c>
      <c r="AF150" s="50">
        <v>60.6</v>
      </c>
      <c r="AG150" t="s">
        <v>224</v>
      </c>
      <c r="AH150" t="s">
        <v>2293</v>
      </c>
      <c r="AI150" t="s">
        <v>224</v>
      </c>
      <c r="AJ150">
        <v>0</v>
      </c>
    </row>
    <row r="151" spans="1:36" ht="25.5">
      <c r="A151" t="s">
        <v>548</v>
      </c>
      <c r="B151" t="s">
        <v>549</v>
      </c>
      <c r="C151" s="40">
        <v>45300</v>
      </c>
      <c r="D151" s="19">
        <f t="shared" si="12"/>
        <v>45298</v>
      </c>
      <c r="E151" s="17" t="s">
        <v>3583</v>
      </c>
      <c r="F151">
        <f t="shared" si="13"/>
        <v>0</v>
      </c>
      <c r="H151" t="s">
        <v>2269</v>
      </c>
      <c r="I151" s="50">
        <v>1</v>
      </c>
      <c r="J151" s="61">
        <v>1</v>
      </c>
      <c r="K151" s="61">
        <v>1</v>
      </c>
      <c r="L151">
        <v>128700000</v>
      </c>
      <c r="M151">
        <v>1.0900000000000001</v>
      </c>
      <c r="N151">
        <v>58.44</v>
      </c>
      <c r="O151">
        <f t="shared" si="14"/>
        <v>1</v>
      </c>
      <c r="P151">
        <v>0</v>
      </c>
      <c r="Q151" t="s">
        <v>1531</v>
      </c>
      <c r="R151">
        <f t="shared" si="15"/>
        <v>2</v>
      </c>
      <c r="U151">
        <v>18.15815976308</v>
      </c>
      <c r="V151" s="17">
        <f t="shared" si="16"/>
        <v>15.182687986415811</v>
      </c>
      <c r="Y151" s="72" t="str">
        <f>[1]!wss(AB151,"sec_status","cols=1;rows=1")</f>
        <v>L</v>
      </c>
      <c r="AB151" t="str">
        <f t="shared" si="17"/>
        <v>2503.HK</v>
      </c>
      <c r="AC151" s="50">
        <v>0.72</v>
      </c>
      <c r="AD151" s="50">
        <v>0.81</v>
      </c>
      <c r="AE151" s="50">
        <v>0.84</v>
      </c>
      <c r="AF151" s="50">
        <v>0.7</v>
      </c>
      <c r="AG151" t="s">
        <v>224</v>
      </c>
      <c r="AI151" t="s">
        <v>224</v>
      </c>
      <c r="AJ151">
        <v>0</v>
      </c>
    </row>
    <row r="152" spans="1:36" ht="25.5">
      <c r="A152" t="s">
        <v>550</v>
      </c>
      <c r="B152" t="s">
        <v>551</v>
      </c>
      <c r="C152" s="40">
        <v>45930</v>
      </c>
      <c r="D152" s="19">
        <f t="shared" si="12"/>
        <v>45928</v>
      </c>
      <c r="E152" s="17" t="s">
        <v>3583</v>
      </c>
      <c r="F152">
        <f t="shared" si="13"/>
        <v>0</v>
      </c>
      <c r="H152" t="s">
        <v>2245</v>
      </c>
      <c r="I152" s="50">
        <v>102.23</v>
      </c>
      <c r="J152" s="61">
        <v>102.23</v>
      </c>
      <c r="K152" s="61">
        <v>102.23</v>
      </c>
      <c r="L152">
        <v>1066964287</v>
      </c>
      <c r="M152">
        <v>3.72</v>
      </c>
      <c r="N152">
        <v>529.79</v>
      </c>
      <c r="O152">
        <f t="shared" si="14"/>
        <v>1</v>
      </c>
      <c r="P152">
        <v>0</v>
      </c>
      <c r="Q152" t="s">
        <v>2046</v>
      </c>
      <c r="R152">
        <f t="shared" si="15"/>
        <v>9</v>
      </c>
      <c r="U152">
        <v>-26.235282687053399</v>
      </c>
      <c r="V152" s="17">
        <f t="shared" si="16"/>
        <v>21.874057402264999</v>
      </c>
      <c r="X152">
        <v>6</v>
      </c>
      <c r="Y152" s="72" t="str">
        <f>[1]!wss(AB152,"sec_status","cols=1;rows=1")</f>
        <v>L</v>
      </c>
      <c r="AB152" t="str">
        <f t="shared" si="17"/>
        <v>2889.HK</v>
      </c>
      <c r="AC152" s="50">
        <v>157</v>
      </c>
      <c r="AD152" s="50">
        <v>135</v>
      </c>
      <c r="AE152" s="50">
        <v>157</v>
      </c>
      <c r="AF152" s="50">
        <v>130.1</v>
      </c>
      <c r="AG152" t="s">
        <v>224</v>
      </c>
      <c r="AH152" t="s">
        <v>2293</v>
      </c>
      <c r="AI152" t="s">
        <v>224</v>
      </c>
      <c r="AJ152">
        <v>0</v>
      </c>
    </row>
    <row r="153" spans="1:36" ht="25.5">
      <c r="A153" t="s">
        <v>552</v>
      </c>
      <c r="B153" t="s">
        <v>553</v>
      </c>
      <c r="C153" s="40">
        <v>44680</v>
      </c>
      <c r="D153" s="19">
        <f t="shared" si="12"/>
        <v>44678</v>
      </c>
      <c r="E153" s="17" t="s">
        <v>3583</v>
      </c>
      <c r="F153">
        <f t="shared" si="13"/>
        <v>0</v>
      </c>
      <c r="H153" t="s">
        <v>2218</v>
      </c>
      <c r="I153" s="50">
        <v>11.9</v>
      </c>
      <c r="J153" s="61">
        <v>11.9</v>
      </c>
      <c r="K153" s="61">
        <v>15.4</v>
      </c>
      <c r="L153">
        <v>202191317.30000001</v>
      </c>
      <c r="M153">
        <v>1.56</v>
      </c>
      <c r="N153">
        <v>4.3499999999999996</v>
      </c>
      <c r="O153">
        <f t="shared" si="14"/>
        <v>0</v>
      </c>
      <c r="P153">
        <v>3.8600000000000002E-2</v>
      </c>
      <c r="Q153" t="s">
        <v>1792</v>
      </c>
      <c r="R153">
        <f t="shared" si="15"/>
        <v>11</v>
      </c>
      <c r="U153">
        <v>5.0390719124959604</v>
      </c>
      <c r="V153" s="17">
        <f t="shared" si="16"/>
        <v>20.667472207793022</v>
      </c>
      <c r="Y153" s="72" t="str">
        <f>[1]!wss(AB153,"sec_status","cols=1;rows=1")</f>
        <v>L</v>
      </c>
      <c r="AB153" t="str">
        <f t="shared" si="17"/>
        <v>2352.HK</v>
      </c>
      <c r="AC153" s="50">
        <v>11.9</v>
      </c>
      <c r="AD153" s="50">
        <v>11.9</v>
      </c>
      <c r="AE153" s="50">
        <v>12.2</v>
      </c>
      <c r="AF153" s="50">
        <v>11.42</v>
      </c>
      <c r="AG153" t="s">
        <v>224</v>
      </c>
      <c r="AH153" t="s">
        <v>2293</v>
      </c>
      <c r="AI153" t="s">
        <v>224</v>
      </c>
      <c r="AJ153">
        <v>0</v>
      </c>
    </row>
    <row r="154" spans="1:36" ht="25.5">
      <c r="A154" t="s">
        <v>554</v>
      </c>
      <c r="B154" t="s">
        <v>555</v>
      </c>
      <c r="C154" s="40">
        <v>44642</v>
      </c>
      <c r="D154" s="19">
        <f t="shared" si="12"/>
        <v>44640</v>
      </c>
      <c r="E154" s="17" t="s">
        <v>3583</v>
      </c>
      <c r="F154">
        <f t="shared" si="13"/>
        <v>0</v>
      </c>
      <c r="H154" t="s">
        <v>2211</v>
      </c>
      <c r="I154" s="50">
        <v>14.62</v>
      </c>
      <c r="L154">
        <v>680232050</v>
      </c>
      <c r="M154">
        <v>1.62</v>
      </c>
      <c r="N154">
        <v>1.74</v>
      </c>
      <c r="O154">
        <f t="shared" si="14"/>
        <v>0</v>
      </c>
      <c r="P154">
        <v>0</v>
      </c>
      <c r="Q154" t="s">
        <v>1916</v>
      </c>
      <c r="R154">
        <f t="shared" si="15"/>
        <v>8</v>
      </c>
      <c r="U154">
        <v>-11.989021568317099</v>
      </c>
      <c r="V154" s="17">
        <f t="shared" si="16"/>
        <v>32.980567019762766</v>
      </c>
      <c r="X154">
        <v>6</v>
      </c>
      <c r="Y154" s="72" t="str">
        <f>[1]!wss(AB154,"sec_status","cols=1;rows=1")</f>
        <v>L</v>
      </c>
      <c r="AB154" t="str">
        <f t="shared" si="17"/>
        <v>6639.HK</v>
      </c>
      <c r="AC154" s="50">
        <v>13.8</v>
      </c>
      <c r="AD154" s="50">
        <v>14.6</v>
      </c>
      <c r="AE154" s="50">
        <v>14.6</v>
      </c>
      <c r="AF154" s="50">
        <v>12.98</v>
      </c>
      <c r="AG154" t="s">
        <v>224</v>
      </c>
      <c r="AI154" t="s">
        <v>224</v>
      </c>
      <c r="AJ154">
        <v>0</v>
      </c>
    </row>
    <row r="155" spans="1:36">
      <c r="A155" t="s">
        <v>556</v>
      </c>
      <c r="B155" t="s">
        <v>557</v>
      </c>
      <c r="C155" s="40">
        <v>45964</v>
      </c>
      <c r="D155" s="19">
        <f t="shared" si="12"/>
        <v>45962</v>
      </c>
      <c r="E155" s="17" t="s">
        <v>3584</v>
      </c>
      <c r="F155">
        <f t="shared" si="13"/>
        <v>0</v>
      </c>
      <c r="H155" t="s">
        <v>2206</v>
      </c>
      <c r="I155" s="50">
        <v>141</v>
      </c>
      <c r="J155" s="61">
        <v>141</v>
      </c>
      <c r="K155" s="61">
        <v>141</v>
      </c>
      <c r="L155">
        <v>1170553800</v>
      </c>
      <c r="M155">
        <v>13.93</v>
      </c>
      <c r="N155">
        <v>4452.8599999999997</v>
      </c>
      <c r="O155">
        <f t="shared" si="14"/>
        <v>1</v>
      </c>
      <c r="P155">
        <v>1.462</v>
      </c>
      <c r="Q155" t="s">
        <v>2291</v>
      </c>
      <c r="R155">
        <f t="shared" si="15"/>
        <v>9</v>
      </c>
      <c r="U155">
        <v>3981.3557288874399</v>
      </c>
      <c r="V155" s="17">
        <f t="shared" si="16"/>
        <v>34.123830346585237</v>
      </c>
      <c r="X155">
        <v>9</v>
      </c>
      <c r="Y155" s="72" t="str">
        <f>[1]!wss(AB155,"sec_status","cols=1;rows=1")</f>
        <v>L</v>
      </c>
      <c r="AB155" t="str">
        <f t="shared" si="17"/>
        <v>2718.HK</v>
      </c>
      <c r="AC155" s="50">
        <v>290.60000000000002</v>
      </c>
      <c r="AD155" s="50">
        <v>280</v>
      </c>
      <c r="AE155" s="50">
        <v>309.8</v>
      </c>
      <c r="AF155" s="50">
        <v>272</v>
      </c>
      <c r="AG155" t="s">
        <v>224</v>
      </c>
      <c r="AI155" t="s">
        <v>224</v>
      </c>
      <c r="AJ155">
        <v>0</v>
      </c>
    </row>
    <row r="156" spans="1:36" ht="25.5">
      <c r="A156" t="s">
        <v>558</v>
      </c>
      <c r="B156" t="s">
        <v>559</v>
      </c>
      <c r="C156" s="40">
        <v>46021</v>
      </c>
      <c r="D156" s="19">
        <f t="shared" si="12"/>
        <v>46019</v>
      </c>
      <c r="E156" s="17" t="s">
        <v>3583</v>
      </c>
      <c r="F156">
        <f t="shared" si="13"/>
        <v>0</v>
      </c>
      <c r="H156" t="s">
        <v>2220</v>
      </c>
      <c r="I156" s="50">
        <v>7.1</v>
      </c>
      <c r="J156" s="61">
        <v>7.1</v>
      </c>
      <c r="K156" s="61">
        <v>9.16</v>
      </c>
      <c r="L156">
        <v>174660000</v>
      </c>
      <c r="M156">
        <v>1.48</v>
      </c>
      <c r="N156">
        <v>146.25</v>
      </c>
      <c r="O156">
        <f t="shared" si="14"/>
        <v>1</v>
      </c>
      <c r="P156">
        <v>0</v>
      </c>
      <c r="Q156" t="s">
        <v>1695</v>
      </c>
      <c r="R156">
        <f t="shared" si="15"/>
        <v>6</v>
      </c>
      <c r="U156">
        <v>10.6191441347609</v>
      </c>
      <c r="V156" s="17">
        <f t="shared" si="16"/>
        <v>11.174442685247719</v>
      </c>
      <c r="X156">
        <v>6</v>
      </c>
      <c r="Y156" s="72" t="str">
        <f>[1]!wss(AB156,"sec_status","cols=1;rows=1")</f>
        <v>L</v>
      </c>
      <c r="AB156" t="str">
        <f t="shared" si="17"/>
        <v>2671.HK</v>
      </c>
      <c r="AC156" s="50">
        <v>7.64</v>
      </c>
      <c r="AD156" s="50">
        <v>8.2100000000000009</v>
      </c>
      <c r="AE156" s="50">
        <v>12</v>
      </c>
      <c r="AF156" s="50">
        <v>7.4</v>
      </c>
      <c r="AG156" t="s">
        <v>224</v>
      </c>
      <c r="AH156" t="s">
        <v>2293</v>
      </c>
      <c r="AI156" t="s">
        <v>224</v>
      </c>
      <c r="AJ156">
        <v>0</v>
      </c>
    </row>
    <row r="157" spans="1:36" ht="25.5">
      <c r="A157" t="s">
        <v>560</v>
      </c>
      <c r="B157" t="s">
        <v>561</v>
      </c>
      <c r="C157" s="40">
        <v>44792</v>
      </c>
      <c r="D157" s="19">
        <f t="shared" si="12"/>
        <v>44790</v>
      </c>
      <c r="E157" s="17" t="s">
        <v>3583</v>
      </c>
      <c r="F157">
        <f t="shared" si="13"/>
        <v>0</v>
      </c>
      <c r="H157" t="s">
        <v>2214</v>
      </c>
      <c r="I157" s="50">
        <v>0.56000000000000005</v>
      </c>
      <c r="J157" s="61">
        <v>0.52</v>
      </c>
      <c r="K157" s="61">
        <v>0.56000000000000005</v>
      </c>
      <c r="L157">
        <v>155204000</v>
      </c>
      <c r="M157">
        <v>2.1</v>
      </c>
      <c r="N157">
        <v>19.2</v>
      </c>
      <c r="O157">
        <f t="shared" si="14"/>
        <v>1</v>
      </c>
      <c r="P157">
        <v>0.182</v>
      </c>
      <c r="Q157" t="s">
        <v>1639</v>
      </c>
      <c r="R157">
        <f t="shared" si="15"/>
        <v>7</v>
      </c>
      <c r="U157">
        <v>12.2567694045922</v>
      </c>
      <c r="V157" s="17">
        <f t="shared" si="16"/>
        <v>31.27390441106224</v>
      </c>
      <c r="X157">
        <v>6</v>
      </c>
      <c r="Y157" s="72" t="str">
        <f>[1]!wss(AB157,"sec_status","cols=1;rows=1")</f>
        <v>L</v>
      </c>
      <c r="AB157" t="str">
        <f t="shared" si="17"/>
        <v>2321.HK</v>
      </c>
      <c r="AC157" s="50">
        <v>0.79</v>
      </c>
      <c r="AD157" s="50">
        <v>0.8</v>
      </c>
      <c r="AE157" s="50">
        <v>1.04</v>
      </c>
      <c r="AF157" s="50">
        <v>0.68</v>
      </c>
      <c r="AG157" t="s">
        <v>224</v>
      </c>
      <c r="AI157" t="s">
        <v>224</v>
      </c>
      <c r="AJ157">
        <v>0</v>
      </c>
    </row>
    <row r="158" spans="1:36" ht="25.5">
      <c r="A158" t="s">
        <v>562</v>
      </c>
      <c r="B158" t="s">
        <v>563</v>
      </c>
      <c r="C158" s="40">
        <v>44907</v>
      </c>
      <c r="D158" s="19">
        <f t="shared" si="12"/>
        <v>44905</v>
      </c>
      <c r="E158" s="17" t="s">
        <v>3583</v>
      </c>
      <c r="F158">
        <f t="shared" si="13"/>
        <v>0</v>
      </c>
      <c r="H158" t="s">
        <v>2210</v>
      </c>
      <c r="I158" s="50">
        <v>51.4</v>
      </c>
      <c r="J158" s="61">
        <v>51.4</v>
      </c>
      <c r="K158" s="61">
        <v>51.4</v>
      </c>
      <c r="L158">
        <v>381259500</v>
      </c>
      <c r="M158">
        <v>1.04</v>
      </c>
      <c r="N158">
        <v>1.52</v>
      </c>
      <c r="O158">
        <f t="shared" si="14"/>
        <v>0</v>
      </c>
      <c r="P158">
        <v>1.7999999999999999E-2</v>
      </c>
      <c r="Q158" t="s">
        <v>2076</v>
      </c>
      <c r="R158">
        <f t="shared" si="15"/>
        <v>5</v>
      </c>
      <c r="U158">
        <v>-32.643778128152</v>
      </c>
      <c r="V158" s="17">
        <f t="shared" si="16"/>
        <v>140.51038887538766</v>
      </c>
      <c r="X158">
        <v>6</v>
      </c>
      <c r="Y158" s="72" t="str">
        <f>[1]!wss(AB158,"sec_status","cols=1;rows=1")</f>
        <v>L</v>
      </c>
      <c r="AB158" t="str">
        <f t="shared" si="17"/>
        <v>2407.HK</v>
      </c>
      <c r="AC158" s="50">
        <v>51.4</v>
      </c>
      <c r="AD158" s="50">
        <v>51.2</v>
      </c>
      <c r="AE158" s="50">
        <v>51.4</v>
      </c>
      <c r="AF158" s="50">
        <v>47.9</v>
      </c>
      <c r="AG158" t="s">
        <v>224</v>
      </c>
      <c r="AI158" t="s">
        <v>224</v>
      </c>
      <c r="AJ158">
        <v>0</v>
      </c>
    </row>
    <row r="159" spans="1:36" ht="25.5">
      <c r="A159" t="s">
        <v>564</v>
      </c>
      <c r="B159" t="s">
        <v>565</v>
      </c>
      <c r="C159" s="40">
        <v>45747</v>
      </c>
      <c r="D159" s="19">
        <f t="shared" si="12"/>
        <v>45745</v>
      </c>
      <c r="E159" s="17" t="s">
        <v>3583</v>
      </c>
      <c r="F159">
        <f t="shared" si="13"/>
        <v>0</v>
      </c>
      <c r="H159" t="s">
        <v>2256</v>
      </c>
      <c r="I159" s="50">
        <v>2.5</v>
      </c>
      <c r="J159" s="61">
        <v>2.5</v>
      </c>
      <c r="K159" s="61">
        <v>3</v>
      </c>
      <c r="L159">
        <v>133905000</v>
      </c>
      <c r="M159">
        <v>0.93</v>
      </c>
      <c r="N159">
        <v>46.96</v>
      </c>
      <c r="O159">
        <f t="shared" si="14"/>
        <v>1</v>
      </c>
      <c r="P159">
        <v>0</v>
      </c>
      <c r="Q159" t="s">
        <v>1663</v>
      </c>
      <c r="R159">
        <f t="shared" si="15"/>
        <v>9</v>
      </c>
      <c r="U159">
        <v>11.6100140756753</v>
      </c>
      <c r="V159" s="17" t="str">
        <f t="shared" si="16"/>
        <v/>
      </c>
      <c r="X159">
        <v>6</v>
      </c>
      <c r="Y159" s="72" t="str">
        <f>[1]!wss(AB159,"sec_status","cols=1;rows=1")</f>
        <v>L</v>
      </c>
      <c r="AB159" t="str">
        <f t="shared" si="17"/>
        <v>2625.HK</v>
      </c>
      <c r="AC159" s="50">
        <v>2.5</v>
      </c>
      <c r="AD159" s="50">
        <v>3.44</v>
      </c>
      <c r="AE159" s="50">
        <v>3.65</v>
      </c>
      <c r="AF159" s="50">
        <v>2.39</v>
      </c>
      <c r="AG159" t="s">
        <v>224</v>
      </c>
      <c r="AH159" t="s">
        <v>2293</v>
      </c>
      <c r="AI159" t="s">
        <v>224</v>
      </c>
      <c r="AJ159">
        <v>0</v>
      </c>
    </row>
    <row r="160" spans="1:36" ht="25.5">
      <c r="A160" t="s">
        <v>566</v>
      </c>
      <c r="B160" t="s">
        <v>567</v>
      </c>
      <c r="C160" s="40">
        <v>45240</v>
      </c>
      <c r="D160" s="19">
        <f t="shared" si="12"/>
        <v>45238</v>
      </c>
      <c r="E160" s="17" t="s">
        <v>3583</v>
      </c>
      <c r="F160">
        <f t="shared" si="13"/>
        <v>0</v>
      </c>
      <c r="H160" t="s">
        <v>2224</v>
      </c>
      <c r="I160" s="50">
        <v>14.28</v>
      </c>
      <c r="J160" s="61">
        <v>14.18</v>
      </c>
      <c r="K160" s="61">
        <v>16.18</v>
      </c>
      <c r="L160">
        <v>173302080</v>
      </c>
      <c r="M160">
        <v>1.37</v>
      </c>
      <c r="N160">
        <v>7.8</v>
      </c>
      <c r="O160">
        <f t="shared" si="14"/>
        <v>0</v>
      </c>
      <c r="P160">
        <v>0</v>
      </c>
      <c r="Q160" t="s">
        <v>1131</v>
      </c>
      <c r="R160">
        <f t="shared" si="15"/>
        <v>3</v>
      </c>
      <c r="U160">
        <v>125.401618804949</v>
      </c>
      <c r="V160" s="17">
        <f t="shared" si="16"/>
        <v>75.9552437649333</v>
      </c>
      <c r="X160">
        <v>6</v>
      </c>
      <c r="Y160" s="72" t="str">
        <f>[1]!wss(AB160,"sec_status","cols=1;rows=1")</f>
        <v>L</v>
      </c>
      <c r="AB160" t="str">
        <f t="shared" si="17"/>
        <v>2499.HK</v>
      </c>
      <c r="AC160" s="50">
        <v>14.76</v>
      </c>
      <c r="AD160" s="50">
        <v>15.48</v>
      </c>
      <c r="AE160" s="50">
        <v>15.48</v>
      </c>
      <c r="AF160" s="50">
        <v>14.3</v>
      </c>
      <c r="AG160" t="s">
        <v>224</v>
      </c>
      <c r="AH160" t="s">
        <v>2293</v>
      </c>
      <c r="AI160" t="s">
        <v>224</v>
      </c>
      <c r="AJ160">
        <v>0</v>
      </c>
    </row>
    <row r="161" spans="1:36" ht="25.5">
      <c r="A161" t="s">
        <v>568</v>
      </c>
      <c r="B161" t="s">
        <v>569</v>
      </c>
      <c r="C161" s="40">
        <v>45581</v>
      </c>
      <c r="D161" s="19">
        <f t="shared" si="12"/>
        <v>45579</v>
      </c>
      <c r="E161" s="17" t="s">
        <v>3583</v>
      </c>
      <c r="F161">
        <f t="shared" si="13"/>
        <v>0</v>
      </c>
      <c r="H161" t="s">
        <v>2251</v>
      </c>
      <c r="I161" s="50">
        <v>2.75</v>
      </c>
      <c r="J161" s="61">
        <v>2.74</v>
      </c>
      <c r="K161" s="61">
        <v>2.86</v>
      </c>
      <c r="L161">
        <v>439312500</v>
      </c>
      <c r="M161">
        <v>1.02</v>
      </c>
      <c r="N161">
        <v>19.87</v>
      </c>
      <c r="O161">
        <f t="shared" si="14"/>
        <v>1</v>
      </c>
      <c r="P161">
        <v>0</v>
      </c>
      <c r="Q161" t="s">
        <v>1955</v>
      </c>
      <c r="R161">
        <f t="shared" si="15"/>
        <v>13</v>
      </c>
      <c r="U161">
        <v>-15.3524370792383</v>
      </c>
      <c r="V161" s="17">
        <f t="shared" si="16"/>
        <v>59.107368732881504</v>
      </c>
      <c r="Y161" s="72" t="str">
        <f>[1]!wss(AB161,"sec_status","cols=1;rows=1")</f>
        <v>L</v>
      </c>
      <c r="AB161" t="str">
        <f t="shared" si="17"/>
        <v>2567.HK</v>
      </c>
      <c r="AC161" s="50">
        <v>1.19</v>
      </c>
      <c r="AD161" s="50">
        <v>1.6</v>
      </c>
      <c r="AE161" s="50">
        <v>1.68</v>
      </c>
      <c r="AF161" s="50">
        <v>1.1399999999999999</v>
      </c>
      <c r="AG161" t="s">
        <v>224</v>
      </c>
      <c r="AI161" t="s">
        <v>224</v>
      </c>
      <c r="AJ161">
        <v>0</v>
      </c>
    </row>
    <row r="162" spans="1:36">
      <c r="A162" t="s">
        <v>570</v>
      </c>
      <c r="B162" t="s">
        <v>571</v>
      </c>
      <c r="C162" s="40">
        <v>45999</v>
      </c>
      <c r="D162" s="19">
        <f t="shared" si="12"/>
        <v>45997</v>
      </c>
      <c r="E162" s="17" t="s">
        <v>3582</v>
      </c>
      <c r="F162">
        <f t="shared" si="13"/>
        <v>1</v>
      </c>
      <c r="G162" t="s">
        <v>572</v>
      </c>
      <c r="H162" t="s">
        <v>2219</v>
      </c>
      <c r="I162" s="50">
        <v>116</v>
      </c>
      <c r="K162" s="61">
        <v>116</v>
      </c>
      <c r="L162">
        <v>2331020000</v>
      </c>
      <c r="M162">
        <v>2.65</v>
      </c>
      <c r="N162">
        <v>25.33</v>
      </c>
      <c r="O162">
        <f t="shared" si="14"/>
        <v>1</v>
      </c>
      <c r="P162">
        <v>1.149</v>
      </c>
      <c r="Q162" t="s">
        <v>2116</v>
      </c>
      <c r="R162">
        <f t="shared" si="15"/>
        <v>9</v>
      </c>
      <c r="U162">
        <v>-43.087076541367701</v>
      </c>
      <c r="V162" s="17">
        <f t="shared" si="16"/>
        <v>57.550227982707256</v>
      </c>
      <c r="X162">
        <v>6</v>
      </c>
      <c r="Y162" s="72" t="str">
        <f>[1]!wss(AB162,"sec_status","cols=1;rows=1")</f>
        <v>L</v>
      </c>
      <c r="AB162" t="str">
        <f t="shared" si="17"/>
        <v>2676.HK</v>
      </c>
      <c r="AC162" s="50">
        <v>111</v>
      </c>
      <c r="AD162" s="50">
        <v>116</v>
      </c>
      <c r="AE162" s="50">
        <v>116</v>
      </c>
      <c r="AF162" s="50">
        <v>105.2</v>
      </c>
      <c r="AG162" t="s">
        <v>224</v>
      </c>
      <c r="AH162" t="s">
        <v>2293</v>
      </c>
      <c r="AI162" t="s">
        <v>224</v>
      </c>
      <c r="AJ162">
        <v>0</v>
      </c>
    </row>
    <row r="163" spans="1:36" ht="25.5">
      <c r="A163" t="s">
        <v>573</v>
      </c>
      <c r="B163" t="s">
        <v>574</v>
      </c>
      <c r="C163" s="40">
        <v>45239</v>
      </c>
      <c r="D163" s="19">
        <f t="shared" si="12"/>
        <v>45237</v>
      </c>
      <c r="E163" s="17" t="s">
        <v>3583</v>
      </c>
      <c r="F163">
        <f t="shared" si="13"/>
        <v>0</v>
      </c>
      <c r="H163" t="s">
        <v>2234</v>
      </c>
      <c r="I163" s="50">
        <v>1.1000000000000001</v>
      </c>
      <c r="J163" s="61">
        <v>1.05</v>
      </c>
      <c r="K163" s="61">
        <v>1.36</v>
      </c>
      <c r="L163">
        <v>113437500</v>
      </c>
      <c r="M163">
        <v>1.0069999999999999</v>
      </c>
      <c r="N163">
        <v>14.71</v>
      </c>
      <c r="O163">
        <f t="shared" si="14"/>
        <v>0</v>
      </c>
      <c r="P163">
        <v>0</v>
      </c>
      <c r="Q163" t="s">
        <v>1781</v>
      </c>
      <c r="R163">
        <f t="shared" si="15"/>
        <v>12</v>
      </c>
      <c r="U163">
        <v>6.42038166240037</v>
      </c>
      <c r="V163" s="17">
        <f t="shared" si="16"/>
        <v>20.370030027724397</v>
      </c>
      <c r="Y163" s="72" t="str">
        <f>[1]!wss(AB163,"sec_status","cols=1;rows=1")</f>
        <v>L</v>
      </c>
      <c r="AB163" t="str">
        <f t="shared" si="17"/>
        <v>2473.HK</v>
      </c>
      <c r="AC163" s="50">
        <v>1.64</v>
      </c>
      <c r="AD163" s="50">
        <v>2.1800000000000002</v>
      </c>
      <c r="AE163" s="50">
        <v>3.96</v>
      </c>
      <c r="AF163" s="50">
        <v>1.42</v>
      </c>
      <c r="AG163" t="s">
        <v>224</v>
      </c>
      <c r="AI163" t="s">
        <v>224</v>
      </c>
      <c r="AJ163">
        <v>0</v>
      </c>
    </row>
    <row r="164" spans="1:36" ht="25.5">
      <c r="A164" t="s">
        <v>575</v>
      </c>
      <c r="B164" t="s">
        <v>576</v>
      </c>
      <c r="C164" s="40">
        <v>45624</v>
      </c>
      <c r="D164" s="19">
        <f t="shared" si="12"/>
        <v>45622</v>
      </c>
      <c r="E164" s="17" t="s">
        <v>3583</v>
      </c>
      <c r="F164">
        <f t="shared" si="13"/>
        <v>0</v>
      </c>
      <c r="H164" t="s">
        <v>2223</v>
      </c>
      <c r="I164" s="50">
        <v>12.42</v>
      </c>
      <c r="J164" s="61">
        <v>11.48</v>
      </c>
      <c r="K164" s="61">
        <v>12.56</v>
      </c>
      <c r="L164">
        <v>563853096</v>
      </c>
      <c r="M164">
        <v>1.18</v>
      </c>
      <c r="N164">
        <v>675.83</v>
      </c>
      <c r="O164">
        <f t="shared" si="14"/>
        <v>1</v>
      </c>
      <c r="P164">
        <v>0</v>
      </c>
      <c r="Q164" t="s">
        <v>1436</v>
      </c>
      <c r="R164">
        <f t="shared" si="15"/>
        <v>5</v>
      </c>
      <c r="U164">
        <v>23.060116323582701</v>
      </c>
      <c r="V164" s="17">
        <f t="shared" si="16"/>
        <v>105.8848692794399</v>
      </c>
      <c r="X164">
        <v>6</v>
      </c>
      <c r="Y164" s="72" t="str">
        <f>[1]!wss(AB164,"sec_status","cols=1;rows=1")</f>
        <v>L</v>
      </c>
      <c r="AB164" t="str">
        <f t="shared" si="17"/>
        <v>2566.HK</v>
      </c>
      <c r="AC164" s="50">
        <v>7.65</v>
      </c>
      <c r="AD164" s="50">
        <v>7.5</v>
      </c>
      <c r="AE164" s="50">
        <v>9.1</v>
      </c>
      <c r="AF164" s="50">
        <v>7.5</v>
      </c>
      <c r="AG164" t="s">
        <v>224</v>
      </c>
      <c r="AH164" t="s">
        <v>2293</v>
      </c>
      <c r="AI164" t="s">
        <v>224</v>
      </c>
      <c r="AJ164">
        <v>0</v>
      </c>
    </row>
    <row r="165" spans="1:36" ht="25.5">
      <c r="A165" t="s">
        <v>577</v>
      </c>
      <c r="B165" t="s">
        <v>578</v>
      </c>
      <c r="C165" s="40">
        <v>44750</v>
      </c>
      <c r="D165" s="19">
        <f t="shared" si="12"/>
        <v>44748</v>
      </c>
      <c r="E165" s="17" t="s">
        <v>3583</v>
      </c>
      <c r="F165">
        <f t="shared" si="13"/>
        <v>0</v>
      </c>
      <c r="H165" t="s">
        <v>2213</v>
      </c>
      <c r="I165" s="50">
        <v>6.24</v>
      </c>
      <c r="J165" s="61">
        <v>4.93</v>
      </c>
      <c r="K165" s="61">
        <v>6.91</v>
      </c>
      <c r="L165">
        <v>214596720</v>
      </c>
      <c r="M165">
        <v>2.09</v>
      </c>
      <c r="N165">
        <v>42.13</v>
      </c>
      <c r="O165">
        <f t="shared" si="14"/>
        <v>1</v>
      </c>
      <c r="P165">
        <v>0</v>
      </c>
      <c r="Q165" t="s">
        <v>1100</v>
      </c>
      <c r="R165">
        <f t="shared" si="15"/>
        <v>6</v>
      </c>
      <c r="U165">
        <v>196.97213357624199</v>
      </c>
      <c r="V165" s="17">
        <f t="shared" si="16"/>
        <v>239.76448769258954</v>
      </c>
      <c r="X165">
        <v>6</v>
      </c>
      <c r="Y165" s="72" t="str">
        <f>[1]!wss(AB165,"sec_status","cols=1;rows=1")</f>
        <v>L</v>
      </c>
      <c r="AB165" t="str">
        <f t="shared" si="17"/>
        <v>2392.HK</v>
      </c>
      <c r="AC165" s="50">
        <v>6.28</v>
      </c>
      <c r="AD165" s="50">
        <v>6.24</v>
      </c>
      <c r="AE165" s="50">
        <v>6.55</v>
      </c>
      <c r="AF165" s="50">
        <v>5.91</v>
      </c>
      <c r="AG165" t="s">
        <v>224</v>
      </c>
      <c r="AI165" t="s">
        <v>224</v>
      </c>
      <c r="AJ165">
        <v>0</v>
      </c>
    </row>
    <row r="166" spans="1:36" ht="25.5">
      <c r="A166" t="s">
        <v>579</v>
      </c>
      <c r="B166" t="s">
        <v>580</v>
      </c>
      <c r="C166" s="40">
        <v>45071</v>
      </c>
      <c r="D166" s="19">
        <f t="shared" si="12"/>
        <v>45069</v>
      </c>
      <c r="E166" s="17" t="s">
        <v>3583</v>
      </c>
      <c r="F166">
        <f t="shared" si="13"/>
        <v>0</v>
      </c>
      <c r="H166" t="s">
        <v>2251</v>
      </c>
      <c r="I166" s="50">
        <v>10.19</v>
      </c>
      <c r="J166" s="61">
        <v>10</v>
      </c>
      <c r="K166" s="61">
        <v>12</v>
      </c>
      <c r="L166">
        <v>596879250</v>
      </c>
      <c r="M166">
        <v>1.2</v>
      </c>
      <c r="N166">
        <v>0.35</v>
      </c>
      <c r="O166">
        <f t="shared" si="14"/>
        <v>0</v>
      </c>
      <c r="P166">
        <v>0</v>
      </c>
      <c r="Q166" t="s">
        <v>1867</v>
      </c>
      <c r="R166">
        <f t="shared" si="15"/>
        <v>7</v>
      </c>
      <c r="U166">
        <v>-8.5465791372390107</v>
      </c>
      <c r="V166" s="17">
        <f t="shared" si="16"/>
        <v>59.107368732881504</v>
      </c>
      <c r="X166">
        <v>6</v>
      </c>
      <c r="Y166" s="72" t="str">
        <f>[1]!wss(AB166,"sec_status","cols=1;rows=1")</f>
        <v>L</v>
      </c>
      <c r="AB166" t="str">
        <f t="shared" si="17"/>
        <v>2416.HK</v>
      </c>
      <c r="AC166" s="50">
        <v>9.8800000000000008</v>
      </c>
      <c r="AD166" s="50">
        <v>9.4600000000000009</v>
      </c>
      <c r="AE166" s="50">
        <v>9.98</v>
      </c>
      <c r="AF166" s="50">
        <v>9.16</v>
      </c>
      <c r="AG166" t="s">
        <v>224</v>
      </c>
      <c r="AI166" t="s">
        <v>224</v>
      </c>
      <c r="AJ166">
        <v>0</v>
      </c>
    </row>
    <row r="167" spans="1:36" ht="25.5">
      <c r="A167" t="s">
        <v>581</v>
      </c>
      <c r="B167" t="s">
        <v>582</v>
      </c>
      <c r="C167" s="40">
        <v>45670</v>
      </c>
      <c r="D167" s="19">
        <f t="shared" si="12"/>
        <v>45668</v>
      </c>
      <c r="E167" s="17" t="s">
        <v>3583</v>
      </c>
      <c r="F167">
        <f t="shared" si="13"/>
        <v>0</v>
      </c>
      <c r="H167" t="s">
        <v>2273</v>
      </c>
      <c r="I167" s="50">
        <v>2.59</v>
      </c>
      <c r="J167" s="61">
        <v>2.59</v>
      </c>
      <c r="K167" s="61">
        <v>2.72</v>
      </c>
      <c r="L167">
        <v>1782956000</v>
      </c>
      <c r="M167">
        <v>1.1399999999999999</v>
      </c>
      <c r="N167">
        <v>0.21</v>
      </c>
      <c r="O167">
        <f t="shared" si="14"/>
        <v>0</v>
      </c>
      <c r="P167">
        <v>0</v>
      </c>
      <c r="Q167" t="s">
        <v>1442</v>
      </c>
      <c r="R167">
        <f t="shared" si="15"/>
        <v>10</v>
      </c>
      <c r="U167">
        <v>22.9885214192524</v>
      </c>
      <c r="V167" s="17" t="str">
        <f t="shared" si="16"/>
        <v/>
      </c>
      <c r="Y167" s="72" t="str">
        <f>[1]!wss(AB167,"sec_status","cols=1;rows=1")</f>
        <v>L</v>
      </c>
      <c r="AB167" t="str">
        <f t="shared" si="17"/>
        <v>2596.HK</v>
      </c>
      <c r="AC167" s="50">
        <v>2.61</v>
      </c>
      <c r="AD167" s="50">
        <v>2.59</v>
      </c>
      <c r="AE167" s="50">
        <v>2.69</v>
      </c>
      <c r="AF167" s="50">
        <v>2.59</v>
      </c>
      <c r="AG167" t="s">
        <v>224</v>
      </c>
      <c r="AH167" t="s">
        <v>2293</v>
      </c>
      <c r="AI167" t="s">
        <v>224</v>
      </c>
      <c r="AJ167">
        <v>0</v>
      </c>
    </row>
    <row r="168" spans="1:36" ht="25.5">
      <c r="A168" t="s">
        <v>583</v>
      </c>
      <c r="B168" t="s">
        <v>584</v>
      </c>
      <c r="C168" s="40">
        <v>44852</v>
      </c>
      <c r="D168" s="19">
        <f t="shared" si="12"/>
        <v>44850</v>
      </c>
      <c r="E168" s="17" t="s">
        <v>3583</v>
      </c>
      <c r="F168">
        <f t="shared" si="13"/>
        <v>0</v>
      </c>
      <c r="H168" t="s">
        <v>2213</v>
      </c>
      <c r="I168" s="50">
        <v>2.21</v>
      </c>
      <c r="J168" s="61">
        <v>2.21</v>
      </c>
      <c r="K168" s="61">
        <v>2.88</v>
      </c>
      <c r="L168">
        <v>600015000</v>
      </c>
      <c r="M168">
        <v>1.07</v>
      </c>
      <c r="N168">
        <v>1.05</v>
      </c>
      <c r="O168">
        <f t="shared" si="14"/>
        <v>0</v>
      </c>
      <c r="P168">
        <v>0</v>
      </c>
      <c r="Q168" t="s">
        <v>1229</v>
      </c>
      <c r="R168">
        <f t="shared" si="15"/>
        <v>18</v>
      </c>
      <c r="U168">
        <v>46.5867320019373</v>
      </c>
      <c r="V168" s="17">
        <f t="shared" si="16"/>
        <v>269.84156800745052</v>
      </c>
      <c r="Y168" s="72" t="str">
        <f>[1]!wss(AB168,"sec_status","cols=1;rows=1")</f>
        <v>L</v>
      </c>
      <c r="AB168" t="str">
        <f t="shared" si="17"/>
        <v>6610.HK</v>
      </c>
      <c r="AC168" s="50">
        <v>2.12</v>
      </c>
      <c r="AD168" s="50">
        <v>2.21</v>
      </c>
      <c r="AE168" s="50">
        <v>2.33</v>
      </c>
      <c r="AF168" s="50">
        <v>1.98</v>
      </c>
      <c r="AG168" t="s">
        <v>224</v>
      </c>
      <c r="AI168" t="s">
        <v>224</v>
      </c>
      <c r="AJ168">
        <v>0</v>
      </c>
    </row>
    <row r="169" spans="1:36">
      <c r="A169" t="s">
        <v>585</v>
      </c>
      <c r="B169" t="s">
        <v>586</v>
      </c>
      <c r="C169" s="40">
        <v>45889</v>
      </c>
      <c r="D169" s="19">
        <f t="shared" si="12"/>
        <v>45887</v>
      </c>
      <c r="E169" s="17" t="s">
        <v>3582</v>
      </c>
      <c r="F169">
        <f t="shared" si="13"/>
        <v>1</v>
      </c>
      <c r="G169" t="s">
        <v>587</v>
      </c>
      <c r="H169" t="s">
        <v>2236</v>
      </c>
      <c r="I169" s="50">
        <v>42.8</v>
      </c>
      <c r="K169" s="61">
        <v>42.8</v>
      </c>
      <c r="L169">
        <v>2350041000</v>
      </c>
      <c r="M169">
        <v>9.0399999999999991</v>
      </c>
      <c r="N169">
        <v>2809.19</v>
      </c>
      <c r="O169">
        <f t="shared" si="14"/>
        <v>1</v>
      </c>
      <c r="P169">
        <v>2.996</v>
      </c>
      <c r="Q169" t="s">
        <v>1142</v>
      </c>
      <c r="R169">
        <f t="shared" si="15"/>
        <v>19</v>
      </c>
      <c r="U169">
        <v>105.704594607172</v>
      </c>
      <c r="V169" s="17">
        <f t="shared" si="16"/>
        <v>843.33273735580758</v>
      </c>
      <c r="X169">
        <v>6</v>
      </c>
      <c r="Y169" s="72" t="str">
        <f>[1]!wss(AB169,"sec_status","cols=1;rows=1")</f>
        <v>L</v>
      </c>
      <c r="AB169" t="str">
        <f t="shared" si="17"/>
        <v>2631.HK</v>
      </c>
      <c r="AC169" s="50">
        <v>45.54</v>
      </c>
      <c r="AD169" s="50">
        <v>45.6</v>
      </c>
      <c r="AE169" s="50">
        <v>48.2</v>
      </c>
      <c r="AF169" s="50">
        <v>45</v>
      </c>
      <c r="AG169" t="s">
        <v>224</v>
      </c>
      <c r="AH169" t="s">
        <v>2293</v>
      </c>
      <c r="AI169" t="s">
        <v>224</v>
      </c>
      <c r="AJ169">
        <v>0</v>
      </c>
    </row>
    <row r="170" spans="1:36" ht="25.5">
      <c r="A170" t="s">
        <v>588</v>
      </c>
      <c r="B170" t="s">
        <v>589</v>
      </c>
      <c r="C170" s="40">
        <v>45656</v>
      </c>
      <c r="D170" s="19">
        <f t="shared" si="12"/>
        <v>45654</v>
      </c>
      <c r="E170" s="17" t="s">
        <v>3583</v>
      </c>
      <c r="F170">
        <f t="shared" si="13"/>
        <v>0</v>
      </c>
      <c r="H170" t="s">
        <v>2211</v>
      </c>
      <c r="I170" s="50">
        <v>7.8</v>
      </c>
      <c r="J170" s="61">
        <v>7.8</v>
      </c>
      <c r="K170" s="61">
        <v>8.8000000000000007</v>
      </c>
      <c r="L170">
        <v>195000000</v>
      </c>
      <c r="M170">
        <v>0.98</v>
      </c>
      <c r="N170">
        <v>34.42</v>
      </c>
      <c r="O170">
        <f t="shared" si="14"/>
        <v>1</v>
      </c>
      <c r="P170">
        <v>0</v>
      </c>
      <c r="Q170" t="s">
        <v>2014</v>
      </c>
      <c r="R170">
        <f t="shared" si="15"/>
        <v>12</v>
      </c>
      <c r="U170">
        <v>-20.0080315728469</v>
      </c>
      <c r="V170" s="17">
        <f t="shared" si="16"/>
        <v>32.980567019762766</v>
      </c>
      <c r="X170">
        <v>6</v>
      </c>
      <c r="Y170" s="72" t="str">
        <f>[1]!wss(AB170,"sec_status","cols=1;rows=1")</f>
        <v>L</v>
      </c>
      <c r="AB170" t="str">
        <f t="shared" si="17"/>
        <v>2587.HK</v>
      </c>
      <c r="AC170" s="50">
        <v>10.66</v>
      </c>
      <c r="AD170" s="50">
        <v>9.9499999999999993</v>
      </c>
      <c r="AE170" s="50">
        <v>10.7</v>
      </c>
      <c r="AF170" s="50">
        <v>9.4</v>
      </c>
      <c r="AG170" t="s">
        <v>224</v>
      </c>
      <c r="AI170" t="s">
        <v>224</v>
      </c>
      <c r="AJ170">
        <v>0</v>
      </c>
    </row>
    <row r="171" spans="1:36" ht="25.5">
      <c r="A171" t="s">
        <v>590</v>
      </c>
      <c r="B171" t="s">
        <v>591</v>
      </c>
      <c r="C171" s="40">
        <v>45194</v>
      </c>
      <c r="D171" s="19">
        <f t="shared" si="12"/>
        <v>45192</v>
      </c>
      <c r="E171" s="17" t="s">
        <v>3583</v>
      </c>
      <c r="F171">
        <f t="shared" si="13"/>
        <v>0</v>
      </c>
      <c r="H171" t="s">
        <v>2248</v>
      </c>
      <c r="I171" s="50">
        <v>5.13</v>
      </c>
      <c r="J171" s="61">
        <v>4.45</v>
      </c>
      <c r="K171" s="61">
        <v>5.55</v>
      </c>
      <c r="L171">
        <v>157624380</v>
      </c>
      <c r="M171">
        <v>1.53</v>
      </c>
      <c r="N171">
        <v>4.7699999999999996</v>
      </c>
      <c r="O171">
        <f t="shared" si="14"/>
        <v>0</v>
      </c>
      <c r="P171">
        <v>0.11600000000000001</v>
      </c>
      <c r="Q171" t="s">
        <v>1802</v>
      </c>
      <c r="R171">
        <f t="shared" si="15"/>
        <v>11</v>
      </c>
      <c r="U171">
        <v>3.4155062619030998</v>
      </c>
      <c r="V171" s="17">
        <f t="shared" si="16"/>
        <v>23.147690062924735</v>
      </c>
      <c r="Y171" s="72" t="str">
        <f>[1]!wss(AB171,"sec_status","cols=1;rows=1")</f>
        <v>L</v>
      </c>
      <c r="AB171" t="str">
        <f t="shared" si="17"/>
        <v>2490.HK</v>
      </c>
      <c r="AC171" s="50">
        <v>5.0999999999999996</v>
      </c>
      <c r="AD171" s="50">
        <v>5.13</v>
      </c>
      <c r="AE171" s="50">
        <v>5.13</v>
      </c>
      <c r="AF171" s="50">
        <v>4.88</v>
      </c>
      <c r="AG171" t="s">
        <v>224</v>
      </c>
      <c r="AI171" t="s">
        <v>224</v>
      </c>
      <c r="AJ171">
        <v>0</v>
      </c>
    </row>
    <row r="172" spans="1:36" ht="25.5">
      <c r="A172" t="s">
        <v>592</v>
      </c>
      <c r="B172" t="s">
        <v>593</v>
      </c>
      <c r="C172" s="40">
        <v>45428</v>
      </c>
      <c r="D172" s="19">
        <f t="shared" si="12"/>
        <v>45426</v>
      </c>
      <c r="E172" s="17" t="s">
        <v>3583</v>
      </c>
      <c r="F172">
        <f t="shared" si="13"/>
        <v>0</v>
      </c>
      <c r="H172" t="s">
        <v>2213</v>
      </c>
      <c r="I172" s="50">
        <v>43.6</v>
      </c>
      <c r="J172" s="61">
        <v>42</v>
      </c>
      <c r="K172" s="61">
        <v>45</v>
      </c>
      <c r="L172">
        <v>259406920</v>
      </c>
      <c r="M172">
        <v>1.03</v>
      </c>
      <c r="N172">
        <v>5.95</v>
      </c>
      <c r="O172">
        <f t="shared" si="14"/>
        <v>0</v>
      </c>
      <c r="P172">
        <v>0</v>
      </c>
      <c r="Q172" t="s">
        <v>2134</v>
      </c>
      <c r="R172">
        <f t="shared" si="15"/>
        <v>20</v>
      </c>
      <c r="U172">
        <v>-54.824897075769101</v>
      </c>
      <c r="V172" s="17">
        <f t="shared" si="16"/>
        <v>232.63242867319829</v>
      </c>
      <c r="X172">
        <v>6</v>
      </c>
      <c r="Y172" s="72" t="str">
        <f>[1]!wss(AB172,"sec_status","cols=1;rows=1")</f>
        <v>L</v>
      </c>
      <c r="AB172" t="str">
        <f t="shared" si="17"/>
        <v>2556.HK</v>
      </c>
      <c r="AC172" s="50">
        <v>51.65</v>
      </c>
      <c r="AD172" s="50">
        <v>45</v>
      </c>
      <c r="AE172" s="50">
        <v>56</v>
      </c>
      <c r="AF172" s="50">
        <v>45</v>
      </c>
      <c r="AG172" t="s">
        <v>224</v>
      </c>
      <c r="AI172" t="s">
        <v>224</v>
      </c>
      <c r="AJ172">
        <v>0</v>
      </c>
    </row>
    <row r="173" spans="1:36" ht="25.5">
      <c r="A173" t="s">
        <v>594</v>
      </c>
      <c r="B173" t="s">
        <v>595</v>
      </c>
      <c r="C173" s="40">
        <v>44783</v>
      </c>
      <c r="D173" s="19">
        <f t="shared" si="12"/>
        <v>44781</v>
      </c>
      <c r="E173" s="17" t="s">
        <v>3583</v>
      </c>
      <c r="F173">
        <f t="shared" si="13"/>
        <v>0</v>
      </c>
      <c r="H173" t="s">
        <v>2237</v>
      </c>
      <c r="I173" s="50">
        <v>27.75</v>
      </c>
      <c r="J173" s="61">
        <v>27.75</v>
      </c>
      <c r="K173" s="61">
        <v>33.299999999999997</v>
      </c>
      <c r="L173">
        <v>420115575</v>
      </c>
      <c r="M173">
        <v>1.38</v>
      </c>
      <c r="N173">
        <v>0.81</v>
      </c>
      <c r="O173">
        <f t="shared" si="14"/>
        <v>0</v>
      </c>
      <c r="P173">
        <v>0</v>
      </c>
      <c r="Q173" t="s">
        <v>1122</v>
      </c>
      <c r="R173">
        <f t="shared" si="15"/>
        <v>5</v>
      </c>
      <c r="U173">
        <v>134.260898262827</v>
      </c>
      <c r="V173" s="17">
        <f t="shared" si="16"/>
        <v>8.6204069943329671</v>
      </c>
      <c r="X173">
        <v>6</v>
      </c>
      <c r="Y173" s="72" t="str">
        <f>[1]!wss(AB173,"sec_status","cols=1;rows=1")</f>
        <v>L</v>
      </c>
      <c r="AB173" t="str">
        <f t="shared" si="17"/>
        <v>9857.HK</v>
      </c>
      <c r="AC173" s="50">
        <v>27</v>
      </c>
      <c r="AD173" s="50">
        <v>27.75</v>
      </c>
      <c r="AE173" s="50">
        <v>27.75</v>
      </c>
      <c r="AF173" s="50">
        <v>26.55</v>
      </c>
      <c r="AG173" t="s">
        <v>224</v>
      </c>
      <c r="AI173" t="s">
        <v>224</v>
      </c>
      <c r="AJ173">
        <v>0</v>
      </c>
    </row>
    <row r="174" spans="1:36" ht="25.5">
      <c r="A174" t="s">
        <v>596</v>
      </c>
      <c r="B174" t="s">
        <v>597</v>
      </c>
      <c r="C174" s="40">
        <v>45280</v>
      </c>
      <c r="D174" s="19">
        <f t="shared" si="12"/>
        <v>45278</v>
      </c>
      <c r="E174" s="17" t="s">
        <v>3583</v>
      </c>
      <c r="F174">
        <f t="shared" si="13"/>
        <v>0</v>
      </c>
      <c r="H174" t="s">
        <v>2206</v>
      </c>
      <c r="I174" s="50">
        <v>29.65</v>
      </c>
      <c r="J174" s="61">
        <v>29.65</v>
      </c>
      <c r="K174" s="61">
        <v>29.65</v>
      </c>
      <c r="L174">
        <v>655739400</v>
      </c>
      <c r="M174">
        <v>1.07</v>
      </c>
      <c r="N174">
        <v>6.46</v>
      </c>
      <c r="O174">
        <f t="shared" si="14"/>
        <v>0</v>
      </c>
      <c r="P174">
        <v>0</v>
      </c>
      <c r="Q174" t="s">
        <v>1981</v>
      </c>
      <c r="R174">
        <f t="shared" si="15"/>
        <v>10</v>
      </c>
      <c r="U174">
        <v>-17.508418079450301</v>
      </c>
      <c r="V174" s="17">
        <f t="shared" si="16"/>
        <v>472.70515240668021</v>
      </c>
      <c r="X174">
        <v>6</v>
      </c>
      <c r="Y174" s="72" t="str">
        <f>[1]!wss(AB174,"sec_status","cols=1;rows=1")</f>
        <v>L</v>
      </c>
      <c r="AB174" t="str">
        <f t="shared" si="17"/>
        <v>1274.HK</v>
      </c>
      <c r="AC174" s="50">
        <v>25.85</v>
      </c>
      <c r="AD174" s="50">
        <v>29.55</v>
      </c>
      <c r="AE174" s="50">
        <v>30.6</v>
      </c>
      <c r="AF174" s="50">
        <v>25.85</v>
      </c>
      <c r="AG174" t="s">
        <v>224</v>
      </c>
      <c r="AH174" t="s">
        <v>2293</v>
      </c>
      <c r="AI174" t="s">
        <v>224</v>
      </c>
      <c r="AJ174">
        <v>0</v>
      </c>
    </row>
    <row r="175" spans="1:36" ht="25.5">
      <c r="A175" t="s">
        <v>598</v>
      </c>
      <c r="B175" t="s">
        <v>599</v>
      </c>
      <c r="C175" s="40">
        <v>45440</v>
      </c>
      <c r="D175" s="19">
        <f t="shared" si="12"/>
        <v>45438</v>
      </c>
      <c r="E175" s="17" t="s">
        <v>3583</v>
      </c>
      <c r="F175">
        <f t="shared" si="13"/>
        <v>0</v>
      </c>
      <c r="H175" t="s">
        <v>2242</v>
      </c>
      <c r="I175" s="50">
        <v>2.2799999999999998</v>
      </c>
      <c r="J175" s="61">
        <v>2.2799999999999998</v>
      </c>
      <c r="K175" s="61">
        <v>3.06</v>
      </c>
      <c r="L175">
        <v>222585000</v>
      </c>
      <c r="M175">
        <v>0.98</v>
      </c>
      <c r="N175">
        <v>103.44</v>
      </c>
      <c r="O175">
        <f t="shared" si="14"/>
        <v>1</v>
      </c>
      <c r="P175">
        <v>0</v>
      </c>
      <c r="Q175" t="s">
        <v>1596</v>
      </c>
      <c r="R175">
        <f t="shared" si="15"/>
        <v>12</v>
      </c>
      <c r="U175">
        <v>13.097357939916099</v>
      </c>
      <c r="V175" s="17">
        <f t="shared" si="16"/>
        <v>27.444416341564573</v>
      </c>
      <c r="X175">
        <v>6</v>
      </c>
      <c r="Y175" s="72" t="str">
        <f>[1]!wss(AB175,"sec_status","cols=1;rows=1")</f>
        <v>L</v>
      </c>
      <c r="AB175" t="str">
        <f t="shared" si="17"/>
        <v>2505.HK</v>
      </c>
      <c r="AC175" s="50">
        <v>4.2</v>
      </c>
      <c r="AD175" s="50">
        <v>3.09</v>
      </c>
      <c r="AE175" s="50">
        <v>4.41</v>
      </c>
      <c r="AF175" s="50">
        <v>2.83</v>
      </c>
      <c r="AG175" t="s">
        <v>224</v>
      </c>
      <c r="AI175" t="s">
        <v>224</v>
      </c>
      <c r="AJ175">
        <v>0</v>
      </c>
    </row>
    <row r="176" spans="1:36">
      <c r="A176" t="s">
        <v>600</v>
      </c>
      <c r="B176" t="s">
        <v>601</v>
      </c>
      <c r="C176" s="40">
        <v>46090</v>
      </c>
      <c r="D176" s="19">
        <f t="shared" si="12"/>
        <v>46088</v>
      </c>
      <c r="E176" s="17" t="s">
        <v>3582</v>
      </c>
      <c r="F176">
        <f t="shared" si="13"/>
        <v>1</v>
      </c>
      <c r="G176" t="s">
        <v>602</v>
      </c>
      <c r="H176" t="s">
        <v>2224</v>
      </c>
      <c r="I176" s="50">
        <v>71.28</v>
      </c>
      <c r="K176" s="61">
        <v>73.680000000000007</v>
      </c>
      <c r="L176">
        <v>1906618824</v>
      </c>
      <c r="M176">
        <v>13.4</v>
      </c>
      <c r="N176">
        <v>1536.76</v>
      </c>
      <c r="O176">
        <f t="shared" si="14"/>
        <v>1</v>
      </c>
      <c r="P176">
        <v>0</v>
      </c>
      <c r="Q176" t="s">
        <v>1174</v>
      </c>
      <c r="R176">
        <f t="shared" si="15"/>
        <v>9</v>
      </c>
      <c r="U176">
        <v>78.325399169237002</v>
      </c>
      <c r="V176" s="17">
        <f t="shared" si="16"/>
        <v>81.839771219397292</v>
      </c>
      <c r="X176">
        <v>6</v>
      </c>
      <c r="Y176" s="72" t="str">
        <f>[1]!wss(AB176,"sec_status","cols=1;rows=1")</f>
        <v>L</v>
      </c>
      <c r="AB176" t="str">
        <f t="shared" si="17"/>
        <v>2692.HK</v>
      </c>
      <c r="AC176" s="50">
        <v>73</v>
      </c>
      <c r="AD176" s="50">
        <v>78</v>
      </c>
      <c r="AE176" s="50">
        <v>79.8</v>
      </c>
      <c r="AF176" s="50">
        <v>71.599999999999994</v>
      </c>
      <c r="AG176" t="s">
        <v>224</v>
      </c>
      <c r="AH176" t="s">
        <v>2293</v>
      </c>
      <c r="AI176" t="s">
        <v>224</v>
      </c>
      <c r="AJ176">
        <v>0</v>
      </c>
    </row>
    <row r="177" spans="1:36" ht="25.5">
      <c r="A177" t="s">
        <v>603</v>
      </c>
      <c r="B177" t="s">
        <v>604</v>
      </c>
      <c r="C177" s="40">
        <v>44874</v>
      </c>
      <c r="D177" s="19">
        <f t="shared" si="12"/>
        <v>44872</v>
      </c>
      <c r="E177" s="17" t="s">
        <v>3583</v>
      </c>
      <c r="F177">
        <f t="shared" si="13"/>
        <v>0</v>
      </c>
      <c r="H177" t="s">
        <v>2261</v>
      </c>
      <c r="I177" s="50">
        <v>1.96</v>
      </c>
      <c r="J177" s="61">
        <v>1.88</v>
      </c>
      <c r="K177" s="61">
        <v>2.38</v>
      </c>
      <c r="L177">
        <v>313600000</v>
      </c>
      <c r="M177">
        <v>1.01</v>
      </c>
      <c r="N177">
        <v>2.81</v>
      </c>
      <c r="O177">
        <f t="shared" si="14"/>
        <v>0</v>
      </c>
      <c r="P177">
        <v>0</v>
      </c>
      <c r="Q177" t="s">
        <v>1445</v>
      </c>
      <c r="R177">
        <f t="shared" si="15"/>
        <v>17</v>
      </c>
      <c r="U177">
        <v>22.833270402165802</v>
      </c>
      <c r="V177" s="17">
        <f t="shared" si="16"/>
        <v>64.766612187538172</v>
      </c>
      <c r="X177">
        <v>6</v>
      </c>
      <c r="Y177" s="72" t="str">
        <f>[1]!wss(AB177,"sec_status","cols=1;rows=1")</f>
        <v>L</v>
      </c>
      <c r="AB177" t="str">
        <f t="shared" si="17"/>
        <v>6696.HK</v>
      </c>
      <c r="AC177" s="50">
        <v>2</v>
      </c>
      <c r="AD177" s="50">
        <v>2.91</v>
      </c>
      <c r="AE177" s="50">
        <v>3.36</v>
      </c>
      <c r="AF177" s="50">
        <v>1.71</v>
      </c>
      <c r="AG177" t="s">
        <v>224</v>
      </c>
      <c r="AI177" t="s">
        <v>224</v>
      </c>
      <c r="AJ177">
        <v>0</v>
      </c>
    </row>
    <row r="178" spans="1:36" ht="25.5">
      <c r="A178" t="s">
        <v>605</v>
      </c>
      <c r="B178" t="s">
        <v>606</v>
      </c>
      <c r="C178" s="40">
        <v>45833</v>
      </c>
      <c r="D178" s="19">
        <f t="shared" si="12"/>
        <v>45831</v>
      </c>
      <c r="E178" s="17" t="s">
        <v>3583</v>
      </c>
      <c r="F178">
        <f t="shared" si="13"/>
        <v>0</v>
      </c>
      <c r="H178" t="s">
        <v>2201</v>
      </c>
      <c r="I178" s="50">
        <v>2.86</v>
      </c>
      <c r="J178" s="61">
        <v>2.86</v>
      </c>
      <c r="K178" s="61">
        <v>3.35</v>
      </c>
      <c r="L178">
        <v>195109200</v>
      </c>
      <c r="M178">
        <v>1.08</v>
      </c>
      <c r="N178">
        <v>852.38</v>
      </c>
      <c r="O178">
        <f t="shared" si="14"/>
        <v>1</v>
      </c>
      <c r="P178">
        <v>0</v>
      </c>
      <c r="Q178" t="s">
        <v>1788</v>
      </c>
      <c r="R178">
        <f t="shared" si="15"/>
        <v>9</v>
      </c>
      <c r="U178">
        <v>5.1466219965894204</v>
      </c>
      <c r="V178" s="17">
        <f t="shared" si="16"/>
        <v>9.9691266830116856</v>
      </c>
      <c r="X178">
        <v>60</v>
      </c>
      <c r="Y178" s="72" t="str">
        <f>[1]!wss(AB178,"sec_status","cols=1;rows=1")</f>
        <v>L</v>
      </c>
      <c r="AB178" t="str">
        <f t="shared" si="17"/>
        <v>2619.HK</v>
      </c>
      <c r="AC178" s="50">
        <v>2.52</v>
      </c>
      <c r="AD178" s="50">
        <v>2.65</v>
      </c>
      <c r="AE178" s="50">
        <v>2.74</v>
      </c>
      <c r="AF178" s="50">
        <v>2.5099999999999998</v>
      </c>
      <c r="AG178" t="s">
        <v>224</v>
      </c>
      <c r="AH178" t="s">
        <v>2293</v>
      </c>
      <c r="AI178" t="s">
        <v>224</v>
      </c>
      <c r="AJ178">
        <v>0</v>
      </c>
    </row>
    <row r="179" spans="1:36" ht="25.5">
      <c r="A179" t="s">
        <v>607</v>
      </c>
      <c r="B179" t="s">
        <v>608</v>
      </c>
      <c r="C179" s="40">
        <v>44840</v>
      </c>
      <c r="D179" s="19">
        <f t="shared" si="12"/>
        <v>44838</v>
      </c>
      <c r="E179" s="17" t="s">
        <v>3583</v>
      </c>
      <c r="F179">
        <f t="shared" si="13"/>
        <v>0</v>
      </c>
      <c r="H179" t="s">
        <v>2223</v>
      </c>
      <c r="I179" s="50">
        <v>16.16</v>
      </c>
      <c r="J179" s="61">
        <v>16.16</v>
      </c>
      <c r="K179" s="61">
        <v>16.16</v>
      </c>
      <c r="L179">
        <v>178771616</v>
      </c>
      <c r="M179">
        <v>3.27</v>
      </c>
      <c r="N179">
        <v>3.15</v>
      </c>
      <c r="O179">
        <f t="shared" si="14"/>
        <v>0</v>
      </c>
      <c r="P179">
        <v>0.216</v>
      </c>
      <c r="Q179" t="s">
        <v>2032</v>
      </c>
      <c r="R179">
        <f t="shared" si="15"/>
        <v>10</v>
      </c>
      <c r="U179">
        <v>-23.071369011844499</v>
      </c>
      <c r="V179" s="17">
        <f t="shared" si="16"/>
        <v>89.319918688268459</v>
      </c>
      <c r="Y179" s="72" t="str">
        <f>[1]!wss(AB179,"sec_status","cols=1;rows=1")</f>
        <v>L</v>
      </c>
      <c r="AB179" t="str">
        <f t="shared" si="17"/>
        <v>6660.HK</v>
      </c>
      <c r="AC179" s="50">
        <v>16.66</v>
      </c>
      <c r="AD179" s="50">
        <v>15</v>
      </c>
      <c r="AE179" s="50">
        <v>16.66</v>
      </c>
      <c r="AF179" s="50">
        <v>14.94</v>
      </c>
      <c r="AG179" t="s">
        <v>224</v>
      </c>
      <c r="AH179" t="s">
        <v>2293</v>
      </c>
      <c r="AI179" t="s">
        <v>224</v>
      </c>
      <c r="AJ179">
        <v>0</v>
      </c>
    </row>
    <row r="180" spans="1:36">
      <c r="A180" t="s">
        <v>609</v>
      </c>
      <c r="B180" t="s">
        <v>610</v>
      </c>
      <c r="C180" s="40">
        <v>46013</v>
      </c>
      <c r="D180" s="19">
        <f t="shared" si="12"/>
        <v>46011</v>
      </c>
      <c r="E180" s="17" t="s">
        <v>3582</v>
      </c>
      <c r="F180">
        <f t="shared" si="13"/>
        <v>1</v>
      </c>
      <c r="G180" t="s">
        <v>611</v>
      </c>
      <c r="H180" t="s">
        <v>2285</v>
      </c>
      <c r="I180" s="50">
        <v>12</v>
      </c>
      <c r="J180" s="61">
        <v>12</v>
      </c>
      <c r="K180" s="61">
        <v>16</v>
      </c>
      <c r="L180">
        <v>1291908000</v>
      </c>
      <c r="M180">
        <v>0.99</v>
      </c>
      <c r="N180">
        <v>1.91</v>
      </c>
      <c r="O180">
        <f t="shared" si="14"/>
        <v>0</v>
      </c>
      <c r="P180">
        <v>0</v>
      </c>
      <c r="Q180" t="s">
        <v>1543</v>
      </c>
      <c r="R180">
        <f t="shared" si="15"/>
        <v>14</v>
      </c>
      <c r="U180">
        <v>17.415264511726999</v>
      </c>
      <c r="V180" s="17" t="str">
        <f t="shared" si="16"/>
        <v/>
      </c>
      <c r="Y180" s="72" t="str">
        <f>[1]!wss(AB180,"sec_status","cols=1;rows=1")</f>
        <v>L</v>
      </c>
      <c r="AB180" t="str">
        <f t="shared" si="17"/>
        <v>2691.HK</v>
      </c>
      <c r="AC180" s="50">
        <v>9.1</v>
      </c>
      <c r="AD180" s="50">
        <v>9.1300000000000008</v>
      </c>
      <c r="AE180" s="50">
        <v>10.4</v>
      </c>
      <c r="AF180" s="50">
        <v>8.6999999999999993</v>
      </c>
      <c r="AG180" t="s">
        <v>224</v>
      </c>
      <c r="AH180" t="s">
        <v>2293</v>
      </c>
      <c r="AI180" t="s">
        <v>224</v>
      </c>
      <c r="AJ180">
        <v>0</v>
      </c>
    </row>
    <row r="181" spans="1:36" ht="25.5">
      <c r="A181" t="s">
        <v>612</v>
      </c>
      <c r="B181" t="s">
        <v>613</v>
      </c>
      <c r="C181" s="40">
        <v>45996</v>
      </c>
      <c r="D181" s="19">
        <f t="shared" si="12"/>
        <v>45994</v>
      </c>
      <c r="E181" s="17" t="s">
        <v>3583</v>
      </c>
      <c r="F181">
        <f t="shared" si="13"/>
        <v>0</v>
      </c>
      <c r="H181" t="s">
        <v>2236</v>
      </c>
      <c r="I181" s="50">
        <v>58</v>
      </c>
      <c r="J181" s="61">
        <v>58</v>
      </c>
      <c r="K181" s="61">
        <v>58</v>
      </c>
      <c r="L181">
        <v>1744089000</v>
      </c>
      <c r="M181">
        <v>2.4700000000000002</v>
      </c>
      <c r="N181">
        <v>60.63</v>
      </c>
      <c r="O181">
        <f t="shared" si="14"/>
        <v>1</v>
      </c>
      <c r="P181">
        <v>0</v>
      </c>
      <c r="Q181" t="s">
        <v>2113</v>
      </c>
      <c r="R181">
        <f t="shared" si="15"/>
        <v>4</v>
      </c>
      <c r="U181">
        <v>-42.892401481827797</v>
      </c>
      <c r="V181" s="17">
        <f t="shared" si="16"/>
        <v>658.92570166864868</v>
      </c>
      <c r="X181">
        <v>6</v>
      </c>
      <c r="Y181" s="72" t="str">
        <f>[1]!wss(AB181,"sec_status","cols=1;rows=1")</f>
        <v>L</v>
      </c>
      <c r="AB181" t="str">
        <f t="shared" si="17"/>
        <v>2658.HK</v>
      </c>
      <c r="AC181" s="50">
        <v>40.5</v>
      </c>
      <c r="AD181" s="50">
        <v>38</v>
      </c>
      <c r="AE181" s="50">
        <v>47.84</v>
      </c>
      <c r="AF181" s="50">
        <v>38</v>
      </c>
      <c r="AG181" t="s">
        <v>224</v>
      </c>
      <c r="AH181" t="s">
        <v>2293</v>
      </c>
      <c r="AI181" t="s">
        <v>224</v>
      </c>
      <c r="AJ181">
        <v>0</v>
      </c>
    </row>
    <row r="182" spans="1:36">
      <c r="A182" t="s">
        <v>614</v>
      </c>
      <c r="B182" t="s">
        <v>615</v>
      </c>
      <c r="C182" s="40">
        <v>45726</v>
      </c>
      <c r="D182" s="19">
        <f t="shared" si="12"/>
        <v>45724</v>
      </c>
      <c r="E182" s="17" t="s">
        <v>3584</v>
      </c>
      <c r="F182">
        <f t="shared" si="13"/>
        <v>0</v>
      </c>
      <c r="H182" t="s">
        <v>2281</v>
      </c>
      <c r="I182" s="50">
        <v>10</v>
      </c>
      <c r="L182">
        <v>15585000</v>
      </c>
      <c r="M182">
        <v>0</v>
      </c>
      <c r="N182">
        <v>0</v>
      </c>
      <c r="O182">
        <f t="shared" si="14"/>
        <v>0</v>
      </c>
      <c r="P182">
        <v>0</v>
      </c>
      <c r="Q182" t="s">
        <v>2018</v>
      </c>
      <c r="R182">
        <f t="shared" si="15"/>
        <v>6</v>
      </c>
      <c r="U182">
        <v>-20.728237421528899</v>
      </c>
      <c r="V182" s="17" t="str">
        <f t="shared" si="16"/>
        <v/>
      </c>
      <c r="Y182" s="72" t="str">
        <f>[1]!wss(AB182,"sec_status","cols=1;rows=1")</f>
        <v>L</v>
      </c>
      <c r="AB182" t="str">
        <f t="shared" si="17"/>
        <v>6676.HK</v>
      </c>
      <c r="AC182" s="50">
        <v>10.02</v>
      </c>
      <c r="AD182" s="50">
        <v>11.38</v>
      </c>
      <c r="AE182" s="50">
        <v>11.98</v>
      </c>
      <c r="AF182" s="50">
        <v>7.8</v>
      </c>
      <c r="AG182" t="s">
        <v>224</v>
      </c>
      <c r="AI182" t="s">
        <v>224</v>
      </c>
      <c r="AJ182">
        <v>0</v>
      </c>
    </row>
    <row r="183" spans="1:36" ht="25.5">
      <c r="A183" t="s">
        <v>616</v>
      </c>
      <c r="B183" t="s">
        <v>617</v>
      </c>
      <c r="C183" s="40">
        <v>46111</v>
      </c>
      <c r="D183" s="19">
        <f t="shared" si="12"/>
        <v>46109</v>
      </c>
      <c r="E183" s="17" t="s">
        <v>3583</v>
      </c>
      <c r="F183">
        <f t="shared" si="13"/>
        <v>0</v>
      </c>
      <c r="H183" t="s">
        <v>2236</v>
      </c>
      <c r="I183" s="50">
        <v>76.260000000000005</v>
      </c>
      <c r="J183" s="61">
        <v>76.260000000000005</v>
      </c>
      <c r="K183" s="61">
        <v>76.260000000000005</v>
      </c>
      <c r="L183">
        <v>1638983733</v>
      </c>
      <c r="M183">
        <v>1.95</v>
      </c>
      <c r="N183">
        <v>50.66</v>
      </c>
      <c r="O183">
        <f t="shared" si="14"/>
        <v>1</v>
      </c>
      <c r="P183">
        <v>0</v>
      </c>
      <c r="Q183" t="s">
        <v>1066</v>
      </c>
      <c r="R183">
        <f t="shared" si="15"/>
        <v>13</v>
      </c>
      <c r="U183">
        <v>2465.8557590718501</v>
      </c>
      <c r="V183" s="17">
        <f t="shared" si="16"/>
        <v>56.615682534248208</v>
      </c>
      <c r="X183">
        <v>18</v>
      </c>
      <c r="Y183" s="72" t="str">
        <f>[1]!wss(AB183,"sec_status","cols=1;rows=1")</f>
        <v>L</v>
      </c>
      <c r="AB183" t="str">
        <f t="shared" si="17"/>
        <v>2726.HK</v>
      </c>
      <c r="AC183" s="50">
        <v>103</v>
      </c>
      <c r="AD183" s="50">
        <v>110</v>
      </c>
      <c r="AE183" s="50">
        <v>116</v>
      </c>
      <c r="AF183" s="50">
        <v>92.3</v>
      </c>
      <c r="AG183" t="s">
        <v>224</v>
      </c>
      <c r="AH183" t="s">
        <v>2293</v>
      </c>
      <c r="AI183" t="s">
        <v>224</v>
      </c>
      <c r="AJ183">
        <v>0</v>
      </c>
    </row>
    <row r="184" spans="1:36" ht="25.5">
      <c r="A184" t="s">
        <v>618</v>
      </c>
      <c r="B184" t="s">
        <v>619</v>
      </c>
      <c r="C184" s="40">
        <v>45296</v>
      </c>
      <c r="D184" s="19">
        <f t="shared" si="12"/>
        <v>45294</v>
      </c>
      <c r="E184" s="17" t="s">
        <v>3583</v>
      </c>
      <c r="F184">
        <f t="shared" si="13"/>
        <v>0</v>
      </c>
      <c r="H184" t="s">
        <v>2206</v>
      </c>
      <c r="I184" s="50">
        <v>43</v>
      </c>
      <c r="J184" s="61">
        <v>43</v>
      </c>
      <c r="K184" s="61">
        <v>43</v>
      </c>
      <c r="L184">
        <v>1059412500</v>
      </c>
      <c r="M184">
        <v>1.28</v>
      </c>
      <c r="N184">
        <v>0.57999999999999996</v>
      </c>
      <c r="O184">
        <f t="shared" si="14"/>
        <v>0</v>
      </c>
      <c r="P184">
        <v>0.71679999999999999</v>
      </c>
      <c r="Q184" t="s">
        <v>1856</v>
      </c>
      <c r="R184">
        <f t="shared" si="15"/>
        <v>10</v>
      </c>
      <c r="U184">
        <v>-8.2610680475163107</v>
      </c>
      <c r="V184" s="17">
        <f t="shared" si="16"/>
        <v>472.70515240668021</v>
      </c>
      <c r="X184">
        <v>6</v>
      </c>
      <c r="Y184" s="72" t="str">
        <f>[1]!wss(AB184,"sec_status","cols=1;rows=1")</f>
        <v>L</v>
      </c>
      <c r="AB184" t="str">
        <f t="shared" si="17"/>
        <v>2498.HK</v>
      </c>
      <c r="AC184" s="50">
        <v>43</v>
      </c>
      <c r="AD184" s="50">
        <v>43</v>
      </c>
      <c r="AE184" s="50">
        <v>43.1</v>
      </c>
      <c r="AF184" s="50">
        <v>41.5</v>
      </c>
      <c r="AG184" t="s">
        <v>224</v>
      </c>
      <c r="AI184" t="s">
        <v>224</v>
      </c>
      <c r="AJ184">
        <v>0</v>
      </c>
    </row>
    <row r="185" spans="1:36" ht="25.5">
      <c r="A185" t="s">
        <v>620</v>
      </c>
      <c r="B185" t="s">
        <v>621</v>
      </c>
      <c r="C185" s="40">
        <v>44918</v>
      </c>
      <c r="D185" s="19">
        <f t="shared" si="12"/>
        <v>44916</v>
      </c>
      <c r="E185" s="17" t="s">
        <v>3583</v>
      </c>
      <c r="F185">
        <f t="shared" si="13"/>
        <v>0</v>
      </c>
      <c r="H185" t="s">
        <v>2210</v>
      </c>
      <c r="I185" s="50">
        <v>8.8000000000000007</v>
      </c>
      <c r="J185" s="61">
        <v>8.8000000000000007</v>
      </c>
      <c r="K185" s="61">
        <v>8.8000000000000007</v>
      </c>
      <c r="L185">
        <v>480770400</v>
      </c>
      <c r="M185">
        <v>1.0900000000000001</v>
      </c>
      <c r="N185">
        <v>2.0099999999999998</v>
      </c>
      <c r="O185">
        <f t="shared" si="14"/>
        <v>0</v>
      </c>
      <c r="P185">
        <v>0</v>
      </c>
      <c r="Q185" t="s">
        <v>2176</v>
      </c>
      <c r="R185">
        <f t="shared" si="15"/>
        <v>8</v>
      </c>
      <c r="U185">
        <v>-210.19930733016801</v>
      </c>
      <c r="V185" s="17">
        <f t="shared" si="16"/>
        <v>140.51038887538766</v>
      </c>
      <c r="X185">
        <v>6</v>
      </c>
      <c r="Y185" s="72" t="str">
        <f>[1]!wss(AB185,"sec_status","cols=1;rows=1")</f>
        <v>L</v>
      </c>
      <c r="AB185" t="str">
        <f t="shared" si="17"/>
        <v>6929.HK</v>
      </c>
      <c r="AC185" s="50">
        <v>9.15</v>
      </c>
      <c r="AD185" s="50">
        <v>8.8000000000000007</v>
      </c>
      <c r="AE185" s="50">
        <v>9.15</v>
      </c>
      <c r="AF185" s="50">
        <v>8.0500000000000007</v>
      </c>
      <c r="AG185" t="s">
        <v>224</v>
      </c>
      <c r="AI185" t="s">
        <v>224</v>
      </c>
      <c r="AJ185">
        <v>0</v>
      </c>
    </row>
    <row r="186" spans="1:36" ht="25.5">
      <c r="A186" t="s">
        <v>622</v>
      </c>
      <c r="B186" t="s">
        <v>623</v>
      </c>
      <c r="C186" s="40">
        <v>45831</v>
      </c>
      <c r="D186" s="19">
        <f t="shared" si="12"/>
        <v>45829</v>
      </c>
      <c r="E186" s="17" t="s">
        <v>3583</v>
      </c>
      <c r="F186">
        <f t="shared" si="13"/>
        <v>0</v>
      </c>
      <c r="H186" t="s">
        <v>2211</v>
      </c>
      <c r="I186" s="50">
        <v>4.22</v>
      </c>
      <c r="J186" s="61">
        <v>4.22</v>
      </c>
      <c r="K186" s="61">
        <v>6.75</v>
      </c>
      <c r="L186">
        <v>561706476</v>
      </c>
      <c r="M186">
        <v>0.98</v>
      </c>
      <c r="N186">
        <v>25.92</v>
      </c>
      <c r="O186">
        <f t="shared" si="14"/>
        <v>1</v>
      </c>
      <c r="P186">
        <v>0</v>
      </c>
      <c r="Q186" t="s">
        <v>2184</v>
      </c>
      <c r="R186">
        <f t="shared" si="15"/>
        <v>2</v>
      </c>
      <c r="U186">
        <v>-382.88041396843897</v>
      </c>
      <c r="V186" s="17">
        <f t="shared" si="16"/>
        <v>32.980567019762766</v>
      </c>
      <c r="X186">
        <v>6</v>
      </c>
      <c r="Y186" s="72" t="str">
        <f>[1]!wss(AB186,"sec_status","cols=1;rows=1")</f>
        <v>L</v>
      </c>
      <c r="AB186" t="str">
        <f t="shared" si="17"/>
        <v>2609.HK</v>
      </c>
      <c r="AC186" s="50">
        <v>6</v>
      </c>
      <c r="AD186" s="50">
        <v>5.25</v>
      </c>
      <c r="AE186" s="50">
        <v>6.02</v>
      </c>
      <c r="AF186" s="50">
        <v>5.01</v>
      </c>
      <c r="AG186" t="s">
        <v>224</v>
      </c>
      <c r="AI186" t="s">
        <v>224</v>
      </c>
      <c r="AJ186">
        <v>0</v>
      </c>
    </row>
    <row r="187" spans="1:36" ht="25.5">
      <c r="A187" t="s">
        <v>624</v>
      </c>
      <c r="B187" t="s">
        <v>625</v>
      </c>
      <c r="C187" s="40">
        <v>45289</v>
      </c>
      <c r="D187" s="19">
        <f t="shared" si="12"/>
        <v>45287</v>
      </c>
      <c r="E187" s="17" t="s">
        <v>3583</v>
      </c>
      <c r="F187">
        <f t="shared" si="13"/>
        <v>0</v>
      </c>
      <c r="H187" t="s">
        <v>2206</v>
      </c>
      <c r="I187" s="50">
        <v>90</v>
      </c>
      <c r="J187" s="61">
        <v>86</v>
      </c>
      <c r="K187" s="61">
        <v>116</v>
      </c>
      <c r="L187">
        <v>1041673500</v>
      </c>
      <c r="M187">
        <v>2.16</v>
      </c>
      <c r="N187">
        <v>5.16</v>
      </c>
      <c r="O187">
        <f t="shared" si="14"/>
        <v>0</v>
      </c>
      <c r="P187">
        <v>0.25340000000000001</v>
      </c>
      <c r="Q187" t="s">
        <v>2091</v>
      </c>
      <c r="R187">
        <f t="shared" si="15"/>
        <v>20</v>
      </c>
      <c r="U187">
        <v>-34.460917411265399</v>
      </c>
      <c r="V187" s="17">
        <f t="shared" si="16"/>
        <v>472.70515240668021</v>
      </c>
      <c r="X187">
        <v>6</v>
      </c>
      <c r="Y187" s="72" t="str">
        <f>[1]!wss(AB187,"sec_status","cols=1;rows=1")</f>
        <v>L</v>
      </c>
      <c r="AB187" t="str">
        <f t="shared" si="17"/>
        <v>9880.HK</v>
      </c>
      <c r="AC187" s="50">
        <v>90.85</v>
      </c>
      <c r="AD187" s="50">
        <v>89.9</v>
      </c>
      <c r="AE187" s="50">
        <v>93.45</v>
      </c>
      <c r="AF187" s="50">
        <v>88.25</v>
      </c>
      <c r="AG187" t="s">
        <v>224</v>
      </c>
      <c r="AH187" t="s">
        <v>2293</v>
      </c>
      <c r="AI187" t="s">
        <v>224</v>
      </c>
      <c r="AJ187">
        <v>0</v>
      </c>
    </row>
    <row r="188" spans="1:36">
      <c r="A188" t="s">
        <v>626</v>
      </c>
      <c r="B188" t="s">
        <v>627</v>
      </c>
      <c r="C188" s="40">
        <v>46104</v>
      </c>
      <c r="D188" s="19">
        <f t="shared" si="12"/>
        <v>46102</v>
      </c>
      <c r="E188" s="17" t="s">
        <v>3582</v>
      </c>
      <c r="F188">
        <f t="shared" si="13"/>
        <v>1</v>
      </c>
      <c r="G188" t="s">
        <v>628</v>
      </c>
      <c r="H188" t="s">
        <v>2219</v>
      </c>
      <c r="I188" s="50">
        <v>10.8</v>
      </c>
      <c r="K188" s="61">
        <v>10.8</v>
      </c>
      <c r="L188">
        <v>1026000000</v>
      </c>
      <c r="M188">
        <v>2.5099999999999998</v>
      </c>
      <c r="N188">
        <v>131.83000000000001</v>
      </c>
      <c r="O188">
        <f t="shared" si="14"/>
        <v>1</v>
      </c>
      <c r="P188">
        <v>0</v>
      </c>
      <c r="Q188" t="s">
        <v>2137</v>
      </c>
      <c r="R188">
        <f t="shared" si="15"/>
        <v>5</v>
      </c>
      <c r="U188">
        <v>-57.313192553321002</v>
      </c>
      <c r="V188" s="17">
        <f t="shared" si="16"/>
        <v>57.550227982707256</v>
      </c>
      <c r="X188">
        <v>6</v>
      </c>
      <c r="Y188" s="72" t="str">
        <f>[1]!wss(AB188,"sec_status","cols=1;rows=1")</f>
        <v>L</v>
      </c>
      <c r="AB188" t="str">
        <f t="shared" si="17"/>
        <v>2701.HK</v>
      </c>
      <c r="AC188" s="50">
        <v>11.25</v>
      </c>
      <c r="AD188" s="50">
        <v>14.3</v>
      </c>
      <c r="AE188" s="50">
        <v>16.5</v>
      </c>
      <c r="AF188" s="50">
        <v>10.9</v>
      </c>
      <c r="AG188" t="s">
        <v>224</v>
      </c>
      <c r="AH188" t="s">
        <v>2293</v>
      </c>
      <c r="AI188" t="s">
        <v>224</v>
      </c>
      <c r="AJ188">
        <v>0</v>
      </c>
    </row>
    <row r="189" spans="1:36" ht="25.5">
      <c r="A189" t="s">
        <v>629</v>
      </c>
      <c r="B189" t="s">
        <v>630</v>
      </c>
      <c r="C189" s="40">
        <v>45379</v>
      </c>
      <c r="D189" s="19">
        <f t="shared" si="12"/>
        <v>45377</v>
      </c>
      <c r="E189" s="17" t="s">
        <v>3583</v>
      </c>
      <c r="F189">
        <f t="shared" si="13"/>
        <v>0</v>
      </c>
      <c r="H189" t="s">
        <v>2283</v>
      </c>
      <c r="I189" s="50">
        <v>10.220000000000001</v>
      </c>
      <c r="J189" s="61">
        <v>10.210000000000001</v>
      </c>
      <c r="K189" s="61">
        <v>10.95</v>
      </c>
      <c r="L189">
        <v>657146000</v>
      </c>
      <c r="M189">
        <v>1.89</v>
      </c>
      <c r="N189">
        <v>16.940000000000001</v>
      </c>
      <c r="O189">
        <f t="shared" si="14"/>
        <v>1</v>
      </c>
      <c r="P189">
        <v>0</v>
      </c>
      <c r="Q189" t="s">
        <v>1952</v>
      </c>
      <c r="R189">
        <f t="shared" si="15"/>
        <v>13</v>
      </c>
      <c r="U189">
        <v>-15.1146474345674</v>
      </c>
      <c r="V189" s="17" t="str">
        <f t="shared" si="16"/>
        <v/>
      </c>
      <c r="X189">
        <v>6</v>
      </c>
      <c r="Y189" s="72" t="str">
        <f>[1]!wss(AB189,"sec_status","cols=1;rows=1")</f>
        <v>L</v>
      </c>
      <c r="AB189" t="str">
        <f t="shared" si="17"/>
        <v>2598.HK</v>
      </c>
      <c r="AC189" s="50">
        <v>9.44</v>
      </c>
      <c r="AD189" s="50">
        <v>9.8000000000000007</v>
      </c>
      <c r="AE189" s="50">
        <v>9.91</v>
      </c>
      <c r="AF189" s="50">
        <v>9.2799999999999994</v>
      </c>
      <c r="AG189" t="s">
        <v>224</v>
      </c>
      <c r="AH189" t="s">
        <v>2293</v>
      </c>
      <c r="AI189" t="s">
        <v>224</v>
      </c>
      <c r="AJ189">
        <v>0</v>
      </c>
    </row>
    <row r="190" spans="1:36" ht="25.5">
      <c r="A190" t="s">
        <v>631</v>
      </c>
      <c r="B190" t="s">
        <v>632</v>
      </c>
      <c r="C190" s="40">
        <v>45439</v>
      </c>
      <c r="D190" s="19">
        <f t="shared" si="12"/>
        <v>45437</v>
      </c>
      <c r="E190" s="17" t="s">
        <v>3583</v>
      </c>
      <c r="F190">
        <f t="shared" si="13"/>
        <v>0</v>
      </c>
      <c r="H190" t="s">
        <v>2261</v>
      </c>
      <c r="I190" s="50">
        <v>25</v>
      </c>
      <c r="J190" s="61">
        <v>25</v>
      </c>
      <c r="K190" s="61">
        <v>29.7</v>
      </c>
      <c r="L190">
        <v>492600000</v>
      </c>
      <c r="M190">
        <v>1.1100000000000001</v>
      </c>
      <c r="N190">
        <v>12.05</v>
      </c>
      <c r="O190">
        <f t="shared" si="14"/>
        <v>0</v>
      </c>
      <c r="P190">
        <v>0</v>
      </c>
      <c r="Q190" t="s">
        <v>1240</v>
      </c>
      <c r="R190">
        <f t="shared" si="15"/>
        <v>10</v>
      </c>
      <c r="U190">
        <v>45.453126054688298</v>
      </c>
      <c r="V190" s="17">
        <f t="shared" si="16"/>
        <v>62.25329489281345</v>
      </c>
      <c r="X190">
        <v>6</v>
      </c>
      <c r="Y190" s="51" t="str">
        <f>[1]!wss(AB190,"sec_status","cols=1;rows=1")</f>
        <v/>
      </c>
      <c r="AB190" t="str">
        <f t="shared" si="17"/>
        <v>917.HK</v>
      </c>
      <c r="AC190" s="50">
        <v>35</v>
      </c>
      <c r="AD190" s="50">
        <v>33</v>
      </c>
      <c r="AE190" s="50">
        <v>35</v>
      </c>
      <c r="AF190" s="50">
        <v>27</v>
      </c>
      <c r="AG190" t="s">
        <v>224</v>
      </c>
      <c r="AI190" t="s">
        <v>224</v>
      </c>
      <c r="AJ190">
        <v>0</v>
      </c>
    </row>
    <row r="191" spans="1:36" ht="25.5">
      <c r="A191" t="s">
        <v>633</v>
      </c>
      <c r="B191" t="s">
        <v>634</v>
      </c>
      <c r="C191" s="40">
        <v>45450</v>
      </c>
      <c r="D191" s="19">
        <f t="shared" si="12"/>
        <v>45448</v>
      </c>
      <c r="E191" s="17" t="s">
        <v>3583</v>
      </c>
      <c r="F191">
        <f t="shared" si="13"/>
        <v>0</v>
      </c>
      <c r="H191" t="s">
        <v>2211</v>
      </c>
      <c r="I191" s="50">
        <v>14.98</v>
      </c>
      <c r="J191" s="61">
        <v>14.6</v>
      </c>
      <c r="K191" s="61">
        <v>16.8</v>
      </c>
      <c r="L191">
        <v>266883680</v>
      </c>
      <c r="M191">
        <v>1.24</v>
      </c>
      <c r="N191">
        <v>336.33</v>
      </c>
      <c r="O191">
        <f t="shared" si="14"/>
        <v>1</v>
      </c>
      <c r="P191">
        <v>0</v>
      </c>
      <c r="Q191" t="s">
        <v>1138</v>
      </c>
      <c r="R191">
        <f t="shared" si="15"/>
        <v>15</v>
      </c>
      <c r="U191">
        <v>108.904552240407</v>
      </c>
      <c r="V191" s="17">
        <f t="shared" si="16"/>
        <v>22.134283416813592</v>
      </c>
      <c r="X191">
        <v>12</v>
      </c>
      <c r="Y191" s="72" t="str">
        <f>[1]!wss(AB191,"sec_status","cols=1;rows=1")</f>
        <v>L</v>
      </c>
      <c r="AB191" t="str">
        <f t="shared" si="17"/>
        <v>2522.HK</v>
      </c>
      <c r="AC191" s="50">
        <v>15</v>
      </c>
      <c r="AD191" s="50">
        <v>15</v>
      </c>
      <c r="AE191" s="50">
        <v>16.96</v>
      </c>
      <c r="AF191" s="50">
        <v>14.08</v>
      </c>
      <c r="AG191" t="s">
        <v>224</v>
      </c>
      <c r="AH191" t="s">
        <v>2293</v>
      </c>
      <c r="AI191" t="s">
        <v>224</v>
      </c>
      <c r="AJ191">
        <v>0</v>
      </c>
    </row>
    <row r="192" spans="1:36" ht="25.5">
      <c r="A192" t="s">
        <v>635</v>
      </c>
      <c r="B192" t="s">
        <v>636</v>
      </c>
      <c r="C192" s="40">
        <v>45847</v>
      </c>
      <c r="D192" s="19">
        <f t="shared" si="12"/>
        <v>45845</v>
      </c>
      <c r="E192" s="17" t="s">
        <v>3583</v>
      </c>
      <c r="F192">
        <f t="shared" si="13"/>
        <v>0</v>
      </c>
      <c r="H192" t="s">
        <v>2276</v>
      </c>
      <c r="I192" s="50">
        <v>13.55</v>
      </c>
      <c r="J192" s="61">
        <v>13.55</v>
      </c>
      <c r="K192" s="61">
        <v>15.15</v>
      </c>
      <c r="L192">
        <v>412462000</v>
      </c>
      <c r="M192">
        <v>1.01</v>
      </c>
      <c r="N192">
        <v>12.79</v>
      </c>
      <c r="O192">
        <f t="shared" si="14"/>
        <v>0</v>
      </c>
      <c r="P192">
        <v>0</v>
      </c>
      <c r="Q192" t="s">
        <v>1348</v>
      </c>
      <c r="R192">
        <f t="shared" si="15"/>
        <v>14</v>
      </c>
      <c r="U192">
        <v>28.532143174713301</v>
      </c>
      <c r="V192" s="17">
        <f t="shared" si="16"/>
        <v>14.490250502380652</v>
      </c>
      <c r="X192">
        <v>6</v>
      </c>
      <c r="Y192" s="72" t="str">
        <f>[1]!wss(AB192,"sec_status","cols=1;rows=1")</f>
        <v>L</v>
      </c>
      <c r="AB192" t="str">
        <f t="shared" si="17"/>
        <v>2597.HK</v>
      </c>
      <c r="AC192" s="50">
        <v>13.58</v>
      </c>
      <c r="AD192" s="50">
        <v>14.52</v>
      </c>
      <c r="AE192" s="50">
        <v>14.52</v>
      </c>
      <c r="AF192" s="50">
        <v>12.2</v>
      </c>
      <c r="AG192" t="s">
        <v>224</v>
      </c>
      <c r="AH192" t="s">
        <v>2293</v>
      </c>
      <c r="AI192" t="s">
        <v>224</v>
      </c>
      <c r="AJ192">
        <v>0</v>
      </c>
    </row>
    <row r="193" spans="1:36" ht="25.5">
      <c r="A193" t="s">
        <v>637</v>
      </c>
      <c r="B193" t="s">
        <v>638</v>
      </c>
      <c r="C193" s="40">
        <v>45632</v>
      </c>
      <c r="D193" s="19">
        <f t="shared" si="12"/>
        <v>45630</v>
      </c>
      <c r="E193" s="17" t="s">
        <v>3583</v>
      </c>
      <c r="F193">
        <f t="shared" si="13"/>
        <v>0</v>
      </c>
      <c r="H193" t="s">
        <v>2266</v>
      </c>
      <c r="I193" s="50">
        <v>147</v>
      </c>
      <c r="J193" s="61">
        <v>145</v>
      </c>
      <c r="K193" s="61">
        <v>165</v>
      </c>
      <c r="L193">
        <v>713111700</v>
      </c>
      <c r="M193">
        <v>1.33</v>
      </c>
      <c r="N193">
        <v>1.55</v>
      </c>
      <c r="O193">
        <f t="shared" si="14"/>
        <v>0</v>
      </c>
      <c r="P193">
        <v>3.4099999999999998E-2</v>
      </c>
      <c r="Q193" t="s">
        <v>2021</v>
      </c>
      <c r="R193">
        <f t="shared" si="15"/>
        <v>10</v>
      </c>
      <c r="U193">
        <v>-21.6725129914952</v>
      </c>
      <c r="V193" s="17" t="str">
        <f t="shared" si="16"/>
        <v/>
      </c>
      <c r="X193">
        <v>6</v>
      </c>
      <c r="Y193" s="72" t="str">
        <f>[1]!wss(AB193,"sec_status","cols=1;rows=1")</f>
        <v>L</v>
      </c>
      <c r="AB193" t="str">
        <f t="shared" si="17"/>
        <v>2570.HK</v>
      </c>
      <c r="AC193" s="50">
        <v>147.1</v>
      </c>
      <c r="AD193" s="50">
        <v>148.9</v>
      </c>
      <c r="AE193" s="50">
        <v>149.9</v>
      </c>
      <c r="AF193" s="50">
        <v>145.1</v>
      </c>
      <c r="AG193" t="s">
        <v>224</v>
      </c>
      <c r="AH193" t="s">
        <v>2293</v>
      </c>
      <c r="AI193" t="s">
        <v>224</v>
      </c>
      <c r="AJ193">
        <v>0</v>
      </c>
    </row>
    <row r="194" spans="1:36" ht="25.5">
      <c r="A194" t="s">
        <v>639</v>
      </c>
      <c r="B194" t="s">
        <v>640</v>
      </c>
      <c r="C194" s="40">
        <v>44699</v>
      </c>
      <c r="D194" s="19">
        <f t="shared" si="12"/>
        <v>44697</v>
      </c>
      <c r="E194" s="17" t="s">
        <v>3583</v>
      </c>
      <c r="F194">
        <f t="shared" si="13"/>
        <v>0</v>
      </c>
      <c r="H194" t="s">
        <v>2227</v>
      </c>
      <c r="I194" s="50">
        <v>7.89</v>
      </c>
      <c r="K194" s="61">
        <v>7.89</v>
      </c>
      <c r="L194">
        <v>956670390</v>
      </c>
      <c r="M194">
        <v>1.39</v>
      </c>
      <c r="N194">
        <v>1.35</v>
      </c>
      <c r="O194">
        <f t="shared" si="14"/>
        <v>0</v>
      </c>
      <c r="P194">
        <v>0.60699999999999998</v>
      </c>
      <c r="Q194" t="s">
        <v>1706</v>
      </c>
      <c r="R194">
        <f t="shared" si="15"/>
        <v>8</v>
      </c>
      <c r="U194">
        <v>10.383985578612499</v>
      </c>
      <c r="V194" s="17">
        <f t="shared" si="16"/>
        <v>91.902332912768486</v>
      </c>
      <c r="X194">
        <v>6</v>
      </c>
      <c r="Y194" s="72" t="str">
        <f>[1]!wss(AB194,"sec_status","cols=1;rows=1")</f>
        <v>L</v>
      </c>
      <c r="AB194" t="str">
        <f t="shared" si="17"/>
        <v>2325.HK</v>
      </c>
      <c r="AC194" s="50">
        <v>8.5</v>
      </c>
      <c r="AD194" s="50">
        <v>7.89</v>
      </c>
      <c r="AE194" s="50">
        <v>8.5</v>
      </c>
      <c r="AF194" s="50">
        <v>6.6</v>
      </c>
      <c r="AG194" t="s">
        <v>224</v>
      </c>
      <c r="AI194" t="s">
        <v>224</v>
      </c>
      <c r="AJ194">
        <v>0</v>
      </c>
    </row>
    <row r="195" spans="1:36" ht="25.5">
      <c r="A195" t="s">
        <v>641</v>
      </c>
      <c r="B195" t="s">
        <v>642</v>
      </c>
      <c r="C195" s="40">
        <v>45667</v>
      </c>
      <c r="D195" s="19">
        <f t="shared" si="12"/>
        <v>45665</v>
      </c>
      <c r="E195" s="17" t="s">
        <v>3583</v>
      </c>
      <c r="F195">
        <f t="shared" si="13"/>
        <v>0</v>
      </c>
      <c r="H195" t="s">
        <v>2240</v>
      </c>
      <c r="I195" s="50">
        <v>60.35</v>
      </c>
      <c r="J195" s="61">
        <v>55.65</v>
      </c>
      <c r="K195" s="61">
        <v>60.35</v>
      </c>
      <c r="L195">
        <v>1925104650</v>
      </c>
      <c r="M195">
        <v>38.6</v>
      </c>
      <c r="N195">
        <v>5999.96</v>
      </c>
      <c r="O195">
        <f t="shared" si="14"/>
        <v>1</v>
      </c>
      <c r="P195">
        <v>2.4039999999999999</v>
      </c>
      <c r="Q195" t="s">
        <v>2148</v>
      </c>
      <c r="R195">
        <f t="shared" si="15"/>
        <v>3</v>
      </c>
      <c r="U195">
        <v>-65.036768064397705</v>
      </c>
      <c r="V195" s="17">
        <f t="shared" si="16"/>
        <v>42.27021930832003</v>
      </c>
      <c r="X195">
        <v>6</v>
      </c>
      <c r="Y195" s="51" t="str">
        <f>[1]!wss(AB195,"sec_status","cols=1;rows=1")</f>
        <v/>
      </c>
      <c r="AB195" t="str">
        <f t="shared" si="17"/>
        <v>325.HK</v>
      </c>
      <c r="AC195" s="50">
        <v>85</v>
      </c>
      <c r="AD195" s="50">
        <v>109.6</v>
      </c>
      <c r="AE195" s="50">
        <v>109.9</v>
      </c>
      <c r="AF195" s="50">
        <v>84.9</v>
      </c>
      <c r="AG195" t="s">
        <v>224</v>
      </c>
      <c r="AI195" t="s">
        <v>224</v>
      </c>
      <c r="AJ195">
        <v>0</v>
      </c>
    </row>
    <row r="196" spans="1:36" ht="25.5">
      <c r="A196" t="s">
        <v>643</v>
      </c>
      <c r="B196" t="s">
        <v>644</v>
      </c>
      <c r="C196" s="40">
        <v>45476</v>
      </c>
      <c r="D196" s="19">
        <f t="shared" ref="D196:D259" si="18">IFERROR(IF(ISNUMBER($C196),$C196-2,DATEVALUE($C196)-2),"")</f>
        <v>45474</v>
      </c>
      <c r="E196" s="17" t="s">
        <v>3583</v>
      </c>
      <c r="F196">
        <f t="shared" ref="F196:F259" si="19">IF(AND(G196&lt;&gt;"",G196&lt;&gt;0),1,0)</f>
        <v>0</v>
      </c>
      <c r="H196" t="s">
        <v>2218</v>
      </c>
      <c r="I196" s="50">
        <v>7.5</v>
      </c>
      <c r="J196" s="61">
        <v>7.5</v>
      </c>
      <c r="K196" s="61">
        <v>9.3000000000000007</v>
      </c>
      <c r="L196">
        <v>125001000</v>
      </c>
      <c r="M196">
        <v>0.98</v>
      </c>
      <c r="N196">
        <v>118.87</v>
      </c>
      <c r="O196">
        <f t="shared" ref="O196:O259" si="20">IF(IFERROR(N196*1,0)&gt;=15,1,0)</f>
        <v>1</v>
      </c>
      <c r="P196">
        <v>0</v>
      </c>
      <c r="Q196" t="s">
        <v>1724</v>
      </c>
      <c r="R196">
        <f t="shared" ref="R196:R259" si="21">IF(Q196="",0,LEN(Q196)-LEN(SUBSTITUTE(Q196,",",""))+1)</f>
        <v>19</v>
      </c>
      <c r="U196">
        <v>9.1121527213127909</v>
      </c>
      <c r="V196" s="17">
        <f t="shared" ref="V196:V259" si="22">IFERROR((SUMIFS($U$3:$U$392,$H$3:$H$392,$H196,$U$3:$U$392,"&gt;0")-IF(IFERROR($U196,0)&gt;0,$U196,0))/(COUNTIFS($H$3:$H$392,$H196,$U$3:$U$392,"&gt;0")-IF(IFERROR($U196,0)&gt;0,1,0)),"")</f>
        <v>20.214907673480042</v>
      </c>
      <c r="X196">
        <v>12</v>
      </c>
      <c r="Y196" s="72" t="str">
        <f>[1]!wss(AB196,"sec_status","cols=1;rows=1")</f>
        <v>L</v>
      </c>
      <c r="AB196" t="str">
        <f t="shared" ref="AB196:AB259" si="23">IF(LEFT(A196,1)="0",MID(A196,2,99),A196)</f>
        <v>1354.HK</v>
      </c>
      <c r="AC196" s="50">
        <v>6.64</v>
      </c>
      <c r="AD196" s="50">
        <v>7.65</v>
      </c>
      <c r="AE196" s="50">
        <v>7.65</v>
      </c>
      <c r="AF196" s="50">
        <v>6.1</v>
      </c>
      <c r="AG196" t="s">
        <v>224</v>
      </c>
      <c r="AH196" t="s">
        <v>2293</v>
      </c>
      <c r="AI196" t="s">
        <v>224</v>
      </c>
      <c r="AJ196">
        <v>0</v>
      </c>
    </row>
    <row r="197" spans="1:36" ht="25.5">
      <c r="A197" t="s">
        <v>645</v>
      </c>
      <c r="B197" t="s">
        <v>646</v>
      </c>
      <c r="C197" s="40">
        <v>46001</v>
      </c>
      <c r="D197" s="19">
        <f t="shared" si="18"/>
        <v>45999</v>
      </c>
      <c r="E197" s="17" t="s">
        <v>3583</v>
      </c>
      <c r="F197">
        <f t="shared" si="19"/>
        <v>0</v>
      </c>
      <c r="H197" t="s">
        <v>2206</v>
      </c>
      <c r="I197" s="50">
        <v>10</v>
      </c>
      <c r="L197">
        <v>370816370</v>
      </c>
      <c r="M197">
        <v>0</v>
      </c>
      <c r="N197">
        <v>0</v>
      </c>
      <c r="O197">
        <f t="shared" si="20"/>
        <v>0</v>
      </c>
      <c r="P197">
        <v>0</v>
      </c>
      <c r="Q197" t="s">
        <v>1817</v>
      </c>
      <c r="R197">
        <f t="shared" si="21"/>
        <v>13</v>
      </c>
      <c r="U197">
        <v>-4.20193714185719</v>
      </c>
      <c r="V197" s="17">
        <f t="shared" si="22"/>
        <v>472.70515240668021</v>
      </c>
      <c r="Y197" s="72" t="str">
        <f>[1]!wss(AB197,"sec_status","cols=1;rows=1")</f>
        <v>L</v>
      </c>
      <c r="AB197" t="str">
        <f t="shared" si="23"/>
        <v>2665.HK</v>
      </c>
      <c r="AC197" s="50">
        <v>13.3</v>
      </c>
      <c r="AD197" s="50">
        <v>11</v>
      </c>
      <c r="AE197" s="50">
        <v>17.309999999999999</v>
      </c>
      <c r="AF197" s="50">
        <v>10</v>
      </c>
      <c r="AG197" t="s">
        <v>224</v>
      </c>
      <c r="AI197" t="s">
        <v>224</v>
      </c>
      <c r="AJ197">
        <v>0</v>
      </c>
    </row>
    <row r="198" spans="1:36" ht="25.5">
      <c r="A198" t="s">
        <v>647</v>
      </c>
      <c r="B198" t="s">
        <v>648</v>
      </c>
      <c r="C198" s="40">
        <v>45923</v>
      </c>
      <c r="D198" s="19">
        <f t="shared" si="18"/>
        <v>45921</v>
      </c>
      <c r="E198" s="17" t="s">
        <v>3583</v>
      </c>
      <c r="F198">
        <f t="shared" si="19"/>
        <v>0</v>
      </c>
      <c r="H198" t="s">
        <v>2260</v>
      </c>
      <c r="I198" s="50">
        <v>71.2</v>
      </c>
      <c r="J198" s="61">
        <v>62.01</v>
      </c>
      <c r="K198" s="61">
        <v>71.2</v>
      </c>
      <c r="L198">
        <v>781840080</v>
      </c>
      <c r="M198">
        <v>7.37</v>
      </c>
      <c r="N198">
        <v>3317.47</v>
      </c>
      <c r="O198">
        <f t="shared" si="20"/>
        <v>1</v>
      </c>
      <c r="P198">
        <v>0</v>
      </c>
      <c r="Q198" t="s">
        <v>1151</v>
      </c>
      <c r="R198">
        <f t="shared" si="21"/>
        <v>7</v>
      </c>
      <c r="U198">
        <v>102.255890920742</v>
      </c>
      <c r="V198" s="17">
        <f t="shared" si="22"/>
        <v>11.829040696666695</v>
      </c>
      <c r="X198">
        <v>6</v>
      </c>
      <c r="Y198" s="72" t="str">
        <f>[1]!wss(AB198,"sec_status","cols=1;rows=1")</f>
        <v>L</v>
      </c>
      <c r="AB198" t="str">
        <f t="shared" si="23"/>
        <v>6090.HK</v>
      </c>
      <c r="AC198" s="50">
        <v>102.5</v>
      </c>
      <c r="AD198" s="50">
        <v>100.4</v>
      </c>
      <c r="AE198" s="50">
        <v>105.8</v>
      </c>
      <c r="AF198" s="50">
        <v>88.1</v>
      </c>
      <c r="AG198" t="s">
        <v>224</v>
      </c>
      <c r="AI198" t="s">
        <v>224</v>
      </c>
      <c r="AJ198">
        <v>0</v>
      </c>
    </row>
    <row r="199" spans="1:36" ht="25.5">
      <c r="A199" t="s">
        <v>649</v>
      </c>
      <c r="B199" t="s">
        <v>650</v>
      </c>
      <c r="C199" s="40">
        <v>45471</v>
      </c>
      <c r="D199" s="19">
        <f t="shared" si="18"/>
        <v>45469</v>
      </c>
      <c r="E199" s="17" t="s">
        <v>3583</v>
      </c>
      <c r="F199">
        <f t="shared" si="19"/>
        <v>0</v>
      </c>
      <c r="H199" t="s">
        <v>2215</v>
      </c>
      <c r="I199" s="50">
        <v>6</v>
      </c>
      <c r="J199" s="61">
        <v>5</v>
      </c>
      <c r="K199" s="61">
        <v>7</v>
      </c>
      <c r="L199">
        <v>234546000</v>
      </c>
      <c r="M199">
        <v>1.28</v>
      </c>
      <c r="N199">
        <v>112.9</v>
      </c>
      <c r="O199">
        <f t="shared" si="20"/>
        <v>1</v>
      </c>
      <c r="P199">
        <v>0</v>
      </c>
      <c r="Q199" t="s">
        <v>1533</v>
      </c>
      <c r="R199">
        <f t="shared" si="21"/>
        <v>13</v>
      </c>
      <c r="U199">
        <v>17.992258357016201</v>
      </c>
      <c r="V199" s="17" t="str">
        <f t="shared" si="22"/>
        <v/>
      </c>
      <c r="Y199" s="72" t="str">
        <f>[1]!wss(AB199,"sec_status","cols=1;rows=1")</f>
        <v>L</v>
      </c>
      <c r="AB199" t="str">
        <f t="shared" si="23"/>
        <v>2559.HK</v>
      </c>
      <c r="AC199" s="50">
        <v>4.6500000000000004</v>
      </c>
      <c r="AD199" s="50">
        <v>5.23</v>
      </c>
      <c r="AE199" s="50">
        <v>5.9</v>
      </c>
      <c r="AF199" s="50">
        <v>4.6500000000000004</v>
      </c>
      <c r="AG199" t="s">
        <v>224</v>
      </c>
      <c r="AI199" t="s">
        <v>224</v>
      </c>
      <c r="AJ199">
        <v>0</v>
      </c>
    </row>
    <row r="200" spans="1:36" ht="25.5">
      <c r="A200" t="s">
        <v>651</v>
      </c>
      <c r="B200" t="s">
        <v>652</v>
      </c>
      <c r="C200" s="40">
        <v>45483</v>
      </c>
      <c r="D200" s="19">
        <f t="shared" si="18"/>
        <v>45481</v>
      </c>
      <c r="E200" s="17" t="s">
        <v>3583</v>
      </c>
      <c r="F200">
        <f t="shared" si="19"/>
        <v>0</v>
      </c>
      <c r="H200" t="s">
        <v>2206</v>
      </c>
      <c r="I200" s="50">
        <v>152.1</v>
      </c>
      <c r="J200" s="61">
        <v>152.1</v>
      </c>
      <c r="K200" s="61">
        <v>152.1</v>
      </c>
      <c r="L200">
        <v>679123458</v>
      </c>
      <c r="M200">
        <v>1.24</v>
      </c>
      <c r="N200">
        <v>3.51</v>
      </c>
      <c r="O200">
        <f t="shared" si="20"/>
        <v>0</v>
      </c>
      <c r="P200">
        <v>0.11650000000000001</v>
      </c>
      <c r="Q200" t="s">
        <v>2168</v>
      </c>
      <c r="R200">
        <f t="shared" si="21"/>
        <v>21</v>
      </c>
      <c r="U200">
        <v>-144.65922066668199</v>
      </c>
      <c r="V200" s="17">
        <f t="shared" si="22"/>
        <v>472.70515240668021</v>
      </c>
      <c r="X200">
        <v>6</v>
      </c>
      <c r="Y200" s="72" t="str">
        <f>[1]!wss(AB200,"sec_status","cols=1;rows=1")</f>
        <v>L</v>
      </c>
      <c r="AB200" t="str">
        <f t="shared" si="23"/>
        <v>2495.HK</v>
      </c>
      <c r="AC200" s="50">
        <v>135</v>
      </c>
      <c r="AD200" s="50">
        <v>135</v>
      </c>
      <c r="AE200" s="50">
        <v>139.9</v>
      </c>
      <c r="AF200" s="50">
        <v>121</v>
      </c>
      <c r="AG200" t="s">
        <v>224</v>
      </c>
      <c r="AH200" t="s">
        <v>2293</v>
      </c>
      <c r="AI200" t="s">
        <v>224</v>
      </c>
      <c r="AJ200">
        <v>0</v>
      </c>
    </row>
    <row r="201" spans="1:36" ht="25.5">
      <c r="A201" t="s">
        <v>653</v>
      </c>
      <c r="B201" t="s">
        <v>654</v>
      </c>
      <c r="C201" s="40">
        <v>46021</v>
      </c>
      <c r="D201" s="19">
        <f t="shared" si="18"/>
        <v>46019</v>
      </c>
      <c r="E201" s="17" t="s">
        <v>3583</v>
      </c>
      <c r="F201">
        <f t="shared" si="19"/>
        <v>0</v>
      </c>
      <c r="H201" t="s">
        <v>2225</v>
      </c>
      <c r="I201" s="50">
        <v>77.77</v>
      </c>
      <c r="J201" s="61">
        <v>77.77</v>
      </c>
      <c r="K201" s="61">
        <v>77.77</v>
      </c>
      <c r="L201">
        <v>1249095078</v>
      </c>
      <c r="M201">
        <v>19.79</v>
      </c>
      <c r="N201">
        <v>1235.81</v>
      </c>
      <c r="O201">
        <f t="shared" si="20"/>
        <v>1</v>
      </c>
      <c r="P201">
        <v>1.585</v>
      </c>
      <c r="Q201" t="s">
        <v>1213</v>
      </c>
      <c r="R201">
        <f t="shared" si="21"/>
        <v>2</v>
      </c>
      <c r="U201">
        <v>53.8361036070634</v>
      </c>
      <c r="V201" s="17">
        <f t="shared" si="22"/>
        <v>20.763032169033153</v>
      </c>
      <c r="X201">
        <v>6</v>
      </c>
      <c r="Y201" s="72" t="str">
        <f>[1]!wss(AB201,"sec_status","cols=1;rows=1")</f>
        <v>L</v>
      </c>
      <c r="AB201" t="str">
        <f t="shared" si="23"/>
        <v>2657.HK</v>
      </c>
      <c r="AC201" s="50">
        <v>85</v>
      </c>
      <c r="AD201" s="50">
        <v>85</v>
      </c>
      <c r="AE201" s="50">
        <v>91.65</v>
      </c>
      <c r="AF201" s="50">
        <v>85</v>
      </c>
      <c r="AG201" t="s">
        <v>224</v>
      </c>
      <c r="AH201" t="s">
        <v>2293</v>
      </c>
      <c r="AI201" t="s">
        <v>224</v>
      </c>
      <c r="AJ201">
        <v>0</v>
      </c>
    </row>
    <row r="202" spans="1:36">
      <c r="A202" t="s">
        <v>655</v>
      </c>
      <c r="B202" t="s">
        <v>656</v>
      </c>
      <c r="C202" s="40">
        <v>44938</v>
      </c>
      <c r="D202" s="19">
        <f t="shared" si="18"/>
        <v>44936</v>
      </c>
      <c r="E202" s="17" t="s">
        <v>3582</v>
      </c>
      <c r="F202">
        <f t="shared" si="19"/>
        <v>1</v>
      </c>
      <c r="G202" t="s">
        <v>657</v>
      </c>
      <c r="H202" t="s">
        <v>2266</v>
      </c>
      <c r="I202" s="50">
        <v>60</v>
      </c>
      <c r="J202" s="61">
        <v>60</v>
      </c>
      <c r="K202" s="61">
        <v>76</v>
      </c>
      <c r="L202">
        <v>1097907000</v>
      </c>
      <c r="M202">
        <v>1.84</v>
      </c>
      <c r="N202">
        <v>0.28999999999999998</v>
      </c>
      <c r="O202">
        <f t="shared" si="20"/>
        <v>0</v>
      </c>
      <c r="P202">
        <v>0.39200000000000002</v>
      </c>
      <c r="Q202" t="s">
        <v>2107</v>
      </c>
      <c r="R202">
        <f t="shared" si="21"/>
        <v>9</v>
      </c>
      <c r="U202">
        <v>-39.386967518204003</v>
      </c>
      <c r="V202" s="17" t="str">
        <f t="shared" si="22"/>
        <v/>
      </c>
      <c r="X202">
        <v>6</v>
      </c>
      <c r="Y202" s="72" t="str">
        <f>[1]!wss(AB202,"sec_status","cols=1;rows=1")</f>
        <v>L</v>
      </c>
      <c r="AB202" t="str">
        <f t="shared" si="23"/>
        <v>2402.HK</v>
      </c>
      <c r="AC202" s="50">
        <v>60</v>
      </c>
      <c r="AD202" s="50">
        <v>60</v>
      </c>
      <c r="AE202" s="50">
        <v>60.5</v>
      </c>
      <c r="AF202" s="50">
        <v>58.45</v>
      </c>
      <c r="AG202" t="s">
        <v>224</v>
      </c>
      <c r="AH202" t="s">
        <v>2293</v>
      </c>
      <c r="AI202" t="s">
        <v>224</v>
      </c>
      <c r="AJ202">
        <v>0</v>
      </c>
    </row>
    <row r="203" spans="1:36" ht="25.5">
      <c r="A203" t="s">
        <v>658</v>
      </c>
      <c r="B203" t="s">
        <v>659</v>
      </c>
      <c r="C203" s="40">
        <v>45996</v>
      </c>
      <c r="D203" s="19">
        <f t="shared" si="18"/>
        <v>45994</v>
      </c>
      <c r="E203" s="17" t="s">
        <v>3583</v>
      </c>
      <c r="F203">
        <f t="shared" si="19"/>
        <v>0</v>
      </c>
      <c r="H203" t="s">
        <v>2207</v>
      </c>
      <c r="I203" s="50">
        <v>7.04</v>
      </c>
      <c r="J203" s="61">
        <v>5.64</v>
      </c>
      <c r="K203" s="61">
        <v>7.04</v>
      </c>
      <c r="L203">
        <v>685446080</v>
      </c>
      <c r="M203">
        <v>4.99</v>
      </c>
      <c r="N203">
        <v>425.97</v>
      </c>
      <c r="O203">
        <f t="shared" si="20"/>
        <v>1</v>
      </c>
      <c r="P203">
        <v>0</v>
      </c>
      <c r="Q203" t="s">
        <v>1179</v>
      </c>
      <c r="R203">
        <f t="shared" si="21"/>
        <v>11</v>
      </c>
      <c r="U203">
        <v>76.329688704759107</v>
      </c>
      <c r="V203" s="17">
        <f t="shared" si="22"/>
        <v>14.919190995686854</v>
      </c>
      <c r="X203">
        <v>6</v>
      </c>
      <c r="Y203" s="72" t="str">
        <f>[1]!wss(AB203,"sec_status","cols=1;rows=1")</f>
        <v>L</v>
      </c>
      <c r="AB203" t="str">
        <f t="shared" si="23"/>
        <v>2408.HK</v>
      </c>
      <c r="AC203" s="50">
        <v>5.08</v>
      </c>
      <c r="AD203" s="50">
        <v>5</v>
      </c>
      <c r="AE203" s="50">
        <v>5.5</v>
      </c>
      <c r="AF203" s="50">
        <v>4.9800000000000004</v>
      </c>
      <c r="AG203" t="s">
        <v>224</v>
      </c>
      <c r="AH203" t="s">
        <v>2293</v>
      </c>
      <c r="AI203" t="s">
        <v>224</v>
      </c>
      <c r="AJ203">
        <v>0</v>
      </c>
    </row>
    <row r="204" spans="1:36" ht="25.5">
      <c r="A204" t="s">
        <v>660</v>
      </c>
      <c r="B204" t="s">
        <v>661</v>
      </c>
      <c r="C204" s="40">
        <v>46090</v>
      </c>
      <c r="D204" s="19">
        <f t="shared" si="18"/>
        <v>46088</v>
      </c>
      <c r="E204" s="17" t="s">
        <v>3583</v>
      </c>
      <c r="F204">
        <f t="shared" si="19"/>
        <v>0</v>
      </c>
      <c r="H204" t="s">
        <v>2258</v>
      </c>
      <c r="I204" s="50">
        <v>11</v>
      </c>
      <c r="J204" s="61">
        <v>11</v>
      </c>
      <c r="K204" s="61">
        <v>14</v>
      </c>
      <c r="L204">
        <v>223696000</v>
      </c>
      <c r="M204">
        <v>4.2</v>
      </c>
      <c r="N204">
        <v>5297.23</v>
      </c>
      <c r="O204">
        <f t="shared" si="20"/>
        <v>1</v>
      </c>
      <c r="P204">
        <v>0</v>
      </c>
      <c r="Q204" t="s">
        <v>1444</v>
      </c>
      <c r="R204">
        <f t="shared" si="21"/>
        <v>11</v>
      </c>
      <c r="U204">
        <v>22.939678013661101</v>
      </c>
      <c r="V204" s="17">
        <f t="shared" si="22"/>
        <v>14.072517838253649</v>
      </c>
      <c r="Y204" s="72" t="str">
        <f>[1]!wss(AB204,"sec_status","cols=1;rows=1")</f>
        <v>L</v>
      </c>
      <c r="AB204" t="str">
        <f t="shared" si="23"/>
        <v>2649.HK</v>
      </c>
      <c r="AC204" s="50">
        <v>6.2</v>
      </c>
      <c r="AD204" s="50">
        <v>7.5</v>
      </c>
      <c r="AE204" s="50">
        <v>7.9</v>
      </c>
      <c r="AF204" s="50">
        <v>6</v>
      </c>
      <c r="AG204" t="s">
        <v>224</v>
      </c>
      <c r="AH204" t="s">
        <v>2293</v>
      </c>
      <c r="AI204" t="s">
        <v>224</v>
      </c>
      <c r="AJ204">
        <v>0</v>
      </c>
    </row>
    <row r="205" spans="1:36" ht="25.5">
      <c r="A205" t="s">
        <v>662</v>
      </c>
      <c r="B205" t="s">
        <v>663</v>
      </c>
      <c r="C205" s="40">
        <v>44943</v>
      </c>
      <c r="D205" s="19">
        <f t="shared" si="18"/>
        <v>44941</v>
      </c>
      <c r="E205" s="17" t="s">
        <v>3583</v>
      </c>
      <c r="F205">
        <f t="shared" si="19"/>
        <v>0</v>
      </c>
      <c r="H205" t="s">
        <v>2218</v>
      </c>
      <c r="I205" s="50">
        <v>1.7</v>
      </c>
      <c r="J205" s="61">
        <v>1.7</v>
      </c>
      <c r="K205" s="61">
        <v>2</v>
      </c>
      <c r="L205">
        <v>127500000</v>
      </c>
      <c r="M205">
        <v>1.29</v>
      </c>
      <c r="N205">
        <v>8.74</v>
      </c>
      <c r="O205">
        <f t="shared" si="20"/>
        <v>0</v>
      </c>
      <c r="P205">
        <v>0</v>
      </c>
      <c r="Q205" t="s">
        <v>1720</v>
      </c>
      <c r="R205">
        <f t="shared" si="21"/>
        <v>15</v>
      </c>
      <c r="U205">
        <v>9.4125507900677192</v>
      </c>
      <c r="V205" s="17">
        <f t="shared" si="22"/>
        <v>20.181530110285049</v>
      </c>
      <c r="X205">
        <v>6</v>
      </c>
      <c r="Y205" s="72" t="str">
        <f>[1]!wss(AB205,"sec_status","cols=1;rows=1")</f>
        <v>L</v>
      </c>
      <c r="AB205" t="str">
        <f t="shared" si="23"/>
        <v>2455.HK</v>
      </c>
      <c r="AC205" s="50">
        <v>1.26</v>
      </c>
      <c r="AD205" s="50">
        <v>1.38</v>
      </c>
      <c r="AE205" s="50">
        <v>1.4</v>
      </c>
      <c r="AF205" s="50">
        <v>1.26</v>
      </c>
      <c r="AG205" t="s">
        <v>224</v>
      </c>
      <c r="AI205" t="s">
        <v>224</v>
      </c>
      <c r="AJ205">
        <v>0</v>
      </c>
    </row>
    <row r="206" spans="1:36" ht="25.5">
      <c r="A206" t="s">
        <v>664</v>
      </c>
      <c r="B206" t="s">
        <v>665</v>
      </c>
      <c r="C206" s="40">
        <v>44945</v>
      </c>
      <c r="D206" s="19">
        <f t="shared" si="18"/>
        <v>44943</v>
      </c>
      <c r="E206" s="17" t="s">
        <v>3583</v>
      </c>
      <c r="F206">
        <f t="shared" si="19"/>
        <v>0</v>
      </c>
      <c r="H206" t="s">
        <v>2237</v>
      </c>
      <c r="I206" s="50">
        <v>4.08</v>
      </c>
      <c r="J206" s="61">
        <v>3.91</v>
      </c>
      <c r="K206" s="61">
        <v>5.0599999999999996</v>
      </c>
      <c r="L206">
        <v>497274480</v>
      </c>
      <c r="M206">
        <v>1.29</v>
      </c>
      <c r="N206">
        <v>28.68</v>
      </c>
      <c r="O206">
        <f t="shared" si="20"/>
        <v>1</v>
      </c>
      <c r="P206">
        <v>7.0999999999999994E-2</v>
      </c>
      <c r="Q206" t="s">
        <v>1735</v>
      </c>
      <c r="R206">
        <f t="shared" si="21"/>
        <v>13</v>
      </c>
      <c r="U206">
        <v>8.6204069943329706</v>
      </c>
      <c r="V206" s="17">
        <f t="shared" si="22"/>
        <v>134.260898262827</v>
      </c>
      <c r="X206">
        <v>6</v>
      </c>
      <c r="Y206" s="72" t="str">
        <f>[1]!wss(AB206,"sec_status","cols=1;rows=1")</f>
        <v>L</v>
      </c>
      <c r="AB206" t="str">
        <f t="shared" si="23"/>
        <v>2306.HK</v>
      </c>
      <c r="AC206" s="50">
        <v>6.03</v>
      </c>
      <c r="AD206" s="50">
        <v>5.6</v>
      </c>
      <c r="AE206" s="50">
        <v>6.48</v>
      </c>
      <c r="AF206" s="50">
        <v>5.3</v>
      </c>
      <c r="AG206" t="s">
        <v>224</v>
      </c>
      <c r="AI206" t="s">
        <v>224</v>
      </c>
      <c r="AJ206">
        <v>0</v>
      </c>
    </row>
    <row r="207" spans="1:36" ht="25.5">
      <c r="A207" t="s">
        <v>666</v>
      </c>
      <c r="B207" t="s">
        <v>667</v>
      </c>
      <c r="C207" s="40">
        <v>44736</v>
      </c>
      <c r="D207" s="19">
        <f t="shared" si="18"/>
        <v>44734</v>
      </c>
      <c r="E207" s="17" t="s">
        <v>3583</v>
      </c>
      <c r="F207">
        <f t="shared" si="19"/>
        <v>0</v>
      </c>
      <c r="H207" t="s">
        <v>2242</v>
      </c>
      <c r="I207" s="50">
        <v>21.5</v>
      </c>
      <c r="J207" s="61">
        <v>21.5</v>
      </c>
      <c r="K207" s="61">
        <v>21.5</v>
      </c>
      <c r="L207">
        <v>670800000</v>
      </c>
      <c r="M207">
        <v>1.4</v>
      </c>
      <c r="N207">
        <v>4.05</v>
      </c>
      <c r="O207">
        <f t="shared" si="20"/>
        <v>0</v>
      </c>
      <c r="P207">
        <v>0</v>
      </c>
      <c r="Q207" t="s">
        <v>1921</v>
      </c>
      <c r="R207">
        <f t="shared" si="21"/>
        <v>4</v>
      </c>
      <c r="U207">
        <v>-12.3961134011883</v>
      </c>
      <c r="V207" s="17">
        <f t="shared" si="22"/>
        <v>22.662063541015083</v>
      </c>
      <c r="Y207" s="72" t="str">
        <f>[1]!wss(AB207,"sec_status","cols=1;rows=1")</f>
        <v>L</v>
      </c>
      <c r="AB207" t="str">
        <f t="shared" si="23"/>
        <v>2246.HK</v>
      </c>
      <c r="AC207" s="50">
        <v>16.72</v>
      </c>
      <c r="AD207" s="50">
        <v>21.5</v>
      </c>
      <c r="AE207" s="50">
        <v>23.15</v>
      </c>
      <c r="AF207" s="50">
        <v>16.72</v>
      </c>
      <c r="AG207" t="s">
        <v>224</v>
      </c>
      <c r="AI207" t="s">
        <v>224</v>
      </c>
      <c r="AJ207">
        <v>0</v>
      </c>
    </row>
    <row r="208" spans="1:36" ht="25.5">
      <c r="A208" t="s">
        <v>668</v>
      </c>
      <c r="B208" t="s">
        <v>669</v>
      </c>
      <c r="C208" s="40">
        <v>45029</v>
      </c>
      <c r="D208" s="19">
        <f t="shared" si="18"/>
        <v>45027</v>
      </c>
      <c r="E208" s="17" t="s">
        <v>3583</v>
      </c>
      <c r="F208">
        <f t="shared" si="19"/>
        <v>0</v>
      </c>
      <c r="H208" t="s">
        <v>2213</v>
      </c>
      <c r="I208" s="50">
        <v>29.7</v>
      </c>
      <c r="J208" s="61">
        <v>29.7</v>
      </c>
      <c r="K208" s="61">
        <v>29.7</v>
      </c>
      <c r="L208">
        <v>238906800</v>
      </c>
      <c r="M208">
        <v>1.51</v>
      </c>
      <c r="N208">
        <v>16.57</v>
      </c>
      <c r="O208">
        <f t="shared" si="20"/>
        <v>1</v>
      </c>
      <c r="P208">
        <v>0</v>
      </c>
      <c r="Q208" t="s">
        <v>1123</v>
      </c>
      <c r="R208">
        <f t="shared" si="21"/>
        <v>2</v>
      </c>
      <c r="U208">
        <v>-9.0264097222344102</v>
      </c>
      <c r="V208" s="17">
        <f t="shared" si="22"/>
        <v>232.63242867319829</v>
      </c>
      <c r="Y208" s="72" t="str">
        <f>[1]!wss(AB208,"sec_status","cols=1;rows=1")</f>
        <v>L</v>
      </c>
      <c r="AB208" t="str">
        <f t="shared" si="23"/>
        <v>9669.HK</v>
      </c>
      <c r="AC208" s="50">
        <v>26.1</v>
      </c>
      <c r="AD208" s="50">
        <v>29.6</v>
      </c>
      <c r="AE208" s="50">
        <v>29.8</v>
      </c>
      <c r="AF208" s="50">
        <v>19.02</v>
      </c>
      <c r="AG208" t="s">
        <v>224</v>
      </c>
      <c r="AI208" t="s">
        <v>224</v>
      </c>
      <c r="AJ208">
        <v>0</v>
      </c>
    </row>
    <row r="209" spans="1:36" ht="25.5">
      <c r="A209" t="s">
        <v>670</v>
      </c>
      <c r="B209" t="s">
        <v>671</v>
      </c>
      <c r="C209" s="40">
        <v>44722</v>
      </c>
      <c r="D209" s="19">
        <f t="shared" si="18"/>
        <v>44720</v>
      </c>
      <c r="E209" s="17" t="s">
        <v>3583</v>
      </c>
      <c r="F209">
        <f t="shared" si="19"/>
        <v>0</v>
      </c>
      <c r="H209" t="s">
        <v>2239</v>
      </c>
      <c r="I209" s="50">
        <v>2.1</v>
      </c>
      <c r="J209" s="61">
        <v>2.1</v>
      </c>
      <c r="K209" s="61">
        <v>2.6</v>
      </c>
      <c r="L209">
        <v>115500000</v>
      </c>
      <c r="M209">
        <v>1.23</v>
      </c>
      <c r="N209">
        <v>8.3699999999999992</v>
      </c>
      <c r="O209">
        <f t="shared" si="20"/>
        <v>0</v>
      </c>
      <c r="P209">
        <v>0</v>
      </c>
      <c r="Q209" t="s">
        <v>1280</v>
      </c>
      <c r="R209">
        <f t="shared" si="21"/>
        <v>15</v>
      </c>
      <c r="U209">
        <v>36.543347370619202</v>
      </c>
      <c r="V209" s="17">
        <f t="shared" si="22"/>
        <v>24.680220146474753</v>
      </c>
      <c r="Y209" s="72" t="str">
        <f>[1]!wss(AB209,"sec_status","cols=1;rows=1")</f>
        <v>L</v>
      </c>
      <c r="AB209" t="str">
        <f t="shared" si="23"/>
        <v>2347.HK</v>
      </c>
      <c r="AC209" s="50">
        <v>2.1</v>
      </c>
      <c r="AD209" s="50">
        <v>2.2799999999999998</v>
      </c>
      <c r="AE209" s="50">
        <v>2.4500000000000002</v>
      </c>
      <c r="AF209" s="50">
        <v>2</v>
      </c>
      <c r="AG209" t="s">
        <v>224</v>
      </c>
      <c r="AI209" t="s">
        <v>224</v>
      </c>
      <c r="AJ209">
        <v>0</v>
      </c>
    </row>
    <row r="210" spans="1:36" ht="25.5">
      <c r="A210" t="s">
        <v>672</v>
      </c>
      <c r="B210" t="s">
        <v>673</v>
      </c>
      <c r="C210" s="40">
        <v>45838</v>
      </c>
      <c r="D210" s="19">
        <f t="shared" si="18"/>
        <v>45836</v>
      </c>
      <c r="E210" s="17" t="s">
        <v>3583</v>
      </c>
      <c r="F210">
        <f t="shared" si="19"/>
        <v>0</v>
      </c>
      <c r="H210" t="s">
        <v>2206</v>
      </c>
      <c r="I210" s="50">
        <v>205</v>
      </c>
      <c r="J210" s="61">
        <v>165</v>
      </c>
      <c r="K210" s="61">
        <v>205</v>
      </c>
      <c r="L210">
        <v>367999600</v>
      </c>
      <c r="M210">
        <v>1.7</v>
      </c>
      <c r="N210">
        <v>91.66</v>
      </c>
      <c r="O210">
        <f t="shared" si="20"/>
        <v>1</v>
      </c>
      <c r="P210">
        <v>0.45600000000000002</v>
      </c>
      <c r="Q210" t="s">
        <v>2070</v>
      </c>
      <c r="R210">
        <f t="shared" si="21"/>
        <v>7</v>
      </c>
      <c r="U210">
        <v>-29.7761886474268</v>
      </c>
      <c r="V210" s="17">
        <f t="shared" si="22"/>
        <v>472.70515240668021</v>
      </c>
      <c r="X210">
        <v>12</v>
      </c>
      <c r="Y210" s="72" t="str">
        <f>[1]!wss(AB210,"sec_status","cols=1;rows=1")</f>
        <v>L</v>
      </c>
      <c r="AB210" t="str">
        <f t="shared" si="23"/>
        <v>9678.HK</v>
      </c>
      <c r="AC210" s="50">
        <v>296.39999999999998</v>
      </c>
      <c r="AD210" s="50">
        <v>205</v>
      </c>
      <c r="AE210" s="50">
        <v>319.8</v>
      </c>
      <c r="AF210" s="50">
        <v>198</v>
      </c>
      <c r="AG210" t="s">
        <v>224</v>
      </c>
      <c r="AH210" t="s">
        <v>2293</v>
      </c>
      <c r="AI210" t="s">
        <v>224</v>
      </c>
      <c r="AJ210">
        <v>0</v>
      </c>
    </row>
    <row r="211" spans="1:36" ht="25.5">
      <c r="A211" t="s">
        <v>674</v>
      </c>
      <c r="B211" t="s">
        <v>675</v>
      </c>
      <c r="C211" s="40">
        <v>44797</v>
      </c>
      <c r="D211" s="19">
        <f t="shared" si="18"/>
        <v>44795</v>
      </c>
      <c r="E211" s="17" t="s">
        <v>3583</v>
      </c>
      <c r="F211">
        <f t="shared" si="19"/>
        <v>0</v>
      </c>
      <c r="H211" t="s">
        <v>2218</v>
      </c>
      <c r="I211" s="50">
        <v>8.6</v>
      </c>
      <c r="J211" s="61">
        <v>8.6</v>
      </c>
      <c r="K211" s="61">
        <v>9.6</v>
      </c>
      <c r="L211">
        <v>224004200</v>
      </c>
      <c r="M211">
        <v>1.2</v>
      </c>
      <c r="N211">
        <v>0.71</v>
      </c>
      <c r="O211">
        <f t="shared" si="20"/>
        <v>0</v>
      </c>
      <c r="P211">
        <v>8.7800000000000003E-2</v>
      </c>
      <c r="Q211" t="s">
        <v>1621</v>
      </c>
      <c r="R211">
        <f t="shared" si="21"/>
        <v>9</v>
      </c>
      <c r="U211">
        <v>12.6771116920581</v>
      </c>
      <c r="V211" s="17">
        <f t="shared" si="22"/>
        <v>19.818801121175007</v>
      </c>
      <c r="X211">
        <v>6</v>
      </c>
      <c r="Y211" s="72" t="str">
        <f>[1]!wss(AB211,"sec_status","cols=1;rows=1")</f>
        <v>L</v>
      </c>
      <c r="AB211" t="str">
        <f t="shared" si="23"/>
        <v>2152.HK</v>
      </c>
      <c r="AC211" s="50">
        <v>8.59</v>
      </c>
      <c r="AD211" s="50">
        <v>8.1999999999999993</v>
      </c>
      <c r="AE211" s="50">
        <v>8.6199999999999992</v>
      </c>
      <c r="AF211" s="50">
        <v>8</v>
      </c>
      <c r="AG211" t="s">
        <v>224</v>
      </c>
      <c r="AH211" t="s">
        <v>2293</v>
      </c>
      <c r="AI211" t="s">
        <v>224</v>
      </c>
      <c r="AJ211">
        <v>0</v>
      </c>
    </row>
    <row r="212" spans="1:36" ht="25.5">
      <c r="A212" t="s">
        <v>676</v>
      </c>
      <c r="B212" t="s">
        <v>677</v>
      </c>
      <c r="C212" s="40">
        <v>45057</v>
      </c>
      <c r="D212" s="19">
        <f t="shared" si="18"/>
        <v>45055</v>
      </c>
      <c r="E212" s="17" t="s">
        <v>3583</v>
      </c>
      <c r="F212">
        <f t="shared" si="19"/>
        <v>0</v>
      </c>
      <c r="H212" t="s">
        <v>2261</v>
      </c>
      <c r="I212" s="50">
        <v>10.6</v>
      </c>
      <c r="J212" s="61">
        <v>10.6</v>
      </c>
      <c r="K212" s="61">
        <v>11.8</v>
      </c>
      <c r="L212">
        <v>265000000</v>
      </c>
      <c r="M212">
        <v>1.2</v>
      </c>
      <c r="N212">
        <v>2.2000000000000002</v>
      </c>
      <c r="O212">
        <f t="shared" si="20"/>
        <v>0</v>
      </c>
      <c r="P212">
        <v>0</v>
      </c>
      <c r="Q212" t="s">
        <v>1455</v>
      </c>
      <c r="R212">
        <f t="shared" si="21"/>
        <v>9</v>
      </c>
      <c r="U212">
        <v>22.494028117809599</v>
      </c>
      <c r="V212" s="17">
        <f t="shared" si="22"/>
        <v>64.804305774688856</v>
      </c>
      <c r="Y212" s="72" t="str">
        <f>[1]!wss(AB212,"sec_status","cols=1;rows=1")</f>
        <v>L</v>
      </c>
      <c r="AB212" t="str">
        <f t="shared" si="23"/>
        <v>2486.HK</v>
      </c>
      <c r="AC212" s="50">
        <v>7.99</v>
      </c>
      <c r="AD212" s="50">
        <v>10.4</v>
      </c>
      <c r="AE212" s="50">
        <v>10.4</v>
      </c>
      <c r="AF212" s="50">
        <v>6.8</v>
      </c>
      <c r="AG212" t="s">
        <v>224</v>
      </c>
      <c r="AI212" t="s">
        <v>224</v>
      </c>
      <c r="AJ212">
        <v>0</v>
      </c>
    </row>
    <row r="213" spans="1:36" ht="25.5">
      <c r="A213" t="s">
        <v>678</v>
      </c>
      <c r="B213" t="s">
        <v>679</v>
      </c>
      <c r="C213" s="40">
        <v>45670</v>
      </c>
      <c r="D213" s="19">
        <f t="shared" si="18"/>
        <v>45668</v>
      </c>
      <c r="E213" s="17" t="s">
        <v>3583</v>
      </c>
      <c r="F213">
        <f t="shared" si="19"/>
        <v>0</v>
      </c>
      <c r="H213" t="s">
        <v>2234</v>
      </c>
      <c r="I213" s="50">
        <v>1.27</v>
      </c>
      <c r="J213" s="61">
        <v>1.24</v>
      </c>
      <c r="K213" s="61">
        <v>1.64</v>
      </c>
      <c r="L213">
        <v>304800000</v>
      </c>
      <c r="M213">
        <v>1.01</v>
      </c>
      <c r="N213">
        <v>2.52</v>
      </c>
      <c r="O213">
        <f t="shared" si="20"/>
        <v>0</v>
      </c>
      <c r="P213">
        <v>0</v>
      </c>
      <c r="Q213" t="s">
        <v>1580</v>
      </c>
      <c r="R213">
        <f t="shared" si="21"/>
        <v>12</v>
      </c>
      <c r="U213">
        <v>13.8154555162367</v>
      </c>
      <c r="V213" s="17">
        <f t="shared" si="22"/>
        <v>17.905005409778955</v>
      </c>
      <c r="Y213" s="51" t="str">
        <f>[1]!wss(AB213,"sec_status","cols=1;rows=1")</f>
        <v/>
      </c>
      <c r="AB213" t="str">
        <f t="shared" si="23"/>
        <v>805.HK</v>
      </c>
      <c r="AC213" s="50">
        <v>0.98</v>
      </c>
      <c r="AD213" s="50">
        <v>0.98</v>
      </c>
      <c r="AE213" s="50">
        <v>1.23</v>
      </c>
      <c r="AF213" s="50">
        <v>0.9</v>
      </c>
      <c r="AG213" t="s">
        <v>224</v>
      </c>
      <c r="AI213" t="s">
        <v>224</v>
      </c>
      <c r="AJ213">
        <v>0</v>
      </c>
    </row>
    <row r="214" spans="1:36">
      <c r="A214" t="s">
        <v>680</v>
      </c>
      <c r="B214" t="s">
        <v>681</v>
      </c>
      <c r="C214" s="40">
        <v>44805</v>
      </c>
      <c r="D214" s="19">
        <f t="shared" si="18"/>
        <v>44803</v>
      </c>
      <c r="E214" s="17" t="s">
        <v>3586</v>
      </c>
      <c r="F214">
        <f t="shared" si="19"/>
        <v>1</v>
      </c>
      <c r="G214" t="s">
        <v>682</v>
      </c>
      <c r="H214" t="s">
        <v>2227</v>
      </c>
      <c r="I214" s="50">
        <v>25.22</v>
      </c>
      <c r="K214" s="61">
        <v>25.22</v>
      </c>
      <c r="L214">
        <v>617095570</v>
      </c>
      <c r="M214">
        <v>1.6</v>
      </c>
      <c r="N214">
        <v>5.93</v>
      </c>
      <c r="O214">
        <f t="shared" si="20"/>
        <v>0</v>
      </c>
      <c r="P214">
        <v>0.65900000000000003</v>
      </c>
      <c r="Q214" t="s">
        <v>1947</v>
      </c>
      <c r="R214">
        <f t="shared" si="21"/>
        <v>8</v>
      </c>
      <c r="U214">
        <v>-14.992713103732999</v>
      </c>
      <c r="V214" s="17">
        <f t="shared" si="22"/>
        <v>64.729550468049823</v>
      </c>
      <c r="X214">
        <v>6</v>
      </c>
      <c r="Y214" s="72" t="str">
        <f>[1]!wss(AB214,"sec_status","cols=1;rows=1")</f>
        <v>L</v>
      </c>
      <c r="AB214" t="str">
        <f t="shared" si="23"/>
        <v>2315.HK</v>
      </c>
      <c r="AC214" s="50">
        <v>26</v>
      </c>
      <c r="AD214" s="50">
        <v>26.3</v>
      </c>
      <c r="AE214" s="50">
        <v>28.8</v>
      </c>
      <c r="AF214" s="50">
        <v>25.45</v>
      </c>
      <c r="AG214" t="s">
        <v>224</v>
      </c>
      <c r="AH214" t="s">
        <v>2293</v>
      </c>
      <c r="AI214" t="s">
        <v>224</v>
      </c>
      <c r="AJ214">
        <v>1</v>
      </c>
    </row>
    <row r="215" spans="1:36" ht="25.5">
      <c r="A215" t="s">
        <v>683</v>
      </c>
      <c r="B215" t="s">
        <v>684</v>
      </c>
      <c r="C215" s="40">
        <v>45482</v>
      </c>
      <c r="D215" s="19">
        <f t="shared" si="18"/>
        <v>45480</v>
      </c>
      <c r="E215" s="17" t="s">
        <v>3583</v>
      </c>
      <c r="F215">
        <f t="shared" si="19"/>
        <v>0</v>
      </c>
      <c r="H215" t="s">
        <v>2213</v>
      </c>
      <c r="I215" s="50">
        <v>36</v>
      </c>
      <c r="J215" s="61">
        <v>36</v>
      </c>
      <c r="K215" s="61">
        <v>40</v>
      </c>
      <c r="L215">
        <v>333432000</v>
      </c>
      <c r="M215">
        <v>1.04</v>
      </c>
      <c r="N215">
        <v>6.58</v>
      </c>
      <c r="O215">
        <f t="shared" si="20"/>
        <v>0</v>
      </c>
      <c r="P215">
        <v>0</v>
      </c>
      <c r="Q215" t="s">
        <v>2016</v>
      </c>
      <c r="R215">
        <f t="shared" si="21"/>
        <v>9</v>
      </c>
      <c r="U215">
        <v>-20.587641404423898</v>
      </c>
      <c r="V215" s="17">
        <f t="shared" si="22"/>
        <v>232.63242867319829</v>
      </c>
      <c r="X215">
        <v>6</v>
      </c>
      <c r="Y215" s="72" t="str">
        <f>[1]!wss(AB215,"sec_status","cols=1;rows=1")</f>
        <v>L</v>
      </c>
      <c r="AB215" t="str">
        <f t="shared" si="23"/>
        <v>6657.HK</v>
      </c>
      <c r="AC215" s="50">
        <v>38.9</v>
      </c>
      <c r="AD215" s="50">
        <v>32</v>
      </c>
      <c r="AE215" s="50">
        <v>39.700000000000003</v>
      </c>
      <c r="AF215" s="50">
        <v>28</v>
      </c>
      <c r="AG215" t="s">
        <v>224</v>
      </c>
      <c r="AH215" t="s">
        <v>2293</v>
      </c>
      <c r="AI215" t="s">
        <v>224</v>
      </c>
      <c r="AJ215">
        <v>0</v>
      </c>
    </row>
    <row r="216" spans="1:36" ht="25.5">
      <c r="A216" t="s">
        <v>685</v>
      </c>
      <c r="B216" t="s">
        <v>686</v>
      </c>
      <c r="C216" s="40">
        <v>45008</v>
      </c>
      <c r="D216" s="19">
        <f t="shared" si="18"/>
        <v>45006</v>
      </c>
      <c r="E216" s="17" t="s">
        <v>3583</v>
      </c>
      <c r="F216">
        <f t="shared" si="19"/>
        <v>0</v>
      </c>
      <c r="H216" t="s">
        <v>2259</v>
      </c>
      <c r="I216" s="50"/>
      <c r="L216">
        <v>0</v>
      </c>
      <c r="M216">
        <v>0</v>
      </c>
      <c r="N216">
        <v>0</v>
      </c>
      <c r="O216">
        <f t="shared" si="20"/>
        <v>0</v>
      </c>
      <c r="P216">
        <v>0</v>
      </c>
      <c r="Q216">
        <v>0</v>
      </c>
      <c r="R216">
        <f t="shared" si="21"/>
        <v>1</v>
      </c>
      <c r="U216">
        <v>0</v>
      </c>
      <c r="V216" s="17" t="str">
        <f t="shared" si="22"/>
        <v/>
      </c>
      <c r="Y216" s="72" t="str">
        <f>[1]!wss(AB216,"sec_status","cols=1;rows=1")</f>
        <v>L</v>
      </c>
      <c r="AB216" t="str">
        <f t="shared" si="23"/>
        <v>2421.HK</v>
      </c>
      <c r="AC216" s="50">
        <v>1.6</v>
      </c>
      <c r="AD216" s="50">
        <v>1.76</v>
      </c>
      <c r="AE216" s="50">
        <v>2</v>
      </c>
      <c r="AF216" s="50">
        <v>1.49</v>
      </c>
      <c r="AG216" t="s">
        <v>224</v>
      </c>
      <c r="AI216" t="s">
        <v>224</v>
      </c>
      <c r="AJ216">
        <v>0</v>
      </c>
    </row>
    <row r="217" spans="1:36" ht="25.5">
      <c r="A217" t="s">
        <v>687</v>
      </c>
      <c r="B217" t="s">
        <v>688</v>
      </c>
      <c r="C217" s="40">
        <v>45265</v>
      </c>
      <c r="D217" s="19">
        <f t="shared" si="18"/>
        <v>45263</v>
      </c>
      <c r="E217" s="17" t="s">
        <v>3583</v>
      </c>
      <c r="F217">
        <f t="shared" si="19"/>
        <v>0</v>
      </c>
      <c r="H217" t="s">
        <v>2266</v>
      </c>
      <c r="I217" s="50">
        <v>19.66</v>
      </c>
      <c r="J217" s="61">
        <v>19.350000000000001</v>
      </c>
      <c r="K217" s="61">
        <v>21.35</v>
      </c>
      <c r="L217">
        <v>1563363200</v>
      </c>
      <c r="M217">
        <v>1.1299999999999999</v>
      </c>
      <c r="N217">
        <v>1.18</v>
      </c>
      <c r="O217">
        <f t="shared" si="20"/>
        <v>0</v>
      </c>
      <c r="P217">
        <v>0</v>
      </c>
      <c r="Q217" t="s">
        <v>2087</v>
      </c>
      <c r="R217">
        <f t="shared" si="21"/>
        <v>5</v>
      </c>
      <c r="U217">
        <v>-33.274154641958098</v>
      </c>
      <c r="V217" s="17" t="str">
        <f t="shared" si="22"/>
        <v/>
      </c>
      <c r="Y217" s="72" t="str">
        <f>[1]!wss(AB217,"sec_status","cols=1;rows=1")</f>
        <v>L</v>
      </c>
      <c r="AB217" t="str">
        <f t="shared" si="23"/>
        <v>9663.HK</v>
      </c>
      <c r="AC217" s="50">
        <v>19.8</v>
      </c>
      <c r="AD217" s="50">
        <v>16.5</v>
      </c>
      <c r="AE217" s="50">
        <v>19.88</v>
      </c>
      <c r="AF217" s="50">
        <v>14.4</v>
      </c>
      <c r="AG217" t="s">
        <v>224</v>
      </c>
      <c r="AH217" t="s">
        <v>2293</v>
      </c>
      <c r="AI217" t="s">
        <v>224</v>
      </c>
      <c r="AJ217">
        <v>0</v>
      </c>
    </row>
    <row r="218" spans="1:36" ht="25.5">
      <c r="A218" t="s">
        <v>689</v>
      </c>
      <c r="B218" t="s">
        <v>690</v>
      </c>
      <c r="C218" s="40">
        <v>45951</v>
      </c>
      <c r="D218" s="19">
        <f t="shared" si="18"/>
        <v>45949</v>
      </c>
      <c r="E218" s="17" t="s">
        <v>3583</v>
      </c>
      <c r="F218">
        <f t="shared" si="19"/>
        <v>0</v>
      </c>
      <c r="H218" t="s">
        <v>2213</v>
      </c>
      <c r="I218" s="50">
        <v>30.6</v>
      </c>
      <c r="J218" s="61">
        <v>30.6</v>
      </c>
      <c r="K218" s="61">
        <v>30.6</v>
      </c>
      <c r="L218">
        <v>2398767660</v>
      </c>
      <c r="M218">
        <v>22.89</v>
      </c>
      <c r="N218">
        <v>1952.95</v>
      </c>
      <c r="O218">
        <f t="shared" si="20"/>
        <v>1</v>
      </c>
      <c r="P218">
        <v>3.0030000000000001</v>
      </c>
      <c r="Q218" t="s">
        <v>1068</v>
      </c>
      <c r="R218">
        <f t="shared" si="21"/>
        <v>4</v>
      </c>
      <c r="U218">
        <v>993.46451821974995</v>
      </c>
      <c r="V218" s="17">
        <f t="shared" si="22"/>
        <v>80.466010763887951</v>
      </c>
      <c r="X218">
        <v>6</v>
      </c>
      <c r="Y218" s="72" t="str">
        <f>[1]!wss(AB218,"sec_status","cols=1;rows=1")</f>
        <v>L</v>
      </c>
      <c r="AB218" t="str">
        <f t="shared" si="23"/>
        <v>6687.HK</v>
      </c>
      <c r="AC218" s="50">
        <v>37.9</v>
      </c>
      <c r="AD218" s="50">
        <v>38</v>
      </c>
      <c r="AE218" s="50">
        <v>40.58</v>
      </c>
      <c r="AF218" s="50">
        <v>35.1</v>
      </c>
      <c r="AG218" t="s">
        <v>224</v>
      </c>
      <c r="AI218" t="s">
        <v>224</v>
      </c>
      <c r="AJ218">
        <v>0</v>
      </c>
    </row>
    <row r="219" spans="1:36" ht="25.5">
      <c r="A219" t="s">
        <v>691</v>
      </c>
      <c r="B219" t="s">
        <v>692</v>
      </c>
      <c r="C219" s="40">
        <v>45457</v>
      </c>
      <c r="D219" s="19">
        <f t="shared" si="18"/>
        <v>45455</v>
      </c>
      <c r="E219" s="17" t="s">
        <v>3583</v>
      </c>
      <c r="F219">
        <f t="shared" si="19"/>
        <v>0</v>
      </c>
      <c r="H219" t="s">
        <v>2251</v>
      </c>
      <c r="I219" s="50">
        <v>4.5999999999999996</v>
      </c>
      <c r="J219" s="61">
        <v>4.5999999999999996</v>
      </c>
      <c r="K219" s="61">
        <v>4.5999999999999996</v>
      </c>
      <c r="L219">
        <v>529000000</v>
      </c>
      <c r="M219">
        <v>1.0900000000000001</v>
      </c>
      <c r="N219">
        <v>25.79</v>
      </c>
      <c r="O219">
        <f t="shared" si="20"/>
        <v>1</v>
      </c>
      <c r="P219">
        <v>0</v>
      </c>
      <c r="Q219" t="s">
        <v>1121</v>
      </c>
      <c r="R219">
        <f t="shared" si="21"/>
        <v>11</v>
      </c>
      <c r="U219">
        <v>137.72617395676201</v>
      </c>
      <c r="V219" s="17">
        <f t="shared" si="22"/>
        <v>19.797966120941254</v>
      </c>
      <c r="Y219" s="72" t="str">
        <f>[1]!wss(AB219,"sec_status","cols=1;rows=1")</f>
        <v>L</v>
      </c>
      <c r="AB219" t="str">
        <f t="shared" si="23"/>
        <v>2512.HK</v>
      </c>
      <c r="AC219" s="50">
        <v>3.8</v>
      </c>
      <c r="AD219" s="50">
        <v>4.37</v>
      </c>
      <c r="AE219" s="50">
        <v>4.6500000000000004</v>
      </c>
      <c r="AF219" s="50">
        <v>3.66</v>
      </c>
      <c r="AG219" t="s">
        <v>224</v>
      </c>
      <c r="AI219" t="s">
        <v>224</v>
      </c>
      <c r="AJ219">
        <v>0</v>
      </c>
    </row>
    <row r="220" spans="1:36" ht="25.5">
      <c r="A220" t="s">
        <v>693</v>
      </c>
      <c r="B220" t="s">
        <v>694</v>
      </c>
      <c r="C220" s="40">
        <v>46059</v>
      </c>
      <c r="D220" s="19">
        <f t="shared" si="18"/>
        <v>46057</v>
      </c>
      <c r="E220" s="17" t="s">
        <v>3583</v>
      </c>
      <c r="F220">
        <f t="shared" si="19"/>
        <v>0</v>
      </c>
      <c r="H220" t="s">
        <v>2211</v>
      </c>
      <c r="I220" s="50">
        <v>59.9</v>
      </c>
      <c r="J220" s="61">
        <v>57.7</v>
      </c>
      <c r="K220" s="61">
        <v>66.599999999999994</v>
      </c>
      <c r="L220">
        <v>296271390</v>
      </c>
      <c r="M220">
        <v>5.79</v>
      </c>
      <c r="N220">
        <v>2730.73</v>
      </c>
      <c r="O220">
        <f t="shared" si="20"/>
        <v>1</v>
      </c>
      <c r="P220">
        <v>0.1128</v>
      </c>
      <c r="Q220" t="s">
        <v>1252</v>
      </c>
      <c r="R220">
        <f t="shared" si="21"/>
        <v>12</v>
      </c>
      <c r="U220">
        <v>42.615437743483099</v>
      </c>
      <c r="V220" s="17">
        <f t="shared" si="22"/>
        <v>31.604156916374148</v>
      </c>
      <c r="Y220" s="72" t="str">
        <f>[1]!wss(AB220,"sec_status","cols=1;rows=1")</f>
        <v>L</v>
      </c>
      <c r="AB220" t="str">
        <f t="shared" si="23"/>
        <v>2677.HK</v>
      </c>
      <c r="AC220" s="50">
        <v>67.900000000000006</v>
      </c>
      <c r="AD220" s="50">
        <v>81</v>
      </c>
      <c r="AE220" s="50">
        <v>90.85</v>
      </c>
      <c r="AF220" s="50">
        <v>65.150000000000006</v>
      </c>
      <c r="AG220" t="s">
        <v>224</v>
      </c>
      <c r="AI220" t="s">
        <v>224</v>
      </c>
      <c r="AJ220">
        <v>0</v>
      </c>
    </row>
    <row r="221" spans="1:36" ht="25.5">
      <c r="A221" t="s">
        <v>695</v>
      </c>
      <c r="B221" t="s">
        <v>696</v>
      </c>
      <c r="C221" s="40">
        <v>46031</v>
      </c>
      <c r="D221" s="19">
        <f t="shared" si="18"/>
        <v>46029</v>
      </c>
      <c r="E221" s="17" t="s">
        <v>3583</v>
      </c>
      <c r="F221">
        <f t="shared" si="19"/>
        <v>0</v>
      </c>
      <c r="H221" t="s">
        <v>2235</v>
      </c>
      <c r="I221" s="50">
        <v>30</v>
      </c>
      <c r="J221" s="61">
        <v>30</v>
      </c>
      <c r="K221" s="61">
        <v>30</v>
      </c>
      <c r="L221">
        <v>1268412000</v>
      </c>
      <c r="M221">
        <v>12.78</v>
      </c>
      <c r="N221">
        <v>143.46</v>
      </c>
      <c r="O221">
        <f t="shared" si="20"/>
        <v>1</v>
      </c>
      <c r="P221">
        <v>1.6373</v>
      </c>
      <c r="Q221" t="s">
        <v>1494</v>
      </c>
      <c r="R221">
        <f t="shared" si="21"/>
        <v>9</v>
      </c>
      <c r="U221">
        <v>20.181811642239101</v>
      </c>
      <c r="V221" s="17" t="str">
        <f t="shared" si="22"/>
        <v/>
      </c>
      <c r="X221">
        <v>36</v>
      </c>
      <c r="Y221" s="72" t="str">
        <f>[1]!wss(AB221,"sec_status","cols=1;rows=1")</f>
        <v>L</v>
      </c>
      <c r="AB221" t="str">
        <f t="shared" si="23"/>
        <v>3636.HK</v>
      </c>
      <c r="AC221" s="50">
        <v>37.799999999999997</v>
      </c>
      <c r="AD221" s="50">
        <v>38</v>
      </c>
      <c r="AE221" s="50">
        <v>39.119999999999997</v>
      </c>
      <c r="AF221" s="50">
        <v>36.1</v>
      </c>
      <c r="AG221" t="s">
        <v>224</v>
      </c>
      <c r="AH221" t="s">
        <v>2293</v>
      </c>
      <c r="AI221" t="s">
        <v>224</v>
      </c>
      <c r="AJ221">
        <v>0</v>
      </c>
    </row>
    <row r="222" spans="1:36" ht="25.5">
      <c r="A222" t="s">
        <v>697</v>
      </c>
      <c r="B222" t="s">
        <v>698</v>
      </c>
      <c r="C222" s="40">
        <v>45940</v>
      </c>
      <c r="D222" s="19">
        <f t="shared" si="18"/>
        <v>45938</v>
      </c>
      <c r="E222" s="17" t="s">
        <v>3583</v>
      </c>
      <c r="F222">
        <f t="shared" si="19"/>
        <v>0</v>
      </c>
      <c r="H222" t="s">
        <v>2224</v>
      </c>
      <c r="I222" s="50">
        <v>66.92</v>
      </c>
      <c r="J222" s="61">
        <v>66.92</v>
      </c>
      <c r="K222" s="61">
        <v>83.63</v>
      </c>
      <c r="L222">
        <v>400107988</v>
      </c>
      <c r="M222">
        <v>2.37</v>
      </c>
      <c r="N222">
        <v>5440.8</v>
      </c>
      <c r="O222">
        <f t="shared" si="20"/>
        <v>1</v>
      </c>
      <c r="P222">
        <v>0</v>
      </c>
      <c r="Q222" t="s">
        <v>1960</v>
      </c>
      <c r="R222">
        <f t="shared" si="21"/>
        <v>8</v>
      </c>
      <c r="U222">
        <v>-15.512966947814901</v>
      </c>
      <c r="V222" s="17">
        <f t="shared" si="22"/>
        <v>81.449285436046154</v>
      </c>
      <c r="Y222" s="72" t="str">
        <f>[1]!wss(AB222,"sec_status","cols=1;rows=1")</f>
        <v>L</v>
      </c>
      <c r="AB222" t="str">
        <f t="shared" si="23"/>
        <v>2650.HK</v>
      </c>
      <c r="AC222" s="50">
        <v>195.5</v>
      </c>
      <c r="AD222" s="50">
        <v>190</v>
      </c>
      <c r="AE222" s="50">
        <v>197</v>
      </c>
      <c r="AF222" s="50">
        <v>171.2</v>
      </c>
      <c r="AG222" t="s">
        <v>224</v>
      </c>
      <c r="AH222" t="s">
        <v>2293</v>
      </c>
      <c r="AI222" t="s">
        <v>224</v>
      </c>
      <c r="AJ222">
        <v>0</v>
      </c>
    </row>
    <row r="223" spans="1:36" ht="25.5">
      <c r="A223" t="s">
        <v>699</v>
      </c>
      <c r="B223" t="s">
        <v>700</v>
      </c>
      <c r="C223" s="40">
        <v>44757</v>
      </c>
      <c r="D223" s="19">
        <f t="shared" si="18"/>
        <v>44755</v>
      </c>
      <c r="E223" s="17" t="s">
        <v>3583</v>
      </c>
      <c r="F223">
        <f t="shared" si="19"/>
        <v>0</v>
      </c>
      <c r="H223" t="s">
        <v>2210</v>
      </c>
      <c r="I223" s="50">
        <v>24.64</v>
      </c>
      <c r="L223">
        <v>337568000</v>
      </c>
      <c r="M223">
        <v>2.14</v>
      </c>
      <c r="N223">
        <v>45.27</v>
      </c>
      <c r="O223">
        <f t="shared" si="20"/>
        <v>1</v>
      </c>
      <c r="P223">
        <v>0</v>
      </c>
      <c r="Q223" t="s">
        <v>1074</v>
      </c>
      <c r="R223">
        <f t="shared" si="21"/>
        <v>5</v>
      </c>
      <c r="U223">
        <v>485.64477904337599</v>
      </c>
      <c r="V223" s="17">
        <f t="shared" si="22"/>
        <v>54.22679133339058</v>
      </c>
      <c r="X223">
        <v>6</v>
      </c>
      <c r="Y223" s="72" t="str">
        <f>[1]!wss(AB223,"sec_status","cols=1;rows=1")</f>
        <v>L</v>
      </c>
      <c r="AB223" t="str">
        <f t="shared" si="23"/>
        <v>2172.HK</v>
      </c>
      <c r="AC223" s="50">
        <v>24.6</v>
      </c>
      <c r="AD223" s="50">
        <v>24.7</v>
      </c>
      <c r="AE223" s="50">
        <v>25.4</v>
      </c>
      <c r="AF223" s="50">
        <v>24.35</v>
      </c>
      <c r="AG223" t="s">
        <v>224</v>
      </c>
      <c r="AI223" t="s">
        <v>224</v>
      </c>
      <c r="AJ223">
        <v>0</v>
      </c>
    </row>
    <row r="224" spans="1:36" ht="25.5">
      <c r="A224" t="s">
        <v>701</v>
      </c>
      <c r="B224" t="s">
        <v>702</v>
      </c>
      <c r="C224" s="40">
        <v>46129</v>
      </c>
      <c r="D224" s="19">
        <f t="shared" si="18"/>
        <v>46127</v>
      </c>
      <c r="E224" s="17" t="s">
        <v>3583</v>
      </c>
      <c r="F224">
        <f t="shared" si="19"/>
        <v>0</v>
      </c>
      <c r="H224" t="s">
        <v>2213</v>
      </c>
      <c r="I224" s="50">
        <v>7.62</v>
      </c>
      <c r="J224" s="61">
        <v>6.72</v>
      </c>
      <c r="K224" s="61">
        <v>7.62</v>
      </c>
      <c r="L224">
        <v>1407501630</v>
      </c>
      <c r="M224">
        <v>14.46</v>
      </c>
      <c r="N224">
        <v>1590.56</v>
      </c>
      <c r="O224">
        <f t="shared" si="20"/>
        <v>1</v>
      </c>
      <c r="P224">
        <v>1.744</v>
      </c>
      <c r="Q224" t="s">
        <v>2050</v>
      </c>
      <c r="R224">
        <f t="shared" si="21"/>
        <v>7</v>
      </c>
      <c r="U224">
        <v>-27.344964910877401</v>
      </c>
      <c r="V224" s="17">
        <f t="shared" si="22"/>
        <v>232.63242867319829</v>
      </c>
      <c r="X224">
        <v>6</v>
      </c>
      <c r="Y224" s="51" t="str">
        <f>[1]!wss(AB224,"sec_status","cols=1;rows=1")</f>
        <v/>
      </c>
      <c r="AB224" t="str">
        <f t="shared" si="23"/>
        <v>068.HK</v>
      </c>
      <c r="AC224" s="50">
        <v>18.600000000000001</v>
      </c>
      <c r="AD224" s="50">
        <v>20.7</v>
      </c>
      <c r="AE224" s="50">
        <v>21.86</v>
      </c>
      <c r="AF224" s="50">
        <v>16.5</v>
      </c>
      <c r="AG224" t="s">
        <v>224</v>
      </c>
      <c r="AI224" t="s">
        <v>224</v>
      </c>
      <c r="AJ224">
        <v>0</v>
      </c>
    </row>
    <row r="225" spans="1:36" ht="25.5">
      <c r="A225" t="s">
        <v>703</v>
      </c>
      <c r="B225" t="s">
        <v>704</v>
      </c>
      <c r="C225" s="40">
        <v>44830</v>
      </c>
      <c r="D225" s="19">
        <f t="shared" si="18"/>
        <v>44828</v>
      </c>
      <c r="E225" s="17" t="s">
        <v>3583</v>
      </c>
      <c r="F225">
        <f t="shared" si="19"/>
        <v>0</v>
      </c>
      <c r="H225" t="s">
        <v>2206</v>
      </c>
      <c r="I225" s="50">
        <v>0.85</v>
      </c>
      <c r="J225" s="61">
        <v>0.8</v>
      </c>
      <c r="K225" s="61">
        <v>0.86</v>
      </c>
      <c r="L225">
        <v>132812500</v>
      </c>
      <c r="M225">
        <v>1.1000000000000001</v>
      </c>
      <c r="N225">
        <v>151.30000000000001</v>
      </c>
      <c r="O225">
        <f t="shared" si="20"/>
        <v>1</v>
      </c>
      <c r="P225">
        <v>0</v>
      </c>
      <c r="Q225" t="s">
        <v>1671</v>
      </c>
      <c r="R225">
        <f t="shared" si="21"/>
        <v>4</v>
      </c>
      <c r="U225">
        <v>11.241482923526201</v>
      </c>
      <c r="V225" s="17">
        <f t="shared" si="22"/>
        <v>530.3881110920745</v>
      </c>
      <c r="X225">
        <v>6</v>
      </c>
      <c r="Y225" s="72" t="str">
        <f>[1]!wss(AB225,"sec_status","cols=1;rows=1")</f>
        <v>L</v>
      </c>
      <c r="AB225" t="str">
        <f t="shared" si="23"/>
        <v>2350.HK</v>
      </c>
      <c r="AC225" s="50">
        <v>0.62</v>
      </c>
      <c r="AD225" s="50">
        <v>0.9</v>
      </c>
      <c r="AE225" s="50">
        <v>0.92</v>
      </c>
      <c r="AF225" s="50">
        <v>0.57999999999999996</v>
      </c>
      <c r="AG225" t="s">
        <v>224</v>
      </c>
      <c r="AI225" t="s">
        <v>224</v>
      </c>
      <c r="AJ225">
        <v>0</v>
      </c>
    </row>
    <row r="226" spans="1:36" ht="25.5">
      <c r="A226" t="s">
        <v>705</v>
      </c>
      <c r="B226" t="s">
        <v>706</v>
      </c>
      <c r="C226" s="40">
        <v>45743</v>
      </c>
      <c r="D226" s="19">
        <f t="shared" si="18"/>
        <v>45741</v>
      </c>
      <c r="E226" s="17" t="s">
        <v>3583</v>
      </c>
      <c r="F226">
        <f t="shared" si="19"/>
        <v>0</v>
      </c>
      <c r="H226" t="s">
        <v>2250</v>
      </c>
      <c r="I226" s="50">
        <v>0.51</v>
      </c>
      <c r="J226" s="61">
        <v>0.5</v>
      </c>
      <c r="K226" s="61">
        <v>0.6</v>
      </c>
      <c r="L226">
        <v>127500000</v>
      </c>
      <c r="M226">
        <v>1.02</v>
      </c>
      <c r="N226">
        <v>167.09</v>
      </c>
      <c r="O226">
        <f t="shared" si="20"/>
        <v>1</v>
      </c>
      <c r="P226">
        <v>0</v>
      </c>
      <c r="Q226" t="s">
        <v>1734</v>
      </c>
      <c r="R226">
        <f t="shared" si="21"/>
        <v>8</v>
      </c>
      <c r="U226">
        <v>8.6259684754616295</v>
      </c>
      <c r="V226" s="17">
        <f t="shared" si="22"/>
        <v>21.50094449977</v>
      </c>
      <c r="Y226" s="72" t="str">
        <f>[1]!wss(AB226,"sec_status","cols=1;rows=1")</f>
        <v>L</v>
      </c>
      <c r="AB226" t="str">
        <f t="shared" si="23"/>
        <v>2569.HK</v>
      </c>
      <c r="AC226" s="50">
        <v>0.67</v>
      </c>
      <c r="AD226" s="50">
        <v>0.49</v>
      </c>
      <c r="AE226" s="50">
        <v>0.82</v>
      </c>
      <c r="AF226" s="50">
        <v>0.48499999999999999</v>
      </c>
      <c r="AG226" t="s">
        <v>224</v>
      </c>
      <c r="AI226" t="s">
        <v>224</v>
      </c>
      <c r="AJ226">
        <v>0</v>
      </c>
    </row>
    <row r="227" spans="1:36" ht="25.5">
      <c r="A227" t="s">
        <v>707</v>
      </c>
      <c r="B227" t="s">
        <v>708</v>
      </c>
      <c r="C227" s="40">
        <v>45999</v>
      </c>
      <c r="D227" s="19">
        <f t="shared" si="18"/>
        <v>45997</v>
      </c>
      <c r="E227" s="17" t="s">
        <v>3583</v>
      </c>
      <c r="F227">
        <f t="shared" si="19"/>
        <v>0</v>
      </c>
      <c r="H227" t="s">
        <v>2206</v>
      </c>
      <c r="I227" s="50">
        <v>67.5</v>
      </c>
      <c r="J227" s="61">
        <v>62.26</v>
      </c>
      <c r="K227" s="61">
        <v>76.099999999999994</v>
      </c>
      <c r="L227">
        <v>450002250</v>
      </c>
      <c r="M227">
        <v>2.33</v>
      </c>
      <c r="N227">
        <v>4813.3999999999996</v>
      </c>
      <c r="O227">
        <f t="shared" si="20"/>
        <v>1</v>
      </c>
      <c r="P227">
        <v>0</v>
      </c>
      <c r="Q227" t="s">
        <v>1268</v>
      </c>
      <c r="R227">
        <f t="shared" si="21"/>
        <v>4</v>
      </c>
      <c r="U227">
        <v>39.660630274671398</v>
      </c>
      <c r="V227" s="17">
        <f t="shared" si="22"/>
        <v>526.83571767318131</v>
      </c>
      <c r="Y227" s="72" t="str">
        <f>[1]!wss(AB227,"sec_status","cols=1;rows=1")</f>
        <v>L</v>
      </c>
      <c r="AB227" t="str">
        <f t="shared" si="23"/>
        <v>2687.HK</v>
      </c>
      <c r="AC227" s="50">
        <v>126.4</v>
      </c>
      <c r="AD227" s="50">
        <v>83.6</v>
      </c>
      <c r="AE227" s="50">
        <v>142.5</v>
      </c>
      <c r="AF227" s="50">
        <v>82</v>
      </c>
      <c r="AG227" t="s">
        <v>224</v>
      </c>
      <c r="AH227" t="s">
        <v>2293</v>
      </c>
      <c r="AI227" t="s">
        <v>224</v>
      </c>
      <c r="AJ227">
        <v>0</v>
      </c>
    </row>
    <row r="228" spans="1:36" ht="25.5">
      <c r="A228" t="s">
        <v>709</v>
      </c>
      <c r="B228" t="s">
        <v>710</v>
      </c>
      <c r="C228" s="40">
        <v>45429</v>
      </c>
      <c r="D228" s="19">
        <f t="shared" si="18"/>
        <v>45427</v>
      </c>
      <c r="E228" s="17" t="s">
        <v>3583</v>
      </c>
      <c r="F228">
        <f t="shared" si="19"/>
        <v>0</v>
      </c>
      <c r="H228" t="s">
        <v>2218</v>
      </c>
      <c r="I228" s="50">
        <v>3.2</v>
      </c>
      <c r="J228" s="61">
        <v>3.2</v>
      </c>
      <c r="K228" s="61">
        <v>3.6</v>
      </c>
      <c r="L228">
        <v>128000000</v>
      </c>
      <c r="M228">
        <v>1.2</v>
      </c>
      <c r="N228">
        <v>47.59</v>
      </c>
      <c r="O228">
        <f t="shared" si="20"/>
        <v>1</v>
      </c>
      <c r="P228">
        <v>0</v>
      </c>
      <c r="Q228" t="s">
        <v>1773</v>
      </c>
      <c r="R228">
        <f t="shared" si="21"/>
        <v>11</v>
      </c>
      <c r="U228">
        <v>6.6115397987973399</v>
      </c>
      <c r="V228" s="17">
        <f t="shared" si="22"/>
        <v>20.492753553759535</v>
      </c>
      <c r="X228">
        <v>6</v>
      </c>
      <c r="Y228" s="72" t="str">
        <f>[1]!wss(AB228,"sec_status","cols=1;rows=1")</f>
        <v>L</v>
      </c>
      <c r="AB228" t="str">
        <f t="shared" si="23"/>
        <v>2529.HK</v>
      </c>
      <c r="AC228" s="50">
        <v>3.21</v>
      </c>
      <c r="AD228" s="50">
        <v>3.46</v>
      </c>
      <c r="AE228" s="50">
        <v>3.65</v>
      </c>
      <c r="AF228" s="50">
        <v>3.1</v>
      </c>
      <c r="AG228" t="s">
        <v>224</v>
      </c>
      <c r="AH228" t="s">
        <v>2293</v>
      </c>
      <c r="AI228" t="s">
        <v>224</v>
      </c>
      <c r="AJ228">
        <v>0</v>
      </c>
    </row>
    <row r="229" spans="1:36" ht="25.5">
      <c r="A229" t="s">
        <v>711</v>
      </c>
      <c r="B229" t="s">
        <v>712</v>
      </c>
      <c r="C229" s="40">
        <v>44757</v>
      </c>
      <c r="D229" s="19">
        <f t="shared" si="18"/>
        <v>44755</v>
      </c>
      <c r="E229" s="17" t="s">
        <v>3583</v>
      </c>
      <c r="F229">
        <f t="shared" si="19"/>
        <v>0</v>
      </c>
      <c r="H229" t="s">
        <v>2206</v>
      </c>
      <c r="I229" s="50">
        <v>1.08</v>
      </c>
      <c r="J229" s="61">
        <v>1.08</v>
      </c>
      <c r="K229" s="61">
        <v>1.26</v>
      </c>
      <c r="L229">
        <v>135000000</v>
      </c>
      <c r="M229">
        <v>1.03</v>
      </c>
      <c r="N229">
        <v>10.69</v>
      </c>
      <c r="O229">
        <f t="shared" si="20"/>
        <v>0</v>
      </c>
      <c r="P229">
        <v>0</v>
      </c>
      <c r="Q229" t="s">
        <v>1453</v>
      </c>
      <c r="R229">
        <f t="shared" si="21"/>
        <v>12</v>
      </c>
      <c r="U229">
        <v>22.4971878515186</v>
      </c>
      <c r="V229" s="17">
        <f t="shared" si="22"/>
        <v>528.98114797607536</v>
      </c>
      <c r="X229">
        <v>6</v>
      </c>
      <c r="Y229" s="72" t="str">
        <f>[1]!wss(AB229,"sec_status","cols=1;rows=1")</f>
        <v>L</v>
      </c>
      <c r="AB229" t="str">
        <f t="shared" si="23"/>
        <v>1204.HK</v>
      </c>
      <c r="AC229" s="50">
        <v>1.22</v>
      </c>
      <c r="AD229" s="50">
        <v>1.1399999999999999</v>
      </c>
      <c r="AE229" s="50">
        <v>1.35</v>
      </c>
      <c r="AF229" s="50">
        <v>1.08</v>
      </c>
      <c r="AG229" t="s">
        <v>224</v>
      </c>
      <c r="AI229" t="s">
        <v>224</v>
      </c>
      <c r="AJ229">
        <v>0</v>
      </c>
    </row>
    <row r="230" spans="1:36" ht="25.5">
      <c r="A230" t="s">
        <v>713</v>
      </c>
      <c r="B230" t="s">
        <v>714</v>
      </c>
      <c r="C230" s="40">
        <v>45300</v>
      </c>
      <c r="D230" s="19">
        <f t="shared" si="18"/>
        <v>45298</v>
      </c>
      <c r="E230" s="17" t="s">
        <v>3583</v>
      </c>
      <c r="F230">
        <f t="shared" si="19"/>
        <v>0</v>
      </c>
      <c r="H230" t="s">
        <v>2246</v>
      </c>
      <c r="I230" s="50">
        <v>5.95</v>
      </c>
      <c r="J230" s="61">
        <v>5.95</v>
      </c>
      <c r="K230" s="61">
        <v>7.9</v>
      </c>
      <c r="L230">
        <v>300713000</v>
      </c>
      <c r="M230">
        <v>1.07</v>
      </c>
      <c r="N230">
        <v>11.67</v>
      </c>
      <c r="O230">
        <f t="shared" si="20"/>
        <v>0</v>
      </c>
      <c r="P230">
        <v>0</v>
      </c>
      <c r="Q230" t="s">
        <v>1678</v>
      </c>
      <c r="R230">
        <f t="shared" si="21"/>
        <v>12</v>
      </c>
      <c r="U230">
        <v>11.2067712385661</v>
      </c>
      <c r="V230" s="17">
        <f t="shared" si="22"/>
        <v>13.5072377795225</v>
      </c>
      <c r="Y230" s="72" t="str">
        <f>[1]!wss(AB230,"sec_status","cols=1;rows=1")</f>
        <v>L</v>
      </c>
      <c r="AB230" t="str">
        <f t="shared" si="23"/>
        <v>6959.HK</v>
      </c>
      <c r="AC230" s="50">
        <v>6.91</v>
      </c>
      <c r="AD230" s="50">
        <v>6.1</v>
      </c>
      <c r="AE230" s="50">
        <v>7.21</v>
      </c>
      <c r="AF230" s="50">
        <v>6.05</v>
      </c>
      <c r="AG230" t="s">
        <v>224</v>
      </c>
      <c r="AI230" t="s">
        <v>224</v>
      </c>
      <c r="AJ230">
        <v>0</v>
      </c>
    </row>
    <row r="231" spans="1:36" ht="25.5">
      <c r="A231" t="s">
        <v>715</v>
      </c>
      <c r="B231" t="s">
        <v>716</v>
      </c>
      <c r="C231" s="40">
        <v>44942</v>
      </c>
      <c r="D231" s="19">
        <f t="shared" si="18"/>
        <v>44940</v>
      </c>
      <c r="E231" s="17" t="s">
        <v>3583</v>
      </c>
      <c r="F231">
        <f t="shared" si="19"/>
        <v>0</v>
      </c>
      <c r="H231" t="s">
        <v>2243</v>
      </c>
      <c r="I231" s="50">
        <v>6.5</v>
      </c>
      <c r="J231" s="61">
        <v>5.7</v>
      </c>
      <c r="K231" s="61">
        <v>7.16</v>
      </c>
      <c r="L231">
        <v>80730000</v>
      </c>
      <c r="M231">
        <v>1.7</v>
      </c>
      <c r="N231">
        <v>3.4</v>
      </c>
      <c r="O231">
        <f t="shared" si="20"/>
        <v>0</v>
      </c>
      <c r="P231">
        <v>0</v>
      </c>
      <c r="Q231" t="s">
        <v>1525</v>
      </c>
      <c r="R231">
        <f t="shared" si="21"/>
        <v>5</v>
      </c>
      <c r="U231">
        <v>18.341099384784702</v>
      </c>
      <c r="V231" s="17">
        <f t="shared" si="22"/>
        <v>13.001394833214402</v>
      </c>
      <c r="Y231" s="72" t="str">
        <f>[1]!wss(AB231,"sec_status","cols=1;rows=1")</f>
        <v>L</v>
      </c>
      <c r="AB231" t="str">
        <f t="shared" si="23"/>
        <v>2458.HK</v>
      </c>
      <c r="AC231" s="50">
        <v>5.75</v>
      </c>
      <c r="AD231" s="50">
        <v>5</v>
      </c>
      <c r="AE231" s="50">
        <v>6.15</v>
      </c>
      <c r="AF231" s="50">
        <v>5</v>
      </c>
      <c r="AG231" t="s">
        <v>224</v>
      </c>
      <c r="AI231" t="s">
        <v>224</v>
      </c>
      <c r="AJ231">
        <v>0</v>
      </c>
    </row>
    <row r="232" spans="1:36" ht="25.5">
      <c r="A232" t="s">
        <v>717</v>
      </c>
      <c r="B232" t="s">
        <v>718</v>
      </c>
      <c r="C232" s="40">
        <v>45265</v>
      </c>
      <c r="D232" s="19">
        <f t="shared" si="18"/>
        <v>45263</v>
      </c>
      <c r="E232" s="17" t="s">
        <v>3583</v>
      </c>
      <c r="F232">
        <f t="shared" si="19"/>
        <v>0</v>
      </c>
      <c r="H232" t="s">
        <v>2246</v>
      </c>
      <c r="I232" s="50">
        <v>0.32</v>
      </c>
      <c r="J232" s="61">
        <v>0.32</v>
      </c>
      <c r="K232" s="61">
        <v>0.4</v>
      </c>
      <c r="L232">
        <v>119600000</v>
      </c>
      <c r="M232">
        <v>1.33</v>
      </c>
      <c r="N232">
        <v>33.35</v>
      </c>
      <c r="O232">
        <f t="shared" si="20"/>
        <v>1</v>
      </c>
      <c r="P232">
        <v>0</v>
      </c>
      <c r="Q232" t="s">
        <v>1585</v>
      </c>
      <c r="R232">
        <f t="shared" si="21"/>
        <v>21</v>
      </c>
      <c r="U232">
        <v>13.5072377795225</v>
      </c>
      <c r="V232" s="17">
        <f t="shared" si="22"/>
        <v>11.2067712385661</v>
      </c>
      <c r="Y232" s="72" t="str">
        <f>[1]!wss(AB232,"sec_status","cols=1;rows=1")</f>
        <v>L</v>
      </c>
      <c r="AB232" t="str">
        <f t="shared" si="23"/>
        <v>2521.HK</v>
      </c>
      <c r="AC232" s="50">
        <v>0.33</v>
      </c>
      <c r="AD232" s="50">
        <v>0.3</v>
      </c>
      <c r="AE232" s="50">
        <v>0.36</v>
      </c>
      <c r="AF232" s="50">
        <v>0.28499999999999998</v>
      </c>
      <c r="AG232" t="s">
        <v>224</v>
      </c>
      <c r="AI232" t="s">
        <v>224</v>
      </c>
      <c r="AJ232">
        <v>0</v>
      </c>
    </row>
    <row r="233" spans="1:36">
      <c r="A233" t="s">
        <v>719</v>
      </c>
      <c r="B233" t="s">
        <v>720</v>
      </c>
      <c r="C233" s="40">
        <v>44910</v>
      </c>
      <c r="D233" s="19">
        <f t="shared" si="18"/>
        <v>44908</v>
      </c>
      <c r="E233" s="17" t="s">
        <v>3586</v>
      </c>
      <c r="F233">
        <f t="shared" si="19"/>
        <v>0</v>
      </c>
      <c r="H233" t="s">
        <v>2227</v>
      </c>
      <c r="I233" s="50">
        <v>24.98</v>
      </c>
      <c r="J233" s="61">
        <v>22.96</v>
      </c>
      <c r="K233" s="61">
        <v>26.24</v>
      </c>
      <c r="L233">
        <v>418789700</v>
      </c>
      <c r="M233">
        <v>1.26</v>
      </c>
      <c r="N233">
        <v>5.97</v>
      </c>
      <c r="O233">
        <f t="shared" si="20"/>
        <v>0</v>
      </c>
      <c r="P233">
        <v>0.104</v>
      </c>
      <c r="Q233" t="s">
        <v>1814</v>
      </c>
      <c r="R233">
        <f t="shared" si="21"/>
        <v>13</v>
      </c>
      <c r="U233">
        <v>-3.6407303171735199</v>
      </c>
      <c r="V233" s="17">
        <f t="shared" si="22"/>
        <v>64.729550468049823</v>
      </c>
      <c r="X233">
        <v>10</v>
      </c>
      <c r="Y233" s="72" t="str">
        <f>[1]!wss(AB233,"sec_status","cols=1;rows=1")</f>
        <v>L</v>
      </c>
      <c r="AB233" t="str">
        <f t="shared" si="23"/>
        <v>1244.HK</v>
      </c>
      <c r="AC233" s="50">
        <v>31.45</v>
      </c>
      <c r="AD233" s="50">
        <v>29</v>
      </c>
      <c r="AE233" s="50">
        <v>32.299999999999997</v>
      </c>
      <c r="AF233" s="50">
        <v>27.7</v>
      </c>
      <c r="AG233" t="s">
        <v>224</v>
      </c>
      <c r="AI233" t="s">
        <v>224</v>
      </c>
      <c r="AJ233">
        <v>0</v>
      </c>
    </row>
    <row r="234" spans="1:36" ht="25.5">
      <c r="A234" t="s">
        <v>721</v>
      </c>
      <c r="B234" t="s">
        <v>722</v>
      </c>
      <c r="C234" s="40">
        <v>45917</v>
      </c>
      <c r="D234" s="19">
        <f t="shared" si="18"/>
        <v>45915</v>
      </c>
      <c r="E234" s="17" t="s">
        <v>3583</v>
      </c>
      <c r="F234">
        <f t="shared" si="19"/>
        <v>0</v>
      </c>
      <c r="H234" t="s">
        <v>2268</v>
      </c>
      <c r="I234" s="50">
        <v>11.89</v>
      </c>
      <c r="J234" s="61">
        <v>11.89</v>
      </c>
      <c r="K234" s="61">
        <v>14.86</v>
      </c>
      <c r="L234">
        <v>400044995</v>
      </c>
      <c r="M234">
        <v>1.92</v>
      </c>
      <c r="N234">
        <v>751.77</v>
      </c>
      <c r="O234">
        <f t="shared" si="20"/>
        <v>1</v>
      </c>
      <c r="P234">
        <v>0</v>
      </c>
      <c r="Q234" t="s">
        <v>2090</v>
      </c>
      <c r="R234">
        <f t="shared" si="21"/>
        <v>12</v>
      </c>
      <c r="U234">
        <v>-34.401112097559</v>
      </c>
      <c r="V234" s="17" t="str">
        <f t="shared" si="22"/>
        <v/>
      </c>
      <c r="Y234" s="72" t="str">
        <f>[1]!wss(AB234,"sec_status","cols=1;rows=1")</f>
        <v>L</v>
      </c>
      <c r="AB234" t="str">
        <f t="shared" si="23"/>
        <v>2656.HK</v>
      </c>
      <c r="AC234" s="50">
        <v>28.22</v>
      </c>
      <c r="AD234" s="50">
        <v>29.98</v>
      </c>
      <c r="AE234" s="50">
        <v>32.6</v>
      </c>
      <c r="AF234" s="50">
        <v>26.02</v>
      </c>
      <c r="AG234" t="s">
        <v>224</v>
      </c>
      <c r="AI234" t="s">
        <v>224</v>
      </c>
      <c r="AJ234">
        <v>0</v>
      </c>
    </row>
    <row r="235" spans="1:36" ht="25.5">
      <c r="A235" t="s">
        <v>723</v>
      </c>
      <c r="B235" t="s">
        <v>724</v>
      </c>
      <c r="C235" s="40">
        <v>45359</v>
      </c>
      <c r="D235" s="19">
        <f t="shared" si="18"/>
        <v>45357</v>
      </c>
      <c r="E235" s="17" t="s">
        <v>3583</v>
      </c>
      <c r="F235">
        <f t="shared" si="19"/>
        <v>0</v>
      </c>
      <c r="H235" t="s">
        <v>2261</v>
      </c>
      <c r="I235" s="50">
        <v>1.1000000000000001</v>
      </c>
      <c r="J235" s="61">
        <v>1.1000000000000001</v>
      </c>
      <c r="K235" s="61">
        <v>1.5</v>
      </c>
      <c r="L235">
        <v>137500000</v>
      </c>
      <c r="M235">
        <v>1.46</v>
      </c>
      <c r="N235">
        <v>22.35</v>
      </c>
      <c r="O235">
        <f t="shared" si="20"/>
        <v>1</v>
      </c>
      <c r="P235">
        <v>0</v>
      </c>
      <c r="Q235" t="s">
        <v>1767</v>
      </c>
      <c r="R235">
        <f t="shared" si="21"/>
        <v>11</v>
      </c>
      <c r="U235">
        <v>7.3012111755089899</v>
      </c>
      <c r="V235" s="17">
        <f t="shared" si="22"/>
        <v>66.492396546055588</v>
      </c>
      <c r="Y235" s="72" t="str">
        <f>[1]!wss(AB235,"sec_status","cols=1;rows=1")</f>
        <v>L</v>
      </c>
      <c r="AB235" t="str">
        <f t="shared" si="23"/>
        <v>2540.HK</v>
      </c>
      <c r="AC235" s="50">
        <v>1.5</v>
      </c>
      <c r="AD235" s="50">
        <v>0.9</v>
      </c>
      <c r="AE235" s="50">
        <v>1.6</v>
      </c>
      <c r="AF235" s="50">
        <v>0.9</v>
      </c>
      <c r="AG235" t="s">
        <v>224</v>
      </c>
      <c r="AI235" t="s">
        <v>224</v>
      </c>
      <c r="AJ235">
        <v>0</v>
      </c>
    </row>
    <row r="236" spans="1:36" ht="25.5">
      <c r="A236" t="s">
        <v>725</v>
      </c>
      <c r="B236" t="s">
        <v>726</v>
      </c>
      <c r="C236" s="40">
        <v>44750</v>
      </c>
      <c r="D236" s="19">
        <f t="shared" si="18"/>
        <v>44748</v>
      </c>
      <c r="E236" s="17" t="s">
        <v>3583</v>
      </c>
      <c r="F236">
        <f t="shared" si="19"/>
        <v>0</v>
      </c>
      <c r="H236" t="s">
        <v>2218</v>
      </c>
      <c r="I236" s="50">
        <v>5.92</v>
      </c>
      <c r="J236" s="61">
        <v>5.3</v>
      </c>
      <c r="K236" s="61">
        <v>7.92</v>
      </c>
      <c r="L236">
        <v>197372800</v>
      </c>
      <c r="M236">
        <v>1.2</v>
      </c>
      <c r="N236">
        <v>7.39</v>
      </c>
      <c r="O236">
        <f t="shared" si="20"/>
        <v>0</v>
      </c>
      <c r="P236">
        <v>0</v>
      </c>
      <c r="Q236" t="s">
        <v>1744</v>
      </c>
      <c r="R236">
        <f t="shared" si="21"/>
        <v>14</v>
      </c>
      <c r="U236">
        <v>8.5132726722068295</v>
      </c>
      <c r="V236" s="17">
        <f t="shared" si="22"/>
        <v>20.281449901158481</v>
      </c>
      <c r="Y236" s="72" t="str">
        <f>[1]!wss(AB236,"sec_status","cols=1;rows=1")</f>
        <v>L</v>
      </c>
      <c r="AB236" t="str">
        <f t="shared" si="23"/>
        <v>2376.HK</v>
      </c>
      <c r="AC236" s="50">
        <v>4.43</v>
      </c>
      <c r="AD236" s="50">
        <v>5.01</v>
      </c>
      <c r="AE236" s="50">
        <v>5.33</v>
      </c>
      <c r="AF236" s="50">
        <v>4.3</v>
      </c>
      <c r="AG236" t="s">
        <v>224</v>
      </c>
      <c r="AH236" t="s">
        <v>2293</v>
      </c>
      <c r="AI236" t="s">
        <v>224</v>
      </c>
      <c r="AJ236">
        <v>0</v>
      </c>
    </row>
    <row r="237" spans="1:36" ht="25.5">
      <c r="A237" t="s">
        <v>727</v>
      </c>
      <c r="B237" t="s">
        <v>728</v>
      </c>
      <c r="C237" s="40">
        <v>45838</v>
      </c>
      <c r="D237" s="19">
        <f t="shared" si="18"/>
        <v>45836</v>
      </c>
      <c r="E237" s="17" t="s">
        <v>3583</v>
      </c>
      <c r="F237">
        <f t="shared" si="19"/>
        <v>0</v>
      </c>
      <c r="H237" t="s">
        <v>2221</v>
      </c>
      <c r="I237" s="50">
        <v>27.8</v>
      </c>
      <c r="J237" s="61">
        <v>25.3</v>
      </c>
      <c r="K237" s="61">
        <v>27.8</v>
      </c>
      <c r="L237">
        <v>1158337040</v>
      </c>
      <c r="M237">
        <v>22.93</v>
      </c>
      <c r="N237">
        <v>2682.35</v>
      </c>
      <c r="O237">
        <f t="shared" si="20"/>
        <v>1</v>
      </c>
      <c r="P237">
        <v>1.6860999999999999</v>
      </c>
      <c r="Q237" t="s">
        <v>1343</v>
      </c>
      <c r="R237">
        <f t="shared" si="21"/>
        <v>2</v>
      </c>
      <c r="U237">
        <v>28.665426161781099</v>
      </c>
      <c r="V237" s="17">
        <f t="shared" si="22"/>
        <v>26.284175683250467</v>
      </c>
      <c r="X237">
        <v>6</v>
      </c>
      <c r="Y237" s="72" t="str">
        <f>[1]!wss(AB237,"sec_status","cols=1;rows=1")</f>
        <v>L</v>
      </c>
      <c r="AB237" t="str">
        <f t="shared" si="23"/>
        <v>6603.HK</v>
      </c>
      <c r="AC237" s="50">
        <v>39.5</v>
      </c>
      <c r="AD237" s="50">
        <v>43.9</v>
      </c>
      <c r="AE237" s="50">
        <v>46.5</v>
      </c>
      <c r="AF237" s="50">
        <v>38</v>
      </c>
      <c r="AG237" t="s">
        <v>224</v>
      </c>
      <c r="AI237" t="s">
        <v>224</v>
      </c>
      <c r="AJ237">
        <v>0</v>
      </c>
    </row>
    <row r="238" spans="1:36">
      <c r="A238" t="s">
        <v>729</v>
      </c>
      <c r="B238" t="s">
        <v>730</v>
      </c>
      <c r="C238" s="40">
        <v>44925</v>
      </c>
      <c r="D238" s="19">
        <f t="shared" si="18"/>
        <v>44923</v>
      </c>
      <c r="E238" s="17" t="s">
        <v>3586</v>
      </c>
      <c r="F238">
        <f t="shared" si="19"/>
        <v>0</v>
      </c>
      <c r="H238" t="s">
        <v>2227</v>
      </c>
      <c r="I238" s="50">
        <v>19.8</v>
      </c>
      <c r="J238" s="61">
        <v>19.8</v>
      </c>
      <c r="K238" s="61">
        <v>19.8</v>
      </c>
      <c r="L238">
        <v>211757040</v>
      </c>
      <c r="M238">
        <v>1.52</v>
      </c>
      <c r="N238">
        <v>2.12</v>
      </c>
      <c r="O238">
        <f t="shared" si="20"/>
        <v>0</v>
      </c>
      <c r="P238">
        <v>0</v>
      </c>
      <c r="Q238" t="s">
        <v>2099</v>
      </c>
      <c r="R238">
        <f t="shared" si="21"/>
        <v>5</v>
      </c>
      <c r="U238">
        <v>-36.574163613024403</v>
      </c>
      <c r="V238" s="17">
        <f t="shared" si="22"/>
        <v>64.729550468049823</v>
      </c>
      <c r="X238">
        <v>6</v>
      </c>
      <c r="Y238" s="72" t="str">
        <f>[1]!wss(AB238,"sec_status","cols=1;rows=1")</f>
        <v>L</v>
      </c>
      <c r="AB238" t="str">
        <f t="shared" si="23"/>
        <v>6955.HK</v>
      </c>
      <c r="AC238" s="50">
        <v>19.8</v>
      </c>
      <c r="AD238" s="50">
        <v>19.899999999999999</v>
      </c>
      <c r="AE238" s="50">
        <v>21</v>
      </c>
      <c r="AF238" s="50">
        <v>19.440000000000001</v>
      </c>
      <c r="AG238" t="s">
        <v>224</v>
      </c>
      <c r="AH238" t="s">
        <v>2293</v>
      </c>
      <c r="AI238" t="s">
        <v>224</v>
      </c>
      <c r="AJ238">
        <v>0</v>
      </c>
    </row>
    <row r="239" spans="1:36" ht="25.5">
      <c r="A239" t="s">
        <v>731</v>
      </c>
      <c r="B239" t="s">
        <v>732</v>
      </c>
      <c r="C239" s="40">
        <v>45476</v>
      </c>
      <c r="D239" s="19">
        <f t="shared" si="18"/>
        <v>45474</v>
      </c>
      <c r="E239" s="17" t="s">
        <v>3583</v>
      </c>
      <c r="F239">
        <f t="shared" si="19"/>
        <v>0</v>
      </c>
      <c r="H239" t="s">
        <v>2276</v>
      </c>
      <c r="I239" s="50">
        <v>1.25</v>
      </c>
      <c r="J239" s="61">
        <v>1.1299999999999999</v>
      </c>
      <c r="K239" s="61">
        <v>1.25</v>
      </c>
      <c r="L239">
        <v>200000000</v>
      </c>
      <c r="M239">
        <v>1.5</v>
      </c>
      <c r="N239">
        <v>195.99</v>
      </c>
      <c r="O239">
        <f t="shared" si="20"/>
        <v>1</v>
      </c>
      <c r="P239">
        <v>0</v>
      </c>
      <c r="Q239" t="s">
        <v>1700</v>
      </c>
      <c r="R239">
        <f t="shared" si="21"/>
        <v>16</v>
      </c>
      <c r="U239">
        <v>10.5693958479123</v>
      </c>
      <c r="V239" s="17">
        <f t="shared" si="22"/>
        <v>23.471624165781151</v>
      </c>
      <c r="Y239" s="72" t="str">
        <f>[1]!wss(AB239,"sec_status","cols=1;rows=1")</f>
        <v>L</v>
      </c>
      <c r="AB239" t="str">
        <f t="shared" si="23"/>
        <v>2545.HK</v>
      </c>
      <c r="AC239" s="50">
        <v>0.67</v>
      </c>
      <c r="AD239" s="50">
        <v>0.76</v>
      </c>
      <c r="AE239" s="50">
        <v>0.83</v>
      </c>
      <c r="AF239" s="50">
        <v>0.65</v>
      </c>
      <c r="AG239" t="s">
        <v>224</v>
      </c>
      <c r="AI239" t="s">
        <v>224</v>
      </c>
      <c r="AJ239">
        <v>0</v>
      </c>
    </row>
    <row r="240" spans="1:36" ht="25.5">
      <c r="A240" t="s">
        <v>733</v>
      </c>
      <c r="B240" t="s">
        <v>734</v>
      </c>
      <c r="C240" s="40">
        <v>46129</v>
      </c>
      <c r="D240" s="19">
        <f t="shared" si="18"/>
        <v>46127</v>
      </c>
      <c r="E240" s="17" t="s">
        <v>3583</v>
      </c>
      <c r="F240">
        <f t="shared" si="19"/>
        <v>0</v>
      </c>
      <c r="H240" t="s">
        <v>2216</v>
      </c>
      <c r="I240" s="50">
        <v>39.880000000000003</v>
      </c>
      <c r="J240" s="61">
        <v>39.880000000000003</v>
      </c>
      <c r="K240" s="61">
        <v>39.880000000000003</v>
      </c>
      <c r="L240">
        <v>2603932696</v>
      </c>
      <c r="M240">
        <v>22.69</v>
      </c>
      <c r="N240">
        <v>1138.21</v>
      </c>
      <c r="O240">
        <f t="shared" si="20"/>
        <v>1</v>
      </c>
      <c r="P240">
        <v>0</v>
      </c>
      <c r="Q240" t="s">
        <v>1217</v>
      </c>
      <c r="R240">
        <f t="shared" si="21"/>
        <v>2</v>
      </c>
      <c r="U240">
        <v>53.298560488680899</v>
      </c>
      <c r="V240" s="17">
        <f t="shared" si="22"/>
        <v>30.090435942627785</v>
      </c>
      <c r="X240">
        <v>6</v>
      </c>
      <c r="Y240" s="72" t="str">
        <f>[1]!wss(AB240,"sec_status","cols=1;rows=1")</f>
        <v>L</v>
      </c>
      <c r="AB240" t="str">
        <f t="shared" si="23"/>
        <v>3277.HK</v>
      </c>
      <c r="AC240" s="50">
        <v>70</v>
      </c>
      <c r="AD240" s="50">
        <v>72</v>
      </c>
      <c r="AE240" s="50">
        <v>85</v>
      </c>
      <c r="AF240" s="50">
        <v>66.650000000000006</v>
      </c>
      <c r="AG240" t="s">
        <v>224</v>
      </c>
      <c r="AH240" t="s">
        <v>2293</v>
      </c>
      <c r="AI240" t="s">
        <v>224</v>
      </c>
      <c r="AJ240">
        <v>0</v>
      </c>
    </row>
    <row r="241" spans="1:36" ht="25.5">
      <c r="A241" t="s">
        <v>735</v>
      </c>
      <c r="B241" t="s">
        <v>736</v>
      </c>
      <c r="C241" s="40">
        <v>45656</v>
      </c>
      <c r="D241" s="19">
        <f t="shared" si="18"/>
        <v>45654</v>
      </c>
      <c r="E241" s="17" t="s">
        <v>3583</v>
      </c>
      <c r="F241">
        <f t="shared" si="19"/>
        <v>0</v>
      </c>
      <c r="H241" t="s">
        <v>2219</v>
      </c>
      <c r="I241" s="50">
        <v>30.86</v>
      </c>
      <c r="J241" s="61">
        <v>30.86</v>
      </c>
      <c r="K241" s="61">
        <v>33.659999999999997</v>
      </c>
      <c r="L241">
        <v>1451296424</v>
      </c>
      <c r="M241">
        <v>1.41</v>
      </c>
      <c r="N241">
        <v>2.87</v>
      </c>
      <c r="O241">
        <f t="shared" si="20"/>
        <v>0</v>
      </c>
      <c r="P241">
        <v>0.495</v>
      </c>
      <c r="Q241" t="s">
        <v>2026</v>
      </c>
      <c r="R241">
        <f t="shared" si="21"/>
        <v>13</v>
      </c>
      <c r="U241">
        <v>-22.3117350999627</v>
      </c>
      <c r="V241" s="17">
        <f t="shared" si="22"/>
        <v>57.550227982707256</v>
      </c>
      <c r="X241">
        <v>6</v>
      </c>
      <c r="Y241" s="72" t="str">
        <f>[1]!wss(AB241,"sec_status","cols=1;rows=1")</f>
        <v>L</v>
      </c>
      <c r="AB241" t="str">
        <f t="shared" si="23"/>
        <v>2577.HK</v>
      </c>
      <c r="AC241" s="50">
        <v>31</v>
      </c>
      <c r="AD241" s="50">
        <v>31</v>
      </c>
      <c r="AE241" s="50">
        <v>34</v>
      </c>
      <c r="AF241" s="50">
        <v>30.55</v>
      </c>
      <c r="AG241" t="s">
        <v>224</v>
      </c>
      <c r="AH241" t="s">
        <v>2293</v>
      </c>
      <c r="AI241" t="s">
        <v>224</v>
      </c>
      <c r="AJ241">
        <v>0</v>
      </c>
    </row>
    <row r="242" spans="1:36" ht="25.5">
      <c r="A242" t="s">
        <v>737</v>
      </c>
      <c r="B242" t="s">
        <v>738</v>
      </c>
      <c r="C242" s="40">
        <v>45994</v>
      </c>
      <c r="D242" s="19">
        <f t="shared" si="18"/>
        <v>45992</v>
      </c>
      <c r="E242" s="17" t="s">
        <v>3583</v>
      </c>
      <c r="F242">
        <f t="shared" si="19"/>
        <v>0</v>
      </c>
      <c r="H242" t="s">
        <v>2280</v>
      </c>
      <c r="I242" s="50">
        <v>40</v>
      </c>
      <c r="J242" s="61">
        <v>27</v>
      </c>
      <c r="K242" s="61">
        <v>40</v>
      </c>
      <c r="L242">
        <v>222224000</v>
      </c>
      <c r="M242">
        <v>6.78</v>
      </c>
      <c r="N242">
        <v>7324.29</v>
      </c>
      <c r="O242">
        <f t="shared" si="20"/>
        <v>1</v>
      </c>
      <c r="P242">
        <v>0</v>
      </c>
      <c r="Q242" t="s">
        <v>1418</v>
      </c>
      <c r="R242">
        <f t="shared" si="21"/>
        <v>14</v>
      </c>
      <c r="U242">
        <v>23.9825225559686</v>
      </c>
      <c r="V242" s="17">
        <f t="shared" si="22"/>
        <v>11.214117746097699</v>
      </c>
      <c r="Y242" s="72" t="str">
        <f>[1]!wss(AB242,"sec_status","cols=1;rows=1")</f>
        <v>L</v>
      </c>
      <c r="AB242" t="str">
        <f t="shared" si="23"/>
        <v>2539.HK</v>
      </c>
      <c r="AC242" s="50">
        <v>54.5</v>
      </c>
      <c r="AD242" s="50">
        <v>64.8</v>
      </c>
      <c r="AE242" s="50">
        <v>78.650000000000006</v>
      </c>
      <c r="AF242" s="50">
        <v>49.3</v>
      </c>
      <c r="AG242" t="s">
        <v>224</v>
      </c>
      <c r="AH242" t="s">
        <v>2293</v>
      </c>
      <c r="AI242" t="s">
        <v>224</v>
      </c>
      <c r="AJ242">
        <v>0</v>
      </c>
    </row>
    <row r="243" spans="1:36" ht="25.5">
      <c r="A243" t="s">
        <v>739</v>
      </c>
      <c r="B243" t="s">
        <v>740</v>
      </c>
      <c r="C243" s="40">
        <v>45573</v>
      </c>
      <c r="D243" s="19">
        <f t="shared" si="18"/>
        <v>45571</v>
      </c>
      <c r="E243" s="17" t="s">
        <v>3583</v>
      </c>
      <c r="F243">
        <f t="shared" si="19"/>
        <v>0</v>
      </c>
      <c r="H243" t="s">
        <v>2206</v>
      </c>
      <c r="I243" s="50">
        <v>13</v>
      </c>
      <c r="J243" s="61">
        <v>10</v>
      </c>
      <c r="K243" s="61">
        <v>13</v>
      </c>
      <c r="L243">
        <v>335127000</v>
      </c>
      <c r="M243">
        <v>2.58</v>
      </c>
      <c r="N243">
        <v>156.33000000000001</v>
      </c>
      <c r="O243">
        <f t="shared" si="20"/>
        <v>1</v>
      </c>
      <c r="P243">
        <v>0</v>
      </c>
      <c r="Q243" t="s">
        <v>2010</v>
      </c>
      <c r="R243">
        <f t="shared" si="21"/>
        <v>8</v>
      </c>
      <c r="U243">
        <v>-19.152891676923002</v>
      </c>
      <c r="V243" s="17">
        <f t="shared" si="22"/>
        <v>472.70515240668021</v>
      </c>
      <c r="Y243" s="72" t="str">
        <f>[1]!wss(AB243,"sec_status","cols=1;rows=1")</f>
        <v>L</v>
      </c>
      <c r="AB243" t="str">
        <f t="shared" si="23"/>
        <v>2576.HK</v>
      </c>
      <c r="AC243" s="50">
        <v>9.1999999999999993</v>
      </c>
      <c r="AD243" s="50">
        <v>11.24</v>
      </c>
      <c r="AE243" s="50">
        <v>11.68</v>
      </c>
      <c r="AF243" s="50">
        <v>9.1999999999999993</v>
      </c>
      <c r="AG243" t="s">
        <v>224</v>
      </c>
      <c r="AH243" t="s">
        <v>2293</v>
      </c>
      <c r="AI243" t="s">
        <v>224</v>
      </c>
      <c r="AJ243">
        <v>0</v>
      </c>
    </row>
    <row r="244" spans="1:36" ht="25.5">
      <c r="A244" t="s">
        <v>741</v>
      </c>
      <c r="B244" t="s">
        <v>742</v>
      </c>
      <c r="C244" s="40">
        <v>45450</v>
      </c>
      <c r="D244" s="19">
        <f t="shared" si="18"/>
        <v>45448</v>
      </c>
      <c r="E244" s="17" t="s">
        <v>3583</v>
      </c>
      <c r="F244">
        <f t="shared" si="19"/>
        <v>0</v>
      </c>
      <c r="H244" t="s">
        <v>2286</v>
      </c>
      <c r="I244" s="50">
        <v>5.8</v>
      </c>
      <c r="J244" s="61">
        <v>5.8</v>
      </c>
      <c r="K244" s="61">
        <v>8</v>
      </c>
      <c r="L244">
        <v>85854500</v>
      </c>
      <c r="M244">
        <v>0.98</v>
      </c>
      <c r="N244">
        <v>114.59</v>
      </c>
      <c r="O244">
        <f t="shared" si="20"/>
        <v>1</v>
      </c>
      <c r="P244">
        <v>0</v>
      </c>
      <c r="Q244" t="s">
        <v>1185</v>
      </c>
      <c r="R244">
        <f t="shared" si="21"/>
        <v>13</v>
      </c>
      <c r="U244">
        <v>69.126350553538202</v>
      </c>
      <c r="V244" s="17" t="str">
        <f t="shared" si="22"/>
        <v/>
      </c>
      <c r="Y244" s="72" t="str">
        <f>[1]!wss(AB244,"sec_status","cols=1;rows=1")</f>
        <v>L</v>
      </c>
      <c r="AB244" t="str">
        <f t="shared" si="23"/>
        <v>2550.HK</v>
      </c>
      <c r="AC244" s="50">
        <v>11.12</v>
      </c>
      <c r="AD244" s="50">
        <v>8.5</v>
      </c>
      <c r="AE244" s="50">
        <v>11.6</v>
      </c>
      <c r="AF244" s="50">
        <v>8.5</v>
      </c>
      <c r="AG244" t="s">
        <v>224</v>
      </c>
      <c r="AI244" t="s">
        <v>224</v>
      </c>
      <c r="AJ244">
        <v>0</v>
      </c>
    </row>
    <row r="245" spans="1:36" ht="25.5">
      <c r="A245" t="s">
        <v>743</v>
      </c>
      <c r="B245" t="s">
        <v>744</v>
      </c>
      <c r="C245" s="40">
        <v>45488</v>
      </c>
      <c r="D245" s="19">
        <f t="shared" si="18"/>
        <v>45486</v>
      </c>
      <c r="E245" s="17" t="s">
        <v>3583</v>
      </c>
      <c r="F245">
        <f t="shared" si="19"/>
        <v>0</v>
      </c>
      <c r="H245" t="s">
        <v>2206</v>
      </c>
      <c r="I245" s="50">
        <v>4.7</v>
      </c>
      <c r="J245" s="61">
        <v>4.7</v>
      </c>
      <c r="K245" s="61">
        <v>5.3</v>
      </c>
      <c r="L245">
        <v>298920000</v>
      </c>
      <c r="M245">
        <v>1.06</v>
      </c>
      <c r="N245">
        <v>2.4900000000000002</v>
      </c>
      <c r="O245">
        <f t="shared" si="20"/>
        <v>0</v>
      </c>
      <c r="P245">
        <v>0</v>
      </c>
      <c r="Q245" t="s">
        <v>1319</v>
      </c>
      <c r="R245">
        <f t="shared" si="21"/>
        <v>15</v>
      </c>
      <c r="U245">
        <v>30.539130129671999</v>
      </c>
      <c r="V245" s="17">
        <f t="shared" si="22"/>
        <v>527.9759051913062</v>
      </c>
      <c r="X245">
        <v>6</v>
      </c>
      <c r="Y245" s="72" t="str">
        <f>[1]!wss(AB245,"sec_status","cols=1;rows=1")</f>
        <v>L</v>
      </c>
      <c r="AB245" t="str">
        <f t="shared" si="23"/>
        <v>2531.HK</v>
      </c>
      <c r="AC245" s="50">
        <v>4.8</v>
      </c>
      <c r="AD245" s="50">
        <v>5.48</v>
      </c>
      <c r="AE245" s="50">
        <v>5.6</v>
      </c>
      <c r="AF245" s="50">
        <v>4.72</v>
      </c>
      <c r="AG245" t="s">
        <v>224</v>
      </c>
      <c r="AI245" t="s">
        <v>224</v>
      </c>
      <c r="AJ245">
        <v>0</v>
      </c>
    </row>
    <row r="246" spans="1:36" ht="25.5">
      <c r="A246" t="s">
        <v>745</v>
      </c>
      <c r="B246" t="s">
        <v>746</v>
      </c>
      <c r="C246" s="40">
        <v>45834</v>
      </c>
      <c r="D246" s="19">
        <f t="shared" si="18"/>
        <v>45832</v>
      </c>
      <c r="E246" s="17" t="s">
        <v>3583</v>
      </c>
      <c r="F246">
        <f t="shared" si="19"/>
        <v>0</v>
      </c>
      <c r="H246" t="s">
        <v>2246</v>
      </c>
      <c r="I246" s="50">
        <v>6.58</v>
      </c>
      <c r="J246" s="61">
        <v>6.58</v>
      </c>
      <c r="K246" s="61">
        <v>6.58</v>
      </c>
      <c r="L246">
        <v>804052970</v>
      </c>
      <c r="M246">
        <v>15.59</v>
      </c>
      <c r="N246">
        <v>193</v>
      </c>
      <c r="O246">
        <f t="shared" si="20"/>
        <v>1</v>
      </c>
      <c r="P246">
        <v>0.7913</v>
      </c>
      <c r="Q246" t="s">
        <v>1829</v>
      </c>
      <c r="R246">
        <f t="shared" si="21"/>
        <v>9</v>
      </c>
      <c r="U246">
        <v>-6.7974181668193099</v>
      </c>
      <c r="V246" s="17">
        <f t="shared" si="22"/>
        <v>12.3570045090443</v>
      </c>
      <c r="X246">
        <v>6</v>
      </c>
      <c r="Y246" s="72" t="str">
        <f>[1]!wss(AB246,"sec_status","cols=1;rows=1")</f>
        <v>L</v>
      </c>
      <c r="AB246" t="str">
        <f t="shared" si="23"/>
        <v>2508.HK</v>
      </c>
      <c r="AC246" s="50">
        <v>8.8000000000000007</v>
      </c>
      <c r="AD246" s="50">
        <v>8.4499999999999993</v>
      </c>
      <c r="AE246" s="50">
        <v>11</v>
      </c>
      <c r="AF246" s="50">
        <v>8.4499999999999993</v>
      </c>
      <c r="AG246" t="s">
        <v>224</v>
      </c>
      <c r="AI246" t="s">
        <v>224</v>
      </c>
      <c r="AJ246">
        <v>0</v>
      </c>
    </row>
    <row r="247" spans="1:36" ht="25.5">
      <c r="A247" t="s">
        <v>747</v>
      </c>
      <c r="B247" t="s">
        <v>748</v>
      </c>
      <c r="C247" s="40">
        <v>45938</v>
      </c>
      <c r="D247" s="19">
        <f t="shared" si="18"/>
        <v>45936</v>
      </c>
      <c r="E247" s="17" t="s">
        <v>3583</v>
      </c>
      <c r="F247">
        <f t="shared" si="19"/>
        <v>0</v>
      </c>
      <c r="H247" t="s">
        <v>2223</v>
      </c>
      <c r="I247" s="50">
        <v>14.75</v>
      </c>
      <c r="J247" s="61">
        <v>14.75</v>
      </c>
      <c r="K247" s="61">
        <v>14.75</v>
      </c>
      <c r="L247">
        <v>607670500</v>
      </c>
      <c r="M247">
        <v>12.74</v>
      </c>
      <c r="N247">
        <v>6697.8</v>
      </c>
      <c r="O247">
        <f t="shared" si="20"/>
        <v>1</v>
      </c>
      <c r="P247">
        <v>0</v>
      </c>
      <c r="Q247" t="s">
        <v>1085</v>
      </c>
      <c r="R247">
        <f t="shared" si="21"/>
        <v>12</v>
      </c>
      <c r="U247">
        <v>266.846067246198</v>
      </c>
      <c r="V247" s="17">
        <f t="shared" si="22"/>
        <v>44.938381548786069</v>
      </c>
      <c r="Y247" s="72" t="str">
        <f>[1]!wss(AB247,"sec_status","cols=1;rows=1")</f>
        <v>L</v>
      </c>
      <c r="AB247" t="str">
        <f t="shared" si="23"/>
        <v>2652.HK</v>
      </c>
      <c r="AC247" s="50">
        <v>38.5</v>
      </c>
      <c r="AD247" s="50">
        <v>47</v>
      </c>
      <c r="AE247" s="50">
        <v>48.8</v>
      </c>
      <c r="AF247" s="50">
        <v>37.46</v>
      </c>
      <c r="AG247" t="s">
        <v>224</v>
      </c>
      <c r="AH247" t="s">
        <v>2293</v>
      </c>
      <c r="AI247" t="s">
        <v>224</v>
      </c>
      <c r="AJ247">
        <v>0</v>
      </c>
    </row>
    <row r="248" spans="1:36" ht="25.5">
      <c r="A248" t="s">
        <v>749</v>
      </c>
      <c r="B248" t="s">
        <v>750</v>
      </c>
      <c r="C248" s="40">
        <v>45656</v>
      </c>
      <c r="D248" s="19">
        <f t="shared" si="18"/>
        <v>45654</v>
      </c>
      <c r="E248" s="17" t="s">
        <v>3583</v>
      </c>
      <c r="F248">
        <f t="shared" si="19"/>
        <v>0</v>
      </c>
      <c r="H248" t="s">
        <v>2211</v>
      </c>
      <c r="I248" s="50">
        <v>82.8</v>
      </c>
      <c r="J248" s="61">
        <v>82.8</v>
      </c>
      <c r="K248" s="61">
        <v>82.8</v>
      </c>
      <c r="L248">
        <v>582543540</v>
      </c>
      <c r="M248">
        <v>1.1000000000000001</v>
      </c>
      <c r="N248">
        <v>3.66</v>
      </c>
      <c r="O248">
        <f t="shared" si="20"/>
        <v>0</v>
      </c>
      <c r="P248">
        <v>0</v>
      </c>
      <c r="Q248" t="s">
        <v>2143</v>
      </c>
      <c r="R248">
        <f t="shared" si="21"/>
        <v>10</v>
      </c>
      <c r="U248">
        <v>-62.620649723193097</v>
      </c>
      <c r="V248" s="17">
        <f t="shared" si="22"/>
        <v>32.980567019762766</v>
      </c>
      <c r="X248">
        <v>6</v>
      </c>
      <c r="Y248" s="72" t="str">
        <f>[1]!wss(AB248,"sec_status","cols=1;rows=1")</f>
        <v>L</v>
      </c>
      <c r="AB248" t="str">
        <f t="shared" si="23"/>
        <v>2506.HK</v>
      </c>
      <c r="AC248" s="50">
        <v>87</v>
      </c>
      <c r="AD248" s="50">
        <v>89.75</v>
      </c>
      <c r="AE248" s="50">
        <v>95.15</v>
      </c>
      <c r="AF248" s="50">
        <v>86</v>
      </c>
      <c r="AG248" t="s">
        <v>224</v>
      </c>
      <c r="AH248" t="s">
        <v>2293</v>
      </c>
      <c r="AI248" t="s">
        <v>224</v>
      </c>
      <c r="AJ248">
        <v>0</v>
      </c>
    </row>
    <row r="249" spans="1:36" ht="25.5">
      <c r="A249" t="s">
        <v>751</v>
      </c>
      <c r="B249" t="s">
        <v>752</v>
      </c>
      <c r="C249" s="40">
        <v>46105</v>
      </c>
      <c r="D249" s="19">
        <f t="shared" si="18"/>
        <v>46103</v>
      </c>
      <c r="E249" s="17" t="s">
        <v>3583</v>
      </c>
      <c r="F249">
        <f t="shared" si="19"/>
        <v>0</v>
      </c>
      <c r="H249" t="s">
        <v>2206</v>
      </c>
      <c r="I249" s="50">
        <v>16.66</v>
      </c>
      <c r="J249" s="61">
        <v>16.399999999999999</v>
      </c>
      <c r="K249" s="61">
        <v>20.399999999999999</v>
      </c>
      <c r="L249">
        <v>613054680</v>
      </c>
      <c r="M249">
        <v>3.37</v>
      </c>
      <c r="N249">
        <v>2153.2600000000002</v>
      </c>
      <c r="O249">
        <f t="shared" si="20"/>
        <v>1</v>
      </c>
      <c r="P249">
        <v>0</v>
      </c>
      <c r="Q249" t="s">
        <v>2102</v>
      </c>
      <c r="R249">
        <f t="shared" si="21"/>
        <v>14</v>
      </c>
      <c r="U249">
        <v>-37.336719131824999</v>
      </c>
      <c r="V249" s="17">
        <f t="shared" si="22"/>
        <v>472.70515240668021</v>
      </c>
      <c r="Y249" s="72" t="str">
        <f>[1]!wss(AB249,"sec_status","cols=1;rows=1")</f>
        <v>L</v>
      </c>
      <c r="AB249" t="str">
        <f t="shared" si="23"/>
        <v>2729.HK</v>
      </c>
      <c r="AC249" s="50">
        <v>30.7</v>
      </c>
      <c r="AD249" s="50">
        <v>32</v>
      </c>
      <c r="AE249" s="50">
        <v>34.979999999999997</v>
      </c>
      <c r="AF249" s="50">
        <v>29</v>
      </c>
      <c r="AG249" t="s">
        <v>224</v>
      </c>
      <c r="AH249" t="s">
        <v>2293</v>
      </c>
      <c r="AI249" t="s">
        <v>224</v>
      </c>
      <c r="AJ249">
        <v>0</v>
      </c>
    </row>
    <row r="250" spans="1:36" ht="25.5">
      <c r="A250" t="s">
        <v>753</v>
      </c>
      <c r="B250" t="s">
        <v>754</v>
      </c>
      <c r="C250" s="40">
        <v>46105</v>
      </c>
      <c r="D250" s="19">
        <f t="shared" si="18"/>
        <v>46103</v>
      </c>
      <c r="E250" s="17" t="s">
        <v>3583</v>
      </c>
      <c r="F250">
        <f t="shared" si="19"/>
        <v>0</v>
      </c>
      <c r="H250" t="s">
        <v>2245</v>
      </c>
      <c r="I250" s="50">
        <v>44.2</v>
      </c>
      <c r="J250" s="61">
        <v>42</v>
      </c>
      <c r="K250" s="61">
        <v>48</v>
      </c>
      <c r="L250">
        <v>717211300</v>
      </c>
      <c r="M250">
        <v>1.34</v>
      </c>
      <c r="N250">
        <v>68.89</v>
      </c>
      <c r="O250">
        <f t="shared" si="20"/>
        <v>1</v>
      </c>
      <c r="P250">
        <v>0</v>
      </c>
      <c r="Q250" t="s">
        <v>1844</v>
      </c>
      <c r="R250">
        <f t="shared" si="21"/>
        <v>5</v>
      </c>
      <c r="U250">
        <v>-7.2829637159422198</v>
      </c>
      <c r="V250" s="17">
        <f t="shared" si="22"/>
        <v>21.874057402264999</v>
      </c>
      <c r="Y250" s="72" t="str">
        <f>[1]!wss(AB250,"sec_status","cols=1;rows=1")</f>
        <v>L</v>
      </c>
      <c r="AB250" t="str">
        <f t="shared" si="23"/>
        <v>2632.HK</v>
      </c>
      <c r="AC250" s="50">
        <v>27.88</v>
      </c>
      <c r="AD250" s="50">
        <v>43.9</v>
      </c>
      <c r="AE250" s="50">
        <v>45.8</v>
      </c>
      <c r="AF250" s="50">
        <v>27.7</v>
      </c>
      <c r="AG250" t="s">
        <v>224</v>
      </c>
      <c r="AH250" t="s">
        <v>2293</v>
      </c>
      <c r="AI250" t="s">
        <v>224</v>
      </c>
      <c r="AJ250">
        <v>0</v>
      </c>
    </row>
    <row r="251" spans="1:36" ht="25.5">
      <c r="A251" t="s">
        <v>755</v>
      </c>
      <c r="B251" t="s">
        <v>756</v>
      </c>
      <c r="C251" s="40">
        <v>45483</v>
      </c>
      <c r="D251" s="19">
        <f t="shared" si="18"/>
        <v>45481</v>
      </c>
      <c r="E251" s="17" t="s">
        <v>3583</v>
      </c>
      <c r="F251">
        <f t="shared" si="19"/>
        <v>0</v>
      </c>
      <c r="H251" t="s">
        <v>2257</v>
      </c>
      <c r="I251" s="50">
        <v>1.05</v>
      </c>
      <c r="J251" s="61">
        <v>1.05</v>
      </c>
      <c r="K251" s="61">
        <v>1.39</v>
      </c>
      <c r="L251">
        <v>131250000</v>
      </c>
      <c r="M251">
        <v>0.97</v>
      </c>
      <c r="N251">
        <v>19.239999999999998</v>
      </c>
      <c r="O251">
        <f t="shared" si="20"/>
        <v>1</v>
      </c>
      <c r="P251">
        <v>0</v>
      </c>
      <c r="Q251" t="s">
        <v>1740</v>
      </c>
      <c r="R251">
        <f t="shared" si="21"/>
        <v>20</v>
      </c>
      <c r="U251">
        <v>8.61722301715238</v>
      </c>
      <c r="V251" s="17" t="str">
        <f t="shared" si="22"/>
        <v/>
      </c>
      <c r="X251">
        <v>6</v>
      </c>
      <c r="Y251" s="72" t="str">
        <f>[1]!wss(AB251,"sec_status","cols=1;rows=1")</f>
        <v>L</v>
      </c>
      <c r="AB251" t="str">
        <f t="shared" si="23"/>
        <v>1334.HK</v>
      </c>
      <c r="AC251" s="50">
        <v>1.2</v>
      </c>
      <c r="AD251" s="50">
        <v>1.3</v>
      </c>
      <c r="AE251" s="50">
        <v>1.55</v>
      </c>
      <c r="AF251" s="50">
        <v>1.1599999999999999</v>
      </c>
      <c r="AG251" t="s">
        <v>224</v>
      </c>
      <c r="AI251" t="s">
        <v>224</v>
      </c>
      <c r="AJ251">
        <v>0</v>
      </c>
    </row>
    <row r="252" spans="1:36" ht="25.5">
      <c r="A252" t="s">
        <v>757</v>
      </c>
      <c r="B252" t="s">
        <v>758</v>
      </c>
      <c r="C252" s="40">
        <v>46010</v>
      </c>
      <c r="D252" s="19">
        <f t="shared" si="18"/>
        <v>46008</v>
      </c>
      <c r="E252" s="17" t="s">
        <v>3583</v>
      </c>
      <c r="F252">
        <f t="shared" si="19"/>
        <v>0</v>
      </c>
      <c r="H252" t="s">
        <v>2217</v>
      </c>
      <c r="I252" s="50">
        <v>4.51</v>
      </c>
      <c r="J252" s="61">
        <v>4.0999999999999996</v>
      </c>
      <c r="K252" s="61">
        <v>4.51</v>
      </c>
      <c r="L252">
        <v>550003520</v>
      </c>
      <c r="M252">
        <v>2.68</v>
      </c>
      <c r="N252">
        <v>5248.15</v>
      </c>
      <c r="O252">
        <f t="shared" si="20"/>
        <v>1</v>
      </c>
      <c r="P252">
        <v>0</v>
      </c>
      <c r="Q252" t="s">
        <v>1281</v>
      </c>
      <c r="R252">
        <f t="shared" si="21"/>
        <v>17</v>
      </c>
      <c r="U252">
        <v>36.475297411039897</v>
      </c>
      <c r="V252" s="17">
        <f t="shared" si="22"/>
        <v>33.229887269444056</v>
      </c>
      <c r="X252">
        <v>6</v>
      </c>
      <c r="Y252" s="72" t="str">
        <f>[1]!wss(AB252,"sec_status","cols=1;rows=1")</f>
        <v>L</v>
      </c>
      <c r="AB252" t="str">
        <f t="shared" si="23"/>
        <v>2546.HK</v>
      </c>
      <c r="AC252" s="50">
        <v>8.6</v>
      </c>
      <c r="AD252" s="50">
        <v>10.8</v>
      </c>
      <c r="AE252" s="50">
        <v>10.92</v>
      </c>
      <c r="AF252" s="50">
        <v>8</v>
      </c>
      <c r="AG252" t="s">
        <v>224</v>
      </c>
      <c r="AH252" t="s">
        <v>2293</v>
      </c>
      <c r="AI252" t="s">
        <v>224</v>
      </c>
      <c r="AJ252">
        <v>0</v>
      </c>
    </row>
    <row r="253" spans="1:36" ht="25.5">
      <c r="A253" t="s">
        <v>759</v>
      </c>
      <c r="B253" t="s">
        <v>760</v>
      </c>
      <c r="C253" s="40">
        <v>45300</v>
      </c>
      <c r="D253" s="19">
        <f t="shared" si="18"/>
        <v>45298</v>
      </c>
      <c r="E253" s="17" t="s">
        <v>3583</v>
      </c>
      <c r="F253">
        <f t="shared" si="19"/>
        <v>0</v>
      </c>
      <c r="H253" t="s">
        <v>2211</v>
      </c>
      <c r="I253" s="50">
        <v>14.28</v>
      </c>
      <c r="J253" s="61">
        <v>14.1</v>
      </c>
      <c r="K253" s="61">
        <v>16.399999999999999</v>
      </c>
      <c r="L253">
        <v>562920456</v>
      </c>
      <c r="M253">
        <v>1.02</v>
      </c>
      <c r="N253">
        <v>1.99</v>
      </c>
      <c r="O253">
        <f t="shared" si="20"/>
        <v>0</v>
      </c>
      <c r="P253">
        <v>0</v>
      </c>
      <c r="Q253" t="s">
        <v>1970</v>
      </c>
      <c r="R253">
        <f t="shared" si="21"/>
        <v>14</v>
      </c>
      <c r="U253">
        <v>-16.8774852952054</v>
      </c>
      <c r="V253" s="17">
        <f t="shared" si="22"/>
        <v>32.980567019762766</v>
      </c>
      <c r="Y253" s="72" t="str">
        <f>[1]!wss(AB253,"sec_status","cols=1;rows=1")</f>
        <v>L</v>
      </c>
      <c r="AB253" t="str">
        <f t="shared" si="23"/>
        <v>2453.HK</v>
      </c>
      <c r="AC253" s="50">
        <v>11.08</v>
      </c>
      <c r="AD253" s="50">
        <v>9.8000000000000007</v>
      </c>
      <c r="AE253" s="50">
        <v>12.02</v>
      </c>
      <c r="AF253" s="50">
        <v>9.6999999999999993</v>
      </c>
      <c r="AG253" t="s">
        <v>224</v>
      </c>
      <c r="AH253" t="s">
        <v>2293</v>
      </c>
      <c r="AI253" t="s">
        <v>224</v>
      </c>
      <c r="AJ253">
        <v>0</v>
      </c>
    </row>
    <row r="254" spans="1:36" ht="25.5">
      <c r="A254" t="s">
        <v>761</v>
      </c>
      <c r="B254" t="s">
        <v>762</v>
      </c>
      <c r="C254" s="40">
        <v>45197</v>
      </c>
      <c r="D254" s="19">
        <f t="shared" si="18"/>
        <v>45195</v>
      </c>
      <c r="E254" s="17" t="s">
        <v>3583</v>
      </c>
      <c r="F254">
        <f t="shared" si="19"/>
        <v>0</v>
      </c>
      <c r="H254" t="s">
        <v>2211</v>
      </c>
      <c r="I254" s="50">
        <v>4.76</v>
      </c>
      <c r="J254" s="61">
        <v>4.76</v>
      </c>
      <c r="K254" s="61">
        <v>5.91</v>
      </c>
      <c r="L254">
        <v>636914180</v>
      </c>
      <c r="M254">
        <v>1.1499999999999999</v>
      </c>
      <c r="N254">
        <v>0.9</v>
      </c>
      <c r="O254">
        <f t="shared" si="20"/>
        <v>0</v>
      </c>
      <c r="P254">
        <v>0</v>
      </c>
      <c r="Q254" t="s">
        <v>1943</v>
      </c>
      <c r="R254">
        <f t="shared" si="21"/>
        <v>7</v>
      </c>
      <c r="U254">
        <v>-14.793880477698099</v>
      </c>
      <c r="V254" s="17">
        <f t="shared" si="22"/>
        <v>32.980567019762766</v>
      </c>
      <c r="X254">
        <v>6</v>
      </c>
      <c r="Y254" s="72" t="str">
        <f>[1]!wss(AB254,"sec_status","cols=1;rows=1")</f>
        <v>L</v>
      </c>
      <c r="AB254" t="str">
        <f t="shared" si="23"/>
        <v>9686.HK</v>
      </c>
      <c r="AC254" s="50">
        <v>2.72</v>
      </c>
      <c r="AD254" s="50">
        <v>3.69</v>
      </c>
      <c r="AE254" s="50">
        <v>3.7</v>
      </c>
      <c r="AF254" s="50">
        <v>2.72</v>
      </c>
      <c r="AG254" t="s">
        <v>224</v>
      </c>
      <c r="AI254" t="s">
        <v>224</v>
      </c>
      <c r="AJ254">
        <v>0</v>
      </c>
    </row>
    <row r="255" spans="1:36" ht="25.5">
      <c r="A255" t="s">
        <v>763</v>
      </c>
      <c r="B255" t="s">
        <v>764</v>
      </c>
      <c r="C255" s="40">
        <v>46021</v>
      </c>
      <c r="D255" s="19">
        <f t="shared" si="18"/>
        <v>46019</v>
      </c>
      <c r="E255" s="17" t="s">
        <v>3583</v>
      </c>
      <c r="F255">
        <f t="shared" si="19"/>
        <v>0</v>
      </c>
      <c r="H255" t="s">
        <v>2206</v>
      </c>
      <c r="I255" s="50">
        <v>48</v>
      </c>
      <c r="J255" s="61">
        <v>48</v>
      </c>
      <c r="K255" s="61">
        <v>55</v>
      </c>
      <c r="L255">
        <v>1089331200</v>
      </c>
      <c r="M255">
        <v>3.1</v>
      </c>
      <c r="N255">
        <v>7.24</v>
      </c>
      <c r="O255">
        <f t="shared" si="20"/>
        <v>0</v>
      </c>
      <c r="P255">
        <v>8.9099999999999999E-2</v>
      </c>
      <c r="Q255" t="s">
        <v>2172</v>
      </c>
      <c r="R255">
        <f t="shared" si="21"/>
        <v>16</v>
      </c>
      <c r="U255">
        <v>-170.63359798121701</v>
      </c>
      <c r="V255" s="17">
        <f t="shared" si="22"/>
        <v>472.70515240668021</v>
      </c>
      <c r="X255">
        <v>6</v>
      </c>
      <c r="Y255" s="72" t="str">
        <f>[1]!wss(AB255,"sec_status","cols=1;rows=1")</f>
        <v>L</v>
      </c>
      <c r="AB255" t="str">
        <f t="shared" si="23"/>
        <v>3317.HK</v>
      </c>
      <c r="AC255" s="50">
        <v>48.5</v>
      </c>
      <c r="AD255" s="50">
        <v>48.02</v>
      </c>
      <c r="AE255" s="50">
        <v>48.84</v>
      </c>
      <c r="AF255" s="50">
        <v>38.020000000000003</v>
      </c>
      <c r="AG255" t="s">
        <v>224</v>
      </c>
      <c r="AH255" t="s">
        <v>2293</v>
      </c>
      <c r="AI255" t="s">
        <v>224</v>
      </c>
      <c r="AJ255">
        <v>0</v>
      </c>
    </row>
    <row r="256" spans="1:36" ht="25.5">
      <c r="A256" t="s">
        <v>765</v>
      </c>
      <c r="B256" t="s">
        <v>766</v>
      </c>
      <c r="C256" s="40">
        <v>45988</v>
      </c>
      <c r="D256" s="19">
        <f t="shared" si="18"/>
        <v>45986</v>
      </c>
      <c r="E256" s="17" t="s">
        <v>3583</v>
      </c>
      <c r="F256">
        <f t="shared" si="19"/>
        <v>0</v>
      </c>
      <c r="H256" t="s">
        <v>2239</v>
      </c>
      <c r="I256" s="50">
        <v>9.8000000000000007</v>
      </c>
      <c r="J256" s="61">
        <v>8.8000000000000007</v>
      </c>
      <c r="K256" s="61">
        <v>9.8000000000000007</v>
      </c>
      <c r="L256">
        <v>147955500</v>
      </c>
      <c r="M256">
        <v>15.07</v>
      </c>
      <c r="N256">
        <v>9366.2800000000007</v>
      </c>
      <c r="O256">
        <f t="shared" si="20"/>
        <v>1</v>
      </c>
      <c r="P256">
        <v>0.16980000000000001</v>
      </c>
      <c r="Q256" t="s">
        <v>1304</v>
      </c>
      <c r="R256">
        <f t="shared" si="21"/>
        <v>5</v>
      </c>
      <c r="U256">
        <v>31.664449494453802</v>
      </c>
      <c r="V256" s="17">
        <f t="shared" si="22"/>
        <v>27.119669084557451</v>
      </c>
      <c r="Y256" s="72" t="str">
        <f>[1]!wss(AB256,"sec_status","cols=1;rows=1")</f>
        <v>L</v>
      </c>
      <c r="AB256" t="str">
        <f t="shared" si="23"/>
        <v>2685.HK</v>
      </c>
      <c r="AC256" s="50">
        <v>18.5</v>
      </c>
      <c r="AD256" s="50">
        <v>26</v>
      </c>
      <c r="AE256" s="50">
        <v>27.8</v>
      </c>
      <c r="AF256" s="50">
        <v>18.3</v>
      </c>
      <c r="AG256" t="s">
        <v>224</v>
      </c>
      <c r="AI256" t="s">
        <v>224</v>
      </c>
      <c r="AJ256">
        <v>0</v>
      </c>
    </row>
    <row r="257" spans="1:36" ht="25.5">
      <c r="A257" t="s">
        <v>767</v>
      </c>
      <c r="B257" t="s">
        <v>768</v>
      </c>
      <c r="C257" s="40">
        <v>45282</v>
      </c>
      <c r="D257" s="19">
        <f t="shared" si="18"/>
        <v>45280</v>
      </c>
      <c r="E257" s="17" t="s">
        <v>3583</v>
      </c>
      <c r="F257">
        <f t="shared" si="19"/>
        <v>0</v>
      </c>
      <c r="H257" t="s">
        <v>2221</v>
      </c>
      <c r="I257" s="50">
        <v>10.7</v>
      </c>
      <c r="J257" s="61">
        <v>10.4</v>
      </c>
      <c r="K257" s="61">
        <v>14.16</v>
      </c>
      <c r="L257">
        <v>224700000</v>
      </c>
      <c r="M257">
        <v>1.32</v>
      </c>
      <c r="N257">
        <v>13.23</v>
      </c>
      <c r="O257">
        <f t="shared" si="20"/>
        <v>0</v>
      </c>
      <c r="P257">
        <v>0</v>
      </c>
      <c r="Q257" t="s">
        <v>1683</v>
      </c>
      <c r="R257">
        <f t="shared" si="21"/>
        <v>13</v>
      </c>
      <c r="U257">
        <v>11.119327968977201</v>
      </c>
      <c r="V257" s="17">
        <f t="shared" si="22"/>
        <v>28.233742149117568</v>
      </c>
      <c r="X257">
        <v>6</v>
      </c>
      <c r="Y257" s="72" t="str">
        <f>[1]!wss(AB257,"sec_status","cols=1;rows=1")</f>
        <v>L</v>
      </c>
      <c r="AB257" t="str">
        <f t="shared" si="23"/>
        <v>6911.HK</v>
      </c>
      <c r="AC257" s="50">
        <v>8.6999999999999993</v>
      </c>
      <c r="AD257" s="50">
        <v>10.7</v>
      </c>
      <c r="AE257" s="50">
        <v>11.94</v>
      </c>
      <c r="AF257" s="50">
        <v>8.6999999999999993</v>
      </c>
      <c r="AG257" t="s">
        <v>224</v>
      </c>
      <c r="AH257" t="s">
        <v>2293</v>
      </c>
      <c r="AI257" t="s">
        <v>224</v>
      </c>
      <c r="AJ257">
        <v>0</v>
      </c>
    </row>
    <row r="258" spans="1:36" ht="25.5">
      <c r="A258" t="s">
        <v>769</v>
      </c>
      <c r="B258" t="s">
        <v>770</v>
      </c>
      <c r="C258" s="40">
        <v>45611</v>
      </c>
      <c r="D258" s="19">
        <f t="shared" si="18"/>
        <v>45609</v>
      </c>
      <c r="E258" s="17" t="s">
        <v>3583</v>
      </c>
      <c r="F258">
        <f t="shared" si="19"/>
        <v>0</v>
      </c>
      <c r="H258" t="s">
        <v>2224</v>
      </c>
      <c r="I258" s="50">
        <v>65</v>
      </c>
      <c r="J258" s="61">
        <v>65</v>
      </c>
      <c r="K258" s="61">
        <v>73</v>
      </c>
      <c r="L258">
        <v>390000000</v>
      </c>
      <c r="M258">
        <v>0.99</v>
      </c>
      <c r="N258">
        <v>21.07</v>
      </c>
      <c r="O258">
        <f t="shared" si="20"/>
        <v>1</v>
      </c>
      <c r="P258">
        <v>0</v>
      </c>
      <c r="Q258" t="s">
        <v>2153</v>
      </c>
      <c r="R258">
        <f t="shared" si="21"/>
        <v>12</v>
      </c>
      <c r="U258">
        <v>-84.142562233578403</v>
      </c>
      <c r="V258" s="17">
        <f t="shared" si="22"/>
        <v>81.449285436046154</v>
      </c>
      <c r="Y258" s="72" t="str">
        <f>[1]!wss(AB258,"sec_status","cols=1;rows=1")</f>
        <v>L</v>
      </c>
      <c r="AB258" t="str">
        <f t="shared" si="23"/>
        <v>2582.HK</v>
      </c>
      <c r="AC258" s="50">
        <v>78</v>
      </c>
      <c r="AD258" s="50">
        <v>82.3</v>
      </c>
      <c r="AE258" s="50">
        <v>82.45</v>
      </c>
      <c r="AF258" s="50">
        <v>77.55</v>
      </c>
      <c r="AG258" t="s">
        <v>224</v>
      </c>
      <c r="AH258" t="s">
        <v>2293</v>
      </c>
      <c r="AI258" t="s">
        <v>224</v>
      </c>
      <c r="AJ258">
        <v>0</v>
      </c>
    </row>
    <row r="259" spans="1:36" ht="25.5">
      <c r="A259" t="s">
        <v>771</v>
      </c>
      <c r="B259" t="s">
        <v>772</v>
      </c>
      <c r="C259" s="40">
        <v>44943</v>
      </c>
      <c r="D259" s="19">
        <f t="shared" si="18"/>
        <v>44941</v>
      </c>
      <c r="E259" s="17" t="s">
        <v>3583</v>
      </c>
      <c r="F259">
        <f t="shared" si="19"/>
        <v>0</v>
      </c>
      <c r="H259" t="s">
        <v>2224</v>
      </c>
      <c r="I259" s="50">
        <v>1.6</v>
      </c>
      <c r="J259" s="61">
        <v>1.6</v>
      </c>
      <c r="K259" s="61">
        <v>2.2000000000000002</v>
      </c>
      <c r="L259">
        <v>275840000</v>
      </c>
      <c r="M259">
        <v>1.2</v>
      </c>
      <c r="N259">
        <v>9.8800000000000008</v>
      </c>
      <c r="O259">
        <f t="shared" si="20"/>
        <v>0</v>
      </c>
      <c r="P259">
        <v>0</v>
      </c>
      <c r="Q259" t="s">
        <v>1228</v>
      </c>
      <c r="R259">
        <f t="shared" si="21"/>
        <v>15</v>
      </c>
      <c r="U259">
        <v>46.759124695607802</v>
      </c>
      <c r="V259" s="17">
        <f t="shared" si="22"/>
        <v>85.785555528600938</v>
      </c>
      <c r="Y259" s="72" t="str">
        <f>[1]!wss(AB259,"sec_status","cols=1;rows=1")</f>
        <v>L</v>
      </c>
      <c r="AB259" t="str">
        <f t="shared" si="23"/>
        <v>2459.HK</v>
      </c>
      <c r="AC259" s="50">
        <v>1.78</v>
      </c>
      <c r="AD259" s="50">
        <v>1.68</v>
      </c>
      <c r="AE259" s="50">
        <v>1.96</v>
      </c>
      <c r="AF259" s="50">
        <v>1.67</v>
      </c>
      <c r="AG259" t="s">
        <v>224</v>
      </c>
      <c r="AI259" t="s">
        <v>224</v>
      </c>
      <c r="AJ259">
        <v>0</v>
      </c>
    </row>
    <row r="260" spans="1:36" ht="25.5">
      <c r="A260" t="s">
        <v>773</v>
      </c>
      <c r="B260" t="s">
        <v>774</v>
      </c>
      <c r="C260" s="40">
        <v>45666</v>
      </c>
      <c r="D260" s="19">
        <f t="shared" ref="D260:D323" si="24">IFERROR(IF(ISNUMBER($C260),$C260-2,DATEVALUE($C260)-2),"")</f>
        <v>45664</v>
      </c>
      <c r="E260" s="17" t="s">
        <v>3583</v>
      </c>
      <c r="F260">
        <f t="shared" ref="F260:F323" si="25">IF(AND(G260&lt;&gt;"",G260&lt;&gt;0),1,0)</f>
        <v>0</v>
      </c>
      <c r="H260" t="s">
        <v>2238</v>
      </c>
      <c r="I260" s="50">
        <v>31.8</v>
      </c>
      <c r="J260" s="61">
        <v>31.8</v>
      </c>
      <c r="K260" s="61">
        <v>39.799999999999997</v>
      </c>
      <c r="L260">
        <v>318000000</v>
      </c>
      <c r="M260">
        <v>0.95</v>
      </c>
      <c r="N260">
        <v>55.33</v>
      </c>
      <c r="O260">
        <f t="shared" ref="O260:O323" si="26">IF(IFERROR(N260*1,0)&gt;=15,1,0)</f>
        <v>1</v>
      </c>
      <c r="P260">
        <v>0</v>
      </c>
      <c r="Q260" t="s">
        <v>1714</v>
      </c>
      <c r="R260">
        <f t="shared" ref="R260:R323" si="27">IF(Q260="",0,LEN(Q260)-LEN(SUBSTITUTE(Q260,",",""))+1)</f>
        <v>17</v>
      </c>
      <c r="U260">
        <v>9.5616297820100193</v>
      </c>
      <c r="V260" s="17">
        <f t="shared" ref="V260:V323" si="28">IFERROR((SUMIFS($U$3:$U$392,$H$3:$H$392,$H260,$U$3:$U$392,"&gt;0")-IF(IFERROR($U260,0)&gt;0,$U260,0))/(COUNTIFS($H$3:$H$392,$H260,$U$3:$U$392,"&gt;0")-IF(IFERROR($U260,0)&gt;0,1,0)),"")</f>
        <v>23.071798264657101</v>
      </c>
      <c r="X260">
        <v>6</v>
      </c>
      <c r="Y260" s="72" t="str">
        <f>[1]!wss(AB260,"sec_status","cols=1;rows=1")</f>
        <v>L</v>
      </c>
      <c r="AB260" t="str">
        <f t="shared" ref="AB260:AB323" si="29">IF(LEFT(A260,1)="0",MID(A260,2,99),A260)</f>
        <v>2613.HK</v>
      </c>
      <c r="AC260" s="50">
        <v>33.799999999999997</v>
      </c>
      <c r="AD260" s="50">
        <v>33.950000000000003</v>
      </c>
      <c r="AE260" s="50">
        <v>34.950000000000003</v>
      </c>
      <c r="AF260" s="50">
        <v>33.15</v>
      </c>
      <c r="AG260" t="s">
        <v>224</v>
      </c>
      <c r="AH260" t="s">
        <v>2293</v>
      </c>
      <c r="AI260" t="s">
        <v>224</v>
      </c>
      <c r="AJ260">
        <v>0</v>
      </c>
    </row>
    <row r="261" spans="1:36">
      <c r="A261" t="s">
        <v>775</v>
      </c>
      <c r="B261" t="s">
        <v>776</v>
      </c>
      <c r="C261" s="40">
        <v>45967</v>
      </c>
      <c r="D261" s="19">
        <f t="shared" si="24"/>
        <v>45965</v>
      </c>
      <c r="E261" s="17" t="s">
        <v>3584</v>
      </c>
      <c r="F261">
        <f t="shared" si="25"/>
        <v>0</v>
      </c>
      <c r="H261" t="s">
        <v>2206</v>
      </c>
      <c r="I261" s="50">
        <v>139</v>
      </c>
      <c r="K261" s="61">
        <v>180</v>
      </c>
      <c r="L261">
        <v>6706611000</v>
      </c>
      <c r="M261">
        <v>7.72</v>
      </c>
      <c r="N261">
        <v>15.88</v>
      </c>
      <c r="O261">
        <f t="shared" si="26"/>
        <v>1</v>
      </c>
      <c r="P261">
        <v>0</v>
      </c>
      <c r="Q261" t="s">
        <v>2065</v>
      </c>
      <c r="R261">
        <f t="shared" si="27"/>
        <v>9</v>
      </c>
      <c r="U261">
        <v>-28.3204879989988</v>
      </c>
      <c r="V261" s="17">
        <f t="shared" si="28"/>
        <v>472.70515240668021</v>
      </c>
      <c r="X261">
        <v>6</v>
      </c>
      <c r="Y261" s="72" t="str">
        <f>[1]!wss(AB261,"sec_status","cols=1;rows=1")</f>
        <v>L</v>
      </c>
      <c r="AB261" t="str">
        <f t="shared" si="29"/>
        <v>2026.HK</v>
      </c>
      <c r="AC261" s="50">
        <v>126.1</v>
      </c>
      <c r="AD261" s="50">
        <v>124</v>
      </c>
      <c r="AE261" s="50">
        <v>126.1</v>
      </c>
      <c r="AF261" s="50">
        <v>118.8</v>
      </c>
      <c r="AG261" t="s">
        <v>224</v>
      </c>
      <c r="AI261" t="s">
        <v>224</v>
      </c>
      <c r="AJ261">
        <v>0</v>
      </c>
    </row>
    <row r="262" spans="1:36" ht="25.5">
      <c r="A262" t="s">
        <v>777</v>
      </c>
      <c r="B262" t="s">
        <v>778</v>
      </c>
      <c r="C262" s="40">
        <v>45406</v>
      </c>
      <c r="D262" s="19">
        <f t="shared" si="24"/>
        <v>45404</v>
      </c>
      <c r="E262" s="17" t="s">
        <v>3583</v>
      </c>
      <c r="F262">
        <f t="shared" si="25"/>
        <v>0</v>
      </c>
      <c r="H262" t="s">
        <v>2206</v>
      </c>
      <c r="I262" s="50">
        <v>3.8</v>
      </c>
      <c r="J262" s="61">
        <v>3.7</v>
      </c>
      <c r="K262" s="61">
        <v>4.0999999999999996</v>
      </c>
      <c r="L262">
        <v>360981000</v>
      </c>
      <c r="M262">
        <v>1.58</v>
      </c>
      <c r="N262">
        <v>117.39</v>
      </c>
      <c r="O262">
        <f t="shared" si="26"/>
        <v>1</v>
      </c>
      <c r="P262">
        <v>0.379</v>
      </c>
      <c r="Q262" t="s">
        <v>1824</v>
      </c>
      <c r="R262">
        <f t="shared" si="27"/>
        <v>13</v>
      </c>
      <c r="U262">
        <v>-6.3993868048927798</v>
      </c>
      <c r="V262" s="17">
        <f t="shared" si="28"/>
        <v>472.70515240668021</v>
      </c>
      <c r="X262">
        <v>6</v>
      </c>
      <c r="Y262" s="72" t="str">
        <f>[1]!wss(AB262,"sec_status","cols=1;rows=1")</f>
        <v>L</v>
      </c>
      <c r="AB262" t="str">
        <f t="shared" si="29"/>
        <v>2438.HK</v>
      </c>
      <c r="AC262" s="50">
        <v>3.68</v>
      </c>
      <c r="AD262" s="50">
        <v>2.98</v>
      </c>
      <c r="AE262" s="50">
        <v>3.76</v>
      </c>
      <c r="AF262" s="50">
        <v>2.98</v>
      </c>
      <c r="AG262" t="s">
        <v>224</v>
      </c>
      <c r="AI262" t="s">
        <v>224</v>
      </c>
      <c r="AJ262">
        <v>0</v>
      </c>
    </row>
    <row r="263" spans="1:36" ht="25.5">
      <c r="A263" t="s">
        <v>779</v>
      </c>
      <c r="B263" t="s">
        <v>780</v>
      </c>
      <c r="C263" s="40">
        <v>46112</v>
      </c>
      <c r="D263" s="19">
        <f t="shared" si="24"/>
        <v>46110</v>
      </c>
      <c r="E263" s="17" t="s">
        <v>3583</v>
      </c>
      <c r="F263">
        <f t="shared" si="25"/>
        <v>0</v>
      </c>
      <c r="H263" t="s">
        <v>2240</v>
      </c>
      <c r="I263" s="50">
        <v>60</v>
      </c>
      <c r="J263" s="61">
        <v>60</v>
      </c>
      <c r="K263" s="61">
        <v>68</v>
      </c>
      <c r="L263">
        <v>444408000</v>
      </c>
      <c r="M263">
        <v>1.47</v>
      </c>
      <c r="N263">
        <v>59.55</v>
      </c>
      <c r="O263">
        <f t="shared" si="26"/>
        <v>1</v>
      </c>
      <c r="P263">
        <v>0</v>
      </c>
      <c r="Q263" t="s">
        <v>1183</v>
      </c>
      <c r="R263">
        <f t="shared" si="27"/>
        <v>7</v>
      </c>
      <c r="U263">
        <v>72.963137960617104</v>
      </c>
      <c r="V263" s="17">
        <f t="shared" si="28"/>
        <v>26.923759982171497</v>
      </c>
      <c r="X263">
        <v>6</v>
      </c>
      <c r="Y263" s="51" t="str">
        <f>[1]!wss(AB263,"sec_status","cols=1;rows=1")</f>
        <v/>
      </c>
      <c r="AB263" t="str">
        <f t="shared" si="29"/>
        <v>664.HK</v>
      </c>
      <c r="AC263" s="50">
        <v>30.5</v>
      </c>
      <c r="AD263" s="50">
        <v>35.42</v>
      </c>
      <c r="AE263" s="50">
        <v>42</v>
      </c>
      <c r="AF263" s="50">
        <v>30.26</v>
      </c>
      <c r="AG263" t="s">
        <v>224</v>
      </c>
      <c r="AH263" t="s">
        <v>2293</v>
      </c>
      <c r="AI263" t="s">
        <v>224</v>
      </c>
      <c r="AJ263">
        <v>0</v>
      </c>
    </row>
    <row r="264" spans="1:36" ht="25.5">
      <c r="A264" t="s">
        <v>781</v>
      </c>
      <c r="B264" t="s">
        <v>782</v>
      </c>
      <c r="C264" s="40">
        <v>45443</v>
      </c>
      <c r="D264" s="19">
        <f t="shared" si="24"/>
        <v>45441</v>
      </c>
      <c r="E264" s="17" t="s">
        <v>3583</v>
      </c>
      <c r="F264">
        <f t="shared" si="25"/>
        <v>0</v>
      </c>
      <c r="H264" t="s">
        <v>2246</v>
      </c>
      <c r="I264" s="50">
        <v>10.199999999999999</v>
      </c>
      <c r="J264" s="61">
        <v>10.199999999999999</v>
      </c>
      <c r="K264" s="61">
        <v>11.2</v>
      </c>
      <c r="L264">
        <v>153000000</v>
      </c>
      <c r="M264">
        <v>0.98</v>
      </c>
      <c r="N264">
        <v>433.34</v>
      </c>
      <c r="O264">
        <f t="shared" si="26"/>
        <v>1</v>
      </c>
      <c r="P264">
        <v>0</v>
      </c>
      <c r="Q264" t="s">
        <v>2185</v>
      </c>
      <c r="R264">
        <f t="shared" si="27"/>
        <v>13</v>
      </c>
      <c r="U264">
        <v>-496.27110220659199</v>
      </c>
      <c r="V264" s="17">
        <f t="shared" si="28"/>
        <v>12.3570045090443</v>
      </c>
      <c r="Y264" s="72" t="str">
        <f>[1]!wss(AB264,"sec_status","cols=1;rows=1")</f>
        <v>L</v>
      </c>
      <c r="AB264" t="str">
        <f t="shared" si="29"/>
        <v>2443.HK</v>
      </c>
      <c r="AC264" s="50">
        <v>12.94</v>
      </c>
      <c r="AD264" s="50">
        <v>14.5</v>
      </c>
      <c r="AE264" s="50">
        <v>16.920000000000002</v>
      </c>
      <c r="AF264" s="50">
        <v>12.6</v>
      </c>
      <c r="AG264" t="s">
        <v>224</v>
      </c>
      <c r="AI264" t="s">
        <v>224</v>
      </c>
      <c r="AJ264">
        <v>0</v>
      </c>
    </row>
    <row r="265" spans="1:36" ht="25.5">
      <c r="A265" t="s">
        <v>783</v>
      </c>
      <c r="B265" t="s">
        <v>784</v>
      </c>
      <c r="C265" s="40">
        <v>46014</v>
      </c>
      <c r="D265" s="19">
        <f t="shared" si="24"/>
        <v>46012</v>
      </c>
      <c r="E265" s="17" t="s">
        <v>3583</v>
      </c>
      <c r="F265">
        <f t="shared" si="25"/>
        <v>0</v>
      </c>
      <c r="H265" t="s">
        <v>2261</v>
      </c>
      <c r="I265" s="50">
        <v>22.68</v>
      </c>
      <c r="J265" s="61">
        <v>22.68</v>
      </c>
      <c r="K265" s="61">
        <v>22.68</v>
      </c>
      <c r="L265">
        <v>601927200</v>
      </c>
      <c r="M265">
        <v>2.9</v>
      </c>
      <c r="N265">
        <v>1421.47</v>
      </c>
      <c r="O265">
        <f t="shared" si="26"/>
        <v>1</v>
      </c>
      <c r="P265">
        <v>0</v>
      </c>
      <c r="Q265" t="s">
        <v>1077</v>
      </c>
      <c r="R265">
        <f t="shared" si="27"/>
        <v>4</v>
      </c>
      <c r="U265">
        <v>416.84865554467399</v>
      </c>
      <c r="V265" s="17">
        <f t="shared" si="28"/>
        <v>20.987124949481704</v>
      </c>
      <c r="X265">
        <v>6</v>
      </c>
      <c r="Y265" s="72" t="str">
        <f>[1]!wss(AB265,"sec_status","cols=1;rows=1")</f>
        <v>L</v>
      </c>
      <c r="AB265" t="str">
        <f t="shared" si="29"/>
        <v>2661.HK</v>
      </c>
      <c r="AC265" s="50">
        <v>58.7</v>
      </c>
      <c r="AD265" s="50">
        <v>50</v>
      </c>
      <c r="AE265" s="50">
        <v>59.8</v>
      </c>
      <c r="AF265" s="50">
        <v>49</v>
      </c>
      <c r="AG265" t="s">
        <v>224</v>
      </c>
      <c r="AI265" t="s">
        <v>224</v>
      </c>
      <c r="AJ265">
        <v>0</v>
      </c>
    </row>
    <row r="266" spans="1:36" ht="25.5">
      <c r="A266" t="s">
        <v>785</v>
      </c>
      <c r="B266" t="s">
        <v>786</v>
      </c>
      <c r="C266" s="40">
        <v>45653</v>
      </c>
      <c r="D266" s="19">
        <f t="shared" si="24"/>
        <v>45651</v>
      </c>
      <c r="E266" s="17" t="s">
        <v>3583</v>
      </c>
      <c r="F266">
        <f t="shared" si="25"/>
        <v>0</v>
      </c>
      <c r="H266" t="s">
        <v>2206</v>
      </c>
      <c r="I266" s="50">
        <v>17</v>
      </c>
      <c r="J266" s="61">
        <v>17</v>
      </c>
      <c r="K266" s="61">
        <v>20.2</v>
      </c>
      <c r="L266">
        <v>679088800</v>
      </c>
      <c r="M266">
        <v>1.0900000000000001</v>
      </c>
      <c r="N266">
        <v>14.04</v>
      </c>
      <c r="O266">
        <f t="shared" si="26"/>
        <v>0</v>
      </c>
      <c r="P266">
        <v>0.126</v>
      </c>
      <c r="Q266" t="s">
        <v>2073</v>
      </c>
      <c r="R266">
        <f t="shared" si="27"/>
        <v>17</v>
      </c>
      <c r="U266">
        <v>-31.179678107666899</v>
      </c>
      <c r="V266" s="17">
        <f t="shared" si="28"/>
        <v>472.70515240668021</v>
      </c>
      <c r="X266">
        <v>9</v>
      </c>
      <c r="Y266" s="72" t="str">
        <f>[1]!wss(AB266,"sec_status","cols=1;rows=1")</f>
        <v>L</v>
      </c>
      <c r="AB266" t="str">
        <f t="shared" si="29"/>
        <v>2431.HK</v>
      </c>
      <c r="AC266" s="50">
        <v>19.399999999999999</v>
      </c>
      <c r="AD266" s="50">
        <v>18.600000000000001</v>
      </c>
      <c r="AE266" s="50">
        <v>19.399999999999999</v>
      </c>
      <c r="AF266" s="50">
        <v>17.64</v>
      </c>
      <c r="AG266" t="s">
        <v>224</v>
      </c>
      <c r="AH266" t="s">
        <v>2293</v>
      </c>
      <c r="AI266" t="s">
        <v>224</v>
      </c>
      <c r="AJ266">
        <v>0</v>
      </c>
    </row>
    <row r="267" spans="1:36" ht="25.5">
      <c r="A267" t="s">
        <v>787</v>
      </c>
      <c r="B267" t="s">
        <v>788</v>
      </c>
      <c r="C267" s="40">
        <v>44844</v>
      </c>
      <c r="D267" s="19">
        <f t="shared" si="24"/>
        <v>44842</v>
      </c>
      <c r="E267" s="17" t="s">
        <v>3583</v>
      </c>
      <c r="F267">
        <f t="shared" si="25"/>
        <v>0</v>
      </c>
      <c r="H267" t="s">
        <v>2220</v>
      </c>
      <c r="I267" s="50">
        <v>0.5</v>
      </c>
      <c r="J267" s="61">
        <v>0.5</v>
      </c>
      <c r="K267" s="61">
        <v>0.54</v>
      </c>
      <c r="L267">
        <v>125000000</v>
      </c>
      <c r="M267">
        <v>1.04</v>
      </c>
      <c r="N267">
        <v>7.58</v>
      </c>
      <c r="O267">
        <f t="shared" si="26"/>
        <v>0</v>
      </c>
      <c r="P267">
        <v>0</v>
      </c>
      <c r="Q267" t="s">
        <v>1552</v>
      </c>
      <c r="R267">
        <f t="shared" si="27"/>
        <v>5</v>
      </c>
      <c r="U267">
        <v>15.977503674825799</v>
      </c>
      <c r="V267" s="17">
        <f t="shared" si="28"/>
        <v>8.495262915215271</v>
      </c>
      <c r="X267">
        <v>6</v>
      </c>
      <c r="Y267" s="72" t="str">
        <f>[1]!wss(AB267,"sec_status","cols=1;rows=1")</f>
        <v>L</v>
      </c>
      <c r="AB267" t="str">
        <f t="shared" si="29"/>
        <v>1489.HK</v>
      </c>
      <c r="AC267" s="50">
        <v>0.55000000000000004</v>
      </c>
      <c r="AD267" s="50">
        <v>0.62</v>
      </c>
      <c r="AE267" s="50">
        <v>0.67</v>
      </c>
      <c r="AF267" s="50">
        <v>0.52</v>
      </c>
      <c r="AG267" t="s">
        <v>224</v>
      </c>
      <c r="AI267" t="s">
        <v>224</v>
      </c>
      <c r="AJ267">
        <v>0</v>
      </c>
    </row>
    <row r="268" spans="1:36" ht="25.5">
      <c r="A268" t="s">
        <v>789</v>
      </c>
      <c r="B268" t="s">
        <v>790</v>
      </c>
      <c r="C268" s="40">
        <v>45288</v>
      </c>
      <c r="D268" s="19">
        <f t="shared" si="24"/>
        <v>45286</v>
      </c>
      <c r="E268" s="17" t="s">
        <v>3583</v>
      </c>
      <c r="F268">
        <f t="shared" si="25"/>
        <v>0</v>
      </c>
      <c r="H268" t="s">
        <v>2219</v>
      </c>
      <c r="I268" s="50">
        <v>27.47</v>
      </c>
      <c r="J268" s="61">
        <v>27.47</v>
      </c>
      <c r="K268" s="61">
        <v>38.450000000000003</v>
      </c>
      <c r="L268">
        <v>412050000</v>
      </c>
      <c r="M268">
        <v>1.36</v>
      </c>
      <c r="N268">
        <v>1.34</v>
      </c>
      <c r="O268">
        <f t="shared" si="26"/>
        <v>0</v>
      </c>
      <c r="P268">
        <v>0</v>
      </c>
      <c r="Q268" t="s">
        <v>1559</v>
      </c>
      <c r="R268">
        <f t="shared" si="27"/>
        <v>13</v>
      </c>
      <c r="U268">
        <v>15.455140706682601</v>
      </c>
      <c r="V268" s="17">
        <f t="shared" si="28"/>
        <v>68.073999801713427</v>
      </c>
      <c r="Y268" s="72" t="str">
        <f>[1]!wss(AB268,"sec_status","cols=1;rows=1")</f>
        <v>L</v>
      </c>
      <c r="AB268" t="str">
        <f t="shared" si="29"/>
        <v>2149.HK</v>
      </c>
      <c r="AC268" s="50">
        <v>22.7</v>
      </c>
      <c r="AD268" s="50">
        <v>25.05</v>
      </c>
      <c r="AE268" s="50">
        <v>27.25</v>
      </c>
      <c r="AF268" s="50">
        <v>21.9</v>
      </c>
      <c r="AG268" t="s">
        <v>224</v>
      </c>
      <c r="AH268" t="s">
        <v>2293</v>
      </c>
      <c r="AI268" t="s">
        <v>224</v>
      </c>
      <c r="AJ268">
        <v>0</v>
      </c>
    </row>
    <row r="269" spans="1:36" ht="25.5">
      <c r="A269" t="s">
        <v>791</v>
      </c>
      <c r="B269" t="s">
        <v>792</v>
      </c>
      <c r="C269" s="40">
        <v>45784</v>
      </c>
      <c r="D269" s="19">
        <f t="shared" si="24"/>
        <v>45782</v>
      </c>
      <c r="E269" s="17" t="s">
        <v>3583</v>
      </c>
      <c r="F269">
        <f t="shared" si="25"/>
        <v>0</v>
      </c>
      <c r="H269" t="s">
        <v>2205</v>
      </c>
      <c r="I269" s="50">
        <v>18</v>
      </c>
      <c r="J269" s="61">
        <v>18</v>
      </c>
      <c r="K269" s="61">
        <v>18</v>
      </c>
      <c r="L269">
        <v>234000000</v>
      </c>
      <c r="M269">
        <v>0.92</v>
      </c>
      <c r="N269">
        <v>198.72</v>
      </c>
      <c r="O269">
        <f t="shared" si="26"/>
        <v>1</v>
      </c>
      <c r="P269">
        <v>0</v>
      </c>
      <c r="Q269" t="s">
        <v>2029</v>
      </c>
      <c r="R269">
        <f t="shared" si="27"/>
        <v>7</v>
      </c>
      <c r="U269">
        <v>-23.049961770855202</v>
      </c>
      <c r="V269" s="17">
        <f t="shared" si="28"/>
        <v>24.712564606840299</v>
      </c>
      <c r="X269">
        <v>9</v>
      </c>
      <c r="Y269" s="72" t="str">
        <f>[1]!wss(AB269,"sec_status","cols=1;rows=1")</f>
        <v>L</v>
      </c>
      <c r="AB269" t="str">
        <f t="shared" si="29"/>
        <v>1333.HK</v>
      </c>
      <c r="AC269" s="50">
        <v>24.9</v>
      </c>
      <c r="AD269" s="50">
        <v>29</v>
      </c>
      <c r="AE269" s="50">
        <v>32.5</v>
      </c>
      <c r="AF269" s="50">
        <v>23.5</v>
      </c>
      <c r="AG269" t="s">
        <v>224</v>
      </c>
      <c r="AH269" t="s">
        <v>2293</v>
      </c>
      <c r="AI269" t="s">
        <v>224</v>
      </c>
      <c r="AJ269">
        <v>0</v>
      </c>
    </row>
    <row r="270" spans="1:36" ht="25.5">
      <c r="A270" t="s">
        <v>793</v>
      </c>
      <c r="B270" t="s">
        <v>794</v>
      </c>
      <c r="C270" s="40">
        <v>46063</v>
      </c>
      <c r="D270" s="19">
        <f t="shared" si="24"/>
        <v>46061</v>
      </c>
      <c r="E270" s="17" t="s">
        <v>3583</v>
      </c>
      <c r="F270">
        <f t="shared" si="25"/>
        <v>0</v>
      </c>
      <c r="H270" t="s">
        <v>2240</v>
      </c>
      <c r="I270" s="50">
        <v>12.25</v>
      </c>
      <c r="J270" s="61">
        <v>11.25</v>
      </c>
      <c r="K270" s="61">
        <v>12.25</v>
      </c>
      <c r="L270">
        <v>345511250</v>
      </c>
      <c r="M270">
        <v>2.94</v>
      </c>
      <c r="N270">
        <v>3654.23</v>
      </c>
      <c r="O270">
        <f t="shared" si="26"/>
        <v>1</v>
      </c>
      <c r="P270">
        <v>0</v>
      </c>
      <c r="Q270" t="s">
        <v>1383</v>
      </c>
      <c r="R270">
        <f t="shared" si="27"/>
        <v>3</v>
      </c>
      <c r="U270">
        <v>26.0913194587467</v>
      </c>
      <c r="V270" s="17">
        <f t="shared" si="28"/>
        <v>50.3596692331067</v>
      </c>
      <c r="Y270" s="72" t="str">
        <f>[1]!wss(AB270,"sec_status","cols=1;rows=1")</f>
        <v>L</v>
      </c>
      <c r="AB270" t="str">
        <f t="shared" si="29"/>
        <v>2720.HK</v>
      </c>
      <c r="AC270" s="50">
        <v>24.78</v>
      </c>
      <c r="AD270" s="50">
        <v>24.02</v>
      </c>
      <c r="AE270" s="50">
        <v>29.4</v>
      </c>
      <c r="AF270" s="50">
        <v>21.5</v>
      </c>
      <c r="AG270" t="s">
        <v>224</v>
      </c>
      <c r="AI270" t="s">
        <v>224</v>
      </c>
      <c r="AJ270">
        <v>0</v>
      </c>
    </row>
    <row r="271" spans="1:36" ht="25.5">
      <c r="A271" t="s">
        <v>795</v>
      </c>
      <c r="B271" t="s">
        <v>796</v>
      </c>
      <c r="C271" s="40">
        <v>46021</v>
      </c>
      <c r="D271" s="19">
        <f t="shared" si="24"/>
        <v>46019</v>
      </c>
      <c r="E271" s="17" t="s">
        <v>3583</v>
      </c>
      <c r="F271">
        <f t="shared" si="25"/>
        <v>0</v>
      </c>
      <c r="H271" t="s">
        <v>2201</v>
      </c>
      <c r="I271" s="50">
        <v>73.8</v>
      </c>
      <c r="J271" s="61">
        <v>63</v>
      </c>
      <c r="K271" s="61">
        <v>81</v>
      </c>
      <c r="L271">
        <v>1871280180</v>
      </c>
      <c r="M271">
        <v>8.9</v>
      </c>
      <c r="N271">
        <v>254.5</v>
      </c>
      <c r="O271">
        <f t="shared" si="26"/>
        <v>1</v>
      </c>
      <c r="P271">
        <v>2.2547000000000001</v>
      </c>
      <c r="Q271" t="s">
        <v>2186</v>
      </c>
      <c r="R271">
        <f t="shared" si="27"/>
        <v>5</v>
      </c>
      <c r="U271">
        <v>-4940.4883914995398</v>
      </c>
      <c r="V271" s="17">
        <f t="shared" si="28"/>
        <v>8.3616251208709311</v>
      </c>
      <c r="X271">
        <v>6</v>
      </c>
      <c r="Y271" s="72" t="str">
        <f>[1]!wss(AB271,"sec_status","cols=1;rows=1")</f>
        <v>L</v>
      </c>
      <c r="AB271" t="str">
        <f t="shared" si="29"/>
        <v>6600.HK</v>
      </c>
      <c r="AC271" s="50">
        <v>73.849999999999994</v>
      </c>
      <c r="AD271" s="50">
        <v>73.8</v>
      </c>
      <c r="AE271" s="50">
        <v>75</v>
      </c>
      <c r="AF271" s="50">
        <v>73.8</v>
      </c>
      <c r="AG271" t="s">
        <v>224</v>
      </c>
      <c r="AH271" t="s">
        <v>2293</v>
      </c>
      <c r="AI271" t="s">
        <v>224</v>
      </c>
      <c r="AJ271">
        <v>0</v>
      </c>
    </row>
    <row r="272" spans="1:36" ht="25.5">
      <c r="A272" t="s">
        <v>797</v>
      </c>
      <c r="B272" t="s">
        <v>798</v>
      </c>
      <c r="C272" s="40">
        <v>44651</v>
      </c>
      <c r="D272" s="19">
        <f t="shared" si="24"/>
        <v>44649</v>
      </c>
      <c r="E272" s="17" t="s">
        <v>3583</v>
      </c>
      <c r="F272">
        <f t="shared" si="25"/>
        <v>0</v>
      </c>
      <c r="H272" t="s">
        <v>2218</v>
      </c>
      <c r="I272" s="50">
        <v>4.0999999999999996</v>
      </c>
      <c r="J272" s="61">
        <v>4.0999999999999996</v>
      </c>
      <c r="K272" s="61">
        <v>5.0999999999999996</v>
      </c>
      <c r="L272">
        <v>205000000</v>
      </c>
      <c r="M272">
        <v>1.1399999999999999</v>
      </c>
      <c r="N272">
        <v>1.99</v>
      </c>
      <c r="O272">
        <f t="shared" si="26"/>
        <v>0</v>
      </c>
      <c r="P272">
        <v>0</v>
      </c>
      <c r="Q272" t="s">
        <v>1492</v>
      </c>
      <c r="R272">
        <f t="shared" si="27"/>
        <v>9</v>
      </c>
      <c r="U272">
        <v>20.859738643435001</v>
      </c>
      <c r="V272" s="17">
        <f t="shared" si="28"/>
        <v>18.909620348799795</v>
      </c>
      <c r="Y272" s="72" t="str">
        <f>[1]!wss(AB272,"sec_status","cols=1;rows=1")</f>
        <v>L</v>
      </c>
      <c r="AB272" t="str">
        <f t="shared" si="29"/>
        <v>2370.HK</v>
      </c>
      <c r="AC272" s="50">
        <v>5.18</v>
      </c>
      <c r="AD272" s="50">
        <v>4.55</v>
      </c>
      <c r="AE272" s="50">
        <v>6.55</v>
      </c>
      <c r="AF272" s="50">
        <v>4.51</v>
      </c>
      <c r="AG272" t="s">
        <v>224</v>
      </c>
      <c r="AI272" t="s">
        <v>224</v>
      </c>
      <c r="AJ272">
        <v>0</v>
      </c>
    </row>
    <row r="273" spans="1:36" ht="25.5">
      <c r="A273" t="s">
        <v>799</v>
      </c>
      <c r="B273" t="s">
        <v>800</v>
      </c>
      <c r="C273" s="40">
        <v>45818</v>
      </c>
      <c r="D273" s="19">
        <f t="shared" si="24"/>
        <v>45816</v>
      </c>
      <c r="E273" s="17" t="s">
        <v>3583</v>
      </c>
      <c r="F273">
        <f t="shared" si="25"/>
        <v>0</v>
      </c>
      <c r="H273" t="s">
        <v>2209</v>
      </c>
      <c r="I273" s="50">
        <v>18.899999999999999</v>
      </c>
      <c r="J273" s="61">
        <v>18.899999999999999</v>
      </c>
      <c r="K273" s="61">
        <v>20.9</v>
      </c>
      <c r="L273">
        <v>200064060</v>
      </c>
      <c r="M273">
        <v>0.93</v>
      </c>
      <c r="N273">
        <v>149.37</v>
      </c>
      <c r="O273">
        <f t="shared" si="26"/>
        <v>1</v>
      </c>
      <c r="P273">
        <v>0</v>
      </c>
      <c r="Q273" t="s">
        <v>1269</v>
      </c>
      <c r="R273">
        <f t="shared" si="27"/>
        <v>12</v>
      </c>
      <c r="U273">
        <v>38.802333077005599</v>
      </c>
      <c r="V273" s="17">
        <f t="shared" si="28"/>
        <v>30.942120233643791</v>
      </c>
      <c r="X273">
        <v>6</v>
      </c>
      <c r="Y273" s="72" t="str">
        <f>[1]!wss(AB273,"sec_status","cols=1;rows=1")</f>
        <v>L</v>
      </c>
      <c r="AB273" t="str">
        <f t="shared" si="29"/>
        <v>2573.HK</v>
      </c>
      <c r="AC273" s="50">
        <v>22.95</v>
      </c>
      <c r="AD273" s="50">
        <v>30.25</v>
      </c>
      <c r="AE273" s="50">
        <v>30.25</v>
      </c>
      <c r="AF273" s="50">
        <v>22.1</v>
      </c>
      <c r="AG273" t="s">
        <v>224</v>
      </c>
      <c r="AH273" t="s">
        <v>2293</v>
      </c>
      <c r="AI273" t="s">
        <v>224</v>
      </c>
      <c r="AJ273">
        <v>0</v>
      </c>
    </row>
    <row r="274" spans="1:36" ht="25.5">
      <c r="A274" t="s">
        <v>801</v>
      </c>
      <c r="B274" t="s">
        <v>802</v>
      </c>
      <c r="C274" s="40">
        <v>44742</v>
      </c>
      <c r="D274" s="19">
        <f t="shared" si="24"/>
        <v>44740</v>
      </c>
      <c r="E274" s="17" t="s">
        <v>3583</v>
      </c>
      <c r="F274">
        <f t="shared" si="25"/>
        <v>0</v>
      </c>
      <c r="H274" t="s">
        <v>2213</v>
      </c>
      <c r="I274" s="50">
        <v>12.85</v>
      </c>
      <c r="J274" s="61">
        <v>12.85</v>
      </c>
      <c r="K274" s="61">
        <v>13.85</v>
      </c>
      <c r="L274">
        <v>308405140</v>
      </c>
      <c r="M274">
        <v>1.27</v>
      </c>
      <c r="N274">
        <v>1.17</v>
      </c>
      <c r="O274">
        <f t="shared" si="26"/>
        <v>0</v>
      </c>
      <c r="P274">
        <v>5.0000000000000002E-5</v>
      </c>
      <c r="Q274" t="s">
        <v>1148</v>
      </c>
      <c r="R274">
        <f t="shared" si="27"/>
        <v>9</v>
      </c>
      <c r="U274">
        <v>102.596915478729</v>
      </c>
      <c r="V274" s="17">
        <f t="shared" si="28"/>
        <v>258.63953131209212</v>
      </c>
      <c r="X274">
        <v>6</v>
      </c>
      <c r="Y274" s="72" t="str">
        <f>[1]!wss(AB274,"sec_status","cols=1;rows=1")</f>
        <v>L</v>
      </c>
      <c r="AB274" t="str">
        <f t="shared" si="29"/>
        <v>2167.HK</v>
      </c>
      <c r="AC274" s="50">
        <v>12.84</v>
      </c>
      <c r="AD274" s="50">
        <v>12.84</v>
      </c>
      <c r="AE274" s="50">
        <v>12.86</v>
      </c>
      <c r="AF274" s="50">
        <v>12.84</v>
      </c>
      <c r="AG274" t="s">
        <v>224</v>
      </c>
      <c r="AI274" t="s">
        <v>224</v>
      </c>
      <c r="AJ274">
        <v>0</v>
      </c>
    </row>
    <row r="275" spans="1:36" ht="25.5">
      <c r="A275" t="s">
        <v>803</v>
      </c>
      <c r="B275" t="s">
        <v>804</v>
      </c>
      <c r="C275" s="40">
        <v>45930</v>
      </c>
      <c r="D275" s="19">
        <f t="shared" si="24"/>
        <v>45928</v>
      </c>
      <c r="E275" s="17" t="s">
        <v>3583</v>
      </c>
      <c r="F275">
        <f t="shared" si="25"/>
        <v>0</v>
      </c>
      <c r="H275" t="s">
        <v>2284</v>
      </c>
      <c r="I275" s="50">
        <v>29.6</v>
      </c>
      <c r="J275" s="61">
        <v>27</v>
      </c>
      <c r="K275" s="61">
        <v>29.6</v>
      </c>
      <c r="L275">
        <v>313760000</v>
      </c>
      <c r="M275">
        <v>3.9</v>
      </c>
      <c r="N275">
        <v>2505.9</v>
      </c>
      <c r="O275">
        <f t="shared" si="26"/>
        <v>1</v>
      </c>
      <c r="P275">
        <v>0</v>
      </c>
      <c r="Q275" t="s">
        <v>1303</v>
      </c>
      <c r="R275">
        <f t="shared" si="27"/>
        <v>8</v>
      </c>
      <c r="U275">
        <v>32.674867650158099</v>
      </c>
      <c r="V275" s="17">
        <f t="shared" si="28"/>
        <v>14.5476926648779</v>
      </c>
      <c r="Y275" s="72" t="str">
        <f>[1]!wss(AB275,"sec_status","cols=1;rows=1")</f>
        <v>L</v>
      </c>
      <c r="AB275" t="str">
        <f t="shared" si="29"/>
        <v>2583.HK</v>
      </c>
      <c r="AC275" s="50">
        <v>106</v>
      </c>
      <c r="AD275" s="50">
        <v>84</v>
      </c>
      <c r="AE275" s="50">
        <v>130</v>
      </c>
      <c r="AF275" s="50">
        <v>80</v>
      </c>
      <c r="AG275" t="s">
        <v>224</v>
      </c>
      <c r="AH275" t="s">
        <v>2293</v>
      </c>
      <c r="AI275" t="s">
        <v>224</v>
      </c>
      <c r="AJ275">
        <v>0</v>
      </c>
    </row>
    <row r="276" spans="1:36" ht="25.5">
      <c r="A276" t="s">
        <v>805</v>
      </c>
      <c r="B276" t="s">
        <v>806</v>
      </c>
      <c r="C276" s="40">
        <v>44939</v>
      </c>
      <c r="D276" s="19">
        <f t="shared" si="24"/>
        <v>44937</v>
      </c>
      <c r="E276" s="17" t="s">
        <v>3583</v>
      </c>
      <c r="F276">
        <f t="shared" si="25"/>
        <v>0</v>
      </c>
      <c r="H276" t="s">
        <v>2214</v>
      </c>
      <c r="I276" s="50">
        <v>0.68</v>
      </c>
      <c r="J276" s="61">
        <v>0.68</v>
      </c>
      <c r="K276" s="61">
        <v>0.82</v>
      </c>
      <c r="L276">
        <v>136000000</v>
      </c>
      <c r="M276">
        <v>1.33</v>
      </c>
      <c r="N276">
        <v>18.28</v>
      </c>
      <c r="O276">
        <f t="shared" si="26"/>
        <v>1</v>
      </c>
      <c r="P276">
        <v>0</v>
      </c>
      <c r="Q276" t="s">
        <v>1723</v>
      </c>
      <c r="R276">
        <f t="shared" si="27"/>
        <v>7</v>
      </c>
      <c r="U276">
        <v>9.2101051934067808</v>
      </c>
      <c r="V276" s="17">
        <f t="shared" si="28"/>
        <v>31.709142155517302</v>
      </c>
      <c r="Y276" s="72" t="str">
        <f>[1]!wss(AB276,"sec_status","cols=1;rows=1")</f>
        <v>L</v>
      </c>
      <c r="AB276" t="str">
        <f t="shared" si="29"/>
        <v>2147.HK</v>
      </c>
      <c r="AC276" s="50">
        <v>0.56000000000000005</v>
      </c>
      <c r="AD276" s="50">
        <v>0.74</v>
      </c>
      <c r="AE276" s="50">
        <v>0.77</v>
      </c>
      <c r="AF276" s="50">
        <v>0.56000000000000005</v>
      </c>
      <c r="AG276" t="s">
        <v>224</v>
      </c>
      <c r="AI276" t="s">
        <v>224</v>
      </c>
      <c r="AJ276">
        <v>0</v>
      </c>
    </row>
    <row r="277" spans="1:36" ht="25.5">
      <c r="A277" t="s">
        <v>807</v>
      </c>
      <c r="B277" t="s">
        <v>808</v>
      </c>
      <c r="C277" s="40">
        <v>45847</v>
      </c>
      <c r="D277" s="19">
        <f t="shared" si="24"/>
        <v>45845</v>
      </c>
      <c r="E277" s="17" t="s">
        <v>3583</v>
      </c>
      <c r="F277">
        <f t="shared" si="25"/>
        <v>0</v>
      </c>
      <c r="H277" t="s">
        <v>2211</v>
      </c>
      <c r="I277" s="50">
        <v>20</v>
      </c>
      <c r="J277" s="61">
        <v>20</v>
      </c>
      <c r="K277" s="61">
        <v>21.4</v>
      </c>
      <c r="L277">
        <v>217236000</v>
      </c>
      <c r="M277">
        <v>0.96</v>
      </c>
      <c r="N277">
        <v>108.25</v>
      </c>
      <c r="O277">
        <f t="shared" si="26"/>
        <v>1</v>
      </c>
      <c r="P277">
        <v>0</v>
      </c>
      <c r="Q277" t="s">
        <v>1469</v>
      </c>
      <c r="R277">
        <f t="shared" si="27"/>
        <v>2</v>
      </c>
      <c r="U277">
        <v>21.818383459146901</v>
      </c>
      <c r="V277" s="17">
        <f t="shared" si="28"/>
        <v>34.575164671279317</v>
      </c>
      <c r="Y277" s="72" t="str">
        <f>[1]!wss(AB277,"sec_status","cols=1;rows=1")</f>
        <v>L</v>
      </c>
      <c r="AB277" t="str">
        <f t="shared" si="29"/>
        <v>2651.HK</v>
      </c>
      <c r="AC277" s="50">
        <v>20.7</v>
      </c>
      <c r="AD277" s="50">
        <v>24</v>
      </c>
      <c r="AE277" s="50">
        <v>27.5</v>
      </c>
      <c r="AF277" s="50">
        <v>20.65</v>
      </c>
      <c r="AG277" t="s">
        <v>224</v>
      </c>
      <c r="AH277" t="s">
        <v>2293</v>
      </c>
      <c r="AI277" t="s">
        <v>224</v>
      </c>
      <c r="AJ277">
        <v>0</v>
      </c>
    </row>
    <row r="278" spans="1:36" ht="25.5">
      <c r="A278" t="s">
        <v>809</v>
      </c>
      <c r="B278" t="s">
        <v>810</v>
      </c>
      <c r="C278" s="40">
        <v>45471</v>
      </c>
      <c r="D278" s="19">
        <f t="shared" si="24"/>
        <v>45469</v>
      </c>
      <c r="E278" s="17" t="s">
        <v>3583</v>
      </c>
      <c r="F278">
        <f t="shared" si="25"/>
        <v>0</v>
      </c>
      <c r="H278" t="s">
        <v>2206</v>
      </c>
      <c r="I278" s="50">
        <v>83.33</v>
      </c>
      <c r="J278" s="61">
        <v>83.33</v>
      </c>
      <c r="K278" s="61">
        <v>83.33</v>
      </c>
      <c r="L278">
        <v>401500606</v>
      </c>
      <c r="M278">
        <v>0.99</v>
      </c>
      <c r="N278">
        <v>602.87</v>
      </c>
      <c r="O278">
        <f t="shared" si="26"/>
        <v>1</v>
      </c>
      <c r="P278">
        <v>0</v>
      </c>
      <c r="Q278" t="s">
        <v>1133</v>
      </c>
      <c r="R278">
        <f t="shared" si="27"/>
        <v>10</v>
      </c>
      <c r="U278">
        <v>108.908852693428</v>
      </c>
      <c r="V278" s="17">
        <f t="shared" si="28"/>
        <v>518.17968987083668</v>
      </c>
      <c r="X278">
        <v>6</v>
      </c>
      <c r="Y278" s="72" t="str">
        <f>[1]!wss(AB278,"sec_status","cols=1;rows=1")</f>
        <v>L</v>
      </c>
      <c r="AB278" t="str">
        <f t="shared" si="29"/>
        <v>2479.HK</v>
      </c>
      <c r="AC278" s="50">
        <v>60.15</v>
      </c>
      <c r="AD278" s="50">
        <v>113</v>
      </c>
      <c r="AE278" s="50">
        <v>117.2</v>
      </c>
      <c r="AF278" s="50">
        <v>60.1</v>
      </c>
      <c r="AG278" t="s">
        <v>224</v>
      </c>
      <c r="AH278" t="s">
        <v>2293</v>
      </c>
      <c r="AI278" t="s">
        <v>224</v>
      </c>
      <c r="AJ278">
        <v>0</v>
      </c>
    </row>
    <row r="279" spans="1:36" ht="25.5">
      <c r="A279" t="s">
        <v>811</v>
      </c>
      <c r="B279" t="s">
        <v>812</v>
      </c>
      <c r="C279" s="40">
        <v>44907</v>
      </c>
      <c r="D279" s="19">
        <f t="shared" si="24"/>
        <v>44905</v>
      </c>
      <c r="E279" s="17" t="s">
        <v>3583</v>
      </c>
      <c r="F279">
        <f t="shared" si="25"/>
        <v>0</v>
      </c>
      <c r="H279" t="s">
        <v>2251</v>
      </c>
      <c r="I279" s="50">
        <v>2.73</v>
      </c>
      <c r="J279" s="61">
        <v>2.73</v>
      </c>
      <c r="K279" s="61">
        <v>3.28</v>
      </c>
      <c r="L279">
        <v>98280000</v>
      </c>
      <c r="M279">
        <v>1.1000000000000001</v>
      </c>
      <c r="N279">
        <v>96.73</v>
      </c>
      <c r="O279">
        <f t="shared" si="26"/>
        <v>1</v>
      </c>
      <c r="P279">
        <v>0</v>
      </c>
      <c r="Q279" t="s">
        <v>1566</v>
      </c>
      <c r="R279">
        <f t="shared" si="27"/>
        <v>1</v>
      </c>
      <c r="U279">
        <v>14.607643979057601</v>
      </c>
      <c r="V279" s="17">
        <f t="shared" si="28"/>
        <v>81.35723110979346</v>
      </c>
      <c r="X279">
        <v>6</v>
      </c>
      <c r="Y279" s="72" t="str">
        <f>[1]!wss(AB279,"sec_status","cols=1;rows=1")</f>
        <v>L</v>
      </c>
      <c r="AB279" t="str">
        <f t="shared" si="29"/>
        <v>2440.HK</v>
      </c>
      <c r="AC279" s="50">
        <v>2</v>
      </c>
      <c r="AD279" s="50">
        <v>2.2200000000000002</v>
      </c>
      <c r="AE279" s="50">
        <v>2.38</v>
      </c>
      <c r="AF279" s="50">
        <v>2</v>
      </c>
      <c r="AG279" t="s">
        <v>224</v>
      </c>
      <c r="AI279" t="s">
        <v>224</v>
      </c>
      <c r="AJ279">
        <v>0</v>
      </c>
    </row>
    <row r="280" spans="1:36" ht="25.5">
      <c r="A280" t="s">
        <v>813</v>
      </c>
      <c r="B280" t="s">
        <v>814</v>
      </c>
      <c r="C280" s="40">
        <v>45120</v>
      </c>
      <c r="D280" s="19">
        <f t="shared" si="24"/>
        <v>45118</v>
      </c>
      <c r="E280" s="17" t="s">
        <v>3583</v>
      </c>
      <c r="F280">
        <f t="shared" si="25"/>
        <v>0</v>
      </c>
      <c r="H280" t="s">
        <v>2221</v>
      </c>
      <c r="I280" s="50">
        <v>4.25</v>
      </c>
      <c r="J280" s="61">
        <v>4.25</v>
      </c>
      <c r="K280" s="61">
        <v>4.25</v>
      </c>
      <c r="L280">
        <v>342241875</v>
      </c>
      <c r="M280">
        <v>1.1499999999999999</v>
      </c>
      <c r="N280">
        <v>12.99</v>
      </c>
      <c r="O280">
        <f t="shared" si="26"/>
        <v>0</v>
      </c>
      <c r="P280">
        <v>7.5999999999999998E-2</v>
      </c>
      <c r="Q280" t="s">
        <v>1221</v>
      </c>
      <c r="R280">
        <f t="shared" si="27"/>
        <v>25</v>
      </c>
      <c r="U280">
        <v>50.292569838877903</v>
      </c>
      <c r="V280" s="17">
        <f t="shared" si="28"/>
        <v>23.8811597191286</v>
      </c>
      <c r="X280">
        <v>12</v>
      </c>
      <c r="Y280" s="72" t="str">
        <f>[1]!wss(AB280,"sec_status","cols=1;rows=1")</f>
        <v>L</v>
      </c>
      <c r="AB280" t="str">
        <f t="shared" si="29"/>
        <v>6683.HK</v>
      </c>
      <c r="AC280" s="50">
        <v>5.26</v>
      </c>
      <c r="AD280" s="50">
        <v>5.75</v>
      </c>
      <c r="AE280" s="50">
        <v>6.3</v>
      </c>
      <c r="AF280" s="50">
        <v>5.2</v>
      </c>
      <c r="AG280" t="s">
        <v>224</v>
      </c>
      <c r="AI280" t="s">
        <v>224</v>
      </c>
      <c r="AJ280">
        <v>0</v>
      </c>
    </row>
    <row r="281" spans="1:36" ht="25.5">
      <c r="A281" t="s">
        <v>815</v>
      </c>
      <c r="B281" t="s">
        <v>816</v>
      </c>
      <c r="C281" s="40">
        <v>44924</v>
      </c>
      <c r="D281" s="19">
        <f t="shared" si="24"/>
        <v>44922</v>
      </c>
      <c r="E281" s="17" t="s">
        <v>3583</v>
      </c>
      <c r="F281">
        <f t="shared" si="25"/>
        <v>0</v>
      </c>
      <c r="H281" t="s">
        <v>2237</v>
      </c>
      <c r="I281" s="50">
        <v>26.5</v>
      </c>
      <c r="J281" s="61">
        <v>25.5</v>
      </c>
      <c r="K281" s="61">
        <v>32.5</v>
      </c>
      <c r="L281">
        <v>401167600</v>
      </c>
      <c r="M281">
        <v>1.47</v>
      </c>
      <c r="N281">
        <v>5.12</v>
      </c>
      <c r="O281">
        <f t="shared" si="26"/>
        <v>0</v>
      </c>
      <c r="P281">
        <v>0.104</v>
      </c>
      <c r="Q281" t="s">
        <v>2038</v>
      </c>
      <c r="R281">
        <f t="shared" si="27"/>
        <v>13</v>
      </c>
      <c r="U281">
        <v>-25.003401406495101</v>
      </c>
      <c r="V281" s="17">
        <f t="shared" si="28"/>
        <v>71.440652628579983</v>
      </c>
      <c r="X281">
        <v>6</v>
      </c>
      <c r="Y281" s="72" t="str">
        <f>[1]!wss(AB281,"sec_status","cols=1;rows=1")</f>
        <v>L</v>
      </c>
      <c r="AB281" t="str">
        <f t="shared" si="29"/>
        <v>6698.HK</v>
      </c>
      <c r="AC281" s="50">
        <v>45.2</v>
      </c>
      <c r="AD281" s="50">
        <v>32.549999999999997</v>
      </c>
      <c r="AE281" s="50">
        <v>49.5</v>
      </c>
      <c r="AF281" s="50">
        <v>32.549999999999997</v>
      </c>
      <c r="AG281" t="s">
        <v>224</v>
      </c>
      <c r="AI281" t="s">
        <v>224</v>
      </c>
      <c r="AJ281">
        <v>0</v>
      </c>
    </row>
    <row r="282" spans="1:36" ht="25.5">
      <c r="A282" t="s">
        <v>817</v>
      </c>
      <c r="B282" t="s">
        <v>818</v>
      </c>
      <c r="C282" s="40">
        <v>45667</v>
      </c>
      <c r="D282" s="19">
        <f t="shared" si="24"/>
        <v>45665</v>
      </c>
      <c r="E282" s="17" t="s">
        <v>3583</v>
      </c>
      <c r="F282">
        <f t="shared" si="25"/>
        <v>0</v>
      </c>
      <c r="H282" t="s">
        <v>2255</v>
      </c>
      <c r="I282" s="50">
        <v>0.8</v>
      </c>
      <c r="J282" s="61">
        <v>0.8</v>
      </c>
      <c r="K282" s="61">
        <v>1.0900000000000001</v>
      </c>
      <c r="L282">
        <v>200000000</v>
      </c>
      <c r="M282">
        <v>1.03</v>
      </c>
      <c r="N282">
        <v>65.17</v>
      </c>
      <c r="O282">
        <f t="shared" si="26"/>
        <v>1</v>
      </c>
      <c r="P282">
        <v>0</v>
      </c>
      <c r="Q282" t="s">
        <v>1797</v>
      </c>
      <c r="R282">
        <f t="shared" si="27"/>
        <v>9</v>
      </c>
      <c r="U282">
        <v>4.5497539913645904</v>
      </c>
      <c r="V282" s="17">
        <f t="shared" si="28"/>
        <v>12.6576122727963</v>
      </c>
      <c r="Y282" s="72" t="str">
        <f>[1]!wss(AB282,"sec_status","cols=1;rows=1")</f>
        <v>L</v>
      </c>
      <c r="AB282" t="str">
        <f t="shared" si="29"/>
        <v>2530.HK</v>
      </c>
      <c r="AC282" s="50">
        <v>0.69</v>
      </c>
      <c r="AD282" s="50">
        <v>0.79</v>
      </c>
      <c r="AE282" s="50">
        <v>0.79</v>
      </c>
      <c r="AF282" s="50">
        <v>0.57999999999999996</v>
      </c>
      <c r="AG282" t="s">
        <v>224</v>
      </c>
      <c r="AI282" t="s">
        <v>224</v>
      </c>
      <c r="AJ282">
        <v>0</v>
      </c>
    </row>
    <row r="283" spans="1:36">
      <c r="A283" t="s">
        <v>819</v>
      </c>
      <c r="B283" t="s">
        <v>820</v>
      </c>
      <c r="C283" s="40">
        <v>45847</v>
      </c>
      <c r="D283" s="19">
        <f t="shared" si="24"/>
        <v>45845</v>
      </c>
      <c r="E283" s="17" t="s">
        <v>3582</v>
      </c>
      <c r="F283">
        <f t="shared" si="25"/>
        <v>1</v>
      </c>
      <c r="G283" t="s">
        <v>821</v>
      </c>
      <c r="H283" t="s">
        <v>2219</v>
      </c>
      <c r="I283" s="50">
        <v>120.5</v>
      </c>
      <c r="K283" s="61">
        <v>120.5</v>
      </c>
      <c r="L283">
        <v>2597498000</v>
      </c>
      <c r="M283">
        <v>8.61</v>
      </c>
      <c r="N283">
        <v>138.26</v>
      </c>
      <c r="O283">
        <f t="shared" si="26"/>
        <v>1</v>
      </c>
      <c r="P283">
        <v>3.2629999999999999</v>
      </c>
      <c r="Q283" t="s">
        <v>1208</v>
      </c>
      <c r="R283">
        <f t="shared" si="27"/>
        <v>3</v>
      </c>
      <c r="U283">
        <v>55.757166041138298</v>
      </c>
      <c r="V283" s="17">
        <f t="shared" si="28"/>
        <v>57.998493468099497</v>
      </c>
      <c r="X283">
        <v>6</v>
      </c>
      <c r="Y283" s="72" t="str">
        <f>[1]!wss(AB283,"sec_status","cols=1;rows=1")</f>
        <v>L</v>
      </c>
      <c r="AB283" t="str">
        <f t="shared" si="29"/>
        <v>1304.HK</v>
      </c>
      <c r="AC283" s="50">
        <v>139.80000000000001</v>
      </c>
      <c r="AD283" s="50">
        <v>130.80000000000001</v>
      </c>
      <c r="AE283" s="50">
        <v>143.80000000000001</v>
      </c>
      <c r="AF283" s="50">
        <v>128</v>
      </c>
      <c r="AG283" t="s">
        <v>224</v>
      </c>
      <c r="AH283" t="s">
        <v>2293</v>
      </c>
      <c r="AI283" t="s">
        <v>224</v>
      </c>
      <c r="AJ283">
        <v>0</v>
      </c>
    </row>
    <row r="284" spans="1:36" ht="25.5">
      <c r="A284" t="s">
        <v>822</v>
      </c>
      <c r="B284" t="s">
        <v>823</v>
      </c>
      <c r="C284" s="40">
        <v>44881</v>
      </c>
      <c r="D284" s="19">
        <f t="shared" si="24"/>
        <v>44879</v>
      </c>
      <c r="E284" s="17" t="s">
        <v>3583</v>
      </c>
      <c r="F284">
        <f t="shared" si="25"/>
        <v>0</v>
      </c>
      <c r="H284" t="s">
        <v>2279</v>
      </c>
      <c r="I284" s="50">
        <v>1.42</v>
      </c>
      <c r="J284" s="61">
        <v>1.42</v>
      </c>
      <c r="K284" s="61">
        <v>1.62</v>
      </c>
      <c r="L284">
        <v>156200000</v>
      </c>
      <c r="M284">
        <v>1.17</v>
      </c>
      <c r="N284">
        <v>7.15</v>
      </c>
      <c r="O284">
        <f t="shared" si="26"/>
        <v>0</v>
      </c>
      <c r="P284">
        <v>0</v>
      </c>
      <c r="Q284" t="s">
        <v>1761</v>
      </c>
      <c r="R284">
        <f t="shared" si="27"/>
        <v>14</v>
      </c>
      <c r="U284">
        <v>7.5673873046441003</v>
      </c>
      <c r="V284" s="17" t="str">
        <f t="shared" si="28"/>
        <v/>
      </c>
      <c r="Y284" s="72" t="str">
        <f>[1]!wss(AB284,"sec_status","cols=1;rows=1")</f>
        <v>L</v>
      </c>
      <c r="AB284" t="str">
        <f t="shared" si="29"/>
        <v>1407.HK</v>
      </c>
      <c r="AC284" s="50">
        <v>1.42</v>
      </c>
      <c r="AD284" s="50">
        <v>1.52</v>
      </c>
      <c r="AE284" s="50">
        <v>1.6</v>
      </c>
      <c r="AF284" s="50">
        <v>1.25</v>
      </c>
      <c r="AG284" t="s">
        <v>224</v>
      </c>
      <c r="AI284" t="s">
        <v>224</v>
      </c>
      <c r="AJ284">
        <v>0</v>
      </c>
    </row>
    <row r="285" spans="1:36">
      <c r="A285" t="s">
        <v>824</v>
      </c>
      <c r="B285" t="s">
        <v>825</v>
      </c>
      <c r="C285" s="40">
        <v>45967</v>
      </c>
      <c r="D285" s="19">
        <f t="shared" si="24"/>
        <v>45965</v>
      </c>
      <c r="E285" s="17" t="s">
        <v>3587</v>
      </c>
      <c r="F285">
        <f t="shared" si="25"/>
        <v>0</v>
      </c>
      <c r="H285" t="s">
        <v>2206</v>
      </c>
      <c r="I285" s="50">
        <v>27.1</v>
      </c>
      <c r="K285" s="61">
        <v>35</v>
      </c>
      <c r="L285">
        <v>2391575000</v>
      </c>
      <c r="M285">
        <v>9.85</v>
      </c>
      <c r="N285">
        <v>73.44</v>
      </c>
      <c r="O285">
        <f t="shared" si="26"/>
        <v>1</v>
      </c>
      <c r="P285">
        <v>0</v>
      </c>
      <c r="Q285" t="s">
        <v>1892</v>
      </c>
      <c r="R285">
        <f t="shared" si="27"/>
        <v>10</v>
      </c>
      <c r="U285">
        <v>-10.236632673974199</v>
      </c>
      <c r="V285" s="17">
        <f t="shared" si="28"/>
        <v>472.70515240668021</v>
      </c>
      <c r="Y285" s="51" t="str">
        <f>[1]!wss(AB285,"sec_status","cols=1;rows=1")</f>
        <v/>
      </c>
      <c r="AB285" t="str">
        <f t="shared" si="29"/>
        <v>800.HK</v>
      </c>
      <c r="AC285" s="50">
        <v>24.4</v>
      </c>
      <c r="AD285" s="50">
        <v>24.98</v>
      </c>
      <c r="AE285" s="50">
        <v>24.98</v>
      </c>
      <c r="AF285" s="50">
        <v>23</v>
      </c>
      <c r="AG285" t="s">
        <v>224</v>
      </c>
      <c r="AI285" t="s">
        <v>224</v>
      </c>
      <c r="AJ285">
        <v>0</v>
      </c>
    </row>
    <row r="286" spans="1:36" ht="25.5">
      <c r="A286" t="s">
        <v>826</v>
      </c>
      <c r="B286" t="s">
        <v>827</v>
      </c>
      <c r="C286" s="40">
        <v>44754</v>
      </c>
      <c r="D286" s="19">
        <f t="shared" si="24"/>
        <v>44752</v>
      </c>
      <c r="E286" s="17" t="s">
        <v>3583</v>
      </c>
      <c r="F286">
        <f t="shared" si="25"/>
        <v>0</v>
      </c>
      <c r="H286" t="s">
        <v>2206</v>
      </c>
      <c r="I286" s="50">
        <v>5.36</v>
      </c>
      <c r="J286" s="61">
        <v>5.36</v>
      </c>
      <c r="K286" s="61">
        <v>6.96</v>
      </c>
      <c r="L286">
        <v>411487200</v>
      </c>
      <c r="M286">
        <v>1.36</v>
      </c>
      <c r="N286">
        <v>2.21</v>
      </c>
      <c r="O286">
        <f t="shared" si="26"/>
        <v>0</v>
      </c>
      <c r="P286">
        <v>9.5000000000000001E-2</v>
      </c>
      <c r="Q286" t="s">
        <v>1386</v>
      </c>
      <c r="R286">
        <f t="shared" si="27"/>
        <v>12</v>
      </c>
      <c r="U286">
        <v>25.021902478017601</v>
      </c>
      <c r="V286" s="17">
        <f t="shared" si="28"/>
        <v>528.66555864776308</v>
      </c>
      <c r="X286">
        <v>6</v>
      </c>
      <c r="Y286" s="72" t="str">
        <f>[1]!wss(AB286,"sec_status","cols=1;rows=1")</f>
        <v>L</v>
      </c>
      <c r="AB286" t="str">
        <f t="shared" si="29"/>
        <v>2361.HK</v>
      </c>
      <c r="AC286" s="50">
        <v>5.36</v>
      </c>
      <c r="AD286" s="50">
        <v>4.74</v>
      </c>
      <c r="AE286" s="50">
        <v>5.8</v>
      </c>
      <c r="AF286" s="50">
        <v>4.59</v>
      </c>
      <c r="AG286" t="s">
        <v>224</v>
      </c>
      <c r="AI286" t="s">
        <v>224</v>
      </c>
      <c r="AJ286">
        <v>0</v>
      </c>
    </row>
    <row r="287" spans="1:36" ht="25.5">
      <c r="A287" t="s">
        <v>828</v>
      </c>
      <c r="B287" t="s">
        <v>829</v>
      </c>
      <c r="C287" s="40">
        <v>45282</v>
      </c>
      <c r="D287" s="19">
        <f t="shared" si="24"/>
        <v>45280</v>
      </c>
      <c r="E287" s="17" t="s">
        <v>3583</v>
      </c>
      <c r="F287">
        <f t="shared" si="25"/>
        <v>0</v>
      </c>
      <c r="H287" t="s">
        <v>2247</v>
      </c>
      <c r="I287" s="50">
        <v>0.55000000000000004</v>
      </c>
      <c r="J287" s="61">
        <v>0.55000000000000004</v>
      </c>
      <c r="K287" s="61">
        <v>0.75</v>
      </c>
      <c r="L287">
        <v>275000000</v>
      </c>
      <c r="M287">
        <v>1.03</v>
      </c>
      <c r="N287">
        <v>8.76</v>
      </c>
      <c r="O287">
        <f t="shared" si="26"/>
        <v>0</v>
      </c>
      <c r="P287">
        <v>0</v>
      </c>
      <c r="Q287" t="s">
        <v>1651</v>
      </c>
      <c r="R287">
        <f t="shared" si="27"/>
        <v>22</v>
      </c>
      <c r="U287">
        <v>11.808073160766201</v>
      </c>
      <c r="V287" s="17">
        <f t="shared" si="28"/>
        <v>39.583680639145101</v>
      </c>
      <c r="X287">
        <v>12</v>
      </c>
      <c r="Y287" s="72" t="str">
        <f>[1]!wss(AB287,"sec_status","cols=1;rows=1")</f>
        <v>L</v>
      </c>
      <c r="AB287" t="str">
        <f t="shared" si="29"/>
        <v>2489.HK</v>
      </c>
      <c r="AC287" s="50">
        <v>0.56000000000000005</v>
      </c>
      <c r="AD287" s="50">
        <v>0.51</v>
      </c>
      <c r="AE287" s="50">
        <v>0.57999999999999996</v>
      </c>
      <c r="AF287" s="50">
        <v>0.51</v>
      </c>
      <c r="AG287" t="s">
        <v>224</v>
      </c>
      <c r="AI287" t="s">
        <v>224</v>
      </c>
      <c r="AJ287">
        <v>0</v>
      </c>
    </row>
    <row r="288" spans="1:36" ht="25.5">
      <c r="A288" t="s">
        <v>830</v>
      </c>
      <c r="B288" t="s">
        <v>831</v>
      </c>
      <c r="C288" s="40">
        <v>44754</v>
      </c>
      <c r="D288" s="19">
        <f t="shared" si="24"/>
        <v>44752</v>
      </c>
      <c r="E288" s="17" t="s">
        <v>3583</v>
      </c>
      <c r="F288">
        <f t="shared" si="25"/>
        <v>0</v>
      </c>
      <c r="H288" t="s">
        <v>2241</v>
      </c>
      <c r="I288" s="50">
        <v>7.6</v>
      </c>
      <c r="J288" s="61">
        <v>7.6</v>
      </c>
      <c r="K288" s="61">
        <v>10</v>
      </c>
      <c r="L288">
        <v>395200000</v>
      </c>
      <c r="M288">
        <v>1.62</v>
      </c>
      <c r="N288">
        <v>1.73</v>
      </c>
      <c r="O288">
        <f t="shared" si="26"/>
        <v>0</v>
      </c>
      <c r="P288">
        <v>0</v>
      </c>
      <c r="Q288" t="s">
        <v>1376</v>
      </c>
      <c r="R288">
        <f t="shared" si="27"/>
        <v>10</v>
      </c>
      <c r="U288">
        <v>26.626293672242099</v>
      </c>
      <c r="V288" s="17" t="str">
        <f t="shared" si="28"/>
        <v/>
      </c>
      <c r="X288">
        <v>6</v>
      </c>
      <c r="Y288" s="72" t="str">
        <f>[1]!wss(AB288,"sec_status","cols=1;rows=1")</f>
        <v>L</v>
      </c>
      <c r="AB288" t="str">
        <f t="shared" si="29"/>
        <v>2385.HK</v>
      </c>
      <c r="AC288" s="50">
        <v>7.2</v>
      </c>
      <c r="AD288" s="50">
        <v>5.4</v>
      </c>
      <c r="AE288" s="50">
        <v>7.45</v>
      </c>
      <c r="AF288" s="50">
        <v>5.4</v>
      </c>
      <c r="AG288" t="s">
        <v>224</v>
      </c>
      <c r="AI288" t="s">
        <v>224</v>
      </c>
      <c r="AJ288">
        <v>0</v>
      </c>
    </row>
    <row r="289" spans="1:36" ht="25.5">
      <c r="A289" t="s">
        <v>832</v>
      </c>
      <c r="B289" t="s">
        <v>833</v>
      </c>
      <c r="C289" s="40">
        <v>46066</v>
      </c>
      <c r="D289" s="19">
        <f t="shared" si="24"/>
        <v>46064</v>
      </c>
      <c r="E289" s="17" t="s">
        <v>3583</v>
      </c>
      <c r="F289">
        <f t="shared" si="25"/>
        <v>0</v>
      </c>
      <c r="H289" t="s">
        <v>2206</v>
      </c>
      <c r="I289" s="50">
        <v>27.06</v>
      </c>
      <c r="J289" s="61">
        <v>25.6</v>
      </c>
      <c r="K289" s="61">
        <v>28</v>
      </c>
      <c r="L289">
        <v>758497212</v>
      </c>
      <c r="M289">
        <v>8.39</v>
      </c>
      <c r="N289">
        <v>5065.0600000000004</v>
      </c>
      <c r="O289">
        <f t="shared" si="26"/>
        <v>1</v>
      </c>
      <c r="P289">
        <v>0</v>
      </c>
      <c r="Q289" t="s">
        <v>2161</v>
      </c>
      <c r="R289">
        <f t="shared" si="27"/>
        <v>11</v>
      </c>
      <c r="U289">
        <v>-107.051403626352</v>
      </c>
      <c r="V289" s="17">
        <f t="shared" si="28"/>
        <v>472.70515240668021</v>
      </c>
      <c r="X289">
        <v>11</v>
      </c>
      <c r="Y289" s="72" t="str">
        <f>[1]!wss(AB289,"sec_status","cols=1;rows=1")</f>
        <v>L</v>
      </c>
      <c r="AB289" t="str">
        <f t="shared" si="29"/>
        <v>2706.HK</v>
      </c>
      <c r="AC289" s="50">
        <v>92.6</v>
      </c>
      <c r="AD289" s="50">
        <v>82.3</v>
      </c>
      <c r="AE289" s="50">
        <v>99.6</v>
      </c>
      <c r="AF289" s="50">
        <v>82.3</v>
      </c>
      <c r="AG289" t="s">
        <v>224</v>
      </c>
      <c r="AH289" t="s">
        <v>2293</v>
      </c>
      <c r="AI289" t="s">
        <v>224</v>
      </c>
      <c r="AJ289">
        <v>0</v>
      </c>
    </row>
    <row r="290" spans="1:36" ht="25.5">
      <c r="A290" t="s">
        <v>834</v>
      </c>
      <c r="B290" t="s">
        <v>835</v>
      </c>
      <c r="C290" s="40">
        <v>44910</v>
      </c>
      <c r="D290" s="19">
        <f t="shared" si="24"/>
        <v>44908</v>
      </c>
      <c r="E290" s="17" t="s">
        <v>3583</v>
      </c>
      <c r="F290">
        <f t="shared" si="25"/>
        <v>0</v>
      </c>
      <c r="H290" t="s">
        <v>2245</v>
      </c>
      <c r="I290" s="50">
        <v>0.5</v>
      </c>
      <c r="J290" s="61">
        <v>0.5</v>
      </c>
      <c r="K290" s="61">
        <v>0.6</v>
      </c>
      <c r="L290">
        <v>125000000</v>
      </c>
      <c r="M290">
        <v>1.19</v>
      </c>
      <c r="N290">
        <v>51.22</v>
      </c>
      <c r="O290">
        <f t="shared" si="26"/>
        <v>1</v>
      </c>
      <c r="P290">
        <v>0</v>
      </c>
      <c r="Q290" t="s">
        <v>1692</v>
      </c>
      <c r="R290">
        <f t="shared" si="27"/>
        <v>14</v>
      </c>
      <c r="U290">
        <v>10.854153944189299</v>
      </c>
      <c r="V290" s="17">
        <f t="shared" si="28"/>
        <v>32.893960860340698</v>
      </c>
      <c r="X290">
        <v>6</v>
      </c>
      <c r="Y290" s="72" t="str">
        <f>[1]!wss(AB290,"sec_status","cols=1;rows=1")</f>
        <v>L</v>
      </c>
      <c r="AB290" t="str">
        <f t="shared" si="29"/>
        <v>2457.HK</v>
      </c>
      <c r="AC290" s="50">
        <v>0.3</v>
      </c>
      <c r="AD290" s="50">
        <v>0.35499999999999998</v>
      </c>
      <c r="AE290" s="50">
        <v>0.42499999999999999</v>
      </c>
      <c r="AF290" s="50">
        <v>0.29499999999999998</v>
      </c>
      <c r="AG290" t="s">
        <v>224</v>
      </c>
      <c r="AI290" t="s">
        <v>224</v>
      </c>
      <c r="AJ290">
        <v>0</v>
      </c>
    </row>
    <row r="291" spans="1:36" ht="25.5">
      <c r="A291" t="s">
        <v>836</v>
      </c>
      <c r="B291" t="s">
        <v>837</v>
      </c>
      <c r="C291" s="40">
        <v>45016</v>
      </c>
      <c r="D291" s="19">
        <f t="shared" si="24"/>
        <v>45014</v>
      </c>
      <c r="E291" s="17" t="s">
        <v>3583</v>
      </c>
      <c r="F291">
        <f t="shared" si="25"/>
        <v>0</v>
      </c>
      <c r="H291" t="s">
        <v>2258</v>
      </c>
      <c r="I291" s="50">
        <v>1.05</v>
      </c>
      <c r="J291" s="61">
        <v>1.05</v>
      </c>
      <c r="K291" s="61">
        <v>1.35</v>
      </c>
      <c r="L291">
        <v>199500000</v>
      </c>
      <c r="M291">
        <v>0</v>
      </c>
      <c r="N291">
        <v>6.33</v>
      </c>
      <c r="O291">
        <f t="shared" si="26"/>
        <v>0</v>
      </c>
      <c r="P291">
        <v>0</v>
      </c>
      <c r="Q291" t="s">
        <v>1547</v>
      </c>
      <c r="R291">
        <f t="shared" si="27"/>
        <v>18</v>
      </c>
      <c r="U291">
        <v>16.598242726693599</v>
      </c>
      <c r="V291" s="17">
        <f t="shared" si="28"/>
        <v>17.243235481737401</v>
      </c>
      <c r="X291">
        <v>6</v>
      </c>
      <c r="Y291" s="72" t="str">
        <f>[1]!wss(AB291,"sec_status","cols=1;rows=1")</f>
        <v>L</v>
      </c>
      <c r="AB291" t="str">
        <f t="shared" si="29"/>
        <v>2439.HK</v>
      </c>
      <c r="AC291" s="50">
        <v>0.68</v>
      </c>
      <c r="AD291" s="50">
        <v>0.65</v>
      </c>
      <c r="AE291" s="50">
        <v>0.77</v>
      </c>
      <c r="AF291" s="50">
        <v>0.64</v>
      </c>
      <c r="AG291" t="s">
        <v>224</v>
      </c>
      <c r="AI291" t="s">
        <v>224</v>
      </c>
      <c r="AJ291">
        <v>0</v>
      </c>
    </row>
    <row r="292" spans="1:36" ht="25.5">
      <c r="A292" t="s">
        <v>838</v>
      </c>
      <c r="B292" t="s">
        <v>839</v>
      </c>
      <c r="C292" s="40">
        <v>46014</v>
      </c>
      <c r="D292" s="19">
        <f t="shared" si="24"/>
        <v>46012</v>
      </c>
      <c r="E292" s="17" t="s">
        <v>3583</v>
      </c>
      <c r="F292">
        <f t="shared" si="25"/>
        <v>0</v>
      </c>
      <c r="H292" t="s">
        <v>2206</v>
      </c>
      <c r="I292" s="50">
        <v>80</v>
      </c>
      <c r="J292" s="61">
        <v>80</v>
      </c>
      <c r="K292" s="61">
        <v>106</v>
      </c>
      <c r="L292">
        <v>302928000</v>
      </c>
      <c r="M292">
        <v>2.08</v>
      </c>
      <c r="N292">
        <v>188.74</v>
      </c>
      <c r="O292">
        <f t="shared" si="26"/>
        <v>1</v>
      </c>
      <c r="P292">
        <v>0</v>
      </c>
      <c r="Q292" t="s">
        <v>1416</v>
      </c>
      <c r="R292">
        <f t="shared" si="27"/>
        <v>3</v>
      </c>
      <c r="U292">
        <v>24.315918635323499</v>
      </c>
      <c r="V292" s="17">
        <f t="shared" si="28"/>
        <v>528.75380662809982</v>
      </c>
      <c r="Y292" s="72" t="str">
        <f>[1]!wss(AB292,"sec_status","cols=1;rows=1")</f>
        <v>L</v>
      </c>
      <c r="AB292" t="str">
        <f t="shared" si="29"/>
        <v>2635.HK</v>
      </c>
      <c r="AC292" s="50">
        <v>371</v>
      </c>
      <c r="AD292" s="50">
        <v>319.8</v>
      </c>
      <c r="AE292" s="50">
        <v>371</v>
      </c>
      <c r="AF292" s="50">
        <v>310</v>
      </c>
      <c r="AG292" t="s">
        <v>224</v>
      </c>
      <c r="AH292" t="s">
        <v>2293</v>
      </c>
      <c r="AI292" t="s">
        <v>224</v>
      </c>
      <c r="AJ292">
        <v>0</v>
      </c>
    </row>
    <row r="293" spans="1:36" ht="25.5">
      <c r="A293" t="s">
        <v>840</v>
      </c>
      <c r="B293" t="s">
        <v>841</v>
      </c>
      <c r="C293" s="40">
        <v>46021</v>
      </c>
      <c r="D293" s="19">
        <f t="shared" si="24"/>
        <v>46019</v>
      </c>
      <c r="E293" s="17" t="s">
        <v>3583</v>
      </c>
      <c r="F293">
        <f t="shared" si="25"/>
        <v>0</v>
      </c>
      <c r="H293" t="s">
        <v>2223</v>
      </c>
      <c r="I293" s="50">
        <v>24.05</v>
      </c>
      <c r="J293" s="61">
        <v>24.05</v>
      </c>
      <c r="K293" s="61">
        <v>24.05</v>
      </c>
      <c r="L293">
        <v>2618900700</v>
      </c>
      <c r="M293">
        <v>26.27</v>
      </c>
      <c r="N293">
        <v>1427.37</v>
      </c>
      <c r="O293">
        <f t="shared" si="26"/>
        <v>1</v>
      </c>
      <c r="P293">
        <v>3.2450000000000001</v>
      </c>
      <c r="Q293" t="s">
        <v>2157</v>
      </c>
      <c r="R293">
        <f t="shared" si="27"/>
        <v>6</v>
      </c>
      <c r="U293">
        <v>-101.018161594315</v>
      </c>
      <c r="V293" s="17">
        <f t="shared" si="28"/>
        <v>89.319918688268459</v>
      </c>
      <c r="X293">
        <v>6</v>
      </c>
      <c r="Y293" s="72" t="str">
        <f>[1]!wss(AB293,"sec_status","cols=1;rows=1")</f>
        <v>L</v>
      </c>
      <c r="AB293" t="str">
        <f t="shared" si="29"/>
        <v>3696.HK</v>
      </c>
      <c r="AC293" s="50">
        <v>29.98</v>
      </c>
      <c r="AD293" s="50">
        <v>35</v>
      </c>
      <c r="AE293" s="50">
        <v>35.700000000000003</v>
      </c>
      <c r="AF293" s="50">
        <v>29.98</v>
      </c>
      <c r="AG293" t="s">
        <v>224</v>
      </c>
      <c r="AI293" t="s">
        <v>224</v>
      </c>
      <c r="AJ293">
        <v>0</v>
      </c>
    </row>
    <row r="294" spans="1:36" ht="25.5">
      <c r="A294" t="s">
        <v>842</v>
      </c>
      <c r="B294" t="s">
        <v>843</v>
      </c>
      <c r="C294" s="40">
        <v>45125</v>
      </c>
      <c r="D294" s="19">
        <f t="shared" si="24"/>
        <v>45123</v>
      </c>
      <c r="E294" s="17" t="s">
        <v>3583</v>
      </c>
      <c r="F294">
        <f t="shared" si="25"/>
        <v>0</v>
      </c>
      <c r="H294" t="s">
        <v>2218</v>
      </c>
      <c r="I294" s="50">
        <v>1.18</v>
      </c>
      <c r="J294" s="61">
        <v>1.18</v>
      </c>
      <c r="K294" s="61">
        <v>1.48</v>
      </c>
      <c r="L294">
        <v>162148520</v>
      </c>
      <c r="M294">
        <v>1.63</v>
      </c>
      <c r="N294">
        <v>1.84</v>
      </c>
      <c r="O294">
        <f t="shared" si="26"/>
        <v>0</v>
      </c>
      <c r="P294">
        <v>0.123</v>
      </c>
      <c r="Q294" t="s">
        <v>1701</v>
      </c>
      <c r="R294">
        <f t="shared" si="27"/>
        <v>5</v>
      </c>
      <c r="U294">
        <v>10.509431149906501</v>
      </c>
      <c r="V294" s="17">
        <f t="shared" si="28"/>
        <v>20.059654514747407</v>
      </c>
      <c r="X294">
        <v>6</v>
      </c>
      <c r="Y294" s="72" t="str">
        <f>[1]!wss(AB294,"sec_status","cols=1;rows=1")</f>
        <v>L</v>
      </c>
      <c r="AB294" t="str">
        <f t="shared" si="29"/>
        <v>2271.HK</v>
      </c>
      <c r="AC294" s="50">
        <v>1.21</v>
      </c>
      <c r="AD294" s="50">
        <v>1.22</v>
      </c>
      <c r="AE294" s="50">
        <v>1.22</v>
      </c>
      <c r="AF294" s="50">
        <v>1.1200000000000001</v>
      </c>
      <c r="AG294" t="s">
        <v>224</v>
      </c>
      <c r="AI294" t="s">
        <v>224</v>
      </c>
      <c r="AJ294">
        <v>0</v>
      </c>
    </row>
    <row r="295" spans="1:36" ht="25.5">
      <c r="A295" t="s">
        <v>844</v>
      </c>
      <c r="B295" t="s">
        <v>845</v>
      </c>
      <c r="C295" s="40">
        <v>45043</v>
      </c>
      <c r="D295" s="19">
        <f t="shared" si="24"/>
        <v>45041</v>
      </c>
      <c r="E295" s="17" t="s">
        <v>3583</v>
      </c>
      <c r="F295">
        <f t="shared" si="25"/>
        <v>0</v>
      </c>
      <c r="H295" t="s">
        <v>2211</v>
      </c>
      <c r="I295" s="50">
        <v>9.1</v>
      </c>
      <c r="J295" s="61">
        <v>9.1</v>
      </c>
      <c r="K295" s="61">
        <v>10.16</v>
      </c>
      <c r="L295">
        <v>607779900</v>
      </c>
      <c r="M295">
        <v>1.47</v>
      </c>
      <c r="N295">
        <v>9.85</v>
      </c>
      <c r="O295">
        <f t="shared" si="26"/>
        <v>0</v>
      </c>
      <c r="P295">
        <v>0</v>
      </c>
      <c r="Q295" t="s">
        <v>2125</v>
      </c>
      <c r="R295">
        <f t="shared" si="27"/>
        <v>14</v>
      </c>
      <c r="U295">
        <v>-49.414254062425798</v>
      </c>
      <c r="V295" s="17">
        <f t="shared" si="28"/>
        <v>32.980567019762766</v>
      </c>
      <c r="X295">
        <v>6</v>
      </c>
      <c r="Y295" s="72" t="str">
        <f>[1]!wss(AB295,"sec_status","cols=1;rows=1")</f>
        <v>L</v>
      </c>
      <c r="AB295" t="str">
        <f t="shared" si="29"/>
        <v>2415.HK</v>
      </c>
      <c r="AC295" s="50">
        <v>9.1999999999999993</v>
      </c>
      <c r="AD295" s="50">
        <v>8.85</v>
      </c>
      <c r="AE295" s="50">
        <v>9.4700000000000006</v>
      </c>
      <c r="AF295" s="50">
        <v>8.6</v>
      </c>
      <c r="AG295" t="s">
        <v>224</v>
      </c>
      <c r="AI295" t="s">
        <v>224</v>
      </c>
      <c r="AJ295">
        <v>0</v>
      </c>
    </row>
    <row r="296" spans="1:36" ht="25.5">
      <c r="A296" t="s">
        <v>846</v>
      </c>
      <c r="B296" t="s">
        <v>847</v>
      </c>
      <c r="C296" s="40">
        <v>45818</v>
      </c>
      <c r="D296" s="19">
        <f t="shared" si="24"/>
        <v>45816</v>
      </c>
      <c r="E296" s="17" t="s">
        <v>3583</v>
      </c>
      <c r="F296">
        <f t="shared" si="25"/>
        <v>0</v>
      </c>
      <c r="H296" t="s">
        <v>2204</v>
      </c>
      <c r="I296" s="50">
        <v>10</v>
      </c>
      <c r="J296" s="61">
        <v>10</v>
      </c>
      <c r="K296" s="61">
        <v>12</v>
      </c>
      <c r="L296">
        <v>184000000</v>
      </c>
      <c r="M296">
        <v>0.96</v>
      </c>
      <c r="N296">
        <v>275.95999999999998</v>
      </c>
      <c r="O296">
        <f t="shared" si="26"/>
        <v>1</v>
      </c>
      <c r="P296">
        <v>0</v>
      </c>
      <c r="Q296" t="s">
        <v>1480</v>
      </c>
      <c r="R296">
        <f t="shared" si="27"/>
        <v>11</v>
      </c>
      <c r="U296">
        <v>21.217149326432398</v>
      </c>
      <c r="V296" s="17">
        <f t="shared" si="28"/>
        <v>40.613483211838897</v>
      </c>
      <c r="X296">
        <v>6</v>
      </c>
      <c r="Y296" s="72" t="str">
        <f>[1]!wss(AB296,"sec_status","cols=1;rows=1")</f>
        <v>L</v>
      </c>
      <c r="AB296" t="str">
        <f t="shared" si="29"/>
        <v>9881.HK</v>
      </c>
      <c r="AC296" s="50">
        <v>14.2</v>
      </c>
      <c r="AD296" s="50">
        <v>16.600000000000001</v>
      </c>
      <c r="AE296" s="50">
        <v>17.559999999999999</v>
      </c>
      <c r="AF296" s="50">
        <v>13.12</v>
      </c>
      <c r="AG296" t="s">
        <v>224</v>
      </c>
      <c r="AH296" t="s">
        <v>2293</v>
      </c>
      <c r="AI296" t="s">
        <v>224</v>
      </c>
      <c r="AJ296">
        <v>0</v>
      </c>
    </row>
    <row r="297" spans="1:36" ht="25.5">
      <c r="A297" t="s">
        <v>848</v>
      </c>
      <c r="B297" t="s">
        <v>849</v>
      </c>
      <c r="C297" s="40">
        <v>45377</v>
      </c>
      <c r="D297" s="19">
        <f t="shared" si="24"/>
        <v>45375</v>
      </c>
      <c r="E297" s="17" t="s">
        <v>3583</v>
      </c>
      <c r="F297">
        <f t="shared" si="25"/>
        <v>0</v>
      </c>
      <c r="H297" t="s">
        <v>2264</v>
      </c>
      <c r="I297" s="50">
        <v>2.6</v>
      </c>
      <c r="J297" s="61">
        <v>2.6</v>
      </c>
      <c r="K297" s="61">
        <v>2.6</v>
      </c>
      <c r="L297">
        <v>240000800</v>
      </c>
      <c r="M297">
        <v>1.29</v>
      </c>
      <c r="N297">
        <v>15.96</v>
      </c>
      <c r="O297">
        <f t="shared" si="26"/>
        <v>1</v>
      </c>
      <c r="P297">
        <v>0.153</v>
      </c>
      <c r="Q297" t="s">
        <v>1226</v>
      </c>
      <c r="R297">
        <f t="shared" si="27"/>
        <v>8</v>
      </c>
      <c r="U297">
        <v>47.107849798432802</v>
      </c>
      <c r="V297" s="17" t="str">
        <f t="shared" si="28"/>
        <v/>
      </c>
      <c r="X297">
        <v>6</v>
      </c>
      <c r="Y297" s="72" t="str">
        <f>[1]!wss(AB297,"sec_status","cols=1;rows=1")</f>
        <v>L</v>
      </c>
      <c r="AB297" t="str">
        <f t="shared" si="29"/>
        <v>2536.HK</v>
      </c>
      <c r="AC297" s="50">
        <v>3</v>
      </c>
      <c r="AD297" s="50">
        <v>2.75</v>
      </c>
      <c r="AE297" s="50">
        <v>3.32</v>
      </c>
      <c r="AF297" s="50">
        <v>2.73</v>
      </c>
      <c r="AG297" t="s">
        <v>224</v>
      </c>
      <c r="AI297" t="s">
        <v>224</v>
      </c>
      <c r="AJ297">
        <v>0</v>
      </c>
    </row>
    <row r="298" spans="1:36" ht="25.5">
      <c r="A298" t="s">
        <v>850</v>
      </c>
      <c r="B298" t="s">
        <v>851</v>
      </c>
      <c r="C298" s="40">
        <v>45838</v>
      </c>
      <c r="D298" s="19">
        <f t="shared" si="24"/>
        <v>45836</v>
      </c>
      <c r="E298" s="17" t="s">
        <v>3583</v>
      </c>
      <c r="F298">
        <f t="shared" si="25"/>
        <v>0</v>
      </c>
      <c r="H298" t="s">
        <v>2223</v>
      </c>
      <c r="I298" s="50">
        <v>30.6</v>
      </c>
      <c r="J298" s="61">
        <v>28.4</v>
      </c>
      <c r="K298" s="61">
        <v>30.6</v>
      </c>
      <c r="L298">
        <v>514080000</v>
      </c>
      <c r="M298">
        <v>2.4300000000000002</v>
      </c>
      <c r="N298">
        <v>301.14999999999998</v>
      </c>
      <c r="O298">
        <f t="shared" si="26"/>
        <v>1</v>
      </c>
      <c r="P298">
        <v>0</v>
      </c>
      <c r="Q298" t="s">
        <v>1186</v>
      </c>
      <c r="R298">
        <f t="shared" si="27"/>
        <v>6</v>
      </c>
      <c r="U298">
        <v>67.905322413938805</v>
      </c>
      <c r="V298" s="17">
        <f t="shared" si="28"/>
        <v>94.673567756850872</v>
      </c>
      <c r="X298">
        <v>6</v>
      </c>
      <c r="Y298" s="72" t="str">
        <f>[1]!wss(AB298,"sec_status","cols=1;rows=1")</f>
        <v>L</v>
      </c>
      <c r="AB298" t="str">
        <f t="shared" si="29"/>
        <v>3880.HK</v>
      </c>
      <c r="AC298" s="50">
        <v>30.8</v>
      </c>
      <c r="AD298" s="50">
        <v>30.3</v>
      </c>
      <c r="AE298" s="50">
        <v>32.85</v>
      </c>
      <c r="AF298" s="50">
        <v>28.1</v>
      </c>
      <c r="AG298" t="s">
        <v>224</v>
      </c>
      <c r="AH298" t="s">
        <v>2293</v>
      </c>
      <c r="AI298" t="s">
        <v>224</v>
      </c>
      <c r="AJ298">
        <v>0</v>
      </c>
    </row>
    <row r="299" spans="1:36" ht="25.5">
      <c r="A299" t="s">
        <v>852</v>
      </c>
      <c r="B299" t="s">
        <v>853</v>
      </c>
      <c r="C299" s="40">
        <v>45359</v>
      </c>
      <c r="D299" s="19">
        <f t="shared" si="24"/>
        <v>45357</v>
      </c>
      <c r="E299" s="17" t="s">
        <v>3583</v>
      </c>
      <c r="F299">
        <f t="shared" si="25"/>
        <v>0</v>
      </c>
      <c r="H299" t="s">
        <v>2269</v>
      </c>
      <c r="I299" s="50">
        <v>0.25</v>
      </c>
      <c r="J299" s="61">
        <v>0.25</v>
      </c>
      <c r="K299" s="61">
        <v>0.27</v>
      </c>
      <c r="L299">
        <v>125000000</v>
      </c>
      <c r="M299">
        <v>0.98</v>
      </c>
      <c r="N299">
        <v>70.48</v>
      </c>
      <c r="O299">
        <f t="shared" si="26"/>
        <v>1</v>
      </c>
      <c r="P299">
        <v>0</v>
      </c>
      <c r="Q299" t="s">
        <v>1620</v>
      </c>
      <c r="R299">
        <f t="shared" si="27"/>
        <v>5</v>
      </c>
      <c r="U299">
        <v>12.7339870113332</v>
      </c>
      <c r="V299" s="17">
        <f t="shared" si="28"/>
        <v>16.267522536765171</v>
      </c>
      <c r="Y299" s="72" t="str">
        <f>[1]!wss(AB299,"sec_status","cols=1;rows=1")</f>
        <v>L</v>
      </c>
      <c r="AB299" t="str">
        <f t="shared" si="29"/>
        <v>2535.HK</v>
      </c>
      <c r="AC299" s="50">
        <v>0.59</v>
      </c>
      <c r="AD299" s="50">
        <v>0.65</v>
      </c>
      <c r="AE299" s="50">
        <v>0.73</v>
      </c>
      <c r="AF299" s="50">
        <v>0.48</v>
      </c>
      <c r="AG299" t="s">
        <v>224</v>
      </c>
      <c r="AI299" t="s">
        <v>224</v>
      </c>
      <c r="AJ299">
        <v>0</v>
      </c>
    </row>
    <row r="300" spans="1:36" ht="25.5">
      <c r="A300" t="s">
        <v>854</v>
      </c>
      <c r="B300" t="s">
        <v>855</v>
      </c>
      <c r="C300" s="40">
        <v>45989</v>
      </c>
      <c r="D300" s="19">
        <f t="shared" si="24"/>
        <v>45987</v>
      </c>
      <c r="E300" s="17" t="s">
        <v>3583</v>
      </c>
      <c r="F300">
        <f t="shared" si="25"/>
        <v>0</v>
      </c>
      <c r="H300" t="s">
        <v>2224</v>
      </c>
      <c r="I300" s="50">
        <v>14.28</v>
      </c>
      <c r="J300" s="61">
        <v>14.28</v>
      </c>
      <c r="K300" s="61">
        <v>14.28</v>
      </c>
      <c r="L300">
        <v>531424488</v>
      </c>
      <c r="M300">
        <v>6.11</v>
      </c>
      <c r="N300">
        <v>5426.27</v>
      </c>
      <c r="O300">
        <f t="shared" si="26"/>
        <v>1</v>
      </c>
      <c r="P300">
        <v>0.24399999999999999</v>
      </c>
      <c r="Q300" t="s">
        <v>1426</v>
      </c>
      <c r="R300">
        <f t="shared" si="27"/>
        <v>8</v>
      </c>
      <c r="U300">
        <v>23.416986933229701</v>
      </c>
      <c r="V300" s="17">
        <f t="shared" si="28"/>
        <v>88.703322748898202</v>
      </c>
      <c r="Y300" s="72" t="str">
        <f>[1]!wss(AB300,"sec_status","cols=1;rows=1")</f>
        <v>L</v>
      </c>
      <c r="AB300" t="str">
        <f t="shared" si="29"/>
        <v>9609.HK</v>
      </c>
      <c r="AC300" s="50">
        <v>11</v>
      </c>
      <c r="AD300" s="50">
        <v>13.5</v>
      </c>
      <c r="AE300" s="50">
        <v>13.5</v>
      </c>
      <c r="AF300" s="50">
        <v>11</v>
      </c>
      <c r="AG300" t="s">
        <v>224</v>
      </c>
      <c r="AH300" t="s">
        <v>2293</v>
      </c>
      <c r="AI300" t="s">
        <v>224</v>
      </c>
      <c r="AJ300">
        <v>0</v>
      </c>
    </row>
    <row r="301" spans="1:36" ht="25.5">
      <c r="A301" t="s">
        <v>856</v>
      </c>
      <c r="B301" t="s">
        <v>857</v>
      </c>
      <c r="C301" s="40">
        <v>44873</v>
      </c>
      <c r="D301" s="19">
        <f t="shared" si="24"/>
        <v>44871</v>
      </c>
      <c r="E301" s="17" t="s">
        <v>3583</v>
      </c>
      <c r="F301">
        <f t="shared" si="25"/>
        <v>0</v>
      </c>
      <c r="H301" t="s">
        <v>2210</v>
      </c>
      <c r="I301" s="50">
        <v>29.15</v>
      </c>
      <c r="J301" s="61">
        <v>29.15</v>
      </c>
      <c r="K301" s="61">
        <v>31.45</v>
      </c>
      <c r="L301">
        <v>654563250</v>
      </c>
      <c r="M301">
        <v>1.38</v>
      </c>
      <c r="N301">
        <v>2.11</v>
      </c>
      <c r="O301">
        <f t="shared" si="26"/>
        <v>0</v>
      </c>
      <c r="P301">
        <v>0</v>
      </c>
      <c r="Q301" t="s">
        <v>1106</v>
      </c>
      <c r="R301">
        <f t="shared" si="27"/>
        <v>5</v>
      </c>
      <c r="U301">
        <v>140.79265632827699</v>
      </c>
      <c r="V301" s="17">
        <f t="shared" si="28"/>
        <v>140.43982201216534</v>
      </c>
      <c r="X301">
        <v>6</v>
      </c>
      <c r="Y301" s="72" t="str">
        <f>[1]!wss(AB301,"sec_status","cols=1;rows=1")</f>
        <v>L</v>
      </c>
      <c r="AB301" t="str">
        <f t="shared" si="29"/>
        <v>2291.HK</v>
      </c>
      <c r="AC301" s="50">
        <v>29.15</v>
      </c>
      <c r="AD301" s="50">
        <v>29.8</v>
      </c>
      <c r="AE301" s="50">
        <v>30.65</v>
      </c>
      <c r="AF301" s="50">
        <v>29.1</v>
      </c>
      <c r="AG301" t="s">
        <v>224</v>
      </c>
      <c r="AH301" t="s">
        <v>2293</v>
      </c>
      <c r="AI301" t="s">
        <v>224</v>
      </c>
      <c r="AJ301">
        <v>0</v>
      </c>
    </row>
    <row r="302" spans="1:36" ht="25.5">
      <c r="A302" t="s">
        <v>858</v>
      </c>
      <c r="B302" t="s">
        <v>859</v>
      </c>
      <c r="C302" s="40">
        <v>45405</v>
      </c>
      <c r="D302" s="19">
        <f t="shared" si="24"/>
        <v>45403</v>
      </c>
      <c r="E302" s="17" t="s">
        <v>3583</v>
      </c>
      <c r="F302">
        <f t="shared" si="25"/>
        <v>0</v>
      </c>
      <c r="H302" t="s">
        <v>2277</v>
      </c>
      <c r="I302" s="50">
        <v>2.5</v>
      </c>
      <c r="J302" s="61">
        <v>2.5</v>
      </c>
      <c r="K302" s="61">
        <v>2.9</v>
      </c>
      <c r="L302">
        <v>134875000</v>
      </c>
      <c r="M302">
        <v>1.02</v>
      </c>
      <c r="N302">
        <v>433.06</v>
      </c>
      <c r="O302">
        <f t="shared" si="26"/>
        <v>1</v>
      </c>
      <c r="P302">
        <v>0</v>
      </c>
      <c r="Q302" t="s">
        <v>1647</v>
      </c>
      <c r="R302">
        <f t="shared" si="27"/>
        <v>22</v>
      </c>
      <c r="U302">
        <v>11.9111656376404</v>
      </c>
      <c r="V302" s="17">
        <f t="shared" si="28"/>
        <v>11.082967880770722</v>
      </c>
      <c r="Y302" s="72" t="str">
        <f>[1]!wss(AB302,"sec_status","cols=1;rows=1")</f>
        <v>L</v>
      </c>
      <c r="AB302" t="str">
        <f t="shared" si="29"/>
        <v>2515.HK</v>
      </c>
      <c r="AC302" s="50">
        <v>1.52</v>
      </c>
      <c r="AD302" s="50">
        <v>1.88</v>
      </c>
      <c r="AE302" s="50">
        <v>2.1800000000000002</v>
      </c>
      <c r="AF302" s="50">
        <v>1.52</v>
      </c>
      <c r="AG302" t="s">
        <v>224</v>
      </c>
      <c r="AH302" t="s">
        <v>2293</v>
      </c>
      <c r="AI302" t="s">
        <v>224</v>
      </c>
      <c r="AJ302">
        <v>0</v>
      </c>
    </row>
    <row r="303" spans="1:36" ht="25.5">
      <c r="A303" t="s">
        <v>860</v>
      </c>
      <c r="B303" t="s">
        <v>861</v>
      </c>
      <c r="C303" s="40">
        <v>45574</v>
      </c>
      <c r="D303" s="19">
        <f t="shared" si="24"/>
        <v>45572</v>
      </c>
      <c r="E303" s="17" t="s">
        <v>3583</v>
      </c>
      <c r="F303">
        <f t="shared" si="25"/>
        <v>0</v>
      </c>
      <c r="H303" t="s">
        <v>2277</v>
      </c>
      <c r="I303" s="50">
        <v>0.73</v>
      </c>
      <c r="J303" s="61">
        <v>0.56999999999999995</v>
      </c>
      <c r="K303" s="61">
        <v>0.73</v>
      </c>
      <c r="L303">
        <v>182500000</v>
      </c>
      <c r="M303">
        <v>1.1399999999999999</v>
      </c>
      <c r="N303">
        <v>120.6</v>
      </c>
      <c r="O303">
        <f t="shared" si="26"/>
        <v>1</v>
      </c>
      <c r="P303">
        <v>0</v>
      </c>
      <c r="Q303" t="s">
        <v>1716</v>
      </c>
      <c r="R303">
        <f t="shared" si="27"/>
        <v>8</v>
      </c>
      <c r="U303">
        <v>9.4919838246193393</v>
      </c>
      <c r="V303" s="17">
        <f t="shared" si="28"/>
        <v>11.889361818444408</v>
      </c>
      <c r="X303">
        <v>12</v>
      </c>
      <c r="Y303" s="72" t="str">
        <f>[1]!wss(AB303,"sec_status","cols=1;rows=1")</f>
        <v>L</v>
      </c>
      <c r="AB303" t="str">
        <f t="shared" si="29"/>
        <v>9639.HK</v>
      </c>
      <c r="AC303" s="50">
        <v>0.62</v>
      </c>
      <c r="AD303" s="50">
        <v>0.5</v>
      </c>
      <c r="AE303" s="50">
        <v>0.68</v>
      </c>
      <c r="AF303" s="50">
        <v>0.5</v>
      </c>
      <c r="AG303" t="s">
        <v>224</v>
      </c>
      <c r="AI303" t="s">
        <v>224</v>
      </c>
      <c r="AJ303">
        <v>0</v>
      </c>
    </row>
    <row r="304" spans="1:36" ht="25.5">
      <c r="A304" t="s">
        <v>862</v>
      </c>
      <c r="B304" t="s">
        <v>863</v>
      </c>
      <c r="C304" s="40">
        <v>45950</v>
      </c>
      <c r="D304" s="19">
        <f t="shared" si="24"/>
        <v>45948</v>
      </c>
      <c r="E304" s="17" t="s">
        <v>3583</v>
      </c>
      <c r="F304">
        <f t="shared" si="25"/>
        <v>0</v>
      </c>
      <c r="H304" t="s">
        <v>2223</v>
      </c>
      <c r="I304" s="50">
        <v>86.4</v>
      </c>
      <c r="J304" s="61">
        <v>69.88</v>
      </c>
      <c r="K304" s="61">
        <v>86.4</v>
      </c>
      <c r="L304">
        <v>993600000</v>
      </c>
      <c r="M304">
        <v>6.3</v>
      </c>
      <c r="N304">
        <v>3165.1</v>
      </c>
      <c r="O304">
        <f t="shared" si="26"/>
        <v>1</v>
      </c>
      <c r="P304">
        <v>0</v>
      </c>
      <c r="Q304" t="s">
        <v>1233</v>
      </c>
      <c r="R304">
        <f t="shared" si="27"/>
        <v>8</v>
      </c>
      <c r="U304">
        <v>46.2772164614167</v>
      </c>
      <c r="V304" s="17">
        <f t="shared" si="28"/>
        <v>100.0805942449814</v>
      </c>
      <c r="X304">
        <v>6</v>
      </c>
      <c r="Y304" s="72" t="str">
        <f>[1]!wss(AB304,"sec_status","cols=1;rows=1")</f>
        <v>L</v>
      </c>
      <c r="AB304" t="str">
        <f t="shared" si="29"/>
        <v>2637.HK</v>
      </c>
      <c r="AC304" s="50">
        <v>104.2</v>
      </c>
      <c r="AD304" s="50">
        <v>102</v>
      </c>
      <c r="AE304" s="50">
        <v>117.8</v>
      </c>
      <c r="AF304" s="50">
        <v>100</v>
      </c>
      <c r="AG304" t="s">
        <v>224</v>
      </c>
      <c r="AH304" t="s">
        <v>2293</v>
      </c>
      <c r="AI304" t="s">
        <v>224</v>
      </c>
      <c r="AJ304">
        <v>0</v>
      </c>
    </row>
    <row r="305" spans="1:36" ht="25.5">
      <c r="A305" t="s">
        <v>864</v>
      </c>
      <c r="B305" t="s">
        <v>865</v>
      </c>
      <c r="C305" s="40">
        <v>46007</v>
      </c>
      <c r="D305" s="19">
        <f t="shared" si="24"/>
        <v>46005</v>
      </c>
      <c r="E305" s="17" t="s">
        <v>3583</v>
      </c>
      <c r="F305">
        <f t="shared" si="25"/>
        <v>0</v>
      </c>
      <c r="H305" t="s">
        <v>2226</v>
      </c>
      <c r="I305" s="50">
        <v>20.100000000000001</v>
      </c>
      <c r="J305" s="61">
        <v>20.100000000000001</v>
      </c>
      <c r="K305" s="61">
        <v>20.100000000000001</v>
      </c>
      <c r="L305">
        <v>899885040</v>
      </c>
      <c r="M305">
        <v>3.63</v>
      </c>
      <c r="N305">
        <v>1890.73</v>
      </c>
      <c r="O305">
        <f t="shared" si="26"/>
        <v>1</v>
      </c>
      <c r="P305">
        <v>1.0920000000000001</v>
      </c>
      <c r="Q305" t="s">
        <v>1102</v>
      </c>
      <c r="R305">
        <f t="shared" si="27"/>
        <v>18</v>
      </c>
      <c r="U305">
        <v>193.97137293008601</v>
      </c>
      <c r="V305" s="17">
        <f t="shared" si="28"/>
        <v>133.23221264012881</v>
      </c>
      <c r="X305">
        <v>6</v>
      </c>
      <c r="Y305" s="72" t="str">
        <f>[1]!wss(AB305,"sec_status","cols=1;rows=1")</f>
        <v>L</v>
      </c>
      <c r="AB305" t="str">
        <f t="shared" si="29"/>
        <v>2655.HK</v>
      </c>
      <c r="AC305" s="50">
        <v>43.8</v>
      </c>
      <c r="AD305" s="50">
        <v>38</v>
      </c>
      <c r="AE305" s="50">
        <v>49.3</v>
      </c>
      <c r="AF305" s="50">
        <v>37.840000000000003</v>
      </c>
      <c r="AG305" t="s">
        <v>224</v>
      </c>
      <c r="AH305" t="s">
        <v>2293</v>
      </c>
      <c r="AI305" t="s">
        <v>224</v>
      </c>
      <c r="AJ305">
        <v>0</v>
      </c>
    </row>
    <row r="306" spans="1:36">
      <c r="A306" t="s">
        <v>866</v>
      </c>
      <c r="B306" t="s">
        <v>867</v>
      </c>
      <c r="C306" s="40">
        <v>45512</v>
      </c>
      <c r="D306" s="19">
        <f t="shared" si="24"/>
        <v>45510</v>
      </c>
      <c r="E306" s="17" t="s">
        <v>3587</v>
      </c>
      <c r="F306">
        <f t="shared" si="25"/>
        <v>0</v>
      </c>
      <c r="H306" t="s">
        <v>2206</v>
      </c>
      <c r="I306" s="50">
        <v>28</v>
      </c>
      <c r="J306" s="61">
        <v>28</v>
      </c>
      <c r="K306" s="61">
        <v>30.3</v>
      </c>
      <c r="L306">
        <v>1036000000</v>
      </c>
      <c r="M306">
        <v>1.05</v>
      </c>
      <c r="N306">
        <v>2.52</v>
      </c>
      <c r="O306">
        <f t="shared" si="26"/>
        <v>0</v>
      </c>
      <c r="P306">
        <v>0</v>
      </c>
      <c r="Q306" t="s">
        <v>1805</v>
      </c>
      <c r="R306">
        <f t="shared" si="27"/>
        <v>6</v>
      </c>
      <c r="U306">
        <v>-2.97463247910812</v>
      </c>
      <c r="V306" s="17">
        <f t="shared" si="28"/>
        <v>472.70515240668021</v>
      </c>
      <c r="X306">
        <v>6</v>
      </c>
      <c r="Y306" s="72" t="str">
        <f>[1]!wss(AB306,"sec_status","cols=1;rows=1")</f>
        <v>L</v>
      </c>
      <c r="AB306" t="str">
        <f t="shared" si="29"/>
        <v>2533.HK</v>
      </c>
      <c r="AC306" s="50">
        <v>20.45</v>
      </c>
      <c r="AD306" s="50">
        <v>18.8</v>
      </c>
      <c r="AE306" s="50">
        <v>22.8</v>
      </c>
      <c r="AF306" s="50">
        <v>18.28</v>
      </c>
      <c r="AG306" t="s">
        <v>224</v>
      </c>
      <c r="AI306" t="s">
        <v>224</v>
      </c>
      <c r="AJ306">
        <v>0</v>
      </c>
    </row>
    <row r="307" spans="1:36" ht="25.5">
      <c r="A307" t="s">
        <v>868</v>
      </c>
      <c r="B307" t="s">
        <v>869</v>
      </c>
      <c r="C307" s="40">
        <v>45055</v>
      </c>
      <c r="D307" s="19">
        <f t="shared" si="24"/>
        <v>45053</v>
      </c>
      <c r="E307" s="17" t="s">
        <v>3583</v>
      </c>
      <c r="F307">
        <f t="shared" si="25"/>
        <v>0</v>
      </c>
      <c r="H307" t="s">
        <v>2269</v>
      </c>
      <c r="I307" s="50">
        <v>1.28</v>
      </c>
      <c r="J307" s="61">
        <v>1.28</v>
      </c>
      <c r="K307" s="61">
        <v>1.38</v>
      </c>
      <c r="L307">
        <v>130560000</v>
      </c>
      <c r="M307">
        <v>1.05</v>
      </c>
      <c r="N307">
        <v>17.27</v>
      </c>
      <c r="O307">
        <f t="shared" si="26"/>
        <v>1</v>
      </c>
      <c r="P307">
        <v>0</v>
      </c>
      <c r="Q307" t="s">
        <v>1532</v>
      </c>
      <c r="R307">
        <f t="shared" si="27"/>
        <v>7</v>
      </c>
      <c r="U307">
        <v>18.154766043245498</v>
      </c>
      <c r="V307" s="17">
        <f t="shared" si="28"/>
        <v>15.18336673038271</v>
      </c>
      <c r="Y307" s="72" t="str">
        <f>[1]!wss(AB307,"sec_status","cols=1;rows=1")</f>
        <v>L</v>
      </c>
      <c r="AB307" t="str">
        <f t="shared" si="29"/>
        <v>2442.HK</v>
      </c>
      <c r="AC307" s="50">
        <v>0.98</v>
      </c>
      <c r="AD307" s="50">
        <v>0.87</v>
      </c>
      <c r="AE307" s="50">
        <v>1.06</v>
      </c>
      <c r="AF307" s="50">
        <v>0.84</v>
      </c>
      <c r="AG307" t="s">
        <v>224</v>
      </c>
      <c r="AI307" t="s">
        <v>224</v>
      </c>
      <c r="AJ307">
        <v>0</v>
      </c>
    </row>
    <row r="308" spans="1:36" ht="25.5">
      <c r="A308" t="s">
        <v>870</v>
      </c>
      <c r="B308" t="s">
        <v>871</v>
      </c>
      <c r="C308" s="40">
        <v>45909</v>
      </c>
      <c r="D308" s="19">
        <f t="shared" si="24"/>
        <v>45907</v>
      </c>
      <c r="E308" s="17" t="s">
        <v>3583</v>
      </c>
      <c r="F308">
        <f t="shared" si="25"/>
        <v>0</v>
      </c>
      <c r="H308" t="s">
        <v>2240</v>
      </c>
      <c r="I308" s="50">
        <v>49.5</v>
      </c>
      <c r="J308" s="61">
        <v>49.5</v>
      </c>
      <c r="K308" s="61">
        <v>49.5</v>
      </c>
      <c r="L308">
        <v>447529500</v>
      </c>
      <c r="M308">
        <v>21.65</v>
      </c>
      <c r="N308">
        <v>7558.4</v>
      </c>
      <c r="O308">
        <f t="shared" si="26"/>
        <v>1</v>
      </c>
      <c r="P308">
        <v>0.52800000000000002</v>
      </c>
      <c r="Q308" t="s">
        <v>1363</v>
      </c>
      <c r="R308">
        <f t="shared" si="27"/>
        <v>6</v>
      </c>
      <c r="U308">
        <v>27.756200505596301</v>
      </c>
      <c r="V308" s="17">
        <f t="shared" si="28"/>
        <v>49.5272287096819</v>
      </c>
      <c r="X308">
        <v>6</v>
      </c>
      <c r="Y308" s="72" t="str">
        <f>[1]!wss(AB308,"sec_status","cols=1;rows=1")</f>
        <v>L</v>
      </c>
      <c r="AB308" t="str">
        <f t="shared" si="29"/>
        <v>2543.HK</v>
      </c>
      <c r="AC308" s="50">
        <v>56.9</v>
      </c>
      <c r="AD308" s="50">
        <v>67.5</v>
      </c>
      <c r="AE308" s="50">
        <v>69</v>
      </c>
      <c r="AF308" s="50">
        <v>56.4</v>
      </c>
      <c r="AG308" t="s">
        <v>224</v>
      </c>
      <c r="AH308" t="s">
        <v>2293</v>
      </c>
      <c r="AI308" t="s">
        <v>224</v>
      </c>
      <c r="AJ308">
        <v>0</v>
      </c>
    </row>
    <row r="309" spans="1:36" ht="25.5">
      <c r="A309" t="s">
        <v>872</v>
      </c>
      <c r="B309" t="s">
        <v>873</v>
      </c>
      <c r="C309" s="40">
        <v>44946</v>
      </c>
      <c r="D309" s="19">
        <f t="shared" si="24"/>
        <v>44944</v>
      </c>
      <c r="E309" s="17" t="s">
        <v>3583</v>
      </c>
      <c r="F309">
        <f t="shared" si="25"/>
        <v>0</v>
      </c>
      <c r="H309" t="s">
        <v>2220</v>
      </c>
      <c r="I309" s="50">
        <v>1.91</v>
      </c>
      <c r="J309" s="61">
        <v>1.91</v>
      </c>
      <c r="K309" s="61">
        <v>2.31</v>
      </c>
      <c r="L309">
        <v>126060000</v>
      </c>
      <c r="M309">
        <v>0.95</v>
      </c>
      <c r="N309">
        <v>12.26</v>
      </c>
      <c r="O309">
        <f t="shared" si="26"/>
        <v>0</v>
      </c>
      <c r="P309">
        <v>0</v>
      </c>
      <c r="Q309" t="s">
        <v>1783</v>
      </c>
      <c r="R309">
        <f t="shared" si="27"/>
        <v>16</v>
      </c>
      <c r="U309">
        <v>6.3713816956696396</v>
      </c>
      <c r="V309" s="17">
        <f t="shared" si="28"/>
        <v>13.298323904793349</v>
      </c>
      <c r="Y309" s="72" t="str">
        <f>[1]!wss(AB309,"sec_status","cols=1;rows=1")</f>
        <v>L</v>
      </c>
      <c r="AB309" t="str">
        <f t="shared" si="29"/>
        <v>2450.HK</v>
      </c>
      <c r="AC309" s="50">
        <v>1.06</v>
      </c>
      <c r="AD309" s="50">
        <v>1.21</v>
      </c>
      <c r="AE309" s="50">
        <v>1.27</v>
      </c>
      <c r="AF309" s="50">
        <v>1.06</v>
      </c>
      <c r="AG309" t="s">
        <v>224</v>
      </c>
      <c r="AH309" t="s">
        <v>2293</v>
      </c>
      <c r="AI309" t="s">
        <v>224</v>
      </c>
      <c r="AJ309">
        <v>0</v>
      </c>
    </row>
    <row r="310" spans="1:36" ht="25.5">
      <c r="A310" t="s">
        <v>874</v>
      </c>
      <c r="B310" t="s">
        <v>875</v>
      </c>
      <c r="C310" s="40">
        <v>46030</v>
      </c>
      <c r="D310" s="19">
        <f t="shared" si="24"/>
        <v>46028</v>
      </c>
      <c r="E310" s="17" t="s">
        <v>3583</v>
      </c>
      <c r="F310">
        <f t="shared" si="25"/>
        <v>0</v>
      </c>
      <c r="H310" t="s">
        <v>2219</v>
      </c>
      <c r="I310" s="50">
        <v>144.6</v>
      </c>
      <c r="J310" s="61">
        <v>144.6</v>
      </c>
      <c r="K310" s="61">
        <v>144.6</v>
      </c>
      <c r="L310">
        <v>3677438280</v>
      </c>
      <c r="M310">
        <v>10.68</v>
      </c>
      <c r="N310">
        <v>414.24</v>
      </c>
      <c r="O310">
        <f t="shared" si="26"/>
        <v>1</v>
      </c>
      <c r="P310">
        <v>0</v>
      </c>
      <c r="Q310" t="s">
        <v>2103</v>
      </c>
      <c r="R310">
        <f t="shared" si="27"/>
        <v>7</v>
      </c>
      <c r="U310">
        <v>-38.159182926999101</v>
      </c>
      <c r="V310" s="17">
        <f t="shared" si="28"/>
        <v>57.550227982707256</v>
      </c>
      <c r="X310">
        <v>6</v>
      </c>
      <c r="Y310" s="72" t="str">
        <f>[1]!wss(AB310,"sec_status","cols=1;rows=1")</f>
        <v>L</v>
      </c>
      <c r="AB310" t="str">
        <f t="shared" si="29"/>
        <v>9903.HK</v>
      </c>
      <c r="AC310" s="50">
        <v>156.80000000000001</v>
      </c>
      <c r="AD310" s="50">
        <v>190.2</v>
      </c>
      <c r="AE310" s="50">
        <v>192</v>
      </c>
      <c r="AF310" s="50">
        <v>148.9</v>
      </c>
      <c r="AG310" t="s">
        <v>224</v>
      </c>
      <c r="AH310" t="s">
        <v>2293</v>
      </c>
      <c r="AI310" t="s">
        <v>224</v>
      </c>
      <c r="AJ310">
        <v>0</v>
      </c>
    </row>
    <row r="311" spans="1:36">
      <c r="A311" t="s">
        <v>876</v>
      </c>
      <c r="B311" t="s">
        <v>877</v>
      </c>
      <c r="C311" s="40">
        <v>45649</v>
      </c>
      <c r="D311" s="19">
        <f t="shared" si="24"/>
        <v>45647</v>
      </c>
      <c r="E311" s="17" t="s">
        <v>3587</v>
      </c>
      <c r="F311">
        <f t="shared" si="25"/>
        <v>0</v>
      </c>
      <c r="H311" t="s">
        <v>2206</v>
      </c>
      <c r="I311" s="50">
        <v>18.8</v>
      </c>
      <c r="J311" s="61">
        <v>18.8</v>
      </c>
      <c r="K311" s="61">
        <v>20.8</v>
      </c>
      <c r="L311">
        <v>830873520</v>
      </c>
      <c r="M311">
        <v>2.64</v>
      </c>
      <c r="N311">
        <v>9.25</v>
      </c>
      <c r="O311">
        <f t="shared" si="26"/>
        <v>0</v>
      </c>
      <c r="P311">
        <v>0.75319999999999998</v>
      </c>
      <c r="Q311" t="s">
        <v>2149</v>
      </c>
      <c r="R311">
        <f t="shared" si="27"/>
        <v>6</v>
      </c>
      <c r="U311">
        <v>-65.982846796603397</v>
      </c>
      <c r="V311" s="17">
        <f t="shared" si="28"/>
        <v>472.70515240668021</v>
      </c>
      <c r="Y311" s="72" t="str">
        <f>[1]!wss(AB311,"sec_status","cols=1;rows=1")</f>
        <v>L</v>
      </c>
      <c r="AB311" t="str">
        <f t="shared" si="29"/>
        <v>2432.HK</v>
      </c>
      <c r="AC311" s="50">
        <v>18.940000000000001</v>
      </c>
      <c r="AD311" s="50">
        <v>19.7</v>
      </c>
      <c r="AE311" s="50">
        <v>21.4</v>
      </c>
      <c r="AF311" s="50">
        <v>18.78</v>
      </c>
      <c r="AG311" t="s">
        <v>224</v>
      </c>
      <c r="AH311" t="s">
        <v>2293</v>
      </c>
      <c r="AI311" t="s">
        <v>224</v>
      </c>
      <c r="AJ311">
        <v>0</v>
      </c>
    </row>
    <row r="312" spans="1:36" ht="25.5">
      <c r="A312" t="s">
        <v>878</v>
      </c>
      <c r="B312" t="s">
        <v>879</v>
      </c>
      <c r="C312" s="40">
        <v>45210</v>
      </c>
      <c r="D312" s="19">
        <f t="shared" si="24"/>
        <v>45208</v>
      </c>
      <c r="E312" s="17" t="s">
        <v>3583</v>
      </c>
      <c r="F312">
        <f t="shared" si="25"/>
        <v>0</v>
      </c>
      <c r="H312" t="s">
        <v>2206</v>
      </c>
      <c r="I312" s="50">
        <v>1.18</v>
      </c>
      <c r="J312" s="61">
        <v>1.05</v>
      </c>
      <c r="K312" s="61">
        <v>1.4</v>
      </c>
      <c r="L312">
        <v>147500000</v>
      </c>
      <c r="M312">
        <v>1.1599999999999999</v>
      </c>
      <c r="N312">
        <v>2.46</v>
      </c>
      <c r="O312">
        <f t="shared" si="26"/>
        <v>0</v>
      </c>
      <c r="P312">
        <v>0</v>
      </c>
      <c r="Q312" t="s">
        <v>1694</v>
      </c>
      <c r="R312">
        <f t="shared" si="27"/>
        <v>13</v>
      </c>
      <c r="U312">
        <v>10.805537786525599</v>
      </c>
      <c r="V312" s="17">
        <f t="shared" si="28"/>
        <v>530.44260423419951</v>
      </c>
      <c r="Y312" s="72" t="str">
        <f>[1]!wss(AB312,"sec_status","cols=1;rows=1")</f>
        <v>L</v>
      </c>
      <c r="AB312" t="str">
        <f t="shared" si="29"/>
        <v>2501.HK</v>
      </c>
      <c r="AC312" s="50">
        <v>1.63</v>
      </c>
      <c r="AD312" s="50">
        <v>1.23</v>
      </c>
      <c r="AE312" s="50">
        <v>1.69</v>
      </c>
      <c r="AF312" s="50">
        <v>1.0900000000000001</v>
      </c>
      <c r="AG312" t="s">
        <v>224</v>
      </c>
      <c r="AI312" t="s">
        <v>224</v>
      </c>
      <c r="AJ312">
        <v>0</v>
      </c>
    </row>
    <row r="313" spans="1:36">
      <c r="A313" t="s">
        <v>880</v>
      </c>
      <c r="B313" t="s">
        <v>881</v>
      </c>
      <c r="C313" s="40">
        <v>46021</v>
      </c>
      <c r="D313" s="19">
        <f t="shared" si="24"/>
        <v>46019</v>
      </c>
      <c r="E313" s="17" t="s">
        <v>3587</v>
      </c>
      <c r="F313">
        <f t="shared" si="25"/>
        <v>0</v>
      </c>
      <c r="H313" t="s">
        <v>2206</v>
      </c>
      <c r="I313" s="50">
        <v>30.5</v>
      </c>
      <c r="J313" s="61">
        <v>30.5</v>
      </c>
      <c r="K313" s="61">
        <v>30.5</v>
      </c>
      <c r="L313">
        <v>731243600</v>
      </c>
      <c r="M313">
        <v>2.6</v>
      </c>
      <c r="N313">
        <v>256.01</v>
      </c>
      <c r="O313">
        <f t="shared" si="26"/>
        <v>1</v>
      </c>
      <c r="P313">
        <v>0</v>
      </c>
      <c r="Q313" t="s">
        <v>2171</v>
      </c>
      <c r="R313">
        <f t="shared" si="27"/>
        <v>12</v>
      </c>
      <c r="U313">
        <v>-145.04799316846899</v>
      </c>
      <c r="V313" s="17">
        <f t="shared" si="28"/>
        <v>472.70515240668021</v>
      </c>
      <c r="Y313" s="72" t="str">
        <f>[1]!wss(AB313,"sec_status","cols=1;rows=1")</f>
        <v>L</v>
      </c>
      <c r="AB313" t="str">
        <f t="shared" si="29"/>
        <v>6651.HK</v>
      </c>
      <c r="AC313" s="50">
        <v>39.619999999999997</v>
      </c>
      <c r="AD313" s="50">
        <v>35</v>
      </c>
      <c r="AE313" s="50">
        <v>39.799999999999997</v>
      </c>
      <c r="AF313" s="50">
        <v>35</v>
      </c>
      <c r="AG313" t="s">
        <v>224</v>
      </c>
      <c r="AH313" t="s">
        <v>2293</v>
      </c>
      <c r="AI313" t="s">
        <v>224</v>
      </c>
      <c r="AJ313">
        <v>0</v>
      </c>
    </row>
    <row r="314" spans="1:36" ht="25.5">
      <c r="A314" t="s">
        <v>882</v>
      </c>
      <c r="B314" t="s">
        <v>883</v>
      </c>
      <c r="C314" s="40">
        <v>45303</v>
      </c>
      <c r="D314" s="19">
        <f t="shared" si="24"/>
        <v>45301</v>
      </c>
      <c r="E314" s="17" t="s">
        <v>3583</v>
      </c>
      <c r="F314">
        <f t="shared" si="25"/>
        <v>0</v>
      </c>
      <c r="H314" t="s">
        <v>2276</v>
      </c>
      <c r="I314" s="50">
        <v>1</v>
      </c>
      <c r="J314" s="61">
        <v>1</v>
      </c>
      <c r="K314" s="61">
        <v>1.3</v>
      </c>
      <c r="L314">
        <v>125000000</v>
      </c>
      <c r="M314">
        <v>0.97</v>
      </c>
      <c r="N314">
        <v>28.64</v>
      </c>
      <c r="O314">
        <f t="shared" si="26"/>
        <v>1</v>
      </c>
      <c r="P314">
        <v>0</v>
      </c>
      <c r="Q314" t="s">
        <v>1524</v>
      </c>
      <c r="R314">
        <f t="shared" si="27"/>
        <v>15</v>
      </c>
      <c r="U314">
        <v>18.411105156849001</v>
      </c>
      <c r="V314" s="17">
        <f t="shared" si="28"/>
        <v>19.550769511312801</v>
      </c>
      <c r="Y314" s="72" t="str">
        <f>[1]!wss(AB314,"sec_status","cols=1;rows=1")</f>
        <v>L</v>
      </c>
      <c r="AB314" t="str">
        <f t="shared" si="29"/>
        <v>2477.HK</v>
      </c>
      <c r="AC314" s="50">
        <v>2.64</v>
      </c>
      <c r="AD314" s="50">
        <v>1.77</v>
      </c>
      <c r="AE314" s="50">
        <v>2.69</v>
      </c>
      <c r="AF314" s="50">
        <v>1.7</v>
      </c>
      <c r="AG314" t="s">
        <v>224</v>
      </c>
      <c r="AI314" t="s">
        <v>224</v>
      </c>
      <c r="AJ314">
        <v>0</v>
      </c>
    </row>
    <row r="315" spans="1:36" ht="25.5">
      <c r="A315" t="s">
        <v>884</v>
      </c>
      <c r="B315" t="s">
        <v>885</v>
      </c>
      <c r="C315" s="40">
        <v>44572</v>
      </c>
      <c r="D315" s="19">
        <f t="shared" si="24"/>
        <v>44570</v>
      </c>
      <c r="E315" s="17" t="s">
        <v>3583</v>
      </c>
      <c r="F315">
        <f t="shared" si="25"/>
        <v>0</v>
      </c>
      <c r="H315" t="s">
        <v>2224</v>
      </c>
      <c r="I315" s="50">
        <v>1.22</v>
      </c>
      <c r="L315">
        <v>143523240</v>
      </c>
      <c r="M315">
        <v>1.31</v>
      </c>
      <c r="N315">
        <v>13.66</v>
      </c>
      <c r="O315">
        <f t="shared" si="26"/>
        <v>0</v>
      </c>
      <c r="P315">
        <v>4.2000000000000003E-2</v>
      </c>
      <c r="Q315" t="s">
        <v>1644</v>
      </c>
      <c r="R315">
        <f t="shared" si="27"/>
        <v>17</v>
      </c>
      <c r="U315">
        <v>12.1643849248464</v>
      </c>
      <c r="V315" s="17">
        <f t="shared" si="28"/>
        <v>90.109897999946114</v>
      </c>
      <c r="X315">
        <v>6</v>
      </c>
      <c r="Y315" s="72" t="str">
        <f>[1]!wss(AB315,"sec_status","cols=1;rows=1")</f>
        <v>L</v>
      </c>
      <c r="AB315" t="str">
        <f t="shared" si="29"/>
        <v>2260.HK</v>
      </c>
      <c r="AC315" s="50">
        <v>1.23</v>
      </c>
      <c r="AD315" s="50">
        <v>1.27</v>
      </c>
      <c r="AE315" s="50">
        <v>1.48</v>
      </c>
      <c r="AF315" s="50">
        <v>1.23</v>
      </c>
      <c r="AG315" t="s">
        <v>224</v>
      </c>
      <c r="AI315" t="s">
        <v>224</v>
      </c>
      <c r="AJ315">
        <v>0</v>
      </c>
    </row>
    <row r="316" spans="1:36" ht="25.5">
      <c r="A316" t="s">
        <v>886</v>
      </c>
      <c r="B316" t="s">
        <v>887</v>
      </c>
      <c r="C316" s="40">
        <v>46147</v>
      </c>
      <c r="D316" s="19">
        <f t="shared" si="24"/>
        <v>46145</v>
      </c>
      <c r="E316" s="17" t="s">
        <v>3583</v>
      </c>
      <c r="F316">
        <f t="shared" si="25"/>
        <v>0</v>
      </c>
      <c r="H316" t="s">
        <v>2210</v>
      </c>
      <c r="I316" s="50">
        <v>98.5</v>
      </c>
      <c r="J316" s="61">
        <v>98.5</v>
      </c>
      <c r="K316" s="61">
        <v>98.5</v>
      </c>
      <c r="L316">
        <v>829552225</v>
      </c>
      <c r="M316">
        <v>10.41</v>
      </c>
      <c r="N316">
        <v>7823.13</v>
      </c>
      <c r="O316">
        <f t="shared" si="26"/>
        <v>1</v>
      </c>
      <c r="P316">
        <v>0</v>
      </c>
      <c r="Q316" t="s">
        <v>1290</v>
      </c>
      <c r="R316">
        <f t="shared" si="27"/>
        <v>8</v>
      </c>
      <c r="U316">
        <v>35.615021559293901</v>
      </c>
      <c r="V316" s="17">
        <f t="shared" si="28"/>
        <v>166.73423070441109</v>
      </c>
      <c r="X316">
        <v>6</v>
      </c>
      <c r="Y316" s="72" t="str">
        <f>[1]!wss(AB316,"sec_status","cols=1;rows=1")</f>
        <v>L</v>
      </c>
      <c r="AB316" t="str">
        <f t="shared" si="29"/>
        <v>1609.HK</v>
      </c>
      <c r="AC316" s="50">
        <v>215</v>
      </c>
      <c r="AD316" s="50">
        <v>288</v>
      </c>
      <c r="AE316" s="50">
        <v>299</v>
      </c>
      <c r="AF316" s="50">
        <v>202</v>
      </c>
      <c r="AG316" t="s">
        <v>224</v>
      </c>
      <c r="AH316" t="s">
        <v>2293</v>
      </c>
      <c r="AI316" t="s">
        <v>224</v>
      </c>
      <c r="AJ316">
        <v>0</v>
      </c>
    </row>
    <row r="317" spans="1:36" ht="25.5">
      <c r="A317" t="s">
        <v>888</v>
      </c>
      <c r="B317" t="s">
        <v>889</v>
      </c>
      <c r="C317" s="40">
        <v>45240</v>
      </c>
      <c r="D317" s="19">
        <f t="shared" si="24"/>
        <v>45238</v>
      </c>
      <c r="E317" s="17" t="s">
        <v>3583</v>
      </c>
      <c r="F317">
        <f t="shared" si="25"/>
        <v>0</v>
      </c>
      <c r="H317" t="s">
        <v>2261</v>
      </c>
      <c r="I317" s="50">
        <v>1.04</v>
      </c>
      <c r="J317" s="61">
        <v>0.88</v>
      </c>
      <c r="K317" s="61">
        <v>1.04</v>
      </c>
      <c r="L317">
        <v>130000000</v>
      </c>
      <c r="M317">
        <v>1.0900000000000001</v>
      </c>
      <c r="N317">
        <v>12.62</v>
      </c>
      <c r="O317">
        <f t="shared" si="26"/>
        <v>0</v>
      </c>
      <c r="P317">
        <v>0</v>
      </c>
      <c r="Q317" t="s">
        <v>1557</v>
      </c>
      <c r="R317">
        <f t="shared" si="27"/>
        <v>17</v>
      </c>
      <c r="U317">
        <v>15.6800294907904</v>
      </c>
      <c r="V317" s="17">
        <f t="shared" si="28"/>
        <v>65.561416733246546</v>
      </c>
      <c r="Y317" s="72" t="str">
        <f>[1]!wss(AB317,"sec_status","cols=1;rows=1")</f>
        <v>L</v>
      </c>
      <c r="AB317" t="str">
        <f t="shared" si="29"/>
        <v>1111.HK</v>
      </c>
      <c r="AC317" s="50">
        <v>1.62</v>
      </c>
      <c r="AD317" s="50">
        <v>1.65</v>
      </c>
      <c r="AE317" s="50">
        <v>1.79</v>
      </c>
      <c r="AF317" s="50">
        <v>1.4</v>
      </c>
      <c r="AG317" t="s">
        <v>224</v>
      </c>
      <c r="AI317" t="s">
        <v>224</v>
      </c>
      <c r="AJ317">
        <v>0</v>
      </c>
    </row>
    <row r="318" spans="1:36" ht="25.5">
      <c r="A318" t="s">
        <v>890</v>
      </c>
      <c r="B318" t="s">
        <v>891</v>
      </c>
      <c r="C318" s="40">
        <v>46063</v>
      </c>
      <c r="D318" s="19">
        <f t="shared" si="24"/>
        <v>46061</v>
      </c>
      <c r="E318" s="17" t="s">
        <v>3583</v>
      </c>
      <c r="F318">
        <f t="shared" si="25"/>
        <v>0</v>
      </c>
      <c r="H318" t="s">
        <v>2219</v>
      </c>
      <c r="I318" s="50">
        <v>28.2</v>
      </c>
      <c r="J318" s="61">
        <v>28.2</v>
      </c>
      <c r="K318" s="61">
        <v>28.2</v>
      </c>
      <c r="L318">
        <v>2991774660</v>
      </c>
      <c r="M318">
        <v>6.8</v>
      </c>
      <c r="N318">
        <v>104.82</v>
      </c>
      <c r="O318">
        <f t="shared" si="26"/>
        <v>1</v>
      </c>
      <c r="P318">
        <v>0.31280000000000002</v>
      </c>
      <c r="Q318" t="s">
        <v>1992</v>
      </c>
      <c r="R318">
        <f t="shared" si="27"/>
        <v>6</v>
      </c>
      <c r="U318">
        <v>-17.828670642597402</v>
      </c>
      <c r="V318" s="17">
        <f t="shared" si="28"/>
        <v>57.550227982707256</v>
      </c>
      <c r="X318">
        <v>6</v>
      </c>
      <c r="Y318" s="51" t="str">
        <f>[1]!wss(AB318,"sec_status","cols=1;rows=1")</f>
        <v/>
      </c>
      <c r="AB318" t="str">
        <f t="shared" si="29"/>
        <v>600.HK</v>
      </c>
      <c r="AC318" s="50">
        <v>28.2</v>
      </c>
      <c r="AD318" s="50">
        <v>28.2</v>
      </c>
      <c r="AE318" s="50">
        <v>29.18</v>
      </c>
      <c r="AF318" s="50">
        <v>28.2</v>
      </c>
      <c r="AG318" t="s">
        <v>224</v>
      </c>
      <c r="AH318" t="s">
        <v>2293</v>
      </c>
      <c r="AI318" t="s">
        <v>224</v>
      </c>
      <c r="AJ318">
        <v>0</v>
      </c>
    </row>
    <row r="319" spans="1:36" ht="25.5">
      <c r="A319" t="s">
        <v>892</v>
      </c>
      <c r="B319" t="s">
        <v>893</v>
      </c>
      <c r="C319" s="40">
        <v>45645</v>
      </c>
      <c r="D319" s="19">
        <f t="shared" si="24"/>
        <v>45643</v>
      </c>
      <c r="E319" s="17" t="s">
        <v>3583</v>
      </c>
      <c r="F319">
        <f t="shared" si="25"/>
        <v>0</v>
      </c>
      <c r="H319" t="s">
        <v>2255</v>
      </c>
      <c r="I319" s="50">
        <v>3.75</v>
      </c>
      <c r="J319" s="61">
        <v>3.75</v>
      </c>
      <c r="K319" s="61">
        <v>4.1500000000000004</v>
      </c>
      <c r="L319">
        <v>125001000</v>
      </c>
      <c r="M319">
        <v>1.79</v>
      </c>
      <c r="N319">
        <v>6083.63</v>
      </c>
      <c r="O319">
        <f t="shared" si="26"/>
        <v>1</v>
      </c>
      <c r="P319">
        <v>0</v>
      </c>
      <c r="Q319" t="s">
        <v>1625</v>
      </c>
      <c r="R319">
        <f t="shared" si="27"/>
        <v>17</v>
      </c>
      <c r="U319">
        <v>12.6576122727963</v>
      </c>
      <c r="V319" s="17">
        <f t="shared" si="28"/>
        <v>4.5497539913645895</v>
      </c>
      <c r="X319">
        <v>6</v>
      </c>
      <c r="Y319" s="72" t="str">
        <f>[1]!wss(AB319,"sec_status","cols=1;rows=1")</f>
        <v>L</v>
      </c>
      <c r="AB319" t="str">
        <f t="shared" si="29"/>
        <v>2593.HK</v>
      </c>
      <c r="AC319" s="50">
        <v>4.1399999999999997</v>
      </c>
      <c r="AD319" s="50">
        <v>4.6900000000000004</v>
      </c>
      <c r="AE319" s="50">
        <v>5.05</v>
      </c>
      <c r="AF319" s="50">
        <v>3.88</v>
      </c>
      <c r="AG319" t="s">
        <v>224</v>
      </c>
      <c r="AI319" t="s">
        <v>224</v>
      </c>
      <c r="AJ319">
        <v>0</v>
      </c>
    </row>
    <row r="320" spans="1:36">
      <c r="A320" t="s">
        <v>894</v>
      </c>
      <c r="B320" t="s">
        <v>895</v>
      </c>
      <c r="C320" s="40">
        <v>44615</v>
      </c>
      <c r="D320" s="19">
        <f t="shared" si="24"/>
        <v>44613</v>
      </c>
      <c r="E320" s="17" t="s">
        <v>3586</v>
      </c>
      <c r="F320">
        <f t="shared" si="25"/>
        <v>0</v>
      </c>
      <c r="H320" t="s">
        <v>2227</v>
      </c>
      <c r="I320" s="50">
        <v>7.13</v>
      </c>
      <c r="J320" s="61">
        <v>6.87</v>
      </c>
      <c r="K320" s="61">
        <v>7.38</v>
      </c>
      <c r="L320">
        <v>911035750</v>
      </c>
      <c r="M320">
        <v>1.53</v>
      </c>
      <c r="N320">
        <v>5.65</v>
      </c>
      <c r="O320">
        <f t="shared" si="26"/>
        <v>0</v>
      </c>
      <c r="P320">
        <v>6.2199999999999998E-2</v>
      </c>
      <c r="Q320" t="s">
        <v>1978</v>
      </c>
      <c r="R320">
        <f t="shared" si="27"/>
        <v>8</v>
      </c>
      <c r="U320">
        <v>-17.105394081870902</v>
      </c>
      <c r="V320" s="17">
        <f t="shared" si="28"/>
        <v>64.729550468049823</v>
      </c>
      <c r="X320">
        <v>6</v>
      </c>
      <c r="Y320" s="72" t="str">
        <f>[1]!wss(AB320,"sec_status","cols=1;rows=1")</f>
        <v>L</v>
      </c>
      <c r="AB320" t="str">
        <f t="shared" si="29"/>
        <v>2157.HK</v>
      </c>
      <c r="AC320" s="50">
        <v>7.14</v>
      </c>
      <c r="AD320" s="50">
        <v>7.13</v>
      </c>
      <c r="AE320" s="50">
        <v>7.34</v>
      </c>
      <c r="AF320" s="50">
        <v>6.7</v>
      </c>
      <c r="AG320" t="s">
        <v>224</v>
      </c>
      <c r="AH320" t="s">
        <v>2293</v>
      </c>
      <c r="AI320" t="s">
        <v>224</v>
      </c>
      <c r="AJ320">
        <v>0</v>
      </c>
    </row>
    <row r="321" spans="1:36">
      <c r="A321" t="s">
        <v>896</v>
      </c>
      <c r="B321" t="s">
        <v>897</v>
      </c>
      <c r="C321" s="40">
        <v>45475</v>
      </c>
      <c r="D321" s="19">
        <f t="shared" si="24"/>
        <v>45473</v>
      </c>
      <c r="E321" s="17" t="s">
        <v>3588</v>
      </c>
      <c r="F321">
        <f t="shared" si="25"/>
        <v>0</v>
      </c>
      <c r="H321" t="s">
        <v>2236</v>
      </c>
      <c r="I321" s="50">
        <v>2.42</v>
      </c>
      <c r="J321" s="61">
        <v>2.38</v>
      </c>
      <c r="K321" s="61">
        <v>3</v>
      </c>
      <c r="L321">
        <v>65340000</v>
      </c>
      <c r="M321">
        <v>1.43</v>
      </c>
      <c r="N321">
        <v>2480.61</v>
      </c>
      <c r="O321">
        <f t="shared" si="26"/>
        <v>1</v>
      </c>
      <c r="P321">
        <v>0</v>
      </c>
      <c r="Q321" t="s">
        <v>1594</v>
      </c>
      <c r="R321">
        <f t="shared" si="27"/>
        <v>5</v>
      </c>
      <c r="U321">
        <v>13.2790151234014</v>
      </c>
      <c r="V321" s="17">
        <f t="shared" si="28"/>
        <v>874.14126385039788</v>
      </c>
      <c r="Y321" s="72" t="str">
        <f>[1]!wss(AB321,"sec_status","cols=1;rows=1")</f>
        <v>L</v>
      </c>
      <c r="AB321" t="str">
        <f t="shared" si="29"/>
        <v>8637.HK</v>
      </c>
      <c r="AC321" s="50">
        <v>1.47</v>
      </c>
      <c r="AD321" s="50">
        <v>1.66</v>
      </c>
      <c r="AE321" s="50">
        <v>1.77</v>
      </c>
      <c r="AF321" s="50">
        <v>1.47</v>
      </c>
      <c r="AG321" t="s">
        <v>898</v>
      </c>
      <c r="AI321" t="s">
        <v>898</v>
      </c>
      <c r="AJ321">
        <v>0</v>
      </c>
    </row>
    <row r="322" spans="1:36" ht="25.5">
      <c r="A322" t="s">
        <v>899</v>
      </c>
      <c r="B322" t="s">
        <v>900</v>
      </c>
      <c r="C322" s="40">
        <v>45265</v>
      </c>
      <c r="D322" s="19">
        <f t="shared" si="24"/>
        <v>45263</v>
      </c>
      <c r="E322" s="17" t="s">
        <v>3583</v>
      </c>
      <c r="F322">
        <f t="shared" si="25"/>
        <v>0</v>
      </c>
      <c r="H322" t="s">
        <v>2253</v>
      </c>
      <c r="I322" s="50">
        <v>1.8</v>
      </c>
      <c r="J322" s="61">
        <v>1.64</v>
      </c>
      <c r="K322" s="61">
        <v>1.96</v>
      </c>
      <c r="L322">
        <v>225000000</v>
      </c>
      <c r="M322">
        <v>1.24</v>
      </c>
      <c r="N322">
        <v>18.93</v>
      </c>
      <c r="O322">
        <f t="shared" si="26"/>
        <v>1</v>
      </c>
      <c r="P322">
        <v>0</v>
      </c>
      <c r="Q322" t="s">
        <v>1595</v>
      </c>
      <c r="R322">
        <f t="shared" si="27"/>
        <v>7</v>
      </c>
      <c r="U322">
        <v>13.261622338466101</v>
      </c>
      <c r="V322" s="17">
        <f t="shared" si="28"/>
        <v>2.2708187957790305</v>
      </c>
      <c r="Y322" s="72" t="str">
        <f>[1]!wss(AB322,"sec_status","cols=1;rows=1")</f>
        <v>L</v>
      </c>
      <c r="AB322" t="str">
        <f t="shared" si="29"/>
        <v>2483.HK</v>
      </c>
      <c r="AC322" s="50">
        <v>1.79</v>
      </c>
      <c r="AD322" s="50">
        <v>1.61</v>
      </c>
      <c r="AE322" s="50">
        <v>1.8</v>
      </c>
      <c r="AF322" s="50">
        <v>1.61</v>
      </c>
      <c r="AG322" t="s">
        <v>224</v>
      </c>
      <c r="AI322" t="s">
        <v>224</v>
      </c>
      <c r="AJ322">
        <v>0</v>
      </c>
    </row>
    <row r="323" spans="1:36" ht="25.5">
      <c r="A323" t="s">
        <v>901</v>
      </c>
      <c r="B323" t="s">
        <v>902</v>
      </c>
      <c r="C323" s="40">
        <v>45994</v>
      </c>
      <c r="D323" s="19">
        <f t="shared" si="24"/>
        <v>45992</v>
      </c>
      <c r="E323" s="17" t="s">
        <v>3583</v>
      </c>
      <c r="F323">
        <f t="shared" si="25"/>
        <v>0</v>
      </c>
      <c r="H323" t="s">
        <v>2217</v>
      </c>
      <c r="I323" s="50">
        <v>7.3</v>
      </c>
      <c r="J323" s="61">
        <v>7.3</v>
      </c>
      <c r="K323" s="61">
        <v>7.3</v>
      </c>
      <c r="L323">
        <v>177390000</v>
      </c>
      <c r="M323">
        <v>2.0099999999999998</v>
      </c>
      <c r="N323">
        <v>6876.17</v>
      </c>
      <c r="O323">
        <f t="shared" si="26"/>
        <v>1</v>
      </c>
      <c r="P323">
        <v>0</v>
      </c>
      <c r="Q323" t="s">
        <v>1629</v>
      </c>
      <c r="R323">
        <f t="shared" si="27"/>
        <v>10</v>
      </c>
      <c r="U323">
        <v>12.4908276878649</v>
      </c>
      <c r="V323" s="17">
        <f t="shared" si="28"/>
        <v>38.026781214079051</v>
      </c>
      <c r="X323">
        <v>6</v>
      </c>
      <c r="Y323" s="72" t="str">
        <f>[1]!wss(AB323,"sec_status","cols=1;rows=1")</f>
        <v>L</v>
      </c>
      <c r="AB323" t="str">
        <f t="shared" si="29"/>
        <v>2693.HK</v>
      </c>
      <c r="AC323" s="50">
        <v>7.46</v>
      </c>
      <c r="AD323" s="50">
        <v>9.3000000000000007</v>
      </c>
      <c r="AE323" s="50">
        <v>9.8000000000000007</v>
      </c>
      <c r="AF323" s="50">
        <v>7.25</v>
      </c>
      <c r="AG323" t="s">
        <v>224</v>
      </c>
      <c r="AH323" t="s">
        <v>2293</v>
      </c>
      <c r="AI323" t="s">
        <v>224</v>
      </c>
      <c r="AJ323">
        <v>0</v>
      </c>
    </row>
    <row r="324" spans="1:36" ht="25.5">
      <c r="A324" t="s">
        <v>903</v>
      </c>
      <c r="B324" t="s">
        <v>904</v>
      </c>
      <c r="C324" s="40">
        <v>44760</v>
      </c>
      <c r="D324" s="19">
        <f t="shared" ref="D324:D387" si="30">IFERROR(IF(ISNUMBER($C324),$C324-2,DATEVALUE($C324)-2),"")</f>
        <v>44758</v>
      </c>
      <c r="E324" s="17" t="s">
        <v>3583</v>
      </c>
      <c r="F324">
        <f t="shared" ref="F324:F387" si="31">IF(AND(G324&lt;&gt;"",G324&lt;&gt;0),1,0)</f>
        <v>0</v>
      </c>
      <c r="H324" t="s">
        <v>2217</v>
      </c>
      <c r="I324" s="50">
        <v>0.32500000000000001</v>
      </c>
      <c r="J324" s="61">
        <v>0.32500000000000001</v>
      </c>
      <c r="K324" s="61">
        <v>0.375</v>
      </c>
      <c r="L324">
        <v>130000000</v>
      </c>
      <c r="M324">
        <v>1.06</v>
      </c>
      <c r="N324">
        <v>26.51</v>
      </c>
      <c r="O324">
        <f t="shared" ref="O324:O387" si="32">IF(IFERROR(N324*1,0)&gt;=15,1,0)</f>
        <v>1</v>
      </c>
      <c r="P324">
        <v>0</v>
      </c>
      <c r="Q324" t="s">
        <v>1755</v>
      </c>
      <c r="R324">
        <f t="shared" ref="R324:R387" si="33">IF(Q324="",0,LEN(Q324)-LEN(SUBSTITUTE(Q324,",",""))+1)</f>
        <v>10</v>
      </c>
      <c r="U324">
        <v>7.9728457571495603</v>
      </c>
      <c r="V324" s="17">
        <f t="shared" ref="V324:V387" si="34">IFERROR((SUMIFS($U$3:$U$392,$H$3:$H$392,$H324,$U$3:$U$392,"&gt;0")-IF(IFERROR($U324,0)&gt;0,$U324,0))/(COUNTIFS($H$3:$H$392,$H324,$U$3:$U$392,"&gt;0")-IF(IFERROR($U324,0)&gt;0,1,0)),"")</f>
        <v>38.930377600222116</v>
      </c>
      <c r="Y324" s="72" t="str">
        <f>[1]!wss(AB324,"sec_status","cols=1;rows=1")</f>
        <v>L</v>
      </c>
      <c r="AB324" t="str">
        <f t="shared" ref="AB324:AB387" si="35">IF(LEFT(A324,1)="0",MID(A324,2,99),A324)</f>
        <v>2237.HK</v>
      </c>
      <c r="AC324" s="50">
        <v>0.79</v>
      </c>
      <c r="AD324" s="50">
        <v>0.44</v>
      </c>
      <c r="AE324" s="50">
        <v>1.2</v>
      </c>
      <c r="AF324" s="50">
        <v>0.375</v>
      </c>
      <c r="AG324" t="s">
        <v>224</v>
      </c>
      <c r="AI324" t="s">
        <v>224</v>
      </c>
      <c r="AJ324">
        <v>0</v>
      </c>
    </row>
    <row r="325" spans="1:36" ht="25.5">
      <c r="A325" t="s">
        <v>905</v>
      </c>
      <c r="B325" t="s">
        <v>906</v>
      </c>
      <c r="C325" s="40">
        <v>46035</v>
      </c>
      <c r="D325" s="19">
        <f t="shared" si="30"/>
        <v>46033</v>
      </c>
      <c r="E325" s="17" t="s">
        <v>3583</v>
      </c>
      <c r="F325">
        <f t="shared" si="31"/>
        <v>0</v>
      </c>
      <c r="H325" t="s">
        <v>2274</v>
      </c>
      <c r="I325" s="50">
        <v>12.26</v>
      </c>
      <c r="J325" s="61">
        <v>12.26</v>
      </c>
      <c r="K325" s="61">
        <v>12.26</v>
      </c>
      <c r="L325">
        <v>285204380</v>
      </c>
      <c r="M325">
        <v>1.65</v>
      </c>
      <c r="N325">
        <v>2309.25</v>
      </c>
      <c r="O325">
        <f t="shared" si="32"/>
        <v>1</v>
      </c>
      <c r="P325">
        <v>0</v>
      </c>
      <c r="Q325" t="s">
        <v>1592</v>
      </c>
      <c r="R325">
        <f t="shared" si="33"/>
        <v>18</v>
      </c>
      <c r="U325">
        <v>13.4604783307819</v>
      </c>
      <c r="V325" s="17" t="str">
        <f t="shared" si="34"/>
        <v/>
      </c>
      <c r="X325">
        <v>6</v>
      </c>
      <c r="Y325" s="72" t="str">
        <f>[1]!wss(AB325,"sec_status","cols=1;rows=1")</f>
        <v>L</v>
      </c>
      <c r="AB325" t="str">
        <f t="shared" si="35"/>
        <v>1641.HK</v>
      </c>
      <c r="AC325" s="50">
        <v>12.3</v>
      </c>
      <c r="AD325" s="50">
        <v>19.579999999999998</v>
      </c>
      <c r="AE325" s="50">
        <v>19.7</v>
      </c>
      <c r="AF325" s="50">
        <v>12</v>
      </c>
      <c r="AG325" t="s">
        <v>224</v>
      </c>
      <c r="AH325" t="s">
        <v>2293</v>
      </c>
      <c r="AI325" t="s">
        <v>224</v>
      </c>
      <c r="AJ325">
        <v>0</v>
      </c>
    </row>
    <row r="326" spans="1:36" ht="25.5">
      <c r="A326" t="s">
        <v>907</v>
      </c>
      <c r="B326" t="s">
        <v>908</v>
      </c>
      <c r="C326" s="40">
        <v>45124</v>
      </c>
      <c r="D326" s="19">
        <f t="shared" si="30"/>
        <v>45122</v>
      </c>
      <c r="E326" s="17" t="s">
        <v>3583</v>
      </c>
      <c r="F326">
        <f t="shared" si="31"/>
        <v>0</v>
      </c>
      <c r="H326" t="s">
        <v>2261</v>
      </c>
      <c r="I326" s="50">
        <v>0.92</v>
      </c>
      <c r="J326" s="61">
        <v>0.84</v>
      </c>
      <c r="K326" s="61">
        <v>0.92</v>
      </c>
      <c r="L326">
        <v>136620000</v>
      </c>
      <c r="M326">
        <v>1.5</v>
      </c>
      <c r="N326">
        <v>44.2</v>
      </c>
      <c r="O326">
        <f t="shared" si="32"/>
        <v>1</v>
      </c>
      <c r="P326">
        <v>0</v>
      </c>
      <c r="Q326" t="s">
        <v>1579</v>
      </c>
      <c r="R326">
        <f t="shared" si="33"/>
        <v>7</v>
      </c>
      <c r="U326">
        <v>13.999137734270001</v>
      </c>
      <c r="V326" s="17">
        <f t="shared" si="34"/>
        <v>65.748182483971036</v>
      </c>
      <c r="Y326" s="72" t="str">
        <f>[1]!wss(AB326,"sec_status","cols=1;rows=1")</f>
        <v>L</v>
      </c>
      <c r="AB326" t="str">
        <f t="shared" si="35"/>
        <v>1284.HK</v>
      </c>
      <c r="AC326" s="50">
        <v>0.93</v>
      </c>
      <c r="AD326" s="50">
        <v>0.88</v>
      </c>
      <c r="AE326" s="50">
        <v>0.96</v>
      </c>
      <c r="AF326" s="50">
        <v>0.87</v>
      </c>
      <c r="AG326" t="s">
        <v>224</v>
      </c>
      <c r="AI326" t="s">
        <v>224</v>
      </c>
      <c r="AJ326">
        <v>0</v>
      </c>
    </row>
    <row r="327" spans="1:36">
      <c r="A327" t="s">
        <v>909</v>
      </c>
      <c r="B327" t="s">
        <v>910</v>
      </c>
      <c r="C327" s="40">
        <v>45967</v>
      </c>
      <c r="D327" s="19">
        <f t="shared" si="30"/>
        <v>45965</v>
      </c>
      <c r="E327" s="17" t="s">
        <v>3586</v>
      </c>
      <c r="F327">
        <f t="shared" si="31"/>
        <v>0</v>
      </c>
      <c r="H327" t="s">
        <v>2227</v>
      </c>
      <c r="I327" s="50">
        <v>33.369999999999997</v>
      </c>
      <c r="J327" s="61">
        <v>32</v>
      </c>
      <c r="K327" s="61">
        <v>34</v>
      </c>
      <c r="L327">
        <v>587238586</v>
      </c>
      <c r="M327">
        <v>16.87</v>
      </c>
      <c r="N327">
        <v>6238.42</v>
      </c>
      <c r="O327">
        <f t="shared" si="32"/>
        <v>1</v>
      </c>
      <c r="P327">
        <v>0</v>
      </c>
      <c r="Q327" t="s">
        <v>2034</v>
      </c>
      <c r="R327">
        <f t="shared" si="33"/>
        <v>10</v>
      </c>
      <c r="U327">
        <v>-24.498588674667602</v>
      </c>
      <c r="V327" s="17">
        <f t="shared" si="34"/>
        <v>64.729550468049823</v>
      </c>
      <c r="Y327" s="72" t="str">
        <f>[1]!wss(AB327,"sec_status","cols=1;rows=1")</f>
        <v>L</v>
      </c>
      <c r="AB327" t="str">
        <f t="shared" si="35"/>
        <v>2630.HK</v>
      </c>
      <c r="AC327" s="50">
        <v>82</v>
      </c>
      <c r="AD327" s="50">
        <v>95</v>
      </c>
      <c r="AE327" s="50">
        <v>97</v>
      </c>
      <c r="AF327" s="50">
        <v>81.75</v>
      </c>
      <c r="AG327" t="s">
        <v>224</v>
      </c>
      <c r="AH327" t="s">
        <v>2293</v>
      </c>
      <c r="AI327" t="s">
        <v>224</v>
      </c>
      <c r="AJ327">
        <v>0</v>
      </c>
    </row>
    <row r="328" spans="1:36" ht="25.5">
      <c r="A328" t="s">
        <v>911</v>
      </c>
      <c r="B328" t="s">
        <v>912</v>
      </c>
      <c r="C328" s="40">
        <v>44851</v>
      </c>
      <c r="D328" s="19">
        <f t="shared" si="30"/>
        <v>44849</v>
      </c>
      <c r="E328" s="17" t="s">
        <v>3583</v>
      </c>
      <c r="F328">
        <f t="shared" si="31"/>
        <v>0</v>
      </c>
      <c r="H328" t="s">
        <v>2261</v>
      </c>
      <c r="I328" s="50">
        <v>0.64</v>
      </c>
      <c r="J328" s="61">
        <v>0.64</v>
      </c>
      <c r="K328" s="61">
        <v>0.8</v>
      </c>
      <c r="L328">
        <v>160000000</v>
      </c>
      <c r="M328">
        <v>1.37</v>
      </c>
      <c r="N328">
        <v>14.1</v>
      </c>
      <c r="O328">
        <f t="shared" si="32"/>
        <v>0</v>
      </c>
      <c r="P328">
        <v>0</v>
      </c>
      <c r="Q328" t="s">
        <v>1704</v>
      </c>
      <c r="R328">
        <f t="shared" si="33"/>
        <v>16</v>
      </c>
      <c r="U328">
        <v>10.4684205261578</v>
      </c>
      <c r="V328" s="17">
        <f t="shared" si="34"/>
        <v>66.140484395983492</v>
      </c>
      <c r="X328">
        <v>6</v>
      </c>
      <c r="Y328" s="72" t="str">
        <f>[1]!wss(AB328,"sec_status","cols=1;rows=1")</f>
        <v>L</v>
      </c>
      <c r="AB328" t="str">
        <f t="shared" si="35"/>
        <v>2422.HK</v>
      </c>
      <c r="AC328" s="50">
        <v>1.35</v>
      </c>
      <c r="AD328" s="50">
        <v>1.3</v>
      </c>
      <c r="AE328" s="50">
        <v>1.67</v>
      </c>
      <c r="AF328" s="50">
        <v>1.0900000000000001</v>
      </c>
      <c r="AG328" t="s">
        <v>224</v>
      </c>
      <c r="AI328" t="s">
        <v>224</v>
      </c>
      <c r="AJ328">
        <v>0</v>
      </c>
    </row>
    <row r="329" spans="1:36" ht="25.5">
      <c r="A329" t="s">
        <v>913</v>
      </c>
      <c r="B329" t="s">
        <v>914</v>
      </c>
      <c r="C329" s="40">
        <v>44742</v>
      </c>
      <c r="D329" s="19">
        <f t="shared" si="30"/>
        <v>44740</v>
      </c>
      <c r="E329" s="17" t="s">
        <v>3583</v>
      </c>
      <c r="F329">
        <f t="shared" si="31"/>
        <v>0</v>
      </c>
      <c r="H329" t="s">
        <v>2258</v>
      </c>
      <c r="I329" s="50">
        <v>0.63</v>
      </c>
      <c r="J329" s="61">
        <v>0.63</v>
      </c>
      <c r="K329" s="61">
        <v>0.67</v>
      </c>
      <c r="L329">
        <v>126000000</v>
      </c>
      <c r="M329">
        <v>1.29</v>
      </c>
      <c r="N329">
        <v>11.37</v>
      </c>
      <c r="O329">
        <f t="shared" si="32"/>
        <v>0</v>
      </c>
      <c r="P329">
        <v>0</v>
      </c>
      <c r="Q329" t="s">
        <v>1670</v>
      </c>
      <c r="R329">
        <f t="shared" si="33"/>
        <v>8</v>
      </c>
      <c r="U329">
        <v>11.5467929498137</v>
      </c>
      <c r="V329" s="17">
        <f t="shared" si="34"/>
        <v>19.76896037017735</v>
      </c>
      <c r="Y329" s="72" t="str">
        <f>[1]!wss(AB329,"sec_status","cols=1;rows=1")</f>
        <v>L</v>
      </c>
      <c r="AB329" t="str">
        <f t="shared" si="35"/>
        <v>2372.HK</v>
      </c>
      <c r="AC329" s="50">
        <v>0.63</v>
      </c>
      <c r="AD329" s="50">
        <v>0.7</v>
      </c>
      <c r="AE329" s="50">
        <v>0.73</v>
      </c>
      <c r="AF329" s="50">
        <v>0.63</v>
      </c>
      <c r="AG329" t="s">
        <v>224</v>
      </c>
      <c r="AI329" t="s">
        <v>224</v>
      </c>
      <c r="AJ329">
        <v>0</v>
      </c>
    </row>
    <row r="330" spans="1:36" ht="25.5">
      <c r="A330" t="s">
        <v>915</v>
      </c>
      <c r="B330" t="s">
        <v>916</v>
      </c>
      <c r="C330" s="40">
        <v>46008</v>
      </c>
      <c r="D330" s="19">
        <f t="shared" si="30"/>
        <v>46006</v>
      </c>
      <c r="E330" s="17" t="s">
        <v>3583</v>
      </c>
      <c r="F330">
        <f t="shared" si="31"/>
        <v>0</v>
      </c>
      <c r="H330" t="s">
        <v>2228</v>
      </c>
      <c r="I330" s="50">
        <v>6.68</v>
      </c>
      <c r="J330" s="61">
        <v>5.95</v>
      </c>
      <c r="K330" s="61">
        <v>6.95</v>
      </c>
      <c r="L330">
        <v>1612968832</v>
      </c>
      <c r="M330">
        <v>5.46</v>
      </c>
      <c r="N330">
        <v>393.71</v>
      </c>
      <c r="O330">
        <f t="shared" si="32"/>
        <v>1</v>
      </c>
      <c r="P330">
        <v>5.7799999999999997E-2</v>
      </c>
      <c r="Q330" t="s">
        <v>1961</v>
      </c>
      <c r="R330">
        <f t="shared" si="33"/>
        <v>9</v>
      </c>
      <c r="U330">
        <v>-15.535310715336401</v>
      </c>
      <c r="V330" s="17" t="str">
        <f t="shared" si="34"/>
        <v/>
      </c>
      <c r="X330">
        <v>6</v>
      </c>
      <c r="Y330" s="72" t="str">
        <f>[1]!wss(AB330,"sec_status","cols=1;rows=1")</f>
        <v>L</v>
      </c>
      <c r="AB330" t="str">
        <f t="shared" si="35"/>
        <v>3887.HK</v>
      </c>
      <c r="AC330" s="50">
        <v>6.67</v>
      </c>
      <c r="AD330" s="50">
        <v>6.7</v>
      </c>
      <c r="AE330" s="50">
        <v>7.12</v>
      </c>
      <c r="AF330" s="50">
        <v>6.12</v>
      </c>
      <c r="AG330" t="s">
        <v>224</v>
      </c>
      <c r="AI330" t="s">
        <v>224</v>
      </c>
      <c r="AJ330">
        <v>0</v>
      </c>
    </row>
    <row r="331" spans="1:36" ht="25.5">
      <c r="A331" t="s">
        <v>917</v>
      </c>
      <c r="B331" t="s">
        <v>918</v>
      </c>
      <c r="C331" s="40">
        <v>44610</v>
      </c>
      <c r="D331" s="19">
        <f t="shared" si="30"/>
        <v>44608</v>
      </c>
      <c r="E331" s="17" t="s">
        <v>3583</v>
      </c>
      <c r="F331">
        <f t="shared" si="31"/>
        <v>0</v>
      </c>
      <c r="H331" t="s">
        <v>2211</v>
      </c>
      <c r="I331" s="50">
        <v>1.6</v>
      </c>
      <c r="J331" s="61">
        <v>1.6</v>
      </c>
      <c r="K331" s="61">
        <v>3</v>
      </c>
      <c r="L331">
        <v>200000000</v>
      </c>
      <c r="M331">
        <v>1.1299999999999999</v>
      </c>
      <c r="N331">
        <v>6.17</v>
      </c>
      <c r="O331">
        <f t="shared" si="32"/>
        <v>0</v>
      </c>
      <c r="P331">
        <v>0</v>
      </c>
      <c r="Q331" t="s">
        <v>1461</v>
      </c>
      <c r="R331">
        <f t="shared" si="33"/>
        <v>13</v>
      </c>
      <c r="U331">
        <v>22.365735692918399</v>
      </c>
      <c r="V331" s="17">
        <f t="shared" si="34"/>
        <v>34.496971495026244</v>
      </c>
      <c r="Y331" s="72" t="str">
        <f>[1]!wss(AB331,"sec_status","cols=1;rows=1")</f>
        <v>L</v>
      </c>
      <c r="AB331" t="str">
        <f t="shared" si="35"/>
        <v>1406.HK</v>
      </c>
      <c r="AC331" s="50">
        <v>1.54</v>
      </c>
      <c r="AD331" s="50">
        <v>1.59</v>
      </c>
      <c r="AE331" s="50">
        <v>1.61</v>
      </c>
      <c r="AF331" s="50">
        <v>1.46</v>
      </c>
      <c r="AG331" t="s">
        <v>224</v>
      </c>
      <c r="AI331" t="s">
        <v>224</v>
      </c>
      <c r="AJ331">
        <v>0</v>
      </c>
    </row>
    <row r="332" spans="1:36" ht="25.5">
      <c r="A332" t="s">
        <v>919</v>
      </c>
      <c r="B332" t="s">
        <v>920</v>
      </c>
      <c r="C332" s="40">
        <v>45672</v>
      </c>
      <c r="D332" s="19">
        <f t="shared" si="30"/>
        <v>45670</v>
      </c>
      <c r="E332" s="17" t="s">
        <v>3583</v>
      </c>
      <c r="F332">
        <f t="shared" si="31"/>
        <v>0</v>
      </c>
      <c r="H332" t="s">
        <v>2213</v>
      </c>
      <c r="I332" s="50">
        <v>12.99</v>
      </c>
      <c r="J332" s="61">
        <v>12</v>
      </c>
      <c r="K332" s="61">
        <v>18</v>
      </c>
      <c r="L332">
        <v>433000866</v>
      </c>
      <c r="M332">
        <v>1.06</v>
      </c>
      <c r="N332">
        <v>2.66</v>
      </c>
      <c r="O332">
        <f t="shared" si="32"/>
        <v>0</v>
      </c>
      <c r="P332">
        <v>0</v>
      </c>
      <c r="Q332" t="s">
        <v>1350</v>
      </c>
      <c r="R332">
        <f t="shared" si="33"/>
        <v>14</v>
      </c>
      <c r="U332">
        <v>28.2913142772314</v>
      </c>
      <c r="V332" s="17">
        <f t="shared" si="34"/>
        <v>273.50065155239167</v>
      </c>
      <c r="X332">
        <v>6</v>
      </c>
      <c r="Y332" s="72" t="str">
        <f>[1]!wss(AB332,"sec_status","cols=1;rows=1")</f>
        <v>L</v>
      </c>
      <c r="AB332" t="str">
        <f t="shared" si="35"/>
        <v>2571.HK</v>
      </c>
      <c r="AC332" s="50">
        <v>13.18</v>
      </c>
      <c r="AD332" s="50">
        <v>13.3</v>
      </c>
      <c r="AE332" s="50">
        <v>14.66</v>
      </c>
      <c r="AF332" s="50">
        <v>13.02</v>
      </c>
      <c r="AG332" t="s">
        <v>224</v>
      </c>
      <c r="AH332" t="s">
        <v>2293</v>
      </c>
      <c r="AI332" t="s">
        <v>224</v>
      </c>
      <c r="AJ332">
        <v>0</v>
      </c>
    </row>
    <row r="333" spans="1:36">
      <c r="A333" t="s">
        <v>921</v>
      </c>
      <c r="B333" t="s">
        <v>922</v>
      </c>
      <c r="C333" s="40">
        <v>46111</v>
      </c>
      <c r="D333" s="19">
        <f t="shared" si="30"/>
        <v>46109</v>
      </c>
      <c r="E333" s="17" t="s">
        <v>3587</v>
      </c>
      <c r="F333">
        <f t="shared" si="31"/>
        <v>0</v>
      </c>
      <c r="H333" t="s">
        <v>2224</v>
      </c>
      <c r="I333" s="50">
        <v>17</v>
      </c>
      <c r="J333" s="61">
        <v>17</v>
      </c>
      <c r="K333" s="61">
        <v>17</v>
      </c>
      <c r="L333">
        <v>1808317200</v>
      </c>
      <c r="M333">
        <v>16.649999999999999</v>
      </c>
      <c r="N333">
        <v>5059.38</v>
      </c>
      <c r="O333">
        <f t="shared" si="32"/>
        <v>1</v>
      </c>
      <c r="P333">
        <v>2.2069000000000001</v>
      </c>
      <c r="Q333" t="s">
        <v>2178</v>
      </c>
      <c r="R333">
        <f t="shared" si="33"/>
        <v>4</v>
      </c>
      <c r="U333">
        <v>-278.99854616202202</v>
      </c>
      <c r="V333" s="17">
        <f t="shared" si="34"/>
        <v>81.449285436046154</v>
      </c>
      <c r="X333">
        <v>6</v>
      </c>
      <c r="Y333" s="72" t="str">
        <f>[1]!wss(AB333,"sec_status","cols=1;rows=1")</f>
        <v>L</v>
      </c>
      <c r="AB333" t="str">
        <f t="shared" si="35"/>
        <v>1021.HK</v>
      </c>
      <c r="AC333" s="50">
        <v>18.399999999999999</v>
      </c>
      <c r="AD333" s="50">
        <v>16.8</v>
      </c>
      <c r="AE333" s="50">
        <v>21.52</v>
      </c>
      <c r="AF333" s="50">
        <v>16.5</v>
      </c>
      <c r="AG333" t="s">
        <v>224</v>
      </c>
      <c r="AH333" t="s">
        <v>2293</v>
      </c>
      <c r="AI333" t="s">
        <v>224</v>
      </c>
      <c r="AJ333">
        <v>0</v>
      </c>
    </row>
    <row r="334" spans="1:36" ht="25.5">
      <c r="A334" t="s">
        <v>923</v>
      </c>
      <c r="B334" t="s">
        <v>924</v>
      </c>
      <c r="C334" s="40">
        <v>45818</v>
      </c>
      <c r="D334" s="19">
        <f t="shared" si="30"/>
        <v>45816</v>
      </c>
      <c r="E334" s="17" t="s">
        <v>3583</v>
      </c>
      <c r="F334">
        <f t="shared" si="31"/>
        <v>0</v>
      </c>
      <c r="H334" t="s">
        <v>2261</v>
      </c>
      <c r="I334" s="50">
        <v>9.75</v>
      </c>
      <c r="J334" s="61">
        <v>9.75</v>
      </c>
      <c r="K334" s="61">
        <v>9.75</v>
      </c>
      <c r="L334">
        <v>242346000</v>
      </c>
      <c r="M334">
        <v>2.4900000000000002</v>
      </c>
      <c r="N334">
        <v>274.44</v>
      </c>
      <c r="O334">
        <f t="shared" si="32"/>
        <v>1</v>
      </c>
      <c r="P334">
        <v>0</v>
      </c>
      <c r="Q334" t="s">
        <v>2133</v>
      </c>
      <c r="R334">
        <f t="shared" si="33"/>
        <v>13</v>
      </c>
      <c r="U334">
        <v>-53.291984166880802</v>
      </c>
      <c r="V334" s="17">
        <f t="shared" si="34"/>
        <v>60.57327800900093</v>
      </c>
      <c r="Y334" s="72" t="str">
        <f>[1]!wss(AB334,"sec_status","cols=1;rows=1")</f>
        <v>L</v>
      </c>
      <c r="AB334" t="str">
        <f t="shared" si="35"/>
        <v>2605.HK</v>
      </c>
      <c r="AC334" s="50">
        <v>6.8</v>
      </c>
      <c r="AD334" s="50">
        <v>7.6</v>
      </c>
      <c r="AE334" s="50">
        <v>8.31</v>
      </c>
      <c r="AF334" s="50">
        <v>6.8</v>
      </c>
      <c r="AG334" t="s">
        <v>224</v>
      </c>
      <c r="AI334" t="s">
        <v>224</v>
      </c>
      <c r="AJ334">
        <v>0</v>
      </c>
    </row>
    <row r="335" spans="1:36">
      <c r="A335" t="s">
        <v>925</v>
      </c>
      <c r="B335" t="s">
        <v>926</v>
      </c>
      <c r="C335" s="40">
        <v>45456</v>
      </c>
      <c r="D335" s="19">
        <f t="shared" si="30"/>
        <v>45454</v>
      </c>
      <c r="E335" s="17" t="s">
        <v>3587</v>
      </c>
      <c r="F335">
        <f t="shared" si="31"/>
        <v>0</v>
      </c>
      <c r="H335" t="s">
        <v>2227</v>
      </c>
      <c r="I335" s="50">
        <v>5.28</v>
      </c>
      <c r="J335" s="61">
        <v>5.03</v>
      </c>
      <c r="K335" s="61">
        <v>6.03</v>
      </c>
      <c r="L335">
        <v>1035772320</v>
      </c>
      <c r="M335">
        <v>2.13</v>
      </c>
      <c r="N335">
        <v>103.35</v>
      </c>
      <c r="O335">
        <f t="shared" si="32"/>
        <v>1</v>
      </c>
      <c r="P335">
        <v>0.47310000000000002</v>
      </c>
      <c r="Q335" t="s">
        <v>1861</v>
      </c>
      <c r="R335">
        <f t="shared" si="33"/>
        <v>15</v>
      </c>
      <c r="U335">
        <v>-8.5149416358367294</v>
      </c>
      <c r="V335" s="17">
        <f t="shared" si="34"/>
        <v>64.729550468049823</v>
      </c>
      <c r="X335">
        <v>6</v>
      </c>
      <c r="Y335" s="72" t="str">
        <f>[1]!wss(AB335,"sec_status","cols=1;rows=1")</f>
        <v>L</v>
      </c>
      <c r="AB335" t="str">
        <f t="shared" si="35"/>
        <v>2228.HK</v>
      </c>
      <c r="AC335" s="50">
        <v>5.8</v>
      </c>
      <c r="AD335" s="50">
        <v>5.39</v>
      </c>
      <c r="AE335" s="50">
        <v>6.58</v>
      </c>
      <c r="AF335" s="50">
        <v>5.31</v>
      </c>
      <c r="AG335" t="s">
        <v>224</v>
      </c>
      <c r="AI335" t="s">
        <v>224</v>
      </c>
      <c r="AJ335">
        <v>0</v>
      </c>
    </row>
    <row r="336" spans="1:36" ht="25.5">
      <c r="A336" t="s">
        <v>927</v>
      </c>
      <c r="B336" t="s">
        <v>928</v>
      </c>
      <c r="C336" s="40">
        <v>45510</v>
      </c>
      <c r="D336" s="19">
        <f t="shared" si="30"/>
        <v>45508</v>
      </c>
      <c r="E336" s="17" t="s">
        <v>3583</v>
      </c>
      <c r="F336">
        <f t="shared" si="31"/>
        <v>0</v>
      </c>
      <c r="H336" t="s">
        <v>2272</v>
      </c>
      <c r="I336" s="50">
        <v>7</v>
      </c>
      <c r="J336" s="61">
        <v>7</v>
      </c>
      <c r="K336" s="61">
        <v>10.199999999999999</v>
      </c>
      <c r="L336">
        <v>247100000</v>
      </c>
      <c r="M336">
        <v>0.98</v>
      </c>
      <c r="N336">
        <v>16.07</v>
      </c>
      <c r="O336">
        <f t="shared" si="32"/>
        <v>1</v>
      </c>
      <c r="P336">
        <v>0</v>
      </c>
      <c r="Q336" t="s">
        <v>1462</v>
      </c>
      <c r="R336">
        <f t="shared" si="33"/>
        <v>11</v>
      </c>
      <c r="U336">
        <v>22.185671664123699</v>
      </c>
      <c r="V336" s="17">
        <f t="shared" si="34"/>
        <v>134.28385950973717</v>
      </c>
      <c r="Y336" s="72" t="str">
        <f>[1]!wss(AB336,"sec_status","cols=1;rows=1")</f>
        <v>L</v>
      </c>
      <c r="AB336" t="str">
        <f t="shared" si="35"/>
        <v>1471.HK</v>
      </c>
      <c r="AC336" s="50">
        <v>7.35</v>
      </c>
      <c r="AD336" s="50">
        <v>6.88</v>
      </c>
      <c r="AE336" s="50">
        <v>7.6</v>
      </c>
      <c r="AF336" s="50">
        <v>6.04</v>
      </c>
      <c r="AG336" t="s">
        <v>224</v>
      </c>
      <c r="AH336" t="s">
        <v>2293</v>
      </c>
      <c r="AI336" t="s">
        <v>224</v>
      </c>
      <c r="AJ336">
        <v>0</v>
      </c>
    </row>
    <row r="337" spans="1:36">
      <c r="A337" t="s">
        <v>929</v>
      </c>
      <c r="B337" t="s">
        <v>930</v>
      </c>
      <c r="C337" s="40">
        <v>45446</v>
      </c>
      <c r="D337" s="19">
        <f t="shared" si="30"/>
        <v>45444</v>
      </c>
      <c r="E337" s="17" t="s">
        <v>3588</v>
      </c>
      <c r="F337">
        <f t="shared" si="31"/>
        <v>0</v>
      </c>
      <c r="H337" t="s">
        <v>2236</v>
      </c>
      <c r="I337" s="50">
        <v>0.5</v>
      </c>
      <c r="J337" s="61">
        <v>0.5</v>
      </c>
      <c r="K337" s="61">
        <v>0.6</v>
      </c>
      <c r="L337">
        <v>68750000</v>
      </c>
      <c r="M337">
        <v>1.1499999999999999</v>
      </c>
      <c r="N337">
        <v>2503.0300000000002</v>
      </c>
      <c r="O337">
        <f t="shared" si="32"/>
        <v>1</v>
      </c>
      <c r="P337">
        <v>0</v>
      </c>
      <c r="Q337" t="s">
        <v>1220</v>
      </c>
      <c r="R337">
        <f t="shared" si="33"/>
        <v>12</v>
      </c>
      <c r="U337">
        <v>50.863437872171502</v>
      </c>
      <c r="V337" s="17">
        <f t="shared" si="34"/>
        <v>861.61312293414119</v>
      </c>
      <c r="Y337" s="72" t="str">
        <f>[1]!wss(AB337,"sec_status","cols=1;rows=1")</f>
        <v>L</v>
      </c>
      <c r="AB337" t="str">
        <f t="shared" si="35"/>
        <v>8529.HK</v>
      </c>
      <c r="AC337" s="50">
        <v>0.53</v>
      </c>
      <c r="AD337" s="50">
        <v>0.66</v>
      </c>
      <c r="AE337" s="50">
        <v>0.68</v>
      </c>
      <c r="AF337" s="50">
        <v>0.51</v>
      </c>
      <c r="AG337" t="s">
        <v>898</v>
      </c>
      <c r="AI337" t="s">
        <v>898</v>
      </c>
      <c r="AJ337">
        <v>0</v>
      </c>
    </row>
    <row r="338" spans="1:36">
      <c r="A338" t="s">
        <v>931</v>
      </c>
      <c r="B338" t="s">
        <v>932</v>
      </c>
      <c r="C338" s="40">
        <v>45800</v>
      </c>
      <c r="D338" s="19">
        <f t="shared" si="30"/>
        <v>45798</v>
      </c>
      <c r="E338" s="17" t="s">
        <v>3586</v>
      </c>
      <c r="F338">
        <f t="shared" si="31"/>
        <v>0</v>
      </c>
      <c r="H338" t="s">
        <v>2227</v>
      </c>
      <c r="I338" s="50">
        <v>23.3</v>
      </c>
      <c r="J338" s="61">
        <v>23.3</v>
      </c>
      <c r="K338" s="61">
        <v>23.3</v>
      </c>
      <c r="L338">
        <v>1086246000</v>
      </c>
      <c r="M338">
        <v>0.98</v>
      </c>
      <c r="N338">
        <v>25.51</v>
      </c>
      <c r="O338">
        <f t="shared" si="32"/>
        <v>1</v>
      </c>
      <c r="P338">
        <v>0</v>
      </c>
      <c r="Q338" t="s">
        <v>1869</v>
      </c>
      <c r="R338">
        <f t="shared" si="33"/>
        <v>13</v>
      </c>
      <c r="U338">
        <v>-8.9840496439635604</v>
      </c>
      <c r="V338" s="17">
        <f t="shared" si="34"/>
        <v>64.729550468049823</v>
      </c>
      <c r="Y338" s="72" t="str">
        <f>[1]!wss(AB338,"sec_status","cols=1;rows=1")</f>
        <v>L</v>
      </c>
      <c r="AB338" t="str">
        <f t="shared" si="35"/>
        <v>2629.HK</v>
      </c>
      <c r="AC338" s="50">
        <v>30</v>
      </c>
      <c r="AD338" s="50">
        <v>29</v>
      </c>
      <c r="AE338" s="50">
        <v>31.95</v>
      </c>
      <c r="AF338" s="50">
        <v>29</v>
      </c>
      <c r="AG338" t="s">
        <v>224</v>
      </c>
      <c r="AI338" t="s">
        <v>224</v>
      </c>
      <c r="AJ338">
        <v>0</v>
      </c>
    </row>
    <row r="339" spans="1:36" ht="25.5">
      <c r="A339" t="s">
        <v>933</v>
      </c>
      <c r="B339" t="s">
        <v>934</v>
      </c>
      <c r="C339" s="40">
        <v>45379</v>
      </c>
      <c r="D339" s="19">
        <f t="shared" si="30"/>
        <v>45377</v>
      </c>
      <c r="E339" s="17" t="s">
        <v>3583</v>
      </c>
      <c r="F339">
        <f t="shared" si="31"/>
        <v>0</v>
      </c>
      <c r="H339" t="s">
        <v>2275</v>
      </c>
      <c r="I339" s="50">
        <v>1.08</v>
      </c>
      <c r="J339" s="61">
        <v>1.08</v>
      </c>
      <c r="K339" s="61">
        <v>1.28</v>
      </c>
      <c r="L339">
        <v>108000000</v>
      </c>
      <c r="M339">
        <v>0.96</v>
      </c>
      <c r="N339">
        <v>294.13</v>
      </c>
      <c r="O339">
        <f t="shared" si="32"/>
        <v>1</v>
      </c>
      <c r="P339">
        <v>0</v>
      </c>
      <c r="Q339" t="s">
        <v>1710</v>
      </c>
      <c r="R339">
        <f t="shared" si="33"/>
        <v>24</v>
      </c>
      <c r="U339">
        <v>9.9402559414990908</v>
      </c>
      <c r="V339" s="17" t="str">
        <f t="shared" si="34"/>
        <v/>
      </c>
      <c r="Y339" s="72" t="str">
        <f>[1]!wss(AB339,"sec_status","cols=1;rows=1")</f>
        <v>L</v>
      </c>
      <c r="AB339" t="str">
        <f t="shared" si="35"/>
        <v>2497.HK</v>
      </c>
      <c r="AC339" s="50">
        <v>1.48</v>
      </c>
      <c r="AD339" s="50">
        <v>2.13</v>
      </c>
      <c r="AE339" s="50">
        <v>2.4</v>
      </c>
      <c r="AF339" s="50">
        <v>1.41</v>
      </c>
      <c r="AG339" t="s">
        <v>224</v>
      </c>
      <c r="AI339" t="s">
        <v>224</v>
      </c>
      <c r="AJ339">
        <v>0</v>
      </c>
    </row>
    <row r="340" spans="1:36" ht="25.5">
      <c r="A340" t="s">
        <v>935</v>
      </c>
      <c r="B340" t="s">
        <v>936</v>
      </c>
      <c r="C340" s="40">
        <v>44924</v>
      </c>
      <c r="D340" s="19">
        <f t="shared" si="30"/>
        <v>44922</v>
      </c>
      <c r="E340" s="17" t="s">
        <v>3583</v>
      </c>
      <c r="F340">
        <f t="shared" si="31"/>
        <v>0</v>
      </c>
      <c r="H340" t="s">
        <v>2210</v>
      </c>
      <c r="I340" s="50">
        <v>0.53</v>
      </c>
      <c r="J340" s="61">
        <v>0.53</v>
      </c>
      <c r="K340" s="61">
        <v>0.63</v>
      </c>
      <c r="L340">
        <v>102210500</v>
      </c>
      <c r="M340">
        <v>1.2</v>
      </c>
      <c r="N340">
        <v>14.23</v>
      </c>
      <c r="O340">
        <f t="shared" si="32"/>
        <v>0</v>
      </c>
      <c r="P340">
        <v>0</v>
      </c>
      <c r="Q340" t="s">
        <v>1534</v>
      </c>
      <c r="R340">
        <f t="shared" si="33"/>
        <v>3</v>
      </c>
      <c r="U340">
        <v>17.949056027905002</v>
      </c>
      <c r="V340" s="17">
        <f t="shared" si="34"/>
        <v>171.15072208725832</v>
      </c>
      <c r="X340">
        <v>6</v>
      </c>
      <c r="Y340" s="72" t="str">
        <f>[1]!wss(AB340,"sec_status","cols=1;rows=1")</f>
        <v>L</v>
      </c>
      <c r="AB340" t="str">
        <f t="shared" si="35"/>
        <v>2427.HK</v>
      </c>
      <c r="AC340" s="50">
        <v>1.75</v>
      </c>
      <c r="AD340" s="50">
        <v>1.2</v>
      </c>
      <c r="AE340" s="50">
        <v>1.92</v>
      </c>
      <c r="AF340" s="50">
        <v>1.17</v>
      </c>
      <c r="AG340" t="s">
        <v>224</v>
      </c>
      <c r="AI340" t="s">
        <v>224</v>
      </c>
      <c r="AJ340">
        <v>0</v>
      </c>
    </row>
    <row r="341" spans="1:36" ht="25.5">
      <c r="A341" t="s">
        <v>937</v>
      </c>
      <c r="B341" t="s">
        <v>938</v>
      </c>
      <c r="C341" s="40">
        <v>45016</v>
      </c>
      <c r="D341" s="19">
        <f t="shared" si="30"/>
        <v>45014</v>
      </c>
      <c r="E341" s="17" t="s">
        <v>3583</v>
      </c>
      <c r="F341">
        <f t="shared" si="31"/>
        <v>0</v>
      </c>
      <c r="H341" t="s">
        <v>2261</v>
      </c>
      <c r="I341" s="50">
        <v>0.7</v>
      </c>
      <c r="J341" s="61">
        <v>0.65</v>
      </c>
      <c r="K341" s="61">
        <v>0.75</v>
      </c>
      <c r="L341">
        <v>140000000</v>
      </c>
      <c r="M341">
        <v>1.45</v>
      </c>
      <c r="N341">
        <v>13.47</v>
      </c>
      <c r="O341">
        <f t="shared" si="32"/>
        <v>0</v>
      </c>
      <c r="P341">
        <v>0</v>
      </c>
      <c r="Q341" t="s">
        <v>1598</v>
      </c>
      <c r="R341">
        <f t="shared" si="33"/>
        <v>4</v>
      </c>
      <c r="U341">
        <v>13.0733215176556</v>
      </c>
      <c r="V341" s="17">
        <f t="shared" si="34"/>
        <v>65.851050952483746</v>
      </c>
      <c r="Y341" s="72" t="str">
        <f>[1]!wss(AB341,"sec_status","cols=1;rows=1")</f>
        <v>L</v>
      </c>
      <c r="AB341" t="str">
        <f t="shared" si="35"/>
        <v>2405.HK</v>
      </c>
      <c r="AC341" s="50">
        <v>0.84</v>
      </c>
      <c r="AD341" s="50">
        <v>0.76</v>
      </c>
      <c r="AE341" s="50">
        <v>0.88</v>
      </c>
      <c r="AF341" s="50">
        <v>0.61</v>
      </c>
      <c r="AG341" t="s">
        <v>224</v>
      </c>
      <c r="AI341" t="s">
        <v>224</v>
      </c>
      <c r="AJ341">
        <v>0</v>
      </c>
    </row>
    <row r="342" spans="1:36" ht="25.5">
      <c r="A342" t="s">
        <v>939</v>
      </c>
      <c r="B342" t="s">
        <v>940</v>
      </c>
      <c r="C342" s="40">
        <v>44734</v>
      </c>
      <c r="D342" s="19">
        <f t="shared" si="30"/>
        <v>44732</v>
      </c>
      <c r="E342" s="17" t="s">
        <v>3583</v>
      </c>
      <c r="F342">
        <f t="shared" si="31"/>
        <v>0</v>
      </c>
      <c r="H342" t="s">
        <v>2227</v>
      </c>
      <c r="I342" s="50">
        <v>18</v>
      </c>
      <c r="J342" s="61">
        <v>18</v>
      </c>
      <c r="K342" s="61">
        <v>22</v>
      </c>
      <c r="L342">
        <v>215312400</v>
      </c>
      <c r="M342">
        <v>2.0499999999999998</v>
      </c>
      <c r="N342">
        <v>9.6199999999999992</v>
      </c>
      <c r="O342">
        <f t="shared" si="32"/>
        <v>0</v>
      </c>
      <c r="P342">
        <v>0</v>
      </c>
      <c r="Q342" t="s">
        <v>1242</v>
      </c>
      <c r="R342">
        <f t="shared" si="33"/>
        <v>7</v>
      </c>
      <c r="U342">
        <v>44.558071098398997</v>
      </c>
      <c r="V342" s="17">
        <f t="shared" si="34"/>
        <v>74.815290152875235</v>
      </c>
      <c r="X342">
        <v>6</v>
      </c>
      <c r="Y342" s="72" t="str">
        <f>[1]!wss(AB342,"sec_status","cols=1;rows=1")</f>
        <v>L</v>
      </c>
      <c r="AB342" t="str">
        <f t="shared" si="35"/>
        <v>6667.HK</v>
      </c>
      <c r="AC342" s="50">
        <v>18</v>
      </c>
      <c r="AD342" s="50">
        <v>19.48</v>
      </c>
      <c r="AE342" s="50">
        <v>21</v>
      </c>
      <c r="AF342" s="50">
        <v>18</v>
      </c>
      <c r="AG342" t="s">
        <v>224</v>
      </c>
      <c r="AI342" t="s">
        <v>224</v>
      </c>
      <c r="AJ342">
        <v>0</v>
      </c>
    </row>
    <row r="343" spans="1:36">
      <c r="A343" t="s">
        <v>941</v>
      </c>
      <c r="B343" t="s">
        <v>942</v>
      </c>
      <c r="C343" s="40">
        <v>46112</v>
      </c>
      <c r="D343" s="19">
        <f t="shared" si="30"/>
        <v>46110</v>
      </c>
      <c r="E343" s="17" t="s">
        <v>3587</v>
      </c>
      <c r="F343">
        <f t="shared" si="31"/>
        <v>0</v>
      </c>
      <c r="H343" t="s">
        <v>2219</v>
      </c>
      <c r="I343" s="50">
        <v>40</v>
      </c>
      <c r="J343" s="61">
        <v>40</v>
      </c>
      <c r="K343" s="61">
        <v>50</v>
      </c>
      <c r="L343">
        <v>480000000</v>
      </c>
      <c r="M343">
        <v>2.93</v>
      </c>
      <c r="N343">
        <v>3118.43</v>
      </c>
      <c r="O343">
        <f t="shared" si="32"/>
        <v>1</v>
      </c>
      <c r="P343">
        <v>0</v>
      </c>
      <c r="Q343" t="s">
        <v>2150</v>
      </c>
      <c r="R343">
        <f t="shared" si="33"/>
        <v>2</v>
      </c>
      <c r="U343">
        <v>-68.389906535737794</v>
      </c>
      <c r="V343" s="17">
        <f t="shared" si="34"/>
        <v>57.550227982707256</v>
      </c>
      <c r="Y343" s="72" t="str">
        <f>[1]!wss(AB343,"sec_status","cols=1;rows=1")</f>
        <v>L</v>
      </c>
      <c r="AB343" t="str">
        <f t="shared" si="35"/>
        <v>3625.HK</v>
      </c>
      <c r="AC343" s="50">
        <v>80</v>
      </c>
      <c r="AD343" s="50">
        <v>85.05</v>
      </c>
      <c r="AE343" s="50">
        <v>87</v>
      </c>
      <c r="AF343" s="50">
        <v>78</v>
      </c>
      <c r="AG343" t="s">
        <v>224</v>
      </c>
      <c r="AH343" t="s">
        <v>2293</v>
      </c>
      <c r="AI343" t="s">
        <v>224</v>
      </c>
      <c r="AJ343">
        <v>0</v>
      </c>
    </row>
    <row r="344" spans="1:36">
      <c r="A344" t="s">
        <v>943</v>
      </c>
      <c r="B344" t="s">
        <v>944</v>
      </c>
      <c r="C344" s="40">
        <v>45946</v>
      </c>
      <c r="D344" s="19">
        <f t="shared" si="30"/>
        <v>45944</v>
      </c>
      <c r="E344" s="17" t="s">
        <v>3587</v>
      </c>
      <c r="F344">
        <f t="shared" si="31"/>
        <v>0</v>
      </c>
      <c r="H344" t="s">
        <v>2206</v>
      </c>
      <c r="I344" s="50">
        <v>95.6</v>
      </c>
      <c r="J344" s="61">
        <v>95.6</v>
      </c>
      <c r="K344" s="61">
        <v>95.6</v>
      </c>
      <c r="L344">
        <v>758586000</v>
      </c>
      <c r="M344">
        <v>18.62</v>
      </c>
      <c r="N344">
        <v>5657.2</v>
      </c>
      <c r="O344">
        <f t="shared" si="32"/>
        <v>1</v>
      </c>
      <c r="P344">
        <v>0.95499999999999996</v>
      </c>
      <c r="Q344" t="s">
        <v>2081</v>
      </c>
      <c r="R344">
        <f t="shared" si="33"/>
        <v>8</v>
      </c>
      <c r="U344">
        <v>-32.890800164287803</v>
      </c>
      <c r="V344" s="17">
        <f t="shared" si="34"/>
        <v>472.70515240668021</v>
      </c>
      <c r="Y344" s="72" t="str">
        <f>[1]!wss(AB344,"sec_status","cols=1;rows=1")</f>
        <v>L</v>
      </c>
      <c r="AB344" t="str">
        <f t="shared" si="35"/>
        <v>2670.HK</v>
      </c>
      <c r="AC344" s="50">
        <v>120.5</v>
      </c>
      <c r="AD344" s="50">
        <v>142.80000000000001</v>
      </c>
      <c r="AE344" s="50">
        <v>142.80000000000001</v>
      </c>
      <c r="AF344" s="50">
        <v>120.1</v>
      </c>
      <c r="AG344" t="s">
        <v>224</v>
      </c>
      <c r="AH344" t="s">
        <v>2293</v>
      </c>
      <c r="AI344" t="s">
        <v>224</v>
      </c>
      <c r="AJ344">
        <v>0</v>
      </c>
    </row>
    <row r="345" spans="1:36" ht="25.5">
      <c r="A345" t="s">
        <v>945</v>
      </c>
      <c r="B345" t="s">
        <v>946</v>
      </c>
      <c r="C345" s="40">
        <v>46013</v>
      </c>
      <c r="D345" s="19">
        <f t="shared" si="30"/>
        <v>46011</v>
      </c>
      <c r="E345" s="17" t="s">
        <v>3583</v>
      </c>
      <c r="F345">
        <f t="shared" si="31"/>
        <v>0</v>
      </c>
      <c r="H345" t="s">
        <v>2280</v>
      </c>
      <c r="I345" s="50">
        <v>3.6</v>
      </c>
      <c r="J345" s="61">
        <v>3.47</v>
      </c>
      <c r="K345" s="61">
        <v>4.0999999999999996</v>
      </c>
      <c r="L345">
        <v>129960000</v>
      </c>
      <c r="M345">
        <v>1.91</v>
      </c>
      <c r="N345">
        <v>3397.48</v>
      </c>
      <c r="O345">
        <f t="shared" si="32"/>
        <v>1</v>
      </c>
      <c r="P345">
        <v>0</v>
      </c>
      <c r="Q345" t="s">
        <v>1677</v>
      </c>
      <c r="R345">
        <f t="shared" si="33"/>
        <v>18</v>
      </c>
      <c r="U345">
        <v>11.214117746097701</v>
      </c>
      <c r="V345" s="17">
        <f t="shared" si="34"/>
        <v>23.9825225559686</v>
      </c>
      <c r="Y345" s="72" t="str">
        <f>[1]!wss(AB345,"sec_status","cols=1;rows=1")</f>
        <v>L</v>
      </c>
      <c r="AB345" t="str">
        <f t="shared" si="35"/>
        <v>2695.HK</v>
      </c>
      <c r="AC345" s="50">
        <v>2.33</v>
      </c>
      <c r="AD345" s="50">
        <v>3.26</v>
      </c>
      <c r="AE345" s="50">
        <v>3.4</v>
      </c>
      <c r="AF345" s="50">
        <v>2.33</v>
      </c>
      <c r="AG345" t="s">
        <v>224</v>
      </c>
      <c r="AH345" t="s">
        <v>2293</v>
      </c>
      <c r="AI345" t="s">
        <v>224</v>
      </c>
      <c r="AJ345">
        <v>0</v>
      </c>
    </row>
    <row r="346" spans="1:36">
      <c r="A346" t="s">
        <v>947</v>
      </c>
      <c r="B346" t="s">
        <v>948</v>
      </c>
      <c r="C346" s="40">
        <v>45089</v>
      </c>
      <c r="D346" s="19">
        <f t="shared" si="30"/>
        <v>45087</v>
      </c>
      <c r="E346" s="17" t="s">
        <v>3586</v>
      </c>
      <c r="F346">
        <f t="shared" si="31"/>
        <v>0</v>
      </c>
      <c r="H346" t="s">
        <v>2227</v>
      </c>
      <c r="I346" s="50">
        <v>21.85</v>
      </c>
      <c r="J346" s="61">
        <v>20.65</v>
      </c>
      <c r="K346" s="61">
        <v>24.75</v>
      </c>
      <c r="L346">
        <v>465007330</v>
      </c>
      <c r="M346">
        <v>1.07</v>
      </c>
      <c r="N346">
        <v>1.41</v>
      </c>
      <c r="O346">
        <f t="shared" si="32"/>
        <v>0</v>
      </c>
      <c r="P346">
        <v>0</v>
      </c>
      <c r="Q346" t="s">
        <v>1901</v>
      </c>
      <c r="R346">
        <f t="shared" si="33"/>
        <v>11</v>
      </c>
      <c r="U346">
        <v>-10.6756923888243</v>
      </c>
      <c r="V346" s="17">
        <f t="shared" si="34"/>
        <v>64.729550468049823</v>
      </c>
      <c r="X346">
        <v>6</v>
      </c>
      <c r="Y346" s="72" t="str">
        <f>[1]!wss(AB346,"sec_status","cols=1;rows=1")</f>
        <v>L</v>
      </c>
      <c r="AB346" t="str">
        <f t="shared" si="35"/>
        <v>2487.HK</v>
      </c>
      <c r="AC346" s="50">
        <v>21.95</v>
      </c>
      <c r="AD346" s="50">
        <v>21.8</v>
      </c>
      <c r="AE346" s="50">
        <v>22.05</v>
      </c>
      <c r="AF346" s="50">
        <v>19</v>
      </c>
      <c r="AG346" t="s">
        <v>224</v>
      </c>
      <c r="AI346" t="s">
        <v>224</v>
      </c>
      <c r="AJ346">
        <v>0</v>
      </c>
    </row>
    <row r="347" spans="1:36">
      <c r="A347" t="s">
        <v>949</v>
      </c>
      <c r="B347" t="s">
        <v>950</v>
      </c>
      <c r="C347" s="40">
        <v>46010</v>
      </c>
      <c r="D347" s="19">
        <f t="shared" si="30"/>
        <v>46008</v>
      </c>
      <c r="E347" s="17" t="s">
        <v>3587</v>
      </c>
      <c r="F347">
        <f t="shared" si="31"/>
        <v>0</v>
      </c>
      <c r="H347" t="s">
        <v>2238</v>
      </c>
      <c r="I347" s="50">
        <v>263</v>
      </c>
      <c r="J347" s="61">
        <v>263</v>
      </c>
      <c r="K347" s="61">
        <v>263</v>
      </c>
      <c r="L347">
        <v>1422298740</v>
      </c>
      <c r="M347">
        <v>2.1</v>
      </c>
      <c r="N347">
        <v>22.55</v>
      </c>
      <c r="O347">
        <f t="shared" si="32"/>
        <v>1</v>
      </c>
      <c r="P347">
        <v>0</v>
      </c>
      <c r="Q347" t="s">
        <v>1998</v>
      </c>
      <c r="R347">
        <f t="shared" si="33"/>
        <v>13</v>
      </c>
      <c r="U347">
        <v>-18.3651736796247</v>
      </c>
      <c r="V347" s="17">
        <f t="shared" si="34"/>
        <v>16.31671402333356</v>
      </c>
      <c r="Y347" s="72" t="str">
        <f>[1]!wss(AB347,"sec_status","cols=1;rows=1")</f>
        <v>L</v>
      </c>
      <c r="AB347" t="str">
        <f t="shared" si="35"/>
        <v>3881.HK</v>
      </c>
      <c r="AC347" s="50">
        <v>227</v>
      </c>
      <c r="AD347" s="50">
        <v>263</v>
      </c>
      <c r="AE347" s="50">
        <v>263</v>
      </c>
      <c r="AF347" s="50">
        <v>218</v>
      </c>
      <c r="AG347" t="s">
        <v>224</v>
      </c>
      <c r="AH347" t="s">
        <v>2293</v>
      </c>
      <c r="AI347" t="s">
        <v>224</v>
      </c>
      <c r="AJ347">
        <v>0</v>
      </c>
    </row>
    <row r="348" spans="1:36">
      <c r="A348" t="s">
        <v>951</v>
      </c>
      <c r="B348" t="s">
        <v>952</v>
      </c>
      <c r="C348" s="40">
        <v>45958</v>
      </c>
      <c r="D348" s="19">
        <f t="shared" si="30"/>
        <v>45956</v>
      </c>
      <c r="E348" s="17" t="s">
        <v>3587</v>
      </c>
      <c r="F348">
        <f t="shared" si="31"/>
        <v>0</v>
      </c>
      <c r="H348" t="s">
        <v>2206</v>
      </c>
      <c r="I348" s="50">
        <v>26.66</v>
      </c>
      <c r="J348" s="61">
        <v>26.66</v>
      </c>
      <c r="K348" s="61">
        <v>26.66</v>
      </c>
      <c r="L348">
        <v>710009120</v>
      </c>
      <c r="M348">
        <v>16.61</v>
      </c>
      <c r="N348">
        <v>7569.83</v>
      </c>
      <c r="O348">
        <f t="shared" si="32"/>
        <v>1</v>
      </c>
      <c r="P348">
        <v>0</v>
      </c>
      <c r="Q348" t="s">
        <v>1827</v>
      </c>
      <c r="R348">
        <f t="shared" si="33"/>
        <v>7</v>
      </c>
      <c r="U348">
        <v>-6.4255211320287797</v>
      </c>
      <c r="V348" s="17">
        <f t="shared" si="34"/>
        <v>472.70515240668021</v>
      </c>
      <c r="Y348" s="72" t="str">
        <f>[1]!wss(AB348,"sec_status","cols=1;rows=1")</f>
        <v>L</v>
      </c>
      <c r="AB348" t="str">
        <f t="shared" si="35"/>
        <v>1384.HK</v>
      </c>
      <c r="AC348" s="50">
        <v>66.8</v>
      </c>
      <c r="AD348" s="50">
        <v>56.5</v>
      </c>
      <c r="AE348" s="50">
        <v>68.400000000000006</v>
      </c>
      <c r="AF348" s="50">
        <v>52.1</v>
      </c>
      <c r="AG348" t="s">
        <v>224</v>
      </c>
      <c r="AH348" t="s">
        <v>2293</v>
      </c>
      <c r="AI348" t="s">
        <v>224</v>
      </c>
      <c r="AJ348">
        <v>0</v>
      </c>
    </row>
    <row r="349" spans="1:36">
      <c r="A349" t="s">
        <v>953</v>
      </c>
      <c r="B349" t="s">
        <v>954</v>
      </c>
      <c r="C349" s="40">
        <v>46140</v>
      </c>
      <c r="D349" s="19">
        <f t="shared" si="30"/>
        <v>46138</v>
      </c>
      <c r="E349" s="17" t="s">
        <v>3586</v>
      </c>
      <c r="F349">
        <f t="shared" si="31"/>
        <v>1</v>
      </c>
      <c r="G349" t="s">
        <v>955</v>
      </c>
      <c r="H349" t="s">
        <v>2227</v>
      </c>
      <c r="I349" s="50">
        <v>27.64</v>
      </c>
      <c r="J349" s="61">
        <v>27.64</v>
      </c>
      <c r="K349" s="61">
        <v>30.71</v>
      </c>
      <c r="L349">
        <v>1302678728</v>
      </c>
      <c r="M349">
        <v>3.46</v>
      </c>
      <c r="N349">
        <v>481.71</v>
      </c>
      <c r="O349">
        <f t="shared" si="32"/>
        <v>1</v>
      </c>
      <c r="P349">
        <v>0</v>
      </c>
      <c r="Q349" t="s">
        <v>1910</v>
      </c>
      <c r="R349">
        <f t="shared" si="33"/>
        <v>9</v>
      </c>
      <c r="U349">
        <v>-11.505445801327699</v>
      </c>
      <c r="V349" s="17">
        <f t="shared" si="34"/>
        <v>64.729550468049823</v>
      </c>
      <c r="X349">
        <v>6</v>
      </c>
      <c r="Y349" s="72" t="str">
        <f>[1]!wss(AB349,"sec_status","cols=1;rows=1")</f>
        <v>L</v>
      </c>
      <c r="AB349" t="str">
        <f t="shared" si="35"/>
        <v>2493.HK</v>
      </c>
      <c r="AC349" s="50">
        <v>27.8</v>
      </c>
      <c r="AD349" s="50">
        <v>28.3</v>
      </c>
      <c r="AE349" s="50">
        <v>29.9</v>
      </c>
      <c r="AF349" s="50">
        <v>26.44</v>
      </c>
      <c r="AG349" t="s">
        <v>224</v>
      </c>
      <c r="AH349" t="s">
        <v>2293</v>
      </c>
      <c r="AI349" t="s">
        <v>224</v>
      </c>
      <c r="AJ349">
        <v>1</v>
      </c>
    </row>
    <row r="350" spans="1:36">
      <c r="A350" t="s">
        <v>956</v>
      </c>
      <c r="B350" t="s">
        <v>957</v>
      </c>
      <c r="C350" s="40">
        <v>46111</v>
      </c>
      <c r="D350" s="19">
        <f t="shared" si="30"/>
        <v>46109</v>
      </c>
      <c r="E350" s="17" t="s">
        <v>3587</v>
      </c>
      <c r="F350">
        <f t="shared" si="31"/>
        <v>0</v>
      </c>
      <c r="H350" t="s">
        <v>2206</v>
      </c>
      <c r="I350" s="50">
        <v>40</v>
      </c>
      <c r="J350" s="61">
        <v>40</v>
      </c>
      <c r="K350" s="61">
        <v>40</v>
      </c>
      <c r="L350">
        <v>499200000</v>
      </c>
      <c r="M350">
        <v>3.41</v>
      </c>
      <c r="N350">
        <v>4591.37</v>
      </c>
      <c r="O350">
        <f t="shared" si="32"/>
        <v>1</v>
      </c>
      <c r="P350">
        <v>0</v>
      </c>
      <c r="Q350" t="s">
        <v>2154</v>
      </c>
      <c r="R350">
        <f t="shared" si="33"/>
        <v>7</v>
      </c>
      <c r="U350">
        <v>-89.118219417389</v>
      </c>
      <c r="V350" s="17">
        <f t="shared" si="34"/>
        <v>472.70515240668021</v>
      </c>
      <c r="X350">
        <v>9</v>
      </c>
      <c r="Y350" s="72" t="str">
        <f>[1]!wss(AB350,"sec_status","cols=1;rows=1")</f>
        <v>L</v>
      </c>
      <c r="AB350" t="str">
        <f t="shared" si="35"/>
        <v>6636.HK</v>
      </c>
      <c r="AC350" s="50">
        <v>100</v>
      </c>
      <c r="AD350" s="50">
        <v>59.95</v>
      </c>
      <c r="AE350" s="50">
        <v>100</v>
      </c>
      <c r="AF350" s="50">
        <v>56</v>
      </c>
      <c r="AG350" t="s">
        <v>224</v>
      </c>
      <c r="AH350" t="s">
        <v>2293</v>
      </c>
      <c r="AI350" t="s">
        <v>224</v>
      </c>
      <c r="AJ350">
        <v>0</v>
      </c>
    </row>
    <row r="351" spans="1:36">
      <c r="A351" t="s">
        <v>958</v>
      </c>
      <c r="B351" t="s">
        <v>959</v>
      </c>
      <c r="C351" s="40">
        <v>46030</v>
      </c>
      <c r="D351" s="19">
        <f t="shared" si="30"/>
        <v>46028</v>
      </c>
      <c r="E351" s="17" t="s">
        <v>3587</v>
      </c>
      <c r="F351">
        <f t="shared" si="31"/>
        <v>0</v>
      </c>
      <c r="H351" t="s">
        <v>2206</v>
      </c>
      <c r="I351" s="50">
        <v>116.2</v>
      </c>
      <c r="J351" s="61">
        <v>116.2</v>
      </c>
      <c r="K351" s="61">
        <v>116.2</v>
      </c>
      <c r="L351">
        <v>5000364880</v>
      </c>
      <c r="M351">
        <v>15.28</v>
      </c>
      <c r="N351">
        <v>1159.46</v>
      </c>
      <c r="O351">
        <f t="shared" si="32"/>
        <v>1</v>
      </c>
      <c r="P351">
        <v>6.3259999999999996</v>
      </c>
      <c r="Q351" t="s">
        <v>1968</v>
      </c>
      <c r="R351">
        <f t="shared" si="33"/>
        <v>12</v>
      </c>
      <c r="U351">
        <v>-16.022826692234499</v>
      </c>
      <c r="V351" s="17">
        <f t="shared" si="34"/>
        <v>472.70515240668021</v>
      </c>
      <c r="Y351" s="72" t="str">
        <f>[1]!wss(AB351,"sec_status","cols=1;rows=1")</f>
        <v>L</v>
      </c>
      <c r="AB351" t="str">
        <f t="shared" si="35"/>
        <v>2513.HK</v>
      </c>
      <c r="AC351" s="50">
        <v>131.5</v>
      </c>
      <c r="AD351" s="50">
        <v>120</v>
      </c>
      <c r="AE351" s="50">
        <v>135</v>
      </c>
      <c r="AF351" s="50">
        <v>116.1</v>
      </c>
      <c r="AG351" t="s">
        <v>224</v>
      </c>
      <c r="AH351" t="s">
        <v>2293</v>
      </c>
      <c r="AI351" t="s">
        <v>224</v>
      </c>
      <c r="AJ351">
        <v>0</v>
      </c>
    </row>
    <row r="352" spans="1:36" ht="25.5">
      <c r="A352" t="s">
        <v>960</v>
      </c>
      <c r="B352" t="s">
        <v>961</v>
      </c>
      <c r="C352" s="40">
        <v>44578</v>
      </c>
      <c r="D352" s="19">
        <f t="shared" si="30"/>
        <v>44576</v>
      </c>
      <c r="E352" s="17" t="s">
        <v>3583</v>
      </c>
      <c r="F352">
        <f t="shared" si="31"/>
        <v>0</v>
      </c>
      <c r="H352" t="s">
        <v>2261</v>
      </c>
      <c r="I352" s="50">
        <v>2.0499999999999998</v>
      </c>
      <c r="L352">
        <v>246000000</v>
      </c>
      <c r="M352">
        <v>1.24</v>
      </c>
      <c r="N352">
        <v>7.31</v>
      </c>
      <c r="O352">
        <f t="shared" si="32"/>
        <v>0</v>
      </c>
      <c r="P352">
        <v>0</v>
      </c>
      <c r="Q352" t="s">
        <v>1275</v>
      </c>
      <c r="R352">
        <f t="shared" si="33"/>
        <v>14</v>
      </c>
      <c r="U352">
        <v>37.581579526288799</v>
      </c>
      <c r="V352" s="17">
        <f t="shared" si="34"/>
        <v>63.127911173746725</v>
      </c>
      <c r="Y352" s="72" t="str">
        <f>[1]!wss(AB352,"sec_status","cols=1;rows=1")</f>
        <v>L</v>
      </c>
      <c r="AB352" t="str">
        <f t="shared" si="35"/>
        <v>2250.HK</v>
      </c>
      <c r="AC352" s="50">
        <v>2.39</v>
      </c>
      <c r="AD352" s="50">
        <v>2.6</v>
      </c>
      <c r="AE352" s="50">
        <v>2.77</v>
      </c>
      <c r="AF352" s="50">
        <v>2.34</v>
      </c>
      <c r="AG352" t="s">
        <v>224</v>
      </c>
      <c r="AI352" t="s">
        <v>224</v>
      </c>
      <c r="AJ352">
        <v>0</v>
      </c>
    </row>
    <row r="353" spans="1:36">
      <c r="A353" t="s">
        <v>962</v>
      </c>
      <c r="B353" t="s">
        <v>963</v>
      </c>
      <c r="C353" s="40">
        <v>46035</v>
      </c>
      <c r="D353" s="19">
        <f t="shared" si="30"/>
        <v>46033</v>
      </c>
      <c r="E353" s="17" t="s">
        <v>3588</v>
      </c>
      <c r="F353">
        <f t="shared" si="31"/>
        <v>0</v>
      </c>
      <c r="H353" t="s">
        <v>2277</v>
      </c>
      <c r="I353" s="50">
        <v>0.6</v>
      </c>
      <c r="J353" s="61">
        <v>0.6</v>
      </c>
      <c r="K353" s="61">
        <v>0.7</v>
      </c>
      <c r="L353">
        <v>75000000</v>
      </c>
      <c r="M353">
        <v>1.01</v>
      </c>
      <c r="N353">
        <v>10745.13</v>
      </c>
      <c r="O353">
        <f t="shared" si="32"/>
        <v>1</v>
      </c>
      <c r="P353">
        <v>0</v>
      </c>
      <c r="Q353" t="s">
        <v>1778</v>
      </c>
      <c r="R353">
        <f t="shared" si="33"/>
        <v>2</v>
      </c>
      <c r="U353">
        <v>6.5485090625835296</v>
      </c>
      <c r="V353" s="17">
        <f t="shared" si="34"/>
        <v>12.870520072456346</v>
      </c>
      <c r="X353">
        <v>6</v>
      </c>
      <c r="Y353" s="72" t="str">
        <f>[1]!wss(AB353,"sec_status","cols=1;rows=1")</f>
        <v>L</v>
      </c>
      <c r="AB353" t="str">
        <f t="shared" si="35"/>
        <v>8610.HK</v>
      </c>
      <c r="AC353" s="50">
        <v>0.67</v>
      </c>
      <c r="AD353" s="50">
        <v>3</v>
      </c>
      <c r="AE353" s="50">
        <v>3.11</v>
      </c>
      <c r="AF353" s="50">
        <v>0.59</v>
      </c>
      <c r="AG353" t="s">
        <v>898</v>
      </c>
      <c r="AI353" t="s">
        <v>898</v>
      </c>
      <c r="AJ353">
        <v>0</v>
      </c>
    </row>
    <row r="354" spans="1:36">
      <c r="A354" t="s">
        <v>964</v>
      </c>
      <c r="B354" t="s">
        <v>965</v>
      </c>
      <c r="C354" s="40">
        <v>44750</v>
      </c>
      <c r="D354" s="19">
        <f t="shared" si="30"/>
        <v>44748</v>
      </c>
      <c r="E354" s="17" t="s">
        <v>3586</v>
      </c>
      <c r="F354">
        <f t="shared" si="31"/>
        <v>0</v>
      </c>
      <c r="H354" t="s">
        <v>2210</v>
      </c>
      <c r="I354" s="50">
        <v>6.24</v>
      </c>
      <c r="J354" s="61">
        <v>4.28</v>
      </c>
      <c r="K354" s="61">
        <v>6.24</v>
      </c>
      <c r="L354">
        <v>148505760</v>
      </c>
      <c r="M354">
        <v>1.34</v>
      </c>
      <c r="N354">
        <v>6.35</v>
      </c>
      <c r="O354">
        <f t="shared" si="32"/>
        <v>0</v>
      </c>
      <c r="P354">
        <v>2.8000000000000001E-2</v>
      </c>
      <c r="Q354" t="s">
        <v>1877</v>
      </c>
      <c r="R354">
        <f t="shared" si="33"/>
        <v>5</v>
      </c>
      <c r="U354">
        <v>-9.3989600529507893</v>
      </c>
      <c r="V354" s="17">
        <f t="shared" si="34"/>
        <v>140.51038887538766</v>
      </c>
      <c r="Y354" s="72" t="str">
        <f>[1]!wss(AB354,"sec_status","cols=1;rows=1")</f>
        <v>L</v>
      </c>
      <c r="AB354" t="str">
        <f t="shared" si="35"/>
        <v>2297.HK</v>
      </c>
      <c r="AC354" s="50">
        <v>5.28</v>
      </c>
      <c r="AD354" s="50">
        <v>5.6</v>
      </c>
      <c r="AE354" s="50">
        <v>6.1</v>
      </c>
      <c r="AF354" s="50">
        <v>5</v>
      </c>
      <c r="AG354" t="s">
        <v>224</v>
      </c>
      <c r="AI354" t="s">
        <v>224</v>
      </c>
      <c r="AJ354">
        <v>0</v>
      </c>
    </row>
    <row r="355" spans="1:36" ht="25.5">
      <c r="A355" t="s">
        <v>966</v>
      </c>
      <c r="B355" t="s">
        <v>967</v>
      </c>
      <c r="C355" s="40">
        <v>44909</v>
      </c>
      <c r="D355" s="19">
        <f t="shared" si="30"/>
        <v>44907</v>
      </c>
      <c r="E355" s="17" t="s">
        <v>3583</v>
      </c>
      <c r="F355">
        <f t="shared" si="31"/>
        <v>0</v>
      </c>
      <c r="H355" t="s">
        <v>2211</v>
      </c>
      <c r="I355" s="50">
        <v>0.84</v>
      </c>
      <c r="J355" s="61">
        <v>0.84</v>
      </c>
      <c r="K355" s="61">
        <v>1</v>
      </c>
      <c r="L355">
        <v>126000000</v>
      </c>
      <c r="M355">
        <v>1.37</v>
      </c>
      <c r="N355">
        <v>41.31</v>
      </c>
      <c r="O355">
        <f t="shared" si="32"/>
        <v>1</v>
      </c>
      <c r="P355">
        <v>0</v>
      </c>
      <c r="Q355" t="s">
        <v>1614</v>
      </c>
      <c r="R355">
        <f t="shared" si="33"/>
        <v>9</v>
      </c>
      <c r="U355">
        <v>12.8494932801148</v>
      </c>
      <c r="V355" s="17">
        <f t="shared" si="34"/>
        <v>35.856434696855331</v>
      </c>
      <c r="Y355" s="72" t="str">
        <f>[1]!wss(AB355,"sec_status","cols=1;rows=1")</f>
        <v>L</v>
      </c>
      <c r="AB355" t="str">
        <f t="shared" si="35"/>
        <v>1947.HK</v>
      </c>
      <c r="AC355" s="50">
        <v>0.72</v>
      </c>
      <c r="AD355" s="50">
        <v>0.76</v>
      </c>
      <c r="AE355" s="50">
        <v>0.82</v>
      </c>
      <c r="AF355" s="50">
        <v>0.69</v>
      </c>
      <c r="AG355" t="s">
        <v>224</v>
      </c>
      <c r="AI355" t="s">
        <v>224</v>
      </c>
      <c r="AJ355">
        <v>0</v>
      </c>
    </row>
    <row r="356" spans="1:36">
      <c r="A356" t="s">
        <v>968</v>
      </c>
      <c r="B356" t="s">
        <v>969</v>
      </c>
      <c r="C356" s="40">
        <v>45919</v>
      </c>
      <c r="D356" s="19">
        <f t="shared" si="30"/>
        <v>45917</v>
      </c>
      <c r="E356" s="17" t="s">
        <v>3586</v>
      </c>
      <c r="F356">
        <f t="shared" si="31"/>
        <v>0</v>
      </c>
      <c r="H356" t="s">
        <v>2223</v>
      </c>
      <c r="I356" s="50">
        <v>20.39</v>
      </c>
      <c r="J356" s="61">
        <v>20.39</v>
      </c>
      <c r="K356" s="61">
        <v>20.39</v>
      </c>
      <c r="L356">
        <v>2092544140</v>
      </c>
      <c r="M356">
        <v>39.049999999999997</v>
      </c>
      <c r="N356">
        <v>2662.79</v>
      </c>
      <c r="O356">
        <f t="shared" si="32"/>
        <v>1</v>
      </c>
      <c r="P356">
        <v>2.6063501576000001</v>
      </c>
      <c r="Q356" t="s">
        <v>1883</v>
      </c>
      <c r="R356">
        <f t="shared" si="33"/>
        <v>8</v>
      </c>
      <c r="U356">
        <v>-9.9469961317571194</v>
      </c>
      <c r="V356" s="17">
        <f t="shared" si="34"/>
        <v>89.319918688268459</v>
      </c>
      <c r="X356">
        <v>6</v>
      </c>
      <c r="Y356" s="72" t="str">
        <f>[1]!wss(AB356,"sec_status","cols=1;rows=1")</f>
        <v>L</v>
      </c>
      <c r="AB356" t="str">
        <f t="shared" si="35"/>
        <v>2595.HK</v>
      </c>
      <c r="AC356" s="50">
        <v>42.1</v>
      </c>
      <c r="AD356" s="50">
        <v>44</v>
      </c>
      <c r="AE356" s="50">
        <v>50.2</v>
      </c>
      <c r="AF356" s="50">
        <v>42</v>
      </c>
      <c r="AG356" t="s">
        <v>224</v>
      </c>
      <c r="AH356" t="s">
        <v>2293</v>
      </c>
      <c r="AI356" t="s">
        <v>224</v>
      </c>
      <c r="AJ356">
        <v>0</v>
      </c>
    </row>
    <row r="357" spans="1:36">
      <c r="A357" t="s">
        <v>970</v>
      </c>
      <c r="B357" t="s">
        <v>971</v>
      </c>
      <c r="C357" s="40">
        <v>45665</v>
      </c>
      <c r="D357" s="19">
        <f t="shared" si="30"/>
        <v>45663</v>
      </c>
      <c r="E357" s="17" t="s">
        <v>3586</v>
      </c>
      <c r="F357">
        <f t="shared" si="31"/>
        <v>0</v>
      </c>
      <c r="H357" t="s">
        <v>2211</v>
      </c>
      <c r="I357" s="50">
        <v>3.22</v>
      </c>
      <c r="J357" s="61">
        <v>3.22</v>
      </c>
      <c r="K357" s="61">
        <v>3.22</v>
      </c>
      <c r="L357">
        <v>583180640</v>
      </c>
      <c r="M357">
        <v>1.01</v>
      </c>
      <c r="N357">
        <v>11.39</v>
      </c>
      <c r="O357">
        <f t="shared" si="32"/>
        <v>0</v>
      </c>
      <c r="P357">
        <v>0</v>
      </c>
      <c r="Q357" t="s">
        <v>1894</v>
      </c>
      <c r="R357">
        <f t="shared" si="33"/>
        <v>13</v>
      </c>
      <c r="U357">
        <v>-10.2901979940437</v>
      </c>
      <c r="V357" s="17">
        <f t="shared" si="34"/>
        <v>32.980567019762766</v>
      </c>
      <c r="X357">
        <v>6</v>
      </c>
      <c r="Y357" s="72" t="str">
        <f>[1]!wss(AB357,"sec_status","cols=1;rows=1")</f>
        <v>L</v>
      </c>
      <c r="AB357" t="str">
        <f t="shared" si="35"/>
        <v>6681.HK</v>
      </c>
      <c r="AC357" s="50">
        <v>3.33</v>
      </c>
      <c r="AD357" s="50">
        <v>3.22</v>
      </c>
      <c r="AE357" s="50">
        <v>3.49</v>
      </c>
      <c r="AF357" s="50">
        <v>3.13</v>
      </c>
      <c r="AG357" t="s">
        <v>224</v>
      </c>
      <c r="AI357" t="s">
        <v>224</v>
      </c>
      <c r="AJ357">
        <v>0</v>
      </c>
    </row>
    <row r="358" spans="1:36">
      <c r="A358" t="s">
        <v>972</v>
      </c>
      <c r="B358" t="s">
        <v>973</v>
      </c>
      <c r="C358" s="40">
        <v>45596</v>
      </c>
      <c r="D358" s="19">
        <f t="shared" si="30"/>
        <v>45594</v>
      </c>
      <c r="E358" s="17" t="s">
        <v>3586</v>
      </c>
      <c r="F358">
        <f t="shared" si="31"/>
        <v>0</v>
      </c>
      <c r="H358" t="s">
        <v>2227</v>
      </c>
      <c r="I358" s="50">
        <v>16</v>
      </c>
      <c r="J358" s="61">
        <v>16</v>
      </c>
      <c r="K358" s="61">
        <v>22</v>
      </c>
      <c r="L358">
        <v>233408000</v>
      </c>
      <c r="M358">
        <v>0.99399999999999999</v>
      </c>
      <c r="N358">
        <v>21.45</v>
      </c>
      <c r="O358">
        <f t="shared" si="32"/>
        <v>1</v>
      </c>
      <c r="P358">
        <v>0</v>
      </c>
      <c r="Q358" t="s">
        <v>2060</v>
      </c>
      <c r="R358">
        <f t="shared" si="33"/>
        <v>17</v>
      </c>
      <c r="U358">
        <v>-27.875129177617001</v>
      </c>
      <c r="V358" s="17">
        <f t="shared" si="34"/>
        <v>64.729550468049823</v>
      </c>
      <c r="X358">
        <v>6</v>
      </c>
      <c r="Y358" s="72" t="str">
        <f>[1]!wss(AB358,"sec_status","cols=1;rows=1")</f>
        <v>L</v>
      </c>
      <c r="AB358" t="str">
        <f t="shared" si="35"/>
        <v>2563.HK</v>
      </c>
      <c r="AC358" s="50">
        <v>20.8</v>
      </c>
      <c r="AD358" s="50">
        <v>21.5</v>
      </c>
      <c r="AE358" s="50">
        <v>25.95</v>
      </c>
      <c r="AF358" s="50">
        <v>19.48</v>
      </c>
      <c r="AG358" t="s">
        <v>224</v>
      </c>
      <c r="AH358" t="s">
        <v>2293</v>
      </c>
      <c r="AI358" t="s">
        <v>224</v>
      </c>
      <c r="AJ358">
        <v>0</v>
      </c>
    </row>
    <row r="359" spans="1:36">
      <c r="A359" t="s">
        <v>974</v>
      </c>
      <c r="B359" t="s">
        <v>975</v>
      </c>
      <c r="C359" s="40">
        <v>46024</v>
      </c>
      <c r="D359" s="19">
        <f t="shared" si="30"/>
        <v>46022</v>
      </c>
      <c r="E359" s="17" t="s">
        <v>3587</v>
      </c>
      <c r="F359">
        <f t="shared" si="31"/>
        <v>0</v>
      </c>
      <c r="H359" t="s">
        <v>2206</v>
      </c>
      <c r="I359" s="50">
        <v>19.600000000000001</v>
      </c>
      <c r="J359" s="61">
        <v>17</v>
      </c>
      <c r="K359" s="61">
        <v>19.600000000000001</v>
      </c>
      <c r="L359">
        <v>6420438640</v>
      </c>
      <c r="M359">
        <v>25.95</v>
      </c>
      <c r="N359">
        <v>2347.5300000000002</v>
      </c>
      <c r="O359">
        <f t="shared" si="32"/>
        <v>1</v>
      </c>
      <c r="P359">
        <v>8.2189999999999994</v>
      </c>
      <c r="Q359" t="s">
        <v>2063</v>
      </c>
      <c r="R359">
        <f t="shared" si="33"/>
        <v>7</v>
      </c>
      <c r="U359">
        <v>-28.2756065727669</v>
      </c>
      <c r="V359" s="17">
        <f t="shared" si="34"/>
        <v>472.70515240668021</v>
      </c>
      <c r="X359">
        <v>6</v>
      </c>
      <c r="Y359" s="72" t="str">
        <f>[1]!wss(AB359,"sec_status","cols=1;rows=1")</f>
        <v>L</v>
      </c>
      <c r="AB359" t="str">
        <f t="shared" si="35"/>
        <v>6082.HK</v>
      </c>
      <c r="AC359" s="50">
        <v>34.46</v>
      </c>
      <c r="AD359" s="50">
        <v>35.700000000000003</v>
      </c>
      <c r="AE359" s="50">
        <v>42.88</v>
      </c>
      <c r="AF359" s="50">
        <v>33.5</v>
      </c>
      <c r="AG359" t="s">
        <v>224</v>
      </c>
      <c r="AH359" t="s">
        <v>2293</v>
      </c>
      <c r="AI359" t="s">
        <v>224</v>
      </c>
      <c r="AJ359">
        <v>0</v>
      </c>
    </row>
    <row r="360" spans="1:36" ht="25.5">
      <c r="A360" t="s">
        <v>976</v>
      </c>
      <c r="B360" t="s">
        <v>977</v>
      </c>
      <c r="C360" s="40">
        <v>46128</v>
      </c>
      <c r="D360" s="19">
        <f t="shared" si="30"/>
        <v>46126</v>
      </c>
      <c r="E360" s="17" t="s">
        <v>3583</v>
      </c>
      <c r="F360">
        <f t="shared" si="31"/>
        <v>0</v>
      </c>
      <c r="H360" t="s">
        <v>2226</v>
      </c>
      <c r="I360" s="50">
        <v>324.2</v>
      </c>
      <c r="J360" s="61">
        <v>324.2</v>
      </c>
      <c r="K360" s="61">
        <v>324.2</v>
      </c>
      <c r="L360">
        <v>4400658380</v>
      </c>
      <c r="M360">
        <v>31.2</v>
      </c>
      <c r="N360">
        <v>1102.05</v>
      </c>
      <c r="O360">
        <f t="shared" si="32"/>
        <v>1</v>
      </c>
      <c r="P360">
        <v>0</v>
      </c>
      <c r="Q360" t="s">
        <v>1401</v>
      </c>
      <c r="R360">
        <f t="shared" si="33"/>
        <v>3</v>
      </c>
      <c r="U360">
        <v>24.759234335430499</v>
      </c>
      <c r="V360" s="17">
        <f t="shared" si="34"/>
        <v>167.07464035905988</v>
      </c>
      <c r="X360">
        <v>6</v>
      </c>
      <c r="Y360" s="72" t="str">
        <f>[1]!wss(AB360,"sec_status","cols=1;rows=1")</f>
        <v>L</v>
      </c>
      <c r="AB360" t="str">
        <f t="shared" si="35"/>
        <v>6656.HK</v>
      </c>
      <c r="AC360" s="50">
        <v>659.5</v>
      </c>
      <c r="AD360" s="50">
        <v>581</v>
      </c>
      <c r="AE360" s="50">
        <v>669</v>
      </c>
      <c r="AF360" s="50">
        <v>560.5</v>
      </c>
      <c r="AG360" t="s">
        <v>224</v>
      </c>
      <c r="AH360" t="s">
        <v>2293</v>
      </c>
      <c r="AI360" t="s">
        <v>224</v>
      </c>
      <c r="AJ360">
        <v>0</v>
      </c>
    </row>
    <row r="361" spans="1:36">
      <c r="A361" t="s">
        <v>978</v>
      </c>
      <c r="B361" t="s">
        <v>979</v>
      </c>
      <c r="C361" s="40">
        <v>46111</v>
      </c>
      <c r="D361" s="19">
        <f t="shared" si="30"/>
        <v>46109</v>
      </c>
      <c r="E361" s="17" t="s">
        <v>3586</v>
      </c>
      <c r="F361">
        <f t="shared" si="31"/>
        <v>0</v>
      </c>
      <c r="H361" t="s">
        <v>2210</v>
      </c>
      <c r="I361" s="50">
        <v>99</v>
      </c>
      <c r="J361" s="61">
        <v>95.6</v>
      </c>
      <c r="K361" s="61">
        <v>112.5</v>
      </c>
      <c r="L361">
        <v>791920800</v>
      </c>
      <c r="M361">
        <v>3.45</v>
      </c>
      <c r="N361">
        <v>1073.3699999999999</v>
      </c>
      <c r="O361">
        <f t="shared" si="32"/>
        <v>1</v>
      </c>
      <c r="P361">
        <v>0</v>
      </c>
      <c r="Q361" t="s">
        <v>2163</v>
      </c>
      <c r="R361">
        <f t="shared" si="33"/>
        <v>11</v>
      </c>
      <c r="U361">
        <v>-118.376895473077</v>
      </c>
      <c r="V361" s="17">
        <f t="shared" si="34"/>
        <v>140.51038887538766</v>
      </c>
      <c r="Y361" s="72" t="str">
        <f>[1]!wss(AB361,"sec_status","cols=1;rows=1")</f>
        <v>L</v>
      </c>
      <c r="AB361" t="str">
        <f t="shared" si="35"/>
        <v>2526.HK</v>
      </c>
      <c r="AC361" s="50">
        <v>209.6</v>
      </c>
      <c r="AD361" s="50">
        <v>219</v>
      </c>
      <c r="AE361" s="50">
        <v>226</v>
      </c>
      <c r="AF361" s="50">
        <v>191</v>
      </c>
      <c r="AG361" t="s">
        <v>224</v>
      </c>
      <c r="AH361" t="s">
        <v>2293</v>
      </c>
      <c r="AI361" t="s">
        <v>224</v>
      </c>
      <c r="AJ361">
        <v>0</v>
      </c>
    </row>
    <row r="362" spans="1:36">
      <c r="A362" t="s">
        <v>980</v>
      </c>
      <c r="B362" t="s">
        <v>981</v>
      </c>
      <c r="C362" s="40">
        <v>45880</v>
      </c>
      <c r="D362" s="19">
        <f t="shared" si="30"/>
        <v>45878</v>
      </c>
      <c r="E362" s="17" t="s">
        <v>3586</v>
      </c>
      <c r="F362">
        <f t="shared" si="31"/>
        <v>0</v>
      </c>
      <c r="H362" t="s">
        <v>2227</v>
      </c>
      <c r="I362" s="50">
        <v>12.9</v>
      </c>
      <c r="J362" s="61">
        <v>12.9</v>
      </c>
      <c r="K362" s="61">
        <v>15.5</v>
      </c>
      <c r="L362">
        <v>431409540</v>
      </c>
      <c r="M362">
        <v>0.99</v>
      </c>
      <c r="N362">
        <v>4007.64</v>
      </c>
      <c r="O362">
        <f t="shared" si="32"/>
        <v>1</v>
      </c>
      <c r="P362">
        <v>0</v>
      </c>
      <c r="Q362" t="s">
        <v>1996</v>
      </c>
      <c r="R362">
        <f t="shared" si="33"/>
        <v>8</v>
      </c>
      <c r="U362">
        <v>-18.1667629772476</v>
      </c>
      <c r="V362" s="17">
        <f t="shared" si="34"/>
        <v>64.729550468049823</v>
      </c>
      <c r="X362">
        <v>6</v>
      </c>
      <c r="Y362" s="72" t="str">
        <f>[1]!wss(AB362,"sec_status","cols=1;rows=1")</f>
        <v>L</v>
      </c>
      <c r="AB362" t="str">
        <f t="shared" si="35"/>
        <v>2627.HK</v>
      </c>
      <c r="AC362" s="50">
        <v>33.28</v>
      </c>
      <c r="AD362" s="50">
        <v>33</v>
      </c>
      <c r="AE362" s="50">
        <v>34.799999999999997</v>
      </c>
      <c r="AF362" s="50">
        <v>33</v>
      </c>
      <c r="AG362" t="s">
        <v>224</v>
      </c>
      <c r="AH362" t="s">
        <v>2293</v>
      </c>
      <c r="AI362" t="s">
        <v>224</v>
      </c>
      <c r="AJ362">
        <v>0</v>
      </c>
    </row>
    <row r="363" spans="1:36">
      <c r="A363" t="s">
        <v>982</v>
      </c>
      <c r="B363" t="s">
        <v>983</v>
      </c>
      <c r="C363" s="40">
        <v>46030</v>
      </c>
      <c r="D363" s="19">
        <f t="shared" si="30"/>
        <v>46028</v>
      </c>
      <c r="E363" s="17" t="s">
        <v>3586</v>
      </c>
      <c r="F363">
        <f t="shared" si="31"/>
        <v>0</v>
      </c>
      <c r="H363" t="s">
        <v>2210</v>
      </c>
      <c r="I363" s="50">
        <v>43.24</v>
      </c>
      <c r="J363" s="61">
        <v>43.24</v>
      </c>
      <c r="K363" s="61">
        <v>43.24</v>
      </c>
      <c r="L363">
        <v>1378512820</v>
      </c>
      <c r="M363">
        <v>25.18</v>
      </c>
      <c r="N363">
        <v>1091.94</v>
      </c>
      <c r="O363">
        <f t="shared" si="32"/>
        <v>1</v>
      </c>
      <c r="P363">
        <v>1.726</v>
      </c>
      <c r="Q363" t="s">
        <v>2151</v>
      </c>
      <c r="R363">
        <f t="shared" si="33"/>
        <v>5</v>
      </c>
      <c r="U363">
        <v>-71.050439778888403</v>
      </c>
      <c r="V363" s="17">
        <f t="shared" si="34"/>
        <v>140.51038887538766</v>
      </c>
      <c r="X363">
        <v>12</v>
      </c>
      <c r="Y363" s="72" t="str">
        <f>[1]!wss(AB363,"sec_status","cols=1;rows=1")</f>
        <v>L</v>
      </c>
      <c r="AB363" t="str">
        <f t="shared" si="35"/>
        <v>2675.HK</v>
      </c>
      <c r="AC363" s="50">
        <v>56.6</v>
      </c>
      <c r="AD363" s="50">
        <v>59</v>
      </c>
      <c r="AE363" s="50">
        <v>60</v>
      </c>
      <c r="AF363" s="50">
        <v>48</v>
      </c>
      <c r="AG363" t="s">
        <v>224</v>
      </c>
      <c r="AH363" t="s">
        <v>2293</v>
      </c>
      <c r="AI363" t="s">
        <v>224</v>
      </c>
      <c r="AJ363">
        <v>0</v>
      </c>
    </row>
    <row r="364" spans="1:36" ht="25.5">
      <c r="A364" t="s">
        <v>984</v>
      </c>
      <c r="B364" t="s">
        <v>985</v>
      </c>
      <c r="C364" s="40">
        <v>45205</v>
      </c>
      <c r="D364" s="19">
        <f t="shared" si="30"/>
        <v>45203</v>
      </c>
      <c r="E364" s="17" t="s">
        <v>3583</v>
      </c>
      <c r="F364">
        <f t="shared" si="31"/>
        <v>0</v>
      </c>
      <c r="H364" t="s">
        <v>2229</v>
      </c>
      <c r="I364" s="50">
        <v>6.5</v>
      </c>
      <c r="J364" s="61">
        <v>5.8</v>
      </c>
      <c r="K364" s="61">
        <v>11.4</v>
      </c>
      <c r="L364">
        <v>1126177000</v>
      </c>
      <c r="M364">
        <v>1.28</v>
      </c>
      <c r="N364">
        <v>0.26</v>
      </c>
      <c r="O364">
        <f t="shared" si="32"/>
        <v>0</v>
      </c>
      <c r="P364">
        <v>0</v>
      </c>
      <c r="Q364" t="s">
        <v>1768</v>
      </c>
      <c r="R364">
        <f t="shared" si="33"/>
        <v>16</v>
      </c>
      <c r="U364">
        <v>7.1947492737925201</v>
      </c>
      <c r="V364" s="17">
        <f t="shared" si="34"/>
        <v>5.8314448244687904</v>
      </c>
      <c r="X364">
        <v>6</v>
      </c>
      <c r="Y364" s="72" t="str">
        <f>[1]!wss(AB364,"sec_status","cols=1;rows=1")</f>
        <v>L</v>
      </c>
      <c r="AB364" t="str">
        <f t="shared" si="35"/>
        <v>1973.HK</v>
      </c>
      <c r="AC364" s="50">
        <v>4.88</v>
      </c>
      <c r="AD364" s="50">
        <v>5.39</v>
      </c>
      <c r="AE364" s="50">
        <v>5.52</v>
      </c>
      <c r="AF364" s="50">
        <v>4.49</v>
      </c>
      <c r="AG364" t="s">
        <v>224</v>
      </c>
      <c r="AH364" t="s">
        <v>2293</v>
      </c>
      <c r="AI364" t="s">
        <v>224</v>
      </c>
      <c r="AJ364">
        <v>0</v>
      </c>
    </row>
    <row r="365" spans="1:36">
      <c r="A365" t="s">
        <v>986</v>
      </c>
      <c r="B365" t="s">
        <v>987</v>
      </c>
      <c r="C365" s="40">
        <v>44844</v>
      </c>
      <c r="D365" s="19">
        <f t="shared" si="30"/>
        <v>44842</v>
      </c>
      <c r="E365" s="17" t="s">
        <v>3586</v>
      </c>
      <c r="F365">
        <f t="shared" si="31"/>
        <v>0</v>
      </c>
      <c r="H365" t="s">
        <v>2210</v>
      </c>
      <c r="I365" s="50">
        <v>27.8</v>
      </c>
      <c r="J365" s="61">
        <v>26.7</v>
      </c>
      <c r="K365" s="61">
        <v>28.8</v>
      </c>
      <c r="L365">
        <v>224523920</v>
      </c>
      <c r="M365">
        <v>1.19</v>
      </c>
      <c r="N365">
        <v>1.52</v>
      </c>
      <c r="O365">
        <f t="shared" si="32"/>
        <v>0</v>
      </c>
      <c r="P365">
        <v>0</v>
      </c>
      <c r="Q365" t="s">
        <v>2004</v>
      </c>
      <c r="R365">
        <f t="shared" si="33"/>
        <v>10</v>
      </c>
      <c r="U365">
        <v>-18.944235942537802</v>
      </c>
      <c r="V365" s="17">
        <f t="shared" si="34"/>
        <v>140.51038887538766</v>
      </c>
      <c r="X365">
        <v>6</v>
      </c>
      <c r="Y365" s="72" t="str">
        <f>[1]!wss(AB365,"sec_status","cols=1;rows=1")</f>
        <v>L</v>
      </c>
      <c r="AB365" t="str">
        <f t="shared" si="35"/>
        <v>9877.HK</v>
      </c>
      <c r="AC365" s="50">
        <v>28.25</v>
      </c>
      <c r="AD365" s="50">
        <v>28</v>
      </c>
      <c r="AE365" s="50">
        <v>30.5</v>
      </c>
      <c r="AF365" s="50">
        <v>27.8</v>
      </c>
      <c r="AG365" t="s">
        <v>224</v>
      </c>
      <c r="AH365" t="s">
        <v>2293</v>
      </c>
      <c r="AI365" t="s">
        <v>224</v>
      </c>
      <c r="AJ365">
        <v>0</v>
      </c>
    </row>
    <row r="366" spans="1:36">
      <c r="A366" t="s">
        <v>988</v>
      </c>
      <c r="B366" t="s">
        <v>989</v>
      </c>
      <c r="C366" s="40">
        <v>45541</v>
      </c>
      <c r="D366" s="19">
        <f t="shared" si="30"/>
        <v>45539</v>
      </c>
      <c r="E366" s="17" t="s">
        <v>3588</v>
      </c>
      <c r="F366">
        <f t="shared" si="31"/>
        <v>0</v>
      </c>
      <c r="H366" t="s">
        <v>2269</v>
      </c>
      <c r="I366" s="50">
        <v>9.9</v>
      </c>
      <c r="J366" s="61">
        <v>8.6</v>
      </c>
      <c r="K366" s="61">
        <v>10.4</v>
      </c>
      <c r="L366">
        <v>100772100</v>
      </c>
      <c r="M366">
        <v>1.03</v>
      </c>
      <c r="N366">
        <v>14.33</v>
      </c>
      <c r="O366">
        <f t="shared" si="32"/>
        <v>0</v>
      </c>
      <c r="P366">
        <v>0</v>
      </c>
      <c r="Q366" t="s">
        <v>1443</v>
      </c>
      <c r="R366">
        <f t="shared" si="33"/>
        <v>6</v>
      </c>
      <c r="U366">
        <v>22.9664003291082</v>
      </c>
      <c r="V366" s="17">
        <f t="shared" si="34"/>
        <v>14.22103987321017</v>
      </c>
      <c r="Y366" s="72" t="str">
        <f>[1]!wss(AB366,"sec_status","cols=1;rows=1")</f>
        <v>L</v>
      </c>
      <c r="AB366" t="str">
        <f t="shared" si="35"/>
        <v>8629.HK</v>
      </c>
      <c r="AC366" s="50">
        <v>9.5</v>
      </c>
      <c r="AD366" s="50">
        <v>12.1</v>
      </c>
      <c r="AE366" s="50">
        <v>12.88</v>
      </c>
      <c r="AF366" s="50">
        <v>9.5</v>
      </c>
      <c r="AG366" t="s">
        <v>898</v>
      </c>
      <c r="AH366" t="s">
        <v>2293</v>
      </c>
      <c r="AI366" t="s">
        <v>898</v>
      </c>
      <c r="AJ366">
        <v>0</v>
      </c>
    </row>
    <row r="367" spans="1:36">
      <c r="A367" t="s">
        <v>990</v>
      </c>
      <c r="B367" t="s">
        <v>991</v>
      </c>
      <c r="C367" s="40">
        <v>44925</v>
      </c>
      <c r="D367" s="19">
        <f t="shared" si="30"/>
        <v>44923</v>
      </c>
      <c r="E367" s="17" t="s">
        <v>3586</v>
      </c>
      <c r="F367">
        <f t="shared" si="31"/>
        <v>0</v>
      </c>
      <c r="H367" t="s">
        <v>2210</v>
      </c>
      <c r="I367" s="50">
        <v>18.899999999999999</v>
      </c>
      <c r="J367" s="61">
        <v>18.899999999999999</v>
      </c>
      <c r="K367" s="61">
        <v>18.899999999999999</v>
      </c>
      <c r="L367">
        <v>209979000</v>
      </c>
      <c r="M367">
        <v>1.28</v>
      </c>
      <c r="N367">
        <v>1.95</v>
      </c>
      <c r="O367">
        <f t="shared" si="32"/>
        <v>0</v>
      </c>
      <c r="P367">
        <v>0</v>
      </c>
      <c r="Q367" t="s">
        <v>2098</v>
      </c>
      <c r="R367">
        <f t="shared" si="33"/>
        <v>10</v>
      </c>
      <c r="U367">
        <v>-36.2694801409598</v>
      </c>
      <c r="V367" s="17">
        <f t="shared" si="34"/>
        <v>140.51038887538766</v>
      </c>
      <c r="Y367" s="72" t="str">
        <f>[1]!wss(AB367,"sec_status","cols=1;rows=1")</f>
        <v>L</v>
      </c>
      <c r="AB367" t="str">
        <f t="shared" si="35"/>
        <v>6922.HK</v>
      </c>
      <c r="AC367" s="50">
        <v>17.66</v>
      </c>
      <c r="AD367" s="50">
        <v>18.5</v>
      </c>
      <c r="AE367" s="50">
        <v>18.899999999999999</v>
      </c>
      <c r="AF367" s="50">
        <v>17</v>
      </c>
      <c r="AG367" t="s">
        <v>224</v>
      </c>
      <c r="AH367" t="s">
        <v>2293</v>
      </c>
      <c r="AI367" t="s">
        <v>224</v>
      </c>
      <c r="AJ367">
        <v>0</v>
      </c>
    </row>
    <row r="368" spans="1:36">
      <c r="A368" t="s">
        <v>992</v>
      </c>
      <c r="B368" t="s">
        <v>993</v>
      </c>
      <c r="C368" s="40">
        <v>46140</v>
      </c>
      <c r="D368" s="19">
        <f t="shared" si="30"/>
        <v>46138</v>
      </c>
      <c r="E368" s="17" t="s">
        <v>3587</v>
      </c>
      <c r="F368">
        <f t="shared" si="31"/>
        <v>0</v>
      </c>
      <c r="H368" t="s">
        <v>2236</v>
      </c>
      <c r="I368" s="50">
        <v>183.2</v>
      </c>
      <c r="J368" s="61">
        <v>166.6</v>
      </c>
      <c r="K368" s="61">
        <v>183.2</v>
      </c>
      <c r="L368">
        <v>2527283388</v>
      </c>
      <c r="M368">
        <v>53.83</v>
      </c>
      <c r="N368">
        <v>5784.7</v>
      </c>
      <c r="O368">
        <f t="shared" si="32"/>
        <v>1</v>
      </c>
      <c r="P368">
        <v>0</v>
      </c>
      <c r="Q368" t="s">
        <v>1906</v>
      </c>
      <c r="R368">
        <f t="shared" si="33"/>
        <v>3</v>
      </c>
      <c r="U368">
        <v>-11.336579454379899</v>
      </c>
      <c r="V368" s="17">
        <f t="shared" si="34"/>
        <v>658.92570166864868</v>
      </c>
      <c r="X368">
        <v>6</v>
      </c>
      <c r="Y368" s="72" t="str">
        <f>[1]!wss(AB368,"sec_status","cols=1;rows=1")</f>
        <v>L</v>
      </c>
      <c r="AB368" t="str">
        <f t="shared" si="35"/>
        <v>1879.HK</v>
      </c>
      <c r="AC368" s="50">
        <v>886</v>
      </c>
      <c r="AD368" s="50">
        <v>880</v>
      </c>
      <c r="AE368" s="50">
        <v>996</v>
      </c>
      <c r="AF368" s="50">
        <v>807</v>
      </c>
      <c r="AG368" t="s">
        <v>224</v>
      </c>
      <c r="AH368" t="s">
        <v>2293</v>
      </c>
      <c r="AI368" t="s">
        <v>224</v>
      </c>
      <c r="AJ368">
        <v>0</v>
      </c>
    </row>
    <row r="369" spans="1:36">
      <c r="A369" t="s">
        <v>994</v>
      </c>
      <c r="B369" t="s">
        <v>995</v>
      </c>
      <c r="C369" s="40">
        <v>45371</v>
      </c>
      <c r="D369" s="19">
        <f t="shared" si="30"/>
        <v>45369</v>
      </c>
      <c r="E369" s="17" t="s">
        <v>3586</v>
      </c>
      <c r="F369">
        <f t="shared" si="31"/>
        <v>0</v>
      </c>
      <c r="H369" t="s">
        <v>2227</v>
      </c>
      <c r="I369" s="50">
        <v>19.8</v>
      </c>
      <c r="J369" s="61">
        <v>19.8</v>
      </c>
      <c r="K369" s="61">
        <v>20.2</v>
      </c>
      <c r="L369">
        <v>238518720</v>
      </c>
      <c r="M369">
        <v>0.99650000000000005</v>
      </c>
      <c r="N369">
        <v>163.15</v>
      </c>
      <c r="O369">
        <f t="shared" si="32"/>
        <v>1</v>
      </c>
      <c r="P369">
        <v>0</v>
      </c>
      <c r="Q369" t="s">
        <v>1849</v>
      </c>
      <c r="R369">
        <f t="shared" si="33"/>
        <v>12</v>
      </c>
      <c r="U369">
        <v>-7.8477224173597904</v>
      </c>
      <c r="V369" s="17">
        <f t="shared" si="34"/>
        <v>64.729550468049823</v>
      </c>
      <c r="X369">
        <v>6</v>
      </c>
      <c r="Y369" s="72" t="str">
        <f>[1]!wss(AB369,"sec_status","cols=1;rows=1")</f>
        <v>L</v>
      </c>
      <c r="AB369" t="str">
        <f t="shared" si="35"/>
        <v>2509.HK</v>
      </c>
      <c r="AC369" s="50">
        <v>24.5</v>
      </c>
      <c r="AD369" s="50">
        <v>27.4</v>
      </c>
      <c r="AE369" s="50">
        <v>28.2</v>
      </c>
      <c r="AF369" s="50">
        <v>24.5</v>
      </c>
      <c r="AG369" t="s">
        <v>224</v>
      </c>
      <c r="AH369" t="s">
        <v>2293</v>
      </c>
      <c r="AI369" t="s">
        <v>224</v>
      </c>
      <c r="AJ369">
        <v>0</v>
      </c>
    </row>
    <row r="370" spans="1:36">
      <c r="A370" t="s">
        <v>996</v>
      </c>
      <c r="B370" t="s">
        <v>997</v>
      </c>
      <c r="C370" s="40">
        <v>46031</v>
      </c>
      <c r="D370" s="19">
        <f t="shared" si="30"/>
        <v>46029</v>
      </c>
      <c r="E370" s="17" t="s">
        <v>3587</v>
      </c>
      <c r="F370">
        <f t="shared" si="31"/>
        <v>0</v>
      </c>
      <c r="H370" t="s">
        <v>2206</v>
      </c>
      <c r="I370" s="50">
        <v>165</v>
      </c>
      <c r="J370" s="61">
        <v>151</v>
      </c>
      <c r="K370" s="61">
        <v>165</v>
      </c>
      <c r="L370">
        <v>5540244600</v>
      </c>
      <c r="M370">
        <v>36.76</v>
      </c>
      <c r="N370">
        <v>1837.17</v>
      </c>
      <c r="O370">
        <f t="shared" si="32"/>
        <v>1</v>
      </c>
      <c r="P370">
        <v>6.9729000000000001</v>
      </c>
      <c r="Q370" t="s">
        <v>1930</v>
      </c>
      <c r="R370">
        <f t="shared" si="33"/>
        <v>6</v>
      </c>
      <c r="U370">
        <v>-14.1294072521048</v>
      </c>
      <c r="V370" s="17">
        <f t="shared" si="34"/>
        <v>472.70515240668021</v>
      </c>
      <c r="X370">
        <v>6</v>
      </c>
      <c r="Y370" s="51" t="str">
        <f>[1]!wss(AB370,"sec_status","cols=1;rows=1")</f>
        <v/>
      </c>
      <c r="AB370" t="str">
        <f t="shared" si="35"/>
        <v>100.HK</v>
      </c>
      <c r="AC370" s="50">
        <v>345</v>
      </c>
      <c r="AD370" s="50">
        <v>235.4</v>
      </c>
      <c r="AE370" s="50">
        <v>351.8</v>
      </c>
      <c r="AF370" s="50">
        <v>220</v>
      </c>
      <c r="AG370" t="s">
        <v>224</v>
      </c>
      <c r="AI370" t="s">
        <v>224</v>
      </c>
      <c r="AJ370">
        <v>0</v>
      </c>
    </row>
    <row r="371" spans="1:36">
      <c r="A371" t="s">
        <v>998</v>
      </c>
      <c r="B371" t="s">
        <v>999</v>
      </c>
      <c r="C371" s="40">
        <v>45884</v>
      </c>
      <c r="D371" s="19">
        <f t="shared" si="30"/>
        <v>45882</v>
      </c>
      <c r="E371" s="17" t="s">
        <v>3586</v>
      </c>
      <c r="F371">
        <f t="shared" si="31"/>
        <v>0</v>
      </c>
      <c r="H371" t="s">
        <v>2227</v>
      </c>
      <c r="I371" s="50">
        <v>18.68</v>
      </c>
      <c r="J371" s="61">
        <v>18.68</v>
      </c>
      <c r="K371" s="61">
        <v>18.68</v>
      </c>
      <c r="L371">
        <v>682873552</v>
      </c>
      <c r="M371">
        <v>10.67</v>
      </c>
      <c r="N371">
        <v>5341.66</v>
      </c>
      <c r="O371">
        <f t="shared" si="32"/>
        <v>1</v>
      </c>
      <c r="P371">
        <v>0</v>
      </c>
      <c r="Q371" t="s">
        <v>2119</v>
      </c>
      <c r="R371">
        <f t="shared" si="33"/>
        <v>13</v>
      </c>
      <c r="U371">
        <v>-45.235882146819499</v>
      </c>
      <c r="V371" s="17">
        <f t="shared" si="34"/>
        <v>64.729550468049823</v>
      </c>
      <c r="X371">
        <v>9</v>
      </c>
      <c r="Y371" s="72" t="str">
        <f>[1]!wss(AB371,"sec_status","cols=1;rows=1")</f>
        <v>L</v>
      </c>
      <c r="AB371" t="str">
        <f t="shared" si="35"/>
        <v>2591.HK</v>
      </c>
      <c r="AC371" s="50">
        <v>57.25</v>
      </c>
      <c r="AD371" s="50">
        <v>72</v>
      </c>
      <c r="AE371" s="50">
        <v>74</v>
      </c>
      <c r="AF371" s="50">
        <v>49.5</v>
      </c>
      <c r="AG371" t="s">
        <v>224</v>
      </c>
      <c r="AH371" t="s">
        <v>2293</v>
      </c>
      <c r="AI371" t="s">
        <v>224</v>
      </c>
      <c r="AJ371">
        <v>0</v>
      </c>
    </row>
    <row r="372" spans="1:36">
      <c r="A372" t="s">
        <v>1000</v>
      </c>
      <c r="B372" t="s">
        <v>1001</v>
      </c>
      <c r="C372" s="40">
        <v>45106</v>
      </c>
      <c r="D372" s="19">
        <f t="shared" si="30"/>
        <v>45104</v>
      </c>
      <c r="E372" s="17" t="s">
        <v>3586</v>
      </c>
      <c r="F372">
        <f t="shared" si="31"/>
        <v>0</v>
      </c>
      <c r="H372" t="s">
        <v>2227</v>
      </c>
      <c r="I372" s="50">
        <v>12.41</v>
      </c>
      <c r="J372" s="61">
        <v>12.41</v>
      </c>
      <c r="K372" s="61">
        <v>12.41</v>
      </c>
      <c r="L372">
        <v>790864480</v>
      </c>
      <c r="M372">
        <v>1.0900000000000001</v>
      </c>
      <c r="N372">
        <v>5.81</v>
      </c>
      <c r="O372">
        <f t="shared" si="32"/>
        <v>0</v>
      </c>
      <c r="P372">
        <v>0</v>
      </c>
      <c r="Q372" t="s">
        <v>1819</v>
      </c>
      <c r="R372">
        <f t="shared" si="33"/>
        <v>7</v>
      </c>
      <c r="U372">
        <v>-5.5328596445062797</v>
      </c>
      <c r="V372" s="17">
        <f t="shared" si="34"/>
        <v>64.729550468049823</v>
      </c>
      <c r="X372">
        <v>6</v>
      </c>
      <c r="Y372" s="72" t="str">
        <f>[1]!wss(AB372,"sec_status","cols=1;rows=1")</f>
        <v>L</v>
      </c>
      <c r="AB372" t="str">
        <f t="shared" si="35"/>
        <v>2105.HK</v>
      </c>
      <c r="AC372" s="50">
        <v>15</v>
      </c>
      <c r="AD372" s="50">
        <v>12.44</v>
      </c>
      <c r="AE372" s="50">
        <v>15.4</v>
      </c>
      <c r="AF372" s="50">
        <v>12.42</v>
      </c>
      <c r="AG372" t="s">
        <v>224</v>
      </c>
      <c r="AI372" t="s">
        <v>224</v>
      </c>
      <c r="AJ372">
        <v>0</v>
      </c>
    </row>
    <row r="373" spans="1:36">
      <c r="A373" t="s">
        <v>1002</v>
      </c>
      <c r="B373" t="s">
        <v>1003</v>
      </c>
      <c r="C373" s="40">
        <v>45804</v>
      </c>
      <c r="D373" s="19">
        <f t="shared" si="30"/>
        <v>45802</v>
      </c>
      <c r="E373" s="17" t="s">
        <v>3586</v>
      </c>
      <c r="F373">
        <f t="shared" si="31"/>
        <v>0</v>
      </c>
      <c r="H373" t="s">
        <v>2227</v>
      </c>
      <c r="I373" s="50">
        <v>15.6</v>
      </c>
      <c r="J373" s="61">
        <v>15.6</v>
      </c>
      <c r="K373" s="61">
        <v>15.6</v>
      </c>
      <c r="L373">
        <v>300822600</v>
      </c>
      <c r="M373">
        <v>1.1299999999999999</v>
      </c>
      <c r="N373">
        <v>743.78</v>
      </c>
      <c r="O373">
        <f t="shared" si="32"/>
        <v>1</v>
      </c>
      <c r="P373">
        <v>0</v>
      </c>
      <c r="Q373" t="s">
        <v>2012</v>
      </c>
      <c r="R373">
        <f t="shared" si="33"/>
        <v>15</v>
      </c>
      <c r="U373">
        <v>-19.690773593934001</v>
      </c>
      <c r="V373" s="17">
        <f t="shared" si="34"/>
        <v>64.729550468049823</v>
      </c>
      <c r="Y373" s="72" t="str">
        <f>[1]!wss(AB373,"sec_status","cols=1;rows=1")</f>
        <v>L</v>
      </c>
      <c r="AB373" t="str">
        <f t="shared" si="35"/>
        <v>2565.HK</v>
      </c>
      <c r="AC373" s="50">
        <v>11.56</v>
      </c>
      <c r="AD373" s="50">
        <v>13</v>
      </c>
      <c r="AE373" s="50">
        <v>13.5</v>
      </c>
      <c r="AF373" s="50">
        <v>11.22</v>
      </c>
      <c r="AG373" t="s">
        <v>224</v>
      </c>
      <c r="AH373" t="s">
        <v>2293</v>
      </c>
      <c r="AI373" t="s">
        <v>224</v>
      </c>
      <c r="AJ373">
        <v>0</v>
      </c>
    </row>
    <row r="374" spans="1:36">
      <c r="A374" t="s">
        <v>1004</v>
      </c>
      <c r="B374" t="s">
        <v>1005</v>
      </c>
      <c r="C374" s="40">
        <v>45863</v>
      </c>
      <c r="D374" s="19">
        <f t="shared" si="30"/>
        <v>45861</v>
      </c>
      <c r="E374" s="17" t="s">
        <v>3586</v>
      </c>
      <c r="F374">
        <f t="shared" si="31"/>
        <v>0</v>
      </c>
      <c r="H374" t="s">
        <v>2227</v>
      </c>
      <c r="I374" s="50">
        <v>35</v>
      </c>
      <c r="J374" s="61">
        <v>31.6</v>
      </c>
      <c r="K374" s="61">
        <v>35</v>
      </c>
      <c r="L374">
        <v>1483713000</v>
      </c>
      <c r="M374">
        <v>40.78</v>
      </c>
      <c r="N374">
        <v>3494.78</v>
      </c>
      <c r="O374">
        <f t="shared" si="32"/>
        <v>1</v>
      </c>
      <c r="P374">
        <v>1.8380000000000001</v>
      </c>
      <c r="Q374" t="s">
        <v>2019</v>
      </c>
      <c r="R374">
        <f t="shared" si="33"/>
        <v>5</v>
      </c>
      <c r="U374">
        <v>-20.806163459112401</v>
      </c>
      <c r="V374" s="17">
        <f t="shared" si="34"/>
        <v>64.729550468049823</v>
      </c>
      <c r="X374">
        <v>6</v>
      </c>
      <c r="Y374" s="72" t="str">
        <f>[1]!wss(AB374,"sec_status","cols=1;rows=1")</f>
        <v>L</v>
      </c>
      <c r="AB374" t="str">
        <f t="shared" si="35"/>
        <v>9887.HK</v>
      </c>
      <c r="AC374" s="50">
        <v>67.099999999999994</v>
      </c>
      <c r="AD374" s="50">
        <v>72.400000000000006</v>
      </c>
      <c r="AE374" s="50">
        <v>79.599999999999994</v>
      </c>
      <c r="AF374" s="50">
        <v>67.099999999999994</v>
      </c>
      <c r="AG374" t="s">
        <v>224</v>
      </c>
      <c r="AH374" t="s">
        <v>2293</v>
      </c>
      <c r="AI374" t="s">
        <v>224</v>
      </c>
      <c r="AJ374">
        <v>0</v>
      </c>
    </row>
    <row r="375" spans="1:36">
      <c r="A375" t="s">
        <v>1006</v>
      </c>
      <c r="B375" t="s">
        <v>1007</v>
      </c>
      <c r="C375" s="40">
        <v>46001</v>
      </c>
      <c r="D375" s="19">
        <f t="shared" si="30"/>
        <v>45999</v>
      </c>
      <c r="E375" s="17" t="s">
        <v>3586</v>
      </c>
      <c r="F375">
        <f t="shared" si="31"/>
        <v>0</v>
      </c>
      <c r="H375" t="s">
        <v>2223</v>
      </c>
      <c r="I375" s="50">
        <v>26.38</v>
      </c>
      <c r="J375" s="61">
        <v>26.38</v>
      </c>
      <c r="K375" s="61">
        <v>26.38</v>
      </c>
      <c r="L375">
        <v>1000110646</v>
      </c>
      <c r="M375">
        <v>6.59</v>
      </c>
      <c r="N375">
        <v>3526.34</v>
      </c>
      <c r="O375">
        <f t="shared" si="32"/>
        <v>1</v>
      </c>
      <c r="P375">
        <v>0</v>
      </c>
      <c r="Q375" t="s">
        <v>2023</v>
      </c>
      <c r="R375">
        <f t="shared" si="33"/>
        <v>14</v>
      </c>
      <c r="U375">
        <v>-21.851424225814</v>
      </c>
      <c r="V375" s="17">
        <f t="shared" si="34"/>
        <v>89.319918688268459</v>
      </c>
      <c r="X375">
        <v>6</v>
      </c>
      <c r="Y375" s="72" t="str">
        <f>[1]!wss(AB375,"sec_status","cols=1;rows=1")</f>
        <v>L</v>
      </c>
      <c r="AB375" t="str">
        <f t="shared" si="35"/>
        <v>2659.HK</v>
      </c>
      <c r="AC375" s="50">
        <v>63</v>
      </c>
      <c r="AD375" s="50">
        <v>60.5</v>
      </c>
      <c r="AE375" s="50">
        <v>63.15</v>
      </c>
      <c r="AF375" s="50">
        <v>56</v>
      </c>
      <c r="AG375" t="s">
        <v>224</v>
      </c>
      <c r="AH375" t="s">
        <v>2293</v>
      </c>
      <c r="AI375" t="s">
        <v>224</v>
      </c>
      <c r="AJ375">
        <v>0</v>
      </c>
    </row>
    <row r="376" spans="1:36">
      <c r="A376" t="s">
        <v>1008</v>
      </c>
      <c r="B376" t="s">
        <v>1009</v>
      </c>
      <c r="C376" s="40">
        <v>46014</v>
      </c>
      <c r="D376" s="19">
        <f t="shared" si="30"/>
        <v>46012</v>
      </c>
      <c r="E376" s="17" t="s">
        <v>3586</v>
      </c>
      <c r="F376">
        <f t="shared" si="31"/>
        <v>0</v>
      </c>
      <c r="H376" t="s">
        <v>2227</v>
      </c>
      <c r="I376" s="50">
        <v>32</v>
      </c>
      <c r="J376" s="61">
        <v>28</v>
      </c>
      <c r="K376" s="61">
        <v>32</v>
      </c>
      <c r="L376">
        <v>586272000</v>
      </c>
      <c r="M376">
        <v>5.78</v>
      </c>
      <c r="N376">
        <v>3074.09</v>
      </c>
      <c r="O376">
        <f t="shared" si="32"/>
        <v>1</v>
      </c>
      <c r="P376">
        <v>0</v>
      </c>
      <c r="Q376" t="s">
        <v>2093</v>
      </c>
      <c r="R376">
        <f t="shared" si="33"/>
        <v>14</v>
      </c>
      <c r="U376">
        <v>-34.849440824159501</v>
      </c>
      <c r="V376" s="17">
        <f t="shared" si="34"/>
        <v>64.729550468049823</v>
      </c>
      <c r="X376">
        <v>6</v>
      </c>
      <c r="Y376" s="72" t="str">
        <f>[1]!wss(AB376,"sec_status","cols=1;rows=1")</f>
        <v>L</v>
      </c>
      <c r="AB376" t="str">
        <f t="shared" si="35"/>
        <v>3378.HK</v>
      </c>
      <c r="AC376" s="50">
        <v>17.2</v>
      </c>
      <c r="AD376" s="50">
        <v>28.9</v>
      </c>
      <c r="AE376" s="50">
        <v>29.48</v>
      </c>
      <c r="AF376" s="50">
        <v>17.2</v>
      </c>
      <c r="AG376" t="s">
        <v>224</v>
      </c>
      <c r="AH376" t="s">
        <v>2293</v>
      </c>
      <c r="AI376" t="s">
        <v>224</v>
      </c>
      <c r="AJ376">
        <v>0</v>
      </c>
    </row>
    <row r="377" spans="1:36">
      <c r="A377" t="s">
        <v>1010</v>
      </c>
      <c r="B377" t="s">
        <v>1011</v>
      </c>
      <c r="C377" s="40">
        <v>45841</v>
      </c>
      <c r="D377" s="19">
        <f t="shared" si="30"/>
        <v>45839</v>
      </c>
      <c r="E377" s="17" t="s">
        <v>3586</v>
      </c>
      <c r="F377">
        <f t="shared" si="31"/>
        <v>0</v>
      </c>
      <c r="H377" t="s">
        <v>2227</v>
      </c>
      <c r="I377" s="50">
        <v>10.1</v>
      </c>
      <c r="J377" s="61">
        <v>10.1</v>
      </c>
      <c r="K377" s="61">
        <v>10.1</v>
      </c>
      <c r="L377">
        <v>611878200</v>
      </c>
      <c r="M377">
        <v>0.89</v>
      </c>
      <c r="N377">
        <v>78.78</v>
      </c>
      <c r="O377">
        <f t="shared" si="32"/>
        <v>1</v>
      </c>
      <c r="P377">
        <v>0</v>
      </c>
      <c r="Q377" t="s">
        <v>1904</v>
      </c>
      <c r="R377">
        <f t="shared" si="33"/>
        <v>20</v>
      </c>
      <c r="U377">
        <v>-11.010835735050399</v>
      </c>
      <c r="V377" s="17">
        <f t="shared" si="34"/>
        <v>64.729550468049823</v>
      </c>
      <c r="X377">
        <v>6</v>
      </c>
      <c r="Y377" s="72" t="str">
        <f>[1]!wss(AB377,"sec_status","cols=1;rows=1")</f>
        <v>L</v>
      </c>
      <c r="AB377" t="str">
        <f t="shared" si="35"/>
        <v>2592.HK</v>
      </c>
      <c r="AC377" s="50">
        <v>6.2</v>
      </c>
      <c r="AD377" s="50">
        <v>9.5</v>
      </c>
      <c r="AE377" s="50">
        <v>9.74</v>
      </c>
      <c r="AF377" s="50">
        <v>5.6</v>
      </c>
      <c r="AG377" t="s">
        <v>224</v>
      </c>
      <c r="AI377" t="s">
        <v>224</v>
      </c>
      <c r="AJ377">
        <v>0</v>
      </c>
    </row>
    <row r="378" spans="1:36">
      <c r="A378" t="s">
        <v>1012</v>
      </c>
      <c r="B378" t="s">
        <v>1013</v>
      </c>
      <c r="C378" s="40">
        <v>45054</v>
      </c>
      <c r="D378" s="19">
        <f t="shared" si="30"/>
        <v>45052</v>
      </c>
      <c r="E378" s="17" t="s">
        <v>3586</v>
      </c>
      <c r="F378">
        <f t="shared" si="31"/>
        <v>0</v>
      </c>
      <c r="H378" t="s">
        <v>2227</v>
      </c>
      <c r="I378" s="50">
        <v>32.799999999999997</v>
      </c>
      <c r="J378" s="61">
        <v>32.799999999999997</v>
      </c>
      <c r="K378" s="61">
        <v>41.65</v>
      </c>
      <c r="L378">
        <v>340660800</v>
      </c>
      <c r="M378">
        <v>1.33</v>
      </c>
      <c r="N378">
        <v>3.25</v>
      </c>
      <c r="O378">
        <f t="shared" si="32"/>
        <v>0</v>
      </c>
      <c r="P378">
        <v>0</v>
      </c>
      <c r="Q378" t="s">
        <v>1854</v>
      </c>
      <c r="R378">
        <f t="shared" si="33"/>
        <v>17</v>
      </c>
      <c r="U378">
        <v>-8.1794947675338392</v>
      </c>
      <c r="V378" s="17">
        <f t="shared" si="34"/>
        <v>64.729550468049823</v>
      </c>
      <c r="X378">
        <v>6</v>
      </c>
      <c r="Y378" s="72" t="str">
        <f>[1]!wss(AB378,"sec_status","cols=1;rows=1")</f>
        <v>L</v>
      </c>
      <c r="AB378" t="str">
        <f t="shared" si="35"/>
        <v>2480.HK</v>
      </c>
      <c r="AC378" s="50">
        <v>22</v>
      </c>
      <c r="AD378" s="50">
        <v>31.5</v>
      </c>
      <c r="AE378" s="50">
        <v>31.6</v>
      </c>
      <c r="AF378" s="50">
        <v>22</v>
      </c>
      <c r="AG378" t="s">
        <v>224</v>
      </c>
      <c r="AH378" t="s">
        <v>2293</v>
      </c>
      <c r="AI378" t="s">
        <v>224</v>
      </c>
      <c r="AJ378">
        <v>0</v>
      </c>
    </row>
    <row r="379" spans="1:36">
      <c r="A379" t="s">
        <v>1014</v>
      </c>
      <c r="B379" t="s">
        <v>1015</v>
      </c>
      <c r="C379" s="40">
        <v>45831</v>
      </c>
      <c r="D379" s="19">
        <f t="shared" si="30"/>
        <v>45829</v>
      </c>
      <c r="E379" s="17" t="s">
        <v>3586</v>
      </c>
      <c r="F379">
        <f t="shared" si="31"/>
        <v>0</v>
      </c>
      <c r="H379" t="s">
        <v>2227</v>
      </c>
      <c r="I379" s="50">
        <v>13.15</v>
      </c>
      <c r="J379" s="61">
        <v>13.15</v>
      </c>
      <c r="K379" s="61">
        <v>13.15</v>
      </c>
      <c r="L379">
        <v>200945150</v>
      </c>
      <c r="M379">
        <v>0.97</v>
      </c>
      <c r="N379">
        <v>3419.87</v>
      </c>
      <c r="O379">
        <f t="shared" si="32"/>
        <v>1</v>
      </c>
      <c r="P379">
        <v>0</v>
      </c>
      <c r="Q379" t="s">
        <v>1986</v>
      </c>
      <c r="R379">
        <f t="shared" si="33"/>
        <v>7</v>
      </c>
      <c r="U379">
        <v>-17.600202306662698</v>
      </c>
      <c r="V379" s="17">
        <f t="shared" si="34"/>
        <v>64.729550468049823</v>
      </c>
      <c r="X379">
        <v>6</v>
      </c>
      <c r="Y379" s="72" t="str">
        <f>[1]!wss(AB379,"sec_status","cols=1;rows=1")</f>
        <v>L</v>
      </c>
      <c r="AB379" t="str">
        <f t="shared" si="35"/>
        <v>2617.HK</v>
      </c>
      <c r="AC379" s="50">
        <v>23.5</v>
      </c>
      <c r="AD379" s="50">
        <v>21.65</v>
      </c>
      <c r="AE379" s="50">
        <v>24</v>
      </c>
      <c r="AF379" s="50">
        <v>20.2</v>
      </c>
      <c r="AG379" t="s">
        <v>224</v>
      </c>
      <c r="AH379" t="s">
        <v>2293</v>
      </c>
      <c r="AI379" t="s">
        <v>224</v>
      </c>
      <c r="AJ379">
        <v>0</v>
      </c>
    </row>
    <row r="380" spans="1:36">
      <c r="A380" t="s">
        <v>1016</v>
      </c>
      <c r="B380" t="s">
        <v>1017</v>
      </c>
      <c r="C380" s="40">
        <v>46013</v>
      </c>
      <c r="D380" s="19">
        <f t="shared" si="30"/>
        <v>46011</v>
      </c>
      <c r="E380" s="17" t="s">
        <v>3586</v>
      </c>
      <c r="F380">
        <f t="shared" si="31"/>
        <v>0</v>
      </c>
      <c r="H380" t="s">
        <v>2227</v>
      </c>
      <c r="I380" s="50">
        <v>38.200000000000003</v>
      </c>
      <c r="J380" s="61">
        <v>38.200000000000003</v>
      </c>
      <c r="K380" s="61">
        <v>51</v>
      </c>
      <c r="L380">
        <v>674184160</v>
      </c>
      <c r="M380">
        <v>6.05</v>
      </c>
      <c r="N380">
        <v>791.95</v>
      </c>
      <c r="O380">
        <f t="shared" si="32"/>
        <v>1</v>
      </c>
      <c r="P380">
        <v>0</v>
      </c>
      <c r="Q380" t="s">
        <v>2011</v>
      </c>
      <c r="R380">
        <f t="shared" si="33"/>
        <v>15</v>
      </c>
      <c r="U380">
        <v>-19.609436220984801</v>
      </c>
      <c r="V380" s="17">
        <f t="shared" si="34"/>
        <v>64.729550468049823</v>
      </c>
      <c r="Y380" s="72" t="str">
        <f>[1]!wss(AB380,"sec_status","cols=1;rows=1")</f>
        <v>L</v>
      </c>
      <c r="AB380" t="str">
        <f t="shared" si="35"/>
        <v>2396.HK</v>
      </c>
      <c r="AC380" s="50">
        <v>27</v>
      </c>
      <c r="AD380" s="50">
        <v>33.799999999999997</v>
      </c>
      <c r="AE380" s="50">
        <v>37.200000000000003</v>
      </c>
      <c r="AF380" s="50">
        <v>27</v>
      </c>
      <c r="AG380" t="s">
        <v>224</v>
      </c>
      <c r="AH380" t="s">
        <v>2293</v>
      </c>
      <c r="AI380" t="s">
        <v>224</v>
      </c>
      <c r="AJ380">
        <v>0</v>
      </c>
    </row>
    <row r="381" spans="1:36">
      <c r="A381" t="s">
        <v>1018</v>
      </c>
      <c r="B381" t="s">
        <v>1019</v>
      </c>
      <c r="C381" s="40">
        <v>45174</v>
      </c>
      <c r="D381" s="19">
        <f t="shared" si="30"/>
        <v>45172</v>
      </c>
      <c r="E381" s="17" t="s">
        <v>3586</v>
      </c>
      <c r="F381">
        <f t="shared" si="31"/>
        <v>0</v>
      </c>
      <c r="H381" t="s">
        <v>2227</v>
      </c>
      <c r="I381" s="50">
        <v>18.600000000000001</v>
      </c>
      <c r="J381" s="61">
        <v>18.600000000000001</v>
      </c>
      <c r="K381" s="61">
        <v>18.600000000000001</v>
      </c>
      <c r="L381">
        <v>336009000</v>
      </c>
      <c r="M381">
        <v>1.06</v>
      </c>
      <c r="N381">
        <v>9.98</v>
      </c>
      <c r="O381">
        <f t="shared" si="32"/>
        <v>0</v>
      </c>
      <c r="P381">
        <v>0.16830000000000001</v>
      </c>
      <c r="Q381" t="s">
        <v>1957</v>
      </c>
      <c r="R381">
        <f t="shared" si="33"/>
        <v>8</v>
      </c>
      <c r="U381">
        <v>-15.3919254660623</v>
      </c>
      <c r="V381" s="17">
        <f t="shared" si="34"/>
        <v>64.729550468049823</v>
      </c>
      <c r="X381">
        <v>6</v>
      </c>
      <c r="Y381" s="72" t="str">
        <f>[1]!wss(AB381,"sec_status","cols=1;rows=1")</f>
        <v>L</v>
      </c>
      <c r="AB381" t="str">
        <f t="shared" si="35"/>
        <v>1541.HK</v>
      </c>
      <c r="AC381" s="50">
        <v>19.52</v>
      </c>
      <c r="AD381" s="50">
        <v>21.2</v>
      </c>
      <c r="AE381" s="50">
        <v>22</v>
      </c>
      <c r="AF381" s="50">
        <v>19.3</v>
      </c>
      <c r="AG381" t="s">
        <v>224</v>
      </c>
      <c r="AH381" t="s">
        <v>2293</v>
      </c>
      <c r="AI381" t="s">
        <v>224</v>
      </c>
      <c r="AJ381">
        <v>0</v>
      </c>
    </row>
    <row r="382" spans="1:36">
      <c r="A382" t="s">
        <v>1020</v>
      </c>
      <c r="B382" t="s">
        <v>1021</v>
      </c>
      <c r="C382" s="40">
        <v>45436</v>
      </c>
      <c r="D382" s="19">
        <f t="shared" si="30"/>
        <v>45434</v>
      </c>
      <c r="E382" s="17" t="s">
        <v>3586</v>
      </c>
      <c r="F382">
        <f t="shared" si="31"/>
        <v>0</v>
      </c>
      <c r="H382" t="s">
        <v>2227</v>
      </c>
      <c r="I382" s="50">
        <v>13.5</v>
      </c>
      <c r="J382" s="61">
        <v>13.5</v>
      </c>
      <c r="K382" s="61">
        <v>13.5</v>
      </c>
      <c r="L382">
        <v>461049300</v>
      </c>
      <c r="M382">
        <v>1.27</v>
      </c>
      <c r="N382">
        <v>10.08</v>
      </c>
      <c r="O382">
        <f t="shared" si="32"/>
        <v>0</v>
      </c>
      <c r="P382">
        <v>0</v>
      </c>
      <c r="Q382" t="s">
        <v>1934</v>
      </c>
      <c r="R382">
        <f t="shared" si="33"/>
        <v>9</v>
      </c>
      <c r="U382">
        <v>-14.4434249266848</v>
      </c>
      <c r="V382" s="17">
        <f t="shared" si="34"/>
        <v>64.729550468049823</v>
      </c>
      <c r="X382">
        <v>6</v>
      </c>
      <c r="Y382" s="72" t="str">
        <f>[1]!wss(AB382,"sec_status","cols=1;rows=1")</f>
        <v>L</v>
      </c>
      <c r="AB382" t="str">
        <f t="shared" si="35"/>
        <v>2898.HK</v>
      </c>
      <c r="AC382" s="50">
        <v>14.52</v>
      </c>
      <c r="AD382" s="50">
        <v>14.46</v>
      </c>
      <c r="AE382" s="50">
        <v>15.42</v>
      </c>
      <c r="AF382" s="50">
        <v>14.1</v>
      </c>
      <c r="AG382" t="s">
        <v>224</v>
      </c>
      <c r="AI382" t="s">
        <v>224</v>
      </c>
      <c r="AJ382">
        <v>0</v>
      </c>
    </row>
    <row r="383" spans="1:36">
      <c r="A383" t="s">
        <v>1022</v>
      </c>
      <c r="B383" t="s">
        <v>1023</v>
      </c>
      <c r="C383" s="40">
        <v>46031</v>
      </c>
      <c r="D383" s="19">
        <f t="shared" si="30"/>
        <v>46029</v>
      </c>
      <c r="E383" s="17" t="s">
        <v>3586</v>
      </c>
      <c r="F383">
        <f t="shared" si="31"/>
        <v>0</v>
      </c>
      <c r="H383" t="s">
        <v>2227</v>
      </c>
      <c r="I383" s="50">
        <v>57.97</v>
      </c>
      <c r="J383" s="61">
        <v>57.97</v>
      </c>
      <c r="K383" s="61">
        <v>57.97</v>
      </c>
      <c r="L383">
        <v>2107313846</v>
      </c>
      <c r="M383">
        <v>16.7</v>
      </c>
      <c r="N383">
        <v>101.06</v>
      </c>
      <c r="O383">
        <f t="shared" si="32"/>
        <v>1</v>
      </c>
      <c r="P383">
        <v>2.6246999999999998</v>
      </c>
      <c r="Q383" t="s">
        <v>2082</v>
      </c>
      <c r="R383">
        <f t="shared" si="33"/>
        <v>10</v>
      </c>
      <c r="U383">
        <v>-32.949314213677503</v>
      </c>
      <c r="V383" s="17">
        <f t="shared" si="34"/>
        <v>64.729550468049823</v>
      </c>
      <c r="X383">
        <v>6</v>
      </c>
      <c r="Y383" s="72" t="str">
        <f>[1]!wss(AB383,"sec_status","cols=1;rows=1")</f>
        <v>L</v>
      </c>
      <c r="AB383" t="str">
        <f t="shared" si="35"/>
        <v>6938.HK</v>
      </c>
      <c r="AC383" s="50">
        <v>82.1</v>
      </c>
      <c r="AD383" s="50">
        <v>75</v>
      </c>
      <c r="AE383" s="50">
        <v>87</v>
      </c>
      <c r="AF383" s="50">
        <v>65.900000000000006</v>
      </c>
      <c r="AG383" t="s">
        <v>224</v>
      </c>
      <c r="AH383" t="s">
        <v>2293</v>
      </c>
      <c r="AI383" t="s">
        <v>224</v>
      </c>
      <c r="AJ383">
        <v>0</v>
      </c>
    </row>
    <row r="384" spans="1:36">
      <c r="A384" t="s">
        <v>1024</v>
      </c>
      <c r="B384" t="s">
        <v>1025</v>
      </c>
      <c r="C384" s="40">
        <v>45282</v>
      </c>
      <c r="D384" s="19">
        <f t="shared" si="30"/>
        <v>45280</v>
      </c>
      <c r="E384" s="17" t="s">
        <v>3586</v>
      </c>
      <c r="F384">
        <f t="shared" si="31"/>
        <v>0</v>
      </c>
      <c r="H384" t="s">
        <v>2223</v>
      </c>
      <c r="I384" s="50">
        <v>11.5</v>
      </c>
      <c r="J384" s="61">
        <v>11.5</v>
      </c>
      <c r="K384" s="61">
        <v>11.5</v>
      </c>
      <c r="L384">
        <v>278231000</v>
      </c>
      <c r="M384">
        <v>1.25</v>
      </c>
      <c r="N384">
        <v>32.22</v>
      </c>
      <c r="O384">
        <f t="shared" si="32"/>
        <v>1</v>
      </c>
      <c r="P384">
        <v>0</v>
      </c>
      <c r="Q384" t="s">
        <v>2058</v>
      </c>
      <c r="R384">
        <f t="shared" si="33"/>
        <v>13</v>
      </c>
      <c r="U384">
        <v>-27.797093824808702</v>
      </c>
      <c r="V384" s="17">
        <f t="shared" si="34"/>
        <v>89.319918688268459</v>
      </c>
      <c r="X384">
        <v>12</v>
      </c>
      <c r="Y384" s="72" t="str">
        <f>[1]!wss(AB384,"sec_status","cols=1;rows=1")</f>
        <v>L</v>
      </c>
      <c r="AB384" t="str">
        <f t="shared" si="35"/>
        <v>2511.HK</v>
      </c>
      <c r="AC384" s="50">
        <v>12.38</v>
      </c>
      <c r="AD384" s="50">
        <v>11.92</v>
      </c>
      <c r="AE384" s="50">
        <v>12.68</v>
      </c>
      <c r="AF384" s="50">
        <v>11.92</v>
      </c>
      <c r="AG384" t="s">
        <v>224</v>
      </c>
      <c r="AI384" t="s">
        <v>224</v>
      </c>
      <c r="AJ384">
        <v>0</v>
      </c>
    </row>
    <row r="385" spans="1:36">
      <c r="A385" t="s">
        <v>1026</v>
      </c>
      <c r="B385" t="s">
        <v>1027</v>
      </c>
      <c r="C385" s="40">
        <v>45945</v>
      </c>
      <c r="D385" s="19">
        <f t="shared" si="30"/>
        <v>45943</v>
      </c>
      <c r="E385" s="17" t="s">
        <v>3586</v>
      </c>
      <c r="F385">
        <f t="shared" si="31"/>
        <v>0</v>
      </c>
      <c r="H385" t="s">
        <v>2227</v>
      </c>
      <c r="I385" s="50">
        <v>11.6</v>
      </c>
      <c r="J385" s="61">
        <v>11.6</v>
      </c>
      <c r="K385" s="61">
        <v>11.6</v>
      </c>
      <c r="L385">
        <v>781068600</v>
      </c>
      <c r="M385">
        <v>10.15</v>
      </c>
      <c r="N385">
        <v>4908.33</v>
      </c>
      <c r="O385">
        <f t="shared" si="32"/>
        <v>1</v>
      </c>
      <c r="P385">
        <v>0</v>
      </c>
      <c r="Q385" t="s">
        <v>1096</v>
      </c>
      <c r="R385">
        <f t="shared" si="33"/>
        <v>2</v>
      </c>
      <c r="U385">
        <v>-9.9991522902046199</v>
      </c>
      <c r="V385" s="17">
        <f t="shared" si="34"/>
        <v>64.729550468049823</v>
      </c>
      <c r="X385">
        <v>6</v>
      </c>
      <c r="Y385" s="72" t="str">
        <f>[1]!wss(AB385,"sec_status","cols=1;rows=1")</f>
        <v>L</v>
      </c>
      <c r="AB385" t="str">
        <f t="shared" si="35"/>
        <v>2575.HK</v>
      </c>
      <c r="AC385" s="50">
        <v>26.3</v>
      </c>
      <c r="AD385" s="50">
        <v>29.46</v>
      </c>
      <c r="AE385" s="50">
        <v>31</v>
      </c>
      <c r="AF385" s="50">
        <v>26.3</v>
      </c>
      <c r="AG385" t="s">
        <v>224</v>
      </c>
      <c r="AH385" t="s">
        <v>2293</v>
      </c>
      <c r="AI385" t="s">
        <v>224</v>
      </c>
      <c r="AJ385">
        <v>0</v>
      </c>
    </row>
    <row r="386" spans="1:36">
      <c r="A386" t="s">
        <v>1028</v>
      </c>
      <c r="B386" t="s">
        <v>1029</v>
      </c>
      <c r="C386" s="40">
        <v>45194</v>
      </c>
      <c r="D386" s="19">
        <f t="shared" si="30"/>
        <v>45192</v>
      </c>
      <c r="E386" s="17" t="s">
        <v>3586</v>
      </c>
      <c r="F386">
        <f t="shared" si="31"/>
        <v>0</v>
      </c>
      <c r="H386" t="s">
        <v>2227</v>
      </c>
      <c r="I386" s="50">
        <v>16</v>
      </c>
      <c r="J386" s="61">
        <v>16</v>
      </c>
      <c r="K386" s="61">
        <v>20</v>
      </c>
      <c r="L386">
        <v>189587200</v>
      </c>
      <c r="M386">
        <v>1.57</v>
      </c>
      <c r="N386">
        <v>13.81</v>
      </c>
      <c r="O386">
        <f t="shared" si="32"/>
        <v>0</v>
      </c>
      <c r="P386">
        <v>0.12920000000000001</v>
      </c>
      <c r="Q386" t="s">
        <v>1936</v>
      </c>
      <c r="R386">
        <f t="shared" si="33"/>
        <v>8</v>
      </c>
      <c r="U386">
        <v>-14.605248751940501</v>
      </c>
      <c r="V386" s="17">
        <f t="shared" si="34"/>
        <v>64.729550468049823</v>
      </c>
      <c r="X386">
        <v>6</v>
      </c>
      <c r="Y386" s="72" t="str">
        <f>[1]!wss(AB386,"sec_status","cols=1;rows=1")</f>
        <v>L</v>
      </c>
      <c r="AB386" t="str">
        <f t="shared" si="35"/>
        <v>2496.HK</v>
      </c>
      <c r="AC386" s="50">
        <v>16</v>
      </c>
      <c r="AD386" s="50">
        <v>16.399999999999999</v>
      </c>
      <c r="AE386" s="50">
        <v>16.8</v>
      </c>
      <c r="AF386" s="50">
        <v>16</v>
      </c>
      <c r="AG386" t="s">
        <v>224</v>
      </c>
      <c r="AH386" t="s">
        <v>2293</v>
      </c>
      <c r="AI386" t="s">
        <v>224</v>
      </c>
      <c r="AJ386">
        <v>0</v>
      </c>
    </row>
    <row r="387" spans="1:36">
      <c r="A387" t="s">
        <v>1030</v>
      </c>
      <c r="B387" t="s">
        <v>1031</v>
      </c>
      <c r="C387" s="40">
        <v>44651</v>
      </c>
      <c r="D387" s="19">
        <f t="shared" si="30"/>
        <v>44649</v>
      </c>
      <c r="E387" s="17" t="s">
        <v>3586</v>
      </c>
      <c r="F387">
        <f t="shared" si="31"/>
        <v>0</v>
      </c>
      <c r="H387" t="s">
        <v>2227</v>
      </c>
      <c r="I387" s="50">
        <v>24.8</v>
      </c>
      <c r="K387" s="61">
        <v>24.8</v>
      </c>
      <c r="L387">
        <v>860882400</v>
      </c>
      <c r="M387">
        <v>1.39</v>
      </c>
      <c r="N387">
        <v>10.65</v>
      </c>
      <c r="O387">
        <f t="shared" si="32"/>
        <v>0</v>
      </c>
      <c r="P387">
        <v>0.91859999999999997</v>
      </c>
      <c r="Q387" t="s">
        <v>1940</v>
      </c>
      <c r="R387">
        <f t="shared" si="33"/>
        <v>10</v>
      </c>
      <c r="U387">
        <v>-14.773614633714599</v>
      </c>
      <c r="V387" s="17">
        <f t="shared" si="34"/>
        <v>64.729550468049823</v>
      </c>
      <c r="X387">
        <v>6</v>
      </c>
      <c r="Y387" s="72" t="str">
        <f>[1]!wss(AB387,"sec_status","cols=1;rows=1")</f>
        <v>L</v>
      </c>
      <c r="AB387" t="str">
        <f t="shared" si="35"/>
        <v>2179.HK</v>
      </c>
      <c r="AC387" s="50">
        <v>25.25</v>
      </c>
      <c r="AD387" s="50">
        <v>25</v>
      </c>
      <c r="AE387" s="50">
        <v>25.8</v>
      </c>
      <c r="AF387" s="50">
        <v>24.5</v>
      </c>
      <c r="AG387" t="s">
        <v>224</v>
      </c>
      <c r="AH387" t="s">
        <v>2293</v>
      </c>
      <c r="AI387" t="s">
        <v>224</v>
      </c>
      <c r="AJ387">
        <v>0</v>
      </c>
    </row>
    <row r="388" spans="1:36" ht="25.5">
      <c r="A388" t="s">
        <v>1032</v>
      </c>
      <c r="B388" t="s">
        <v>1033</v>
      </c>
      <c r="C388" s="40">
        <v>44788</v>
      </c>
      <c r="D388" s="19">
        <f t="shared" ref="D388:D392" si="36">IFERROR(IF(ISNUMBER($C388),$C388-2,DATEVALUE($C388)-2),"")</f>
        <v>44786</v>
      </c>
      <c r="E388" s="17" t="s">
        <v>3583</v>
      </c>
      <c r="F388">
        <f t="shared" ref="F388:F392" si="37">IF(AND(G388&lt;&gt;"",G388&lt;&gt;0),1,0)</f>
        <v>0</v>
      </c>
      <c r="H388" t="s">
        <v>2239</v>
      </c>
      <c r="I388" s="50">
        <v>10</v>
      </c>
      <c r="L388">
        <v>1000500000</v>
      </c>
      <c r="M388">
        <v>0</v>
      </c>
      <c r="N388">
        <v>0</v>
      </c>
      <c r="O388">
        <f t="shared" ref="O388:O392" si="38">IF(IFERROR(N388*1,0)&gt;=15,1,0)</f>
        <v>0</v>
      </c>
      <c r="P388">
        <v>0</v>
      </c>
      <c r="Q388" t="s">
        <v>2189</v>
      </c>
      <c r="R388">
        <f t="shared" ref="R388:R392" si="39">IF(Q388="",0,LEN(Q388)-LEN(SUBSTITUTE(Q388,",",""))+1)</f>
        <v>4</v>
      </c>
      <c r="U388">
        <v>0</v>
      </c>
      <c r="V388" s="17">
        <f t="shared" ref="V388:V392" si="40">IFERROR((SUMIFS($U$3:$U$392,$H$3:$H$392,$H388,$U$3:$U$392,"&gt;0")-IF(IFERROR($U388,0)&gt;0,$U388,0))/(COUNTIFS($H$3:$H$392,$H388,$U$3:$U$392,"&gt;0")-IF(IFERROR($U388,0)&gt;0,1,0)),"")</f>
        <v>28.634595887856236</v>
      </c>
      <c r="Y388" s="72" t="str">
        <f>[1]!wss(AB388,"sec_status","cols=1;rows=1")</f>
        <v>L</v>
      </c>
      <c r="AB388" t="str">
        <f t="shared" ref="AB388:AB392" si="41">IF(LEFT(A388,1)="0",MID(A388,2,99),A388)</f>
        <v>2562.HK</v>
      </c>
      <c r="AC388" s="50">
        <v>10</v>
      </c>
      <c r="AD388" s="50">
        <v>10</v>
      </c>
      <c r="AE388" s="50">
        <v>10</v>
      </c>
      <c r="AF388" s="50">
        <v>10</v>
      </c>
      <c r="AG388" t="s">
        <v>224</v>
      </c>
      <c r="AI388" t="s">
        <v>224</v>
      </c>
      <c r="AJ388">
        <v>0</v>
      </c>
    </row>
    <row r="389" spans="1:36">
      <c r="A389" t="s">
        <v>1034</v>
      </c>
      <c r="B389" t="s">
        <v>1035</v>
      </c>
      <c r="C389" s="40">
        <v>45524</v>
      </c>
      <c r="D389" s="19">
        <f t="shared" si="36"/>
        <v>45522</v>
      </c>
      <c r="E389" s="17" t="s">
        <v>3586</v>
      </c>
      <c r="F389">
        <f t="shared" si="37"/>
        <v>0</v>
      </c>
      <c r="H389" t="s">
        <v>2227</v>
      </c>
      <c r="I389" s="50">
        <v>12.1</v>
      </c>
      <c r="J389" s="61">
        <v>12.1</v>
      </c>
      <c r="K389" s="61">
        <v>12.1</v>
      </c>
      <c r="L389">
        <v>579348000</v>
      </c>
      <c r="M389">
        <v>1.01</v>
      </c>
      <c r="N389">
        <v>2.29</v>
      </c>
      <c r="O389">
        <f t="shared" si="38"/>
        <v>0</v>
      </c>
      <c r="P389">
        <v>0</v>
      </c>
      <c r="Q389" t="s">
        <v>1899</v>
      </c>
      <c r="R389">
        <f t="shared" si="39"/>
        <v>7</v>
      </c>
      <c r="U389">
        <v>-10.632910080497201</v>
      </c>
      <c r="V389" s="17">
        <f t="shared" si="40"/>
        <v>64.729550468049823</v>
      </c>
      <c r="X389">
        <v>6</v>
      </c>
      <c r="Y389" s="72" t="str">
        <f>[1]!wss(AB389,"sec_status","cols=1;rows=1")</f>
        <v>L</v>
      </c>
      <c r="AB389" t="str">
        <f t="shared" si="41"/>
        <v>2410.HK</v>
      </c>
      <c r="AC389" s="50">
        <v>13.7</v>
      </c>
      <c r="AD389" s="50">
        <v>14.48</v>
      </c>
      <c r="AE389" s="50">
        <v>15.96</v>
      </c>
      <c r="AF389" s="50">
        <v>12.86</v>
      </c>
      <c r="AG389" t="s">
        <v>224</v>
      </c>
      <c r="AH389" t="s">
        <v>2293</v>
      </c>
      <c r="AI389" t="s">
        <v>224</v>
      </c>
      <c r="AJ389">
        <v>0</v>
      </c>
    </row>
    <row r="390" spans="1:36">
      <c r="A390" t="s">
        <v>1036</v>
      </c>
      <c r="B390" t="s">
        <v>1037</v>
      </c>
      <c r="C390" s="40">
        <v>45737</v>
      </c>
      <c r="D390" s="19">
        <f t="shared" si="36"/>
        <v>45735</v>
      </c>
      <c r="E390" s="17" t="s">
        <v>3586</v>
      </c>
      <c r="F390">
        <f t="shared" si="37"/>
        <v>0</v>
      </c>
      <c r="H390" t="s">
        <v>2227</v>
      </c>
      <c r="I390" s="50">
        <v>68.8</v>
      </c>
      <c r="J390" s="61">
        <v>68.44</v>
      </c>
      <c r="K390" s="61">
        <v>75.28</v>
      </c>
      <c r="L390">
        <v>783288000</v>
      </c>
      <c r="M390">
        <v>1.65</v>
      </c>
      <c r="N390">
        <v>72.64</v>
      </c>
      <c r="O390">
        <f t="shared" si="38"/>
        <v>1</v>
      </c>
      <c r="P390">
        <v>0</v>
      </c>
      <c r="Q390" t="s">
        <v>2109</v>
      </c>
      <c r="R390">
        <f t="shared" si="39"/>
        <v>8</v>
      </c>
      <c r="U390">
        <v>-39.828674619094002</v>
      </c>
      <c r="V390" s="17">
        <f t="shared" si="40"/>
        <v>64.729550468049823</v>
      </c>
      <c r="X390">
        <v>12</v>
      </c>
      <c r="Y390" s="72" t="str">
        <f>[1]!wss(AB390,"sec_status","cols=1;rows=1")</f>
        <v>L</v>
      </c>
      <c r="AB390" t="str">
        <f t="shared" si="41"/>
        <v>2561.HK</v>
      </c>
      <c r="AC390" s="50">
        <v>68.8</v>
      </c>
      <c r="AD390" s="50">
        <v>68.8</v>
      </c>
      <c r="AE390" s="50">
        <v>69.150000000000006</v>
      </c>
      <c r="AF390" s="50">
        <v>64.8</v>
      </c>
      <c r="AG390" t="s">
        <v>224</v>
      </c>
      <c r="AI390" t="s">
        <v>224</v>
      </c>
      <c r="AJ390">
        <v>0</v>
      </c>
    </row>
    <row r="391" spans="1:36" ht="25.5">
      <c r="A391" t="s">
        <v>1038</v>
      </c>
      <c r="B391" t="s">
        <v>1039</v>
      </c>
      <c r="C391" s="40">
        <v>45897</v>
      </c>
      <c r="D391" s="19">
        <f t="shared" si="36"/>
        <v>45895</v>
      </c>
      <c r="E391" s="17" t="s">
        <v>3583</v>
      </c>
      <c r="F391">
        <f t="shared" si="37"/>
        <v>0</v>
      </c>
      <c r="H391" t="s">
        <v>2217</v>
      </c>
      <c r="I391" s="50">
        <v>10.92</v>
      </c>
      <c r="J391" s="61">
        <v>10.92</v>
      </c>
      <c r="K391" s="61">
        <v>10.92</v>
      </c>
      <c r="L391">
        <v>1378977600</v>
      </c>
      <c r="M391">
        <v>21.11</v>
      </c>
      <c r="N391">
        <v>2041.62</v>
      </c>
      <c r="O391">
        <f t="shared" si="38"/>
        <v>1</v>
      </c>
      <c r="P391">
        <v>1.736</v>
      </c>
      <c r="Q391" t="s">
        <v>2053</v>
      </c>
      <c r="R391">
        <f t="shared" si="39"/>
        <v>8</v>
      </c>
      <c r="U391">
        <v>-27.729539781465</v>
      </c>
      <c r="V391" s="17">
        <f t="shared" si="40"/>
        <v>33.770788959710025</v>
      </c>
      <c r="X391">
        <v>6</v>
      </c>
      <c r="Y391" s="72" t="str">
        <f>[1]!wss(AB391,"sec_status","cols=1;rows=1")</f>
        <v>L</v>
      </c>
      <c r="AB391" t="str">
        <f t="shared" si="41"/>
        <v>3858.HK</v>
      </c>
      <c r="AC391" s="50">
        <v>30.34</v>
      </c>
      <c r="AD391" s="50">
        <v>22.8</v>
      </c>
      <c r="AE391" s="50">
        <v>31.9</v>
      </c>
      <c r="AF391" s="50">
        <v>22.8</v>
      </c>
      <c r="AG391" t="s">
        <v>224</v>
      </c>
      <c r="AI391" t="s">
        <v>224</v>
      </c>
      <c r="AJ391">
        <v>0</v>
      </c>
    </row>
    <row r="392" spans="1:36">
      <c r="A392" t="s">
        <v>1040</v>
      </c>
      <c r="B392" t="s">
        <v>1041</v>
      </c>
      <c r="C392" s="40">
        <v>45940</v>
      </c>
      <c r="D392" s="19">
        <f t="shared" si="36"/>
        <v>45938</v>
      </c>
      <c r="E392" s="17" t="s">
        <v>3588</v>
      </c>
      <c r="F392">
        <f t="shared" si="37"/>
        <v>0</v>
      </c>
      <c r="H392" t="s">
        <v>2269</v>
      </c>
      <c r="I392" s="50">
        <v>0.5</v>
      </c>
      <c r="J392" s="61">
        <v>0.45</v>
      </c>
      <c r="K392" s="61">
        <v>0.65</v>
      </c>
      <c r="L392">
        <v>50000000</v>
      </c>
      <c r="M392">
        <v>1.2</v>
      </c>
      <c r="N392">
        <v>11464.72</v>
      </c>
      <c r="O392">
        <f t="shared" si="38"/>
        <v>1</v>
      </c>
      <c r="P392">
        <v>0</v>
      </c>
      <c r="Q392" t="s">
        <v>1572</v>
      </c>
      <c r="R392">
        <f t="shared" si="39"/>
        <v>9</v>
      </c>
      <c r="U392">
        <v>14.2106011084269</v>
      </c>
      <c r="V392" s="17">
        <f t="shared" si="40"/>
        <v>15.972199717346431</v>
      </c>
      <c r="Y392" s="72" t="str">
        <f>[1]!wss(AB392,"sec_status","cols=1;rows=1")</f>
        <v>L</v>
      </c>
      <c r="AB392" t="str">
        <f t="shared" si="41"/>
        <v>8549.HK</v>
      </c>
      <c r="AC392" s="50">
        <v>2.15</v>
      </c>
      <c r="AD392" s="50">
        <v>3</v>
      </c>
      <c r="AE392" s="50">
        <v>3.32</v>
      </c>
      <c r="AF392" s="50">
        <v>2</v>
      </c>
      <c r="AG392" t="s">
        <v>898</v>
      </c>
      <c r="AI392" t="s">
        <v>898</v>
      </c>
      <c r="AJ392">
        <v>0</v>
      </c>
    </row>
    <row r="393" spans="1:36">
      <c r="C393" s="40"/>
      <c r="E393" s="23"/>
      <c r="I393" s="50"/>
      <c r="Y393" s="51"/>
      <c r="AC393" s="50"/>
      <c r="AD393" s="50"/>
      <c r="AE393" s="50"/>
      <c r="AF393" s="50"/>
    </row>
    <row r="394" spans="1:36">
      <c r="C394" s="40"/>
      <c r="E394" s="23"/>
      <c r="I394" s="50"/>
      <c r="Y394" s="51"/>
      <c r="AC394" s="50"/>
      <c r="AD394" s="50"/>
      <c r="AE394" s="50"/>
      <c r="AF394" s="50"/>
    </row>
    <row r="395" spans="1:36">
      <c r="C395" s="40"/>
    </row>
  </sheetData>
  <phoneticPr fontId="21" type="noConversion"/>
  <dataValidations count="3">
    <dataValidation type="list" allowBlank="1" error="必须从下拉中选" sqref="E3:E1000" xr:uid="{00000000-0002-0000-0100-000000000000}">
      <formula1>"main_board_profitable,a_plus_h,main_board_unprofitable,18a,18c_commercial,18c_precommercial,secondary,spac"</formula1>
      <formula2>0</formula2>
    </dataValidation>
    <dataValidation type="list" allowBlank="1" sqref="S3:T3 S395:T1000" xr:uid="{00000000-0002-0000-0100-000001000000}">
      <formula1>"1,2,3"</formula1>
      <formula2>0</formula2>
    </dataValidation>
    <dataValidation type="list" allowBlank="1" sqref="O395:O1000 Y3:Y1000 O3 F3 F395:F1000" xr:uid="{00000000-0002-0000-0100-000002000000}">
      <formula1>"0,1"</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97"/>
  <sheetViews>
    <sheetView tabSelected="1" zoomScaleNormal="100" workbookViewId="0">
      <pane xSplit="1" ySplit="2" topLeftCell="E1565" activePane="bottomRight" state="frozen"/>
      <selection pane="topRight" activeCell="B1" sqref="B1"/>
      <selection pane="bottomLeft" activeCell="A3" sqref="A3"/>
      <selection pane="bottomRight" activeCell="J1576" sqref="J1576"/>
    </sheetView>
  </sheetViews>
  <sheetFormatPr defaultColWidth="8.6640625" defaultRowHeight="14.25"/>
  <cols>
    <col min="1" max="1" width="14" customWidth="1"/>
    <col min="2" max="2" width="14" style="40" customWidth="1"/>
    <col min="3" max="4" width="44" customWidth="1"/>
    <col min="5" max="5" width="14" style="65" customWidth="1"/>
    <col min="6" max="6" width="10" customWidth="1"/>
    <col min="7" max="7" width="8" customWidth="1"/>
    <col min="8" max="8" width="10" customWidth="1"/>
    <col min="9" max="9" width="36" style="40" customWidth="1"/>
    <col min="10" max="10" width="24" customWidth="1"/>
    <col min="11" max="11" width="30" customWidth="1"/>
  </cols>
  <sheetData>
    <row r="1" spans="1:11" ht="37.5" customHeight="1">
      <c r="A1" s="12" t="s">
        <v>27</v>
      </c>
      <c r="B1" s="53" t="s">
        <v>88</v>
      </c>
      <c r="C1" s="12" t="s">
        <v>89</v>
      </c>
      <c r="D1" s="12" t="s">
        <v>90</v>
      </c>
      <c r="E1" s="63" t="s">
        <v>91</v>
      </c>
      <c r="F1" s="12" t="s">
        <v>92</v>
      </c>
      <c r="G1" s="12" t="s">
        <v>50</v>
      </c>
      <c r="H1" s="12" t="s">
        <v>93</v>
      </c>
      <c r="I1" s="53" t="s">
        <v>123</v>
      </c>
      <c r="J1" s="12" t="s">
        <v>3457</v>
      </c>
      <c r="K1" s="12" t="s">
        <v>94</v>
      </c>
    </row>
    <row r="2" spans="1:11" ht="30" customHeight="1">
      <c r="A2" s="13" t="s">
        <v>54</v>
      </c>
      <c r="B2" s="54" t="s">
        <v>95</v>
      </c>
      <c r="C2" s="14" t="s">
        <v>96</v>
      </c>
      <c r="D2" s="15" t="s">
        <v>97</v>
      </c>
      <c r="E2" s="64" t="s">
        <v>98</v>
      </c>
      <c r="F2" s="14" t="s">
        <v>99</v>
      </c>
      <c r="G2" s="14" t="s">
        <v>100</v>
      </c>
      <c r="H2" s="15" t="s">
        <v>3581</v>
      </c>
      <c r="I2" s="62" t="s">
        <v>3458</v>
      </c>
      <c r="J2" s="15" t="s">
        <v>2361</v>
      </c>
      <c r="K2" s="15" t="s">
        <v>101</v>
      </c>
    </row>
    <row r="3" spans="1:11">
      <c r="A3" s="25" t="s">
        <v>80</v>
      </c>
      <c r="B3" s="30" t="s">
        <v>82</v>
      </c>
      <c r="C3" s="25" t="s">
        <v>102</v>
      </c>
      <c r="D3" s="25" t="s">
        <v>103</v>
      </c>
      <c r="E3" s="26">
        <v>2500000000</v>
      </c>
      <c r="F3" s="25" t="s">
        <v>104</v>
      </c>
      <c r="G3" s="25">
        <v>6</v>
      </c>
      <c r="H3" s="25"/>
      <c r="I3" s="30"/>
      <c r="J3" s="25" t="s">
        <v>105</v>
      </c>
      <c r="K3" s="25"/>
    </row>
    <row r="4" spans="1:11">
      <c r="A4" t="s">
        <v>465</v>
      </c>
      <c r="B4" s="40">
        <v>46148</v>
      </c>
      <c r="C4" t="s">
        <v>2362</v>
      </c>
      <c r="D4" t="s">
        <v>2362</v>
      </c>
      <c r="E4" s="65">
        <v>7826670</v>
      </c>
      <c r="F4" t="s">
        <v>104</v>
      </c>
      <c r="G4">
        <v>6</v>
      </c>
      <c r="I4" s="40">
        <v>46332</v>
      </c>
    </row>
    <row r="5" spans="1:11">
      <c r="A5" t="s">
        <v>465</v>
      </c>
      <c r="B5" s="40">
        <v>46148</v>
      </c>
      <c r="C5" t="s">
        <v>1448</v>
      </c>
      <c r="D5" t="s">
        <v>1448</v>
      </c>
      <c r="E5" s="65">
        <v>78302097</v>
      </c>
      <c r="F5" t="s">
        <v>104</v>
      </c>
      <c r="G5">
        <v>6</v>
      </c>
      <c r="I5" s="40">
        <v>46332</v>
      </c>
      <c r="J5" t="s">
        <v>2363</v>
      </c>
    </row>
    <row r="6" spans="1:11">
      <c r="A6" t="s">
        <v>465</v>
      </c>
      <c r="B6" s="40">
        <v>46148</v>
      </c>
      <c r="C6" t="s">
        <v>1450</v>
      </c>
      <c r="D6" t="s">
        <v>1450</v>
      </c>
      <c r="E6" s="65">
        <v>50971680</v>
      </c>
      <c r="F6" t="s">
        <v>104</v>
      </c>
      <c r="G6">
        <v>6</v>
      </c>
      <c r="I6" s="40">
        <v>46332</v>
      </c>
      <c r="J6" t="s">
        <v>2364</v>
      </c>
    </row>
    <row r="7" spans="1:11">
      <c r="A7" t="s">
        <v>465</v>
      </c>
      <c r="B7" s="40">
        <v>46148</v>
      </c>
      <c r="C7" t="s">
        <v>1452</v>
      </c>
      <c r="D7" t="s">
        <v>1452</v>
      </c>
      <c r="E7" s="65">
        <v>39149082</v>
      </c>
      <c r="F7" t="s">
        <v>104</v>
      </c>
      <c r="J7" t="s">
        <v>2365</v>
      </c>
    </row>
    <row r="8" spans="1:11">
      <c r="A8" t="s">
        <v>465</v>
      </c>
      <c r="B8" s="40">
        <v>46148</v>
      </c>
      <c r="C8" t="s">
        <v>2366</v>
      </c>
      <c r="D8" t="s">
        <v>2366</v>
      </c>
      <c r="E8" s="65">
        <v>15657273</v>
      </c>
      <c r="F8" t="s">
        <v>104</v>
      </c>
      <c r="G8">
        <v>6</v>
      </c>
      <c r="I8" s="40">
        <v>46332</v>
      </c>
      <c r="J8" t="s">
        <v>2367</v>
      </c>
    </row>
    <row r="9" spans="1:11">
      <c r="A9" t="s">
        <v>465</v>
      </c>
      <c r="B9" s="40">
        <v>46148</v>
      </c>
      <c r="C9" t="s">
        <v>2368</v>
      </c>
      <c r="D9" t="s">
        <v>2368</v>
      </c>
      <c r="E9" s="65">
        <v>15657273</v>
      </c>
      <c r="F9" t="s">
        <v>104</v>
      </c>
      <c r="G9">
        <v>6</v>
      </c>
      <c r="I9" s="40">
        <v>46332</v>
      </c>
      <c r="J9" t="s">
        <v>2369</v>
      </c>
    </row>
    <row r="10" spans="1:11">
      <c r="A10" t="s">
        <v>465</v>
      </c>
      <c r="B10" s="40">
        <v>46148</v>
      </c>
      <c r="C10" t="s">
        <v>1451</v>
      </c>
      <c r="D10" t="s">
        <v>1451</v>
      </c>
      <c r="E10" s="65">
        <v>39149082</v>
      </c>
      <c r="F10" t="s">
        <v>104</v>
      </c>
      <c r="G10">
        <v>6</v>
      </c>
      <c r="I10" s="40">
        <v>46332</v>
      </c>
    </row>
    <row r="11" spans="1:11">
      <c r="A11" t="s">
        <v>465</v>
      </c>
      <c r="B11" s="40">
        <v>46148</v>
      </c>
      <c r="C11" t="s">
        <v>2370</v>
      </c>
      <c r="D11" t="s">
        <v>2370</v>
      </c>
      <c r="E11" s="65">
        <v>19574541</v>
      </c>
      <c r="F11" t="s">
        <v>104</v>
      </c>
      <c r="G11">
        <v>6</v>
      </c>
      <c r="I11" s="40">
        <v>46332</v>
      </c>
    </row>
    <row r="12" spans="1:11">
      <c r="A12" t="s">
        <v>465</v>
      </c>
      <c r="B12" s="40">
        <v>46148</v>
      </c>
      <c r="C12" t="s">
        <v>2371</v>
      </c>
      <c r="D12" t="s">
        <v>2371</v>
      </c>
      <c r="E12" s="65">
        <v>15657273</v>
      </c>
      <c r="F12" t="s">
        <v>104</v>
      </c>
      <c r="G12">
        <v>6</v>
      </c>
      <c r="I12" s="40">
        <v>46332</v>
      </c>
    </row>
    <row r="13" spans="1:11">
      <c r="A13" t="s">
        <v>465</v>
      </c>
      <c r="B13" s="40">
        <v>46148</v>
      </c>
      <c r="C13" t="s">
        <v>1449</v>
      </c>
      <c r="D13" t="s">
        <v>1449</v>
      </c>
      <c r="E13" s="65">
        <v>54696231</v>
      </c>
      <c r="F13" t="s">
        <v>104</v>
      </c>
      <c r="G13">
        <v>6</v>
      </c>
      <c r="I13" s="40">
        <v>46332</v>
      </c>
      <c r="J13" t="s">
        <v>2372</v>
      </c>
    </row>
    <row r="14" spans="1:11">
      <c r="A14" t="s">
        <v>465</v>
      </c>
      <c r="B14" s="40">
        <v>46148</v>
      </c>
      <c r="C14" t="s">
        <v>2373</v>
      </c>
      <c r="D14" t="s">
        <v>2373</v>
      </c>
      <c r="E14" s="65">
        <v>19574541</v>
      </c>
      <c r="F14" t="s">
        <v>104</v>
      </c>
      <c r="G14">
        <v>6</v>
      </c>
      <c r="I14" s="40">
        <v>46332</v>
      </c>
      <c r="J14" t="s">
        <v>2374</v>
      </c>
    </row>
    <row r="15" spans="1:11">
      <c r="A15" t="s">
        <v>465</v>
      </c>
      <c r="B15" s="40">
        <v>46148</v>
      </c>
      <c r="C15" t="s">
        <v>2375</v>
      </c>
      <c r="D15" t="s">
        <v>2375</v>
      </c>
      <c r="E15" s="65">
        <v>23487876</v>
      </c>
      <c r="F15" t="s">
        <v>104</v>
      </c>
      <c r="G15">
        <v>6</v>
      </c>
      <c r="I15" s="40">
        <v>46332</v>
      </c>
      <c r="J15" t="s">
        <v>2376</v>
      </c>
    </row>
    <row r="16" spans="1:11">
      <c r="A16" t="s">
        <v>886</v>
      </c>
      <c r="B16" s="40">
        <v>46147</v>
      </c>
      <c r="C16" t="s">
        <v>1292</v>
      </c>
      <c r="D16" t="s">
        <v>1292</v>
      </c>
      <c r="E16" s="65">
        <v>54834950</v>
      </c>
      <c r="F16" t="s">
        <v>104</v>
      </c>
      <c r="G16">
        <v>6</v>
      </c>
      <c r="I16" s="40">
        <v>46331</v>
      </c>
    </row>
    <row r="17" spans="1:10">
      <c r="A17" t="s">
        <v>886</v>
      </c>
      <c r="B17" s="40">
        <v>46147</v>
      </c>
      <c r="C17" t="s">
        <v>1291</v>
      </c>
      <c r="D17" t="s">
        <v>1291</v>
      </c>
      <c r="E17" s="65">
        <v>193902175</v>
      </c>
      <c r="F17" t="s">
        <v>104</v>
      </c>
      <c r="G17">
        <v>6</v>
      </c>
      <c r="I17" s="40">
        <v>46331</v>
      </c>
    </row>
    <row r="18" spans="1:10">
      <c r="A18" t="s">
        <v>886</v>
      </c>
      <c r="B18" s="40">
        <v>46147</v>
      </c>
      <c r="C18" t="s">
        <v>1293</v>
      </c>
      <c r="D18" t="s">
        <v>1293</v>
      </c>
      <c r="E18" s="65">
        <v>39168525</v>
      </c>
      <c r="F18" t="s">
        <v>104</v>
      </c>
      <c r="G18">
        <v>6</v>
      </c>
      <c r="I18" s="40">
        <v>46331</v>
      </c>
    </row>
    <row r="19" spans="1:10">
      <c r="A19" t="s">
        <v>453</v>
      </c>
      <c r="B19" s="40">
        <v>46141</v>
      </c>
      <c r="C19" t="s">
        <v>1267</v>
      </c>
      <c r="D19" t="s">
        <v>1267</v>
      </c>
      <c r="E19" s="65">
        <v>39156986</v>
      </c>
      <c r="F19" t="s">
        <v>104</v>
      </c>
      <c r="G19">
        <v>6</v>
      </c>
      <c r="I19" s="40">
        <v>46324</v>
      </c>
      <c r="J19" t="s">
        <v>2377</v>
      </c>
    </row>
    <row r="20" spans="1:10">
      <c r="A20" t="s">
        <v>453</v>
      </c>
      <c r="B20" s="40">
        <v>46141</v>
      </c>
      <c r="C20" t="s">
        <v>1266</v>
      </c>
      <c r="D20" t="s">
        <v>1266</v>
      </c>
      <c r="E20" s="65">
        <v>247250102</v>
      </c>
      <c r="F20" t="s">
        <v>104</v>
      </c>
      <c r="G20">
        <v>6</v>
      </c>
      <c r="I20" s="40">
        <v>46324</v>
      </c>
      <c r="J20" t="s">
        <v>2378</v>
      </c>
    </row>
    <row r="21" spans="1:10">
      <c r="A21" t="s">
        <v>992</v>
      </c>
      <c r="B21" s="40">
        <v>46140</v>
      </c>
      <c r="C21" t="s">
        <v>2379</v>
      </c>
      <c r="D21" t="s">
        <v>2379</v>
      </c>
      <c r="E21" s="65">
        <v>114360768</v>
      </c>
      <c r="F21" t="s">
        <v>104</v>
      </c>
      <c r="G21">
        <v>6</v>
      </c>
      <c r="I21" s="40">
        <v>46323</v>
      </c>
    </row>
    <row r="22" spans="1:10">
      <c r="A22" t="s">
        <v>992</v>
      </c>
      <c r="B22" s="40">
        <v>46140</v>
      </c>
      <c r="C22" t="s">
        <v>1907</v>
      </c>
      <c r="D22" t="s">
        <v>1907</v>
      </c>
      <c r="E22" s="65">
        <v>203659776</v>
      </c>
      <c r="F22" t="s">
        <v>104</v>
      </c>
      <c r="G22">
        <v>6</v>
      </c>
      <c r="I22" s="40">
        <v>46323</v>
      </c>
      <c r="J22" t="s">
        <v>2380</v>
      </c>
    </row>
    <row r="23" spans="1:10">
      <c r="A23" t="s">
        <v>992</v>
      </c>
      <c r="B23" s="40">
        <v>46140</v>
      </c>
      <c r="C23" t="s">
        <v>1206</v>
      </c>
      <c r="D23" t="s">
        <v>1206</v>
      </c>
      <c r="E23" s="65">
        <v>117496236</v>
      </c>
      <c r="F23" t="s">
        <v>104</v>
      </c>
      <c r="G23">
        <v>6</v>
      </c>
      <c r="I23" s="40">
        <v>46323</v>
      </c>
    </row>
    <row r="24" spans="1:10">
      <c r="A24" t="s">
        <v>992</v>
      </c>
      <c r="B24" s="40">
        <v>46140</v>
      </c>
      <c r="C24" t="s">
        <v>1110</v>
      </c>
      <c r="D24" t="s">
        <v>1110</v>
      </c>
      <c r="E24" s="65">
        <v>156660732</v>
      </c>
      <c r="F24" t="s">
        <v>104</v>
      </c>
      <c r="G24">
        <v>6</v>
      </c>
      <c r="I24" s="40">
        <v>46323</v>
      </c>
    </row>
    <row r="25" spans="1:10">
      <c r="A25" t="s">
        <v>992</v>
      </c>
      <c r="B25" s="40">
        <v>46140</v>
      </c>
      <c r="C25" t="s">
        <v>1205</v>
      </c>
      <c r="D25" t="s">
        <v>1205</v>
      </c>
      <c r="E25" s="65">
        <v>117496236</v>
      </c>
      <c r="F25" t="s">
        <v>104</v>
      </c>
      <c r="G25">
        <v>6</v>
      </c>
      <c r="I25" s="40">
        <v>46323</v>
      </c>
    </row>
    <row r="26" spans="1:10">
      <c r="A26" t="s">
        <v>992</v>
      </c>
      <c r="B26" s="40">
        <v>46140</v>
      </c>
      <c r="C26" t="s">
        <v>1908</v>
      </c>
      <c r="D26" t="s">
        <v>1908</v>
      </c>
      <c r="E26" s="65">
        <v>117496236</v>
      </c>
      <c r="F26" t="s">
        <v>104</v>
      </c>
      <c r="G26">
        <v>6</v>
      </c>
      <c r="I26" s="40">
        <v>46323</v>
      </c>
    </row>
    <row r="27" spans="1:10">
      <c r="A27" t="s">
        <v>992</v>
      </c>
      <c r="B27" s="40">
        <v>46140</v>
      </c>
      <c r="C27" t="s">
        <v>2381</v>
      </c>
      <c r="D27" t="s">
        <v>2381</v>
      </c>
      <c r="E27" s="65">
        <v>19582248</v>
      </c>
      <c r="F27" t="s">
        <v>104</v>
      </c>
      <c r="G27">
        <v>6</v>
      </c>
      <c r="I27" s="40">
        <v>46323</v>
      </c>
      <c r="J27" t="s">
        <v>2382</v>
      </c>
    </row>
    <row r="28" spans="1:10">
      <c r="A28" t="s">
        <v>992</v>
      </c>
      <c r="B28" s="40">
        <v>46140</v>
      </c>
      <c r="C28" t="s">
        <v>2383</v>
      </c>
      <c r="D28" t="s">
        <v>2383</v>
      </c>
      <c r="E28" s="65">
        <v>19582248</v>
      </c>
      <c r="F28" t="s">
        <v>104</v>
      </c>
      <c r="G28">
        <v>6</v>
      </c>
      <c r="I28" s="40">
        <v>46323</v>
      </c>
      <c r="J28" t="s">
        <v>2384</v>
      </c>
    </row>
    <row r="29" spans="1:10">
      <c r="A29" t="s">
        <v>992</v>
      </c>
      <c r="B29" s="40">
        <v>46140</v>
      </c>
      <c r="C29" t="s">
        <v>2385</v>
      </c>
      <c r="D29" t="s">
        <v>2385</v>
      </c>
      <c r="E29" s="65">
        <v>33682236</v>
      </c>
      <c r="F29" t="s">
        <v>104</v>
      </c>
      <c r="G29">
        <v>6</v>
      </c>
      <c r="I29" s="40">
        <v>46323</v>
      </c>
      <c r="J29" t="s">
        <v>2386</v>
      </c>
    </row>
    <row r="30" spans="1:10">
      <c r="A30" t="s">
        <v>992</v>
      </c>
      <c r="B30" s="40">
        <v>46140</v>
      </c>
      <c r="C30" t="s">
        <v>1069</v>
      </c>
      <c r="D30" t="s">
        <v>1069</v>
      </c>
      <c r="E30" s="65">
        <v>78328992</v>
      </c>
      <c r="F30" t="s">
        <v>104</v>
      </c>
      <c r="G30">
        <v>6</v>
      </c>
      <c r="I30" s="40">
        <v>46323</v>
      </c>
    </row>
    <row r="31" spans="1:10">
      <c r="A31" t="s">
        <v>992</v>
      </c>
      <c r="B31" s="40">
        <v>46140</v>
      </c>
      <c r="C31" t="s">
        <v>1203</v>
      </c>
      <c r="D31" t="s">
        <v>1203</v>
      </c>
      <c r="E31" s="65">
        <v>117496236</v>
      </c>
      <c r="F31" t="s">
        <v>104</v>
      </c>
      <c r="G31">
        <v>6</v>
      </c>
      <c r="I31" s="40">
        <v>46323</v>
      </c>
    </row>
    <row r="32" spans="1:10">
      <c r="A32" t="s">
        <v>992</v>
      </c>
      <c r="B32" s="40">
        <v>46140</v>
      </c>
      <c r="C32" t="s">
        <v>1090</v>
      </c>
      <c r="D32" t="s">
        <v>1090</v>
      </c>
      <c r="E32" s="65">
        <v>78328992</v>
      </c>
      <c r="F32" t="s">
        <v>104</v>
      </c>
      <c r="G32">
        <v>6</v>
      </c>
      <c r="I32" s="40">
        <v>46323</v>
      </c>
    </row>
    <row r="33" spans="1:10">
      <c r="A33" t="s">
        <v>992</v>
      </c>
      <c r="B33" s="40">
        <v>46140</v>
      </c>
      <c r="C33" t="s">
        <v>2387</v>
      </c>
      <c r="D33" t="s">
        <v>2387</v>
      </c>
      <c r="E33" s="65">
        <v>39164496</v>
      </c>
      <c r="F33" t="s">
        <v>104</v>
      </c>
      <c r="G33">
        <v>6</v>
      </c>
      <c r="I33" s="40">
        <v>46323</v>
      </c>
    </row>
    <row r="34" spans="1:10">
      <c r="A34" t="s">
        <v>992</v>
      </c>
      <c r="B34" s="40">
        <v>46140</v>
      </c>
      <c r="C34" t="s">
        <v>1113</v>
      </c>
      <c r="D34" t="s">
        <v>1113</v>
      </c>
      <c r="E34" s="65">
        <v>78328992</v>
      </c>
      <c r="F34" t="s">
        <v>104</v>
      </c>
      <c r="G34">
        <v>6</v>
      </c>
      <c r="I34" s="40">
        <v>46323</v>
      </c>
    </row>
    <row r="35" spans="1:10">
      <c r="A35" t="s">
        <v>992</v>
      </c>
      <c r="B35" s="40">
        <v>46140</v>
      </c>
      <c r="C35" t="s">
        <v>1909</v>
      </c>
      <c r="D35" t="s">
        <v>1909</v>
      </c>
      <c r="E35" s="65">
        <v>117496236</v>
      </c>
      <c r="F35" t="s">
        <v>104</v>
      </c>
      <c r="G35">
        <v>6</v>
      </c>
      <c r="I35" s="40">
        <v>46323</v>
      </c>
    </row>
    <row r="36" spans="1:10">
      <c r="A36" t="s">
        <v>992</v>
      </c>
      <c r="B36" s="40">
        <v>46140</v>
      </c>
      <c r="C36" t="s">
        <v>1144</v>
      </c>
      <c r="D36" t="s">
        <v>1144</v>
      </c>
      <c r="E36" s="65">
        <v>39164496</v>
      </c>
      <c r="F36" t="s">
        <v>104</v>
      </c>
      <c r="G36">
        <v>6</v>
      </c>
      <c r="I36" s="40">
        <v>46323</v>
      </c>
      <c r="J36" t="s">
        <v>2388</v>
      </c>
    </row>
    <row r="37" spans="1:10">
      <c r="A37" t="s">
        <v>992</v>
      </c>
      <c r="B37" s="40">
        <v>46140</v>
      </c>
      <c r="C37" t="s">
        <v>2389</v>
      </c>
      <c r="D37" t="s">
        <v>2389</v>
      </c>
      <c r="E37" s="65">
        <v>39164496</v>
      </c>
      <c r="F37" t="s">
        <v>104</v>
      </c>
      <c r="G37">
        <v>6</v>
      </c>
      <c r="I37" s="40">
        <v>46323</v>
      </c>
    </row>
    <row r="38" spans="1:10">
      <c r="A38" t="s">
        <v>992</v>
      </c>
      <c r="B38" s="40">
        <v>46140</v>
      </c>
      <c r="C38" t="s">
        <v>1969</v>
      </c>
      <c r="D38" t="s">
        <v>1969</v>
      </c>
      <c r="E38" s="65">
        <v>39161748</v>
      </c>
      <c r="F38" t="s">
        <v>104</v>
      </c>
      <c r="G38">
        <v>6</v>
      </c>
      <c r="I38" s="40">
        <v>46323</v>
      </c>
    </row>
    <row r="39" spans="1:10">
      <c r="A39" t="s">
        <v>992</v>
      </c>
      <c r="B39" s="40">
        <v>46140</v>
      </c>
      <c r="C39" t="s">
        <v>2390</v>
      </c>
      <c r="D39" t="s">
        <v>2390</v>
      </c>
      <c r="E39" s="65">
        <v>39161748</v>
      </c>
      <c r="F39" t="s">
        <v>104</v>
      </c>
      <c r="G39">
        <v>6</v>
      </c>
      <c r="I39" s="40">
        <v>46323</v>
      </c>
    </row>
    <row r="40" spans="1:10">
      <c r="A40" t="s">
        <v>992</v>
      </c>
      <c r="B40" s="40">
        <v>46140</v>
      </c>
      <c r="C40" t="s">
        <v>1119</v>
      </c>
      <c r="D40" t="s">
        <v>1119</v>
      </c>
      <c r="E40" s="65">
        <v>78328992</v>
      </c>
      <c r="F40" t="s">
        <v>104</v>
      </c>
      <c r="G40">
        <v>6</v>
      </c>
      <c r="I40" s="40">
        <v>46323</v>
      </c>
      <c r="J40" t="s">
        <v>2391</v>
      </c>
    </row>
    <row r="41" spans="1:10">
      <c r="A41" t="s">
        <v>953</v>
      </c>
      <c r="B41" s="40">
        <v>46140</v>
      </c>
      <c r="C41" t="s">
        <v>1911</v>
      </c>
      <c r="D41" t="s">
        <v>1911</v>
      </c>
      <c r="E41" s="65">
        <v>156669048</v>
      </c>
      <c r="F41" t="s">
        <v>104</v>
      </c>
      <c r="G41">
        <v>6</v>
      </c>
      <c r="I41" s="40">
        <v>46323</v>
      </c>
      <c r="J41" t="s">
        <v>2392</v>
      </c>
    </row>
    <row r="42" spans="1:10">
      <c r="A42" t="s">
        <v>953</v>
      </c>
      <c r="B42" s="40">
        <v>46140</v>
      </c>
      <c r="C42" t="s">
        <v>1912</v>
      </c>
      <c r="D42" t="s">
        <v>1912</v>
      </c>
      <c r="E42" s="65">
        <v>117503168</v>
      </c>
      <c r="F42" t="s">
        <v>104</v>
      </c>
      <c r="G42">
        <v>6</v>
      </c>
      <c r="I42" s="40">
        <v>46323</v>
      </c>
    </row>
    <row r="43" spans="1:10">
      <c r="A43" t="s">
        <v>953</v>
      </c>
      <c r="B43" s="40">
        <v>46140</v>
      </c>
      <c r="C43" t="s">
        <v>1914</v>
      </c>
      <c r="D43" t="s">
        <v>1914</v>
      </c>
      <c r="E43" s="65">
        <v>54832232</v>
      </c>
      <c r="F43" t="s">
        <v>104</v>
      </c>
      <c r="G43">
        <v>6</v>
      </c>
      <c r="I43" s="40">
        <v>46323</v>
      </c>
      <c r="J43" t="s">
        <v>2393</v>
      </c>
    </row>
    <row r="44" spans="1:10">
      <c r="A44" t="s">
        <v>953</v>
      </c>
      <c r="B44" s="40">
        <v>46140</v>
      </c>
      <c r="C44" t="s">
        <v>2394</v>
      </c>
      <c r="D44" t="s">
        <v>2394</v>
      </c>
      <c r="E44" s="65">
        <v>7833176</v>
      </c>
      <c r="F44" t="s">
        <v>104</v>
      </c>
      <c r="G44">
        <v>6</v>
      </c>
      <c r="I44" s="40">
        <v>46323</v>
      </c>
      <c r="J44" t="s">
        <v>2395</v>
      </c>
    </row>
    <row r="45" spans="1:10">
      <c r="A45" t="s">
        <v>953</v>
      </c>
      <c r="B45" s="40">
        <v>46140</v>
      </c>
      <c r="C45" t="s">
        <v>1915</v>
      </c>
      <c r="D45" t="s">
        <v>1915</v>
      </c>
      <c r="E45" s="65">
        <v>23499528</v>
      </c>
      <c r="F45" t="s">
        <v>104</v>
      </c>
      <c r="G45">
        <v>6</v>
      </c>
      <c r="I45" s="40">
        <v>46323</v>
      </c>
      <c r="J45" t="s">
        <v>2396</v>
      </c>
    </row>
    <row r="46" spans="1:10">
      <c r="A46" t="s">
        <v>953</v>
      </c>
      <c r="B46" s="40">
        <v>46140</v>
      </c>
      <c r="C46" t="s">
        <v>1913</v>
      </c>
      <c r="D46" t="s">
        <v>1913</v>
      </c>
      <c r="E46" s="65">
        <v>54832232</v>
      </c>
      <c r="F46" t="s">
        <v>104</v>
      </c>
      <c r="G46">
        <v>6</v>
      </c>
      <c r="I46" s="40">
        <v>46323</v>
      </c>
      <c r="J46" t="s">
        <v>2397</v>
      </c>
    </row>
    <row r="47" spans="1:10">
      <c r="A47" t="s">
        <v>219</v>
      </c>
      <c r="B47" s="40">
        <v>46135</v>
      </c>
      <c r="C47" t="s">
        <v>1238</v>
      </c>
      <c r="D47" t="s">
        <v>1238</v>
      </c>
      <c r="E47" s="65">
        <v>78368220</v>
      </c>
      <c r="F47" t="s">
        <v>104</v>
      </c>
      <c r="G47">
        <v>6</v>
      </c>
      <c r="I47" s="40">
        <v>46318</v>
      </c>
      <c r="J47" t="s">
        <v>2398</v>
      </c>
    </row>
    <row r="48" spans="1:10">
      <c r="A48" t="s">
        <v>219</v>
      </c>
      <c r="B48" s="40">
        <v>46135</v>
      </c>
      <c r="C48" t="s">
        <v>1358</v>
      </c>
      <c r="D48" t="s">
        <v>1358</v>
      </c>
      <c r="E48" s="65">
        <v>78368220</v>
      </c>
      <c r="F48" t="s">
        <v>104</v>
      </c>
      <c r="G48">
        <v>6</v>
      </c>
      <c r="I48" s="40">
        <v>46318</v>
      </c>
      <c r="J48" t="s">
        <v>2399</v>
      </c>
    </row>
    <row r="49" spans="1:10">
      <c r="A49" t="s">
        <v>219</v>
      </c>
      <c r="B49" s="40">
        <v>46135</v>
      </c>
      <c r="C49" t="s">
        <v>2400</v>
      </c>
      <c r="D49" t="s">
        <v>2400</v>
      </c>
      <c r="E49" s="65">
        <v>78368220</v>
      </c>
      <c r="F49" t="s">
        <v>104</v>
      </c>
      <c r="G49">
        <v>6</v>
      </c>
      <c r="I49" s="40">
        <v>46318</v>
      </c>
      <c r="J49" t="s">
        <v>2401</v>
      </c>
    </row>
    <row r="50" spans="1:10">
      <c r="A50" t="s">
        <v>219</v>
      </c>
      <c r="B50" s="40">
        <v>46135</v>
      </c>
      <c r="C50" t="s">
        <v>1521</v>
      </c>
      <c r="D50" t="s">
        <v>1521</v>
      </c>
      <c r="E50" s="65">
        <v>532928760</v>
      </c>
      <c r="F50" t="s">
        <v>104</v>
      </c>
      <c r="G50">
        <v>6</v>
      </c>
      <c r="I50" s="40">
        <v>46318</v>
      </c>
      <c r="J50" t="s">
        <v>2402</v>
      </c>
    </row>
    <row r="51" spans="1:10">
      <c r="A51" t="s">
        <v>219</v>
      </c>
      <c r="B51" s="40">
        <v>46135</v>
      </c>
      <c r="C51" t="s">
        <v>1119</v>
      </c>
      <c r="D51" t="s">
        <v>1119</v>
      </c>
      <c r="E51" s="65">
        <v>78368220</v>
      </c>
      <c r="F51" t="s">
        <v>104</v>
      </c>
      <c r="G51">
        <v>6</v>
      </c>
      <c r="I51" s="40">
        <v>46318</v>
      </c>
      <c r="J51" t="s">
        <v>2403</v>
      </c>
    </row>
    <row r="52" spans="1:10">
      <c r="A52" t="s">
        <v>219</v>
      </c>
      <c r="B52" s="40">
        <v>46135</v>
      </c>
      <c r="C52" t="s">
        <v>2404</v>
      </c>
      <c r="D52" t="s">
        <v>2404</v>
      </c>
      <c r="E52" s="65">
        <v>95609850</v>
      </c>
      <c r="F52" t="s">
        <v>104</v>
      </c>
      <c r="G52">
        <v>6</v>
      </c>
      <c r="I52" s="40">
        <v>46318</v>
      </c>
    </row>
    <row r="53" spans="1:10">
      <c r="A53" t="s">
        <v>219</v>
      </c>
      <c r="B53" s="40">
        <v>46135</v>
      </c>
      <c r="C53" t="s">
        <v>1362</v>
      </c>
      <c r="D53" t="s">
        <v>1362</v>
      </c>
      <c r="E53" s="65">
        <v>78368220</v>
      </c>
      <c r="F53" t="s">
        <v>104</v>
      </c>
      <c r="G53">
        <v>6</v>
      </c>
      <c r="I53" s="40">
        <v>46318</v>
      </c>
    </row>
    <row r="54" spans="1:10">
      <c r="A54" t="s">
        <v>219</v>
      </c>
      <c r="B54" s="40">
        <v>46135</v>
      </c>
      <c r="C54" t="s">
        <v>107</v>
      </c>
      <c r="D54" t="s">
        <v>107</v>
      </c>
      <c r="E54" s="65">
        <v>195928320</v>
      </c>
      <c r="F54" t="s">
        <v>104</v>
      </c>
      <c r="G54">
        <v>6</v>
      </c>
      <c r="I54" s="40">
        <v>46318</v>
      </c>
    </row>
    <row r="55" spans="1:10">
      <c r="A55" t="s">
        <v>219</v>
      </c>
      <c r="B55" s="40">
        <v>46135</v>
      </c>
      <c r="C55" t="s">
        <v>1523</v>
      </c>
      <c r="D55" t="s">
        <v>1523</v>
      </c>
      <c r="E55" s="65">
        <v>156744210</v>
      </c>
      <c r="F55" t="s">
        <v>104</v>
      </c>
      <c r="G55">
        <v>6</v>
      </c>
      <c r="I55" s="40">
        <v>46318</v>
      </c>
    </row>
    <row r="56" spans="1:10">
      <c r="A56" t="s">
        <v>219</v>
      </c>
      <c r="B56" s="40">
        <v>46135</v>
      </c>
      <c r="C56" t="s">
        <v>1209</v>
      </c>
      <c r="D56" t="s">
        <v>1209</v>
      </c>
      <c r="E56" s="65">
        <v>156744210</v>
      </c>
      <c r="F56" t="s">
        <v>104</v>
      </c>
      <c r="G56">
        <v>6</v>
      </c>
      <c r="I56" s="40">
        <v>46318</v>
      </c>
      <c r="J56" t="s">
        <v>2405</v>
      </c>
    </row>
    <row r="57" spans="1:10">
      <c r="A57" t="s">
        <v>219</v>
      </c>
      <c r="B57" s="40">
        <v>46135</v>
      </c>
      <c r="C57" t="s">
        <v>2406</v>
      </c>
      <c r="D57" t="s">
        <v>2406</v>
      </c>
      <c r="E57" s="65">
        <v>78368220</v>
      </c>
      <c r="F57" t="s">
        <v>104</v>
      </c>
      <c r="G57">
        <v>6</v>
      </c>
      <c r="I57" s="40">
        <v>46318</v>
      </c>
      <c r="J57" t="s">
        <v>2407</v>
      </c>
    </row>
    <row r="58" spans="1:10">
      <c r="A58" t="s">
        <v>219</v>
      </c>
      <c r="B58" s="40">
        <v>46135</v>
      </c>
      <c r="C58" t="s">
        <v>1522</v>
      </c>
      <c r="D58" t="s">
        <v>1522</v>
      </c>
      <c r="E58" s="65">
        <v>195928320</v>
      </c>
      <c r="F58" t="s">
        <v>104</v>
      </c>
      <c r="G58">
        <v>6</v>
      </c>
      <c r="I58" s="40">
        <v>46318</v>
      </c>
      <c r="J58" t="s">
        <v>2408</v>
      </c>
    </row>
    <row r="59" spans="1:10">
      <c r="A59" t="s">
        <v>219</v>
      </c>
      <c r="B59" s="40">
        <v>46135</v>
      </c>
      <c r="C59" t="s">
        <v>1069</v>
      </c>
      <c r="D59" t="s">
        <v>1069</v>
      </c>
      <c r="E59" s="65">
        <v>117552330</v>
      </c>
      <c r="F59" t="s">
        <v>104</v>
      </c>
      <c r="G59">
        <v>6</v>
      </c>
      <c r="I59" s="40">
        <v>46318</v>
      </c>
      <c r="J59" t="s">
        <v>2409</v>
      </c>
    </row>
    <row r="60" spans="1:10">
      <c r="A60" t="s">
        <v>219</v>
      </c>
      <c r="B60" s="40">
        <v>46135</v>
      </c>
      <c r="C60" t="s">
        <v>2410</v>
      </c>
      <c r="D60" t="s">
        <v>2410</v>
      </c>
      <c r="E60" s="65">
        <v>78368220</v>
      </c>
      <c r="F60" t="s">
        <v>104</v>
      </c>
      <c r="G60">
        <v>6</v>
      </c>
      <c r="I60" s="40">
        <v>46318</v>
      </c>
      <c r="J60" t="s">
        <v>2411</v>
      </c>
    </row>
    <row r="61" spans="1:10">
      <c r="A61" t="s">
        <v>219</v>
      </c>
      <c r="B61" s="40">
        <v>46135</v>
      </c>
      <c r="C61" t="s">
        <v>1112</v>
      </c>
      <c r="D61" t="s">
        <v>1112</v>
      </c>
      <c r="E61" s="65">
        <v>78368220</v>
      </c>
      <c r="F61" t="s">
        <v>104</v>
      </c>
      <c r="G61">
        <v>6</v>
      </c>
      <c r="I61" s="40">
        <v>46318</v>
      </c>
      <c r="J61" t="s">
        <v>2412</v>
      </c>
    </row>
    <row r="62" spans="1:10">
      <c r="A62" t="s">
        <v>219</v>
      </c>
      <c r="B62" s="40">
        <v>46135</v>
      </c>
      <c r="C62" t="s">
        <v>1175</v>
      </c>
      <c r="D62" t="s">
        <v>1175</v>
      </c>
      <c r="E62" s="65">
        <v>61126590</v>
      </c>
      <c r="F62" t="s">
        <v>104</v>
      </c>
      <c r="G62">
        <v>6</v>
      </c>
      <c r="I62" s="40">
        <v>46318</v>
      </c>
    </row>
    <row r="63" spans="1:10">
      <c r="A63" t="s">
        <v>219</v>
      </c>
      <c r="B63" s="40">
        <v>46135</v>
      </c>
      <c r="C63" t="s">
        <v>1338</v>
      </c>
      <c r="D63" t="s">
        <v>1338</v>
      </c>
      <c r="E63" s="65">
        <v>117552330</v>
      </c>
      <c r="F63" t="s">
        <v>104</v>
      </c>
      <c r="G63">
        <v>6</v>
      </c>
      <c r="I63" s="40">
        <v>46318</v>
      </c>
      <c r="J63" t="s">
        <v>2413</v>
      </c>
    </row>
    <row r="64" spans="1:10">
      <c r="A64" t="s">
        <v>219</v>
      </c>
      <c r="B64" s="40">
        <v>46135</v>
      </c>
      <c r="C64" t="s">
        <v>2414</v>
      </c>
      <c r="D64" t="s">
        <v>2414</v>
      </c>
      <c r="E64" s="65">
        <v>15672090</v>
      </c>
      <c r="F64" t="s">
        <v>104</v>
      </c>
      <c r="G64">
        <v>6</v>
      </c>
      <c r="I64" s="40">
        <v>46318</v>
      </c>
    </row>
    <row r="65" spans="1:10">
      <c r="A65" t="s">
        <v>357</v>
      </c>
      <c r="B65" s="40">
        <v>46133</v>
      </c>
      <c r="C65" t="s">
        <v>1207</v>
      </c>
      <c r="D65" t="s">
        <v>1207</v>
      </c>
      <c r="E65" s="65">
        <v>156738384</v>
      </c>
      <c r="F65" t="s">
        <v>104</v>
      </c>
      <c r="G65">
        <v>6</v>
      </c>
      <c r="I65" s="40">
        <v>46316</v>
      </c>
    </row>
    <row r="66" spans="1:10">
      <c r="A66" t="s">
        <v>357</v>
      </c>
      <c r="B66" s="40">
        <v>46133</v>
      </c>
      <c r="C66" t="s">
        <v>1113</v>
      </c>
      <c r="D66" t="s">
        <v>1113</v>
      </c>
      <c r="E66" s="65">
        <v>235128564</v>
      </c>
      <c r="F66" t="s">
        <v>104</v>
      </c>
      <c r="G66">
        <v>6</v>
      </c>
      <c r="I66" s="40">
        <v>46316</v>
      </c>
    </row>
    <row r="67" spans="1:10">
      <c r="A67" t="s">
        <v>357</v>
      </c>
      <c r="B67" s="40">
        <v>46133</v>
      </c>
      <c r="C67" t="s">
        <v>378</v>
      </c>
      <c r="D67" t="s">
        <v>378</v>
      </c>
      <c r="E67" s="65">
        <v>235128564</v>
      </c>
      <c r="F67" t="s">
        <v>104</v>
      </c>
      <c r="G67">
        <v>6</v>
      </c>
      <c r="I67" s="40">
        <v>46316</v>
      </c>
    </row>
    <row r="68" spans="1:10">
      <c r="A68" t="s">
        <v>357</v>
      </c>
      <c r="B68" s="40">
        <v>46133</v>
      </c>
      <c r="C68" t="s">
        <v>2415</v>
      </c>
      <c r="D68" t="s">
        <v>2415</v>
      </c>
      <c r="E68" s="65">
        <v>235128564</v>
      </c>
      <c r="F68" t="s">
        <v>104</v>
      </c>
      <c r="G68">
        <v>6</v>
      </c>
      <c r="I68" s="40">
        <v>46316</v>
      </c>
    </row>
    <row r="69" spans="1:10">
      <c r="A69" t="s">
        <v>357</v>
      </c>
      <c r="B69" s="40">
        <v>46133</v>
      </c>
      <c r="C69" t="s">
        <v>1374</v>
      </c>
      <c r="D69" t="s">
        <v>1374</v>
      </c>
      <c r="E69" s="65">
        <v>156738384</v>
      </c>
      <c r="F69" t="s">
        <v>104</v>
      </c>
      <c r="G69">
        <v>6</v>
      </c>
      <c r="I69" s="40">
        <v>46316</v>
      </c>
      <c r="J69" t="s">
        <v>2416</v>
      </c>
    </row>
    <row r="70" spans="1:10">
      <c r="A70" t="s">
        <v>357</v>
      </c>
      <c r="B70" s="40">
        <v>46133</v>
      </c>
      <c r="C70" t="s">
        <v>1211</v>
      </c>
      <c r="D70" t="s">
        <v>1211</v>
      </c>
      <c r="E70" s="65">
        <v>97950996</v>
      </c>
      <c r="F70" t="s">
        <v>104</v>
      </c>
      <c r="G70">
        <v>6</v>
      </c>
      <c r="I70" s="40">
        <v>46316</v>
      </c>
    </row>
    <row r="71" spans="1:10">
      <c r="A71" t="s">
        <v>357</v>
      </c>
      <c r="B71" s="40">
        <v>46133</v>
      </c>
      <c r="C71" t="s">
        <v>1284</v>
      </c>
      <c r="D71" t="s">
        <v>1284</v>
      </c>
      <c r="E71" s="65">
        <v>58766400</v>
      </c>
      <c r="F71" t="s">
        <v>104</v>
      </c>
      <c r="G71">
        <v>6</v>
      </c>
      <c r="I71" s="40">
        <v>46316</v>
      </c>
    </row>
    <row r="72" spans="1:10">
      <c r="A72" t="s">
        <v>357</v>
      </c>
      <c r="B72" s="40">
        <v>46133</v>
      </c>
      <c r="C72" t="s">
        <v>2417</v>
      </c>
      <c r="D72" t="s">
        <v>2417</v>
      </c>
      <c r="E72" s="65">
        <v>156738384</v>
      </c>
      <c r="F72" t="s">
        <v>104</v>
      </c>
      <c r="G72">
        <v>6</v>
      </c>
      <c r="I72" s="40">
        <v>46316</v>
      </c>
    </row>
    <row r="73" spans="1:10">
      <c r="A73" t="s">
        <v>357</v>
      </c>
      <c r="B73" s="40">
        <v>46133</v>
      </c>
      <c r="C73" t="s">
        <v>2418</v>
      </c>
      <c r="D73" t="s">
        <v>2418</v>
      </c>
      <c r="E73" s="65">
        <v>156738384</v>
      </c>
      <c r="F73" t="s">
        <v>104</v>
      </c>
      <c r="G73">
        <v>6</v>
      </c>
      <c r="I73" s="40">
        <v>46316</v>
      </c>
    </row>
    <row r="74" spans="1:10">
      <c r="A74" t="s">
        <v>357</v>
      </c>
      <c r="B74" s="40">
        <v>46133</v>
      </c>
      <c r="C74" t="s">
        <v>2419</v>
      </c>
      <c r="D74" t="s">
        <v>2419</v>
      </c>
      <c r="E74" s="65">
        <v>117553788</v>
      </c>
      <c r="F74" t="s">
        <v>104</v>
      </c>
      <c r="G74">
        <v>6</v>
      </c>
      <c r="I74" s="40">
        <v>46316</v>
      </c>
      <c r="J74" t="s">
        <v>2420</v>
      </c>
    </row>
    <row r="75" spans="1:10">
      <c r="A75" t="s">
        <v>357</v>
      </c>
      <c r="B75" s="40">
        <v>46133</v>
      </c>
      <c r="C75" t="s">
        <v>2421</v>
      </c>
      <c r="D75" t="s">
        <v>2421</v>
      </c>
      <c r="E75" s="65">
        <v>156738384</v>
      </c>
      <c r="F75" t="s">
        <v>104</v>
      </c>
      <c r="G75">
        <v>6</v>
      </c>
      <c r="I75" s="40">
        <v>46316</v>
      </c>
    </row>
    <row r="76" spans="1:10">
      <c r="A76" t="s">
        <v>357</v>
      </c>
      <c r="B76" s="40">
        <v>46133</v>
      </c>
      <c r="C76" t="s">
        <v>2422</v>
      </c>
      <c r="D76" t="s">
        <v>2422</v>
      </c>
      <c r="E76" s="65">
        <v>235128564</v>
      </c>
      <c r="F76" t="s">
        <v>104</v>
      </c>
      <c r="G76">
        <v>6</v>
      </c>
      <c r="I76" s="40">
        <v>46316</v>
      </c>
    </row>
    <row r="77" spans="1:10">
      <c r="A77" t="s">
        <v>357</v>
      </c>
      <c r="B77" s="40">
        <v>46133</v>
      </c>
      <c r="C77" t="s">
        <v>2423</v>
      </c>
      <c r="D77" t="s">
        <v>2423</v>
      </c>
      <c r="E77" s="65">
        <v>156738384</v>
      </c>
      <c r="F77" t="s">
        <v>104</v>
      </c>
      <c r="G77">
        <v>6</v>
      </c>
      <c r="I77" s="40">
        <v>46316</v>
      </c>
    </row>
    <row r="78" spans="1:10">
      <c r="A78" t="s">
        <v>357</v>
      </c>
      <c r="B78" s="40">
        <v>46133</v>
      </c>
      <c r="C78" t="s">
        <v>1128</v>
      </c>
      <c r="D78" t="s">
        <v>1128</v>
      </c>
      <c r="E78" s="65">
        <v>117553788</v>
      </c>
      <c r="F78" t="s">
        <v>104</v>
      </c>
      <c r="G78">
        <v>6</v>
      </c>
      <c r="I78" s="40">
        <v>46316</v>
      </c>
    </row>
    <row r="79" spans="1:10">
      <c r="A79" t="s">
        <v>357</v>
      </c>
      <c r="B79" s="40">
        <v>46133</v>
      </c>
      <c r="C79" t="s">
        <v>1300</v>
      </c>
      <c r="D79" t="s">
        <v>1300</v>
      </c>
      <c r="E79" s="65">
        <v>117553788</v>
      </c>
      <c r="F79" t="s">
        <v>104</v>
      </c>
      <c r="G79">
        <v>6</v>
      </c>
      <c r="I79" s="40">
        <v>46316</v>
      </c>
    </row>
    <row r="80" spans="1:10">
      <c r="A80" t="s">
        <v>357</v>
      </c>
      <c r="B80" s="40">
        <v>46133</v>
      </c>
      <c r="C80" t="s">
        <v>1178</v>
      </c>
      <c r="D80" t="s">
        <v>1178</v>
      </c>
      <c r="E80" s="65">
        <v>117553788</v>
      </c>
      <c r="F80" t="s">
        <v>104</v>
      </c>
      <c r="G80">
        <v>6</v>
      </c>
      <c r="I80" s="40">
        <v>46316</v>
      </c>
    </row>
    <row r="81" spans="1:10">
      <c r="A81" t="s">
        <v>357</v>
      </c>
      <c r="B81" s="40">
        <v>46133</v>
      </c>
      <c r="C81" t="s">
        <v>1452</v>
      </c>
      <c r="D81" t="s">
        <v>1452</v>
      </c>
      <c r="E81" s="65">
        <v>117553788</v>
      </c>
      <c r="F81" t="s">
        <v>104</v>
      </c>
      <c r="G81">
        <v>6</v>
      </c>
      <c r="I81" s="40">
        <v>46316</v>
      </c>
    </row>
    <row r="82" spans="1:10">
      <c r="A82" t="s">
        <v>357</v>
      </c>
      <c r="B82" s="40">
        <v>46133</v>
      </c>
      <c r="C82" t="s">
        <v>1212</v>
      </c>
      <c r="D82" t="s">
        <v>1212</v>
      </c>
      <c r="E82" s="65">
        <v>117553788</v>
      </c>
      <c r="F82" t="s">
        <v>104</v>
      </c>
      <c r="G82">
        <v>6</v>
      </c>
      <c r="I82" s="40">
        <v>46316</v>
      </c>
    </row>
    <row r="83" spans="1:10">
      <c r="A83" t="s">
        <v>357</v>
      </c>
      <c r="B83" s="40">
        <v>46133</v>
      </c>
      <c r="C83" t="s">
        <v>1344</v>
      </c>
      <c r="D83" t="s">
        <v>1344</v>
      </c>
      <c r="E83" s="65">
        <v>78369192</v>
      </c>
      <c r="F83" t="s">
        <v>104</v>
      </c>
      <c r="G83">
        <v>6</v>
      </c>
      <c r="I83" s="40">
        <v>46316</v>
      </c>
    </row>
    <row r="84" spans="1:10">
      <c r="A84" t="s">
        <v>357</v>
      </c>
      <c r="B84" s="40">
        <v>46133</v>
      </c>
      <c r="C84" t="s">
        <v>2424</v>
      </c>
      <c r="D84" t="s">
        <v>2424</v>
      </c>
      <c r="E84" s="65">
        <v>78369192</v>
      </c>
      <c r="F84" t="s">
        <v>104</v>
      </c>
      <c r="G84">
        <v>6</v>
      </c>
      <c r="I84" s="40">
        <v>46316</v>
      </c>
    </row>
    <row r="85" spans="1:10">
      <c r="A85" t="s">
        <v>357</v>
      </c>
      <c r="B85" s="40">
        <v>46133</v>
      </c>
      <c r="C85" t="s">
        <v>1323</v>
      </c>
      <c r="D85" t="s">
        <v>1323</v>
      </c>
      <c r="E85" s="65">
        <v>195922980</v>
      </c>
      <c r="F85" t="s">
        <v>104</v>
      </c>
      <c r="G85">
        <v>6</v>
      </c>
      <c r="I85" s="40">
        <v>46316</v>
      </c>
      <c r="J85" t="s">
        <v>2425</v>
      </c>
    </row>
    <row r="86" spans="1:10">
      <c r="A86" t="s">
        <v>357</v>
      </c>
      <c r="B86" s="40">
        <v>46133</v>
      </c>
      <c r="C86" t="s">
        <v>2426</v>
      </c>
      <c r="D86" t="s">
        <v>2426</v>
      </c>
      <c r="E86" s="65">
        <v>156738384</v>
      </c>
      <c r="F86" t="s">
        <v>104</v>
      </c>
      <c r="G86">
        <v>6</v>
      </c>
      <c r="I86" s="40">
        <v>46316</v>
      </c>
      <c r="J86" t="s">
        <v>2427</v>
      </c>
    </row>
    <row r="87" spans="1:10">
      <c r="A87" t="s">
        <v>357</v>
      </c>
      <c r="B87" s="40">
        <v>46133</v>
      </c>
      <c r="C87" t="s">
        <v>1163</v>
      </c>
      <c r="D87" t="s">
        <v>1163</v>
      </c>
      <c r="E87" s="65">
        <v>313497756</v>
      </c>
      <c r="F87" t="s">
        <v>104</v>
      </c>
      <c r="G87">
        <v>6</v>
      </c>
      <c r="I87" s="40">
        <v>46316</v>
      </c>
      <c r="J87" t="s">
        <v>2428</v>
      </c>
    </row>
    <row r="88" spans="1:10">
      <c r="A88" t="s">
        <v>357</v>
      </c>
      <c r="B88" s="40">
        <v>46133</v>
      </c>
      <c r="C88" t="s">
        <v>2429</v>
      </c>
      <c r="D88" t="s">
        <v>2429</v>
      </c>
      <c r="E88" s="65">
        <v>156738384</v>
      </c>
      <c r="F88" t="s">
        <v>104</v>
      </c>
      <c r="G88">
        <v>6</v>
      </c>
      <c r="I88" s="40">
        <v>46316</v>
      </c>
    </row>
    <row r="89" spans="1:10">
      <c r="A89" t="s">
        <v>357</v>
      </c>
      <c r="B89" s="40">
        <v>46133</v>
      </c>
      <c r="C89" t="s">
        <v>1094</v>
      </c>
      <c r="D89" t="s">
        <v>1094</v>
      </c>
      <c r="E89" s="65">
        <v>274313160</v>
      </c>
      <c r="F89" t="s">
        <v>104</v>
      </c>
      <c r="G89">
        <v>6</v>
      </c>
      <c r="I89" s="40">
        <v>46316</v>
      </c>
    </row>
    <row r="90" spans="1:10">
      <c r="A90" t="s">
        <v>357</v>
      </c>
      <c r="B90" s="40">
        <v>46133</v>
      </c>
      <c r="C90" t="s">
        <v>1260</v>
      </c>
      <c r="D90" t="s">
        <v>1260</v>
      </c>
      <c r="E90" s="65">
        <v>415394496</v>
      </c>
      <c r="F90" t="s">
        <v>104</v>
      </c>
      <c r="G90">
        <v>6</v>
      </c>
      <c r="I90" s="40">
        <v>46316</v>
      </c>
    </row>
    <row r="91" spans="1:10">
      <c r="A91" t="s">
        <v>357</v>
      </c>
      <c r="B91" s="40">
        <v>46133</v>
      </c>
      <c r="C91" t="s">
        <v>1259</v>
      </c>
      <c r="D91" t="s">
        <v>1259</v>
      </c>
      <c r="E91" s="65">
        <v>587810916</v>
      </c>
      <c r="F91" t="s">
        <v>104</v>
      </c>
      <c r="G91">
        <v>6</v>
      </c>
      <c r="I91" s="40">
        <v>46316</v>
      </c>
    </row>
    <row r="92" spans="1:10">
      <c r="A92" t="s">
        <v>357</v>
      </c>
      <c r="B92" s="40">
        <v>46133</v>
      </c>
      <c r="C92" t="s">
        <v>1407</v>
      </c>
      <c r="D92" t="s">
        <v>1407</v>
      </c>
      <c r="E92" s="65">
        <v>235128564</v>
      </c>
      <c r="F92" t="s">
        <v>104</v>
      </c>
      <c r="G92">
        <v>6</v>
      </c>
      <c r="I92" s="40">
        <v>46316</v>
      </c>
      <c r="J92" t="s">
        <v>2430</v>
      </c>
    </row>
    <row r="93" spans="1:10">
      <c r="A93" t="s">
        <v>357</v>
      </c>
      <c r="B93" s="40">
        <v>46133</v>
      </c>
      <c r="C93" t="s">
        <v>2406</v>
      </c>
      <c r="D93" t="s">
        <v>2406</v>
      </c>
      <c r="E93" s="65">
        <v>117553788</v>
      </c>
      <c r="F93" t="s">
        <v>104</v>
      </c>
      <c r="G93">
        <v>6</v>
      </c>
      <c r="I93" s="40">
        <v>46316</v>
      </c>
      <c r="J93" t="s">
        <v>2407</v>
      </c>
    </row>
    <row r="94" spans="1:10">
      <c r="A94" t="s">
        <v>357</v>
      </c>
      <c r="B94" s="40">
        <v>46133</v>
      </c>
      <c r="C94" t="s">
        <v>2431</v>
      </c>
      <c r="D94" t="s">
        <v>2431</v>
      </c>
      <c r="E94" s="65">
        <v>156738384</v>
      </c>
      <c r="F94" t="s">
        <v>104</v>
      </c>
      <c r="G94">
        <v>6</v>
      </c>
      <c r="I94" s="40">
        <v>46316</v>
      </c>
      <c r="J94" t="s">
        <v>2432</v>
      </c>
    </row>
    <row r="95" spans="1:10">
      <c r="A95" t="s">
        <v>357</v>
      </c>
      <c r="B95" s="40">
        <v>46133</v>
      </c>
      <c r="C95" t="s">
        <v>2433</v>
      </c>
      <c r="D95" t="s">
        <v>2433</v>
      </c>
      <c r="E95" s="65">
        <v>156738384</v>
      </c>
      <c r="F95" t="s">
        <v>104</v>
      </c>
      <c r="G95">
        <v>6</v>
      </c>
      <c r="I95" s="40">
        <v>46316</v>
      </c>
      <c r="J95" t="s">
        <v>2434</v>
      </c>
    </row>
    <row r="96" spans="1:10">
      <c r="A96" t="s">
        <v>357</v>
      </c>
      <c r="B96" s="40">
        <v>46133</v>
      </c>
      <c r="C96" t="s">
        <v>1314</v>
      </c>
      <c r="D96" t="s">
        <v>1314</v>
      </c>
      <c r="E96" s="65">
        <v>225306180</v>
      </c>
      <c r="F96" t="s">
        <v>104</v>
      </c>
      <c r="G96">
        <v>6</v>
      </c>
      <c r="I96" s="40">
        <v>46316</v>
      </c>
      <c r="J96" t="s">
        <v>2435</v>
      </c>
    </row>
    <row r="97" spans="1:10">
      <c r="A97" t="s">
        <v>357</v>
      </c>
      <c r="B97" s="40">
        <v>46133</v>
      </c>
      <c r="C97" t="s">
        <v>1261</v>
      </c>
      <c r="D97" t="s">
        <v>1261</v>
      </c>
      <c r="E97" s="65">
        <v>391866948</v>
      </c>
      <c r="F97" t="s">
        <v>104</v>
      </c>
      <c r="G97">
        <v>6</v>
      </c>
      <c r="I97" s="40">
        <v>46316</v>
      </c>
      <c r="J97" t="s">
        <v>2436</v>
      </c>
    </row>
    <row r="98" spans="1:10">
      <c r="A98" t="s">
        <v>357</v>
      </c>
      <c r="B98" s="40">
        <v>46133</v>
      </c>
      <c r="C98" t="s">
        <v>2437</v>
      </c>
      <c r="D98" t="s">
        <v>2437</v>
      </c>
      <c r="E98" s="65">
        <v>235128564</v>
      </c>
      <c r="F98" t="s">
        <v>104</v>
      </c>
      <c r="G98">
        <v>6</v>
      </c>
      <c r="I98" s="40">
        <v>46316</v>
      </c>
      <c r="J98" t="s">
        <v>2398</v>
      </c>
    </row>
    <row r="99" spans="1:10">
      <c r="A99" t="s">
        <v>357</v>
      </c>
      <c r="B99" s="40">
        <v>46133</v>
      </c>
      <c r="C99" t="s">
        <v>1210</v>
      </c>
      <c r="D99" t="s">
        <v>1210</v>
      </c>
      <c r="E99" s="65">
        <v>235128564</v>
      </c>
      <c r="F99" t="s">
        <v>104</v>
      </c>
      <c r="G99">
        <v>6</v>
      </c>
      <c r="I99" s="40">
        <v>46316</v>
      </c>
      <c r="J99" t="s">
        <v>2438</v>
      </c>
    </row>
    <row r="100" spans="1:10">
      <c r="A100" t="s">
        <v>357</v>
      </c>
      <c r="B100" s="40">
        <v>46133</v>
      </c>
      <c r="C100" t="s">
        <v>2439</v>
      </c>
      <c r="D100" t="s">
        <v>2439</v>
      </c>
      <c r="E100" s="65">
        <v>156738384</v>
      </c>
      <c r="F100" t="s">
        <v>104</v>
      </c>
      <c r="G100">
        <v>6</v>
      </c>
      <c r="I100" s="40">
        <v>46316</v>
      </c>
      <c r="J100" t="s">
        <v>2440</v>
      </c>
    </row>
    <row r="101" spans="1:10">
      <c r="A101" t="s">
        <v>357</v>
      </c>
      <c r="B101" s="40">
        <v>46133</v>
      </c>
      <c r="C101" t="s">
        <v>1164</v>
      </c>
      <c r="D101" t="s">
        <v>1164</v>
      </c>
      <c r="E101" s="65">
        <v>156738384</v>
      </c>
      <c r="F101" t="s">
        <v>104</v>
      </c>
      <c r="G101">
        <v>6</v>
      </c>
      <c r="I101" s="40">
        <v>46316</v>
      </c>
      <c r="J101" t="s">
        <v>2428</v>
      </c>
    </row>
    <row r="102" spans="1:10">
      <c r="A102" t="s">
        <v>357</v>
      </c>
      <c r="B102" s="40">
        <v>46133</v>
      </c>
      <c r="C102" t="s">
        <v>2441</v>
      </c>
      <c r="D102" t="s">
        <v>2441</v>
      </c>
      <c r="E102" s="65">
        <v>156738384</v>
      </c>
      <c r="F102" t="s">
        <v>104</v>
      </c>
      <c r="G102">
        <v>6</v>
      </c>
      <c r="I102" s="40">
        <v>46316</v>
      </c>
      <c r="J102" t="s">
        <v>2442</v>
      </c>
    </row>
    <row r="103" spans="1:10">
      <c r="A103" t="s">
        <v>357</v>
      </c>
      <c r="B103" s="40">
        <v>46133</v>
      </c>
      <c r="C103" t="s">
        <v>1258</v>
      </c>
      <c r="D103" t="s">
        <v>1258</v>
      </c>
      <c r="E103" s="65">
        <v>587810916</v>
      </c>
      <c r="F103" t="s">
        <v>104</v>
      </c>
      <c r="G103">
        <v>6</v>
      </c>
      <c r="I103" s="40">
        <v>46316</v>
      </c>
    </row>
    <row r="104" spans="1:10">
      <c r="A104" t="s">
        <v>701</v>
      </c>
      <c r="B104" s="40">
        <v>46129</v>
      </c>
      <c r="C104" t="s">
        <v>1178</v>
      </c>
      <c r="D104" t="s">
        <v>1178</v>
      </c>
      <c r="E104" s="65">
        <v>39182040</v>
      </c>
      <c r="F104" t="s">
        <v>104</v>
      </c>
      <c r="G104">
        <v>6</v>
      </c>
      <c r="I104" s="40">
        <v>46312</v>
      </c>
      <c r="J104" t="s">
        <v>2388</v>
      </c>
    </row>
    <row r="105" spans="1:10">
      <c r="A105" t="s">
        <v>701</v>
      </c>
      <c r="B105" s="40">
        <v>46129</v>
      </c>
      <c r="C105" t="s">
        <v>1209</v>
      </c>
      <c r="D105" t="s">
        <v>1209</v>
      </c>
      <c r="E105" s="65">
        <v>101875590</v>
      </c>
      <c r="F105" t="s">
        <v>104</v>
      </c>
      <c r="G105">
        <v>6</v>
      </c>
      <c r="I105" s="40">
        <v>46312</v>
      </c>
      <c r="J105" t="s">
        <v>2405</v>
      </c>
    </row>
    <row r="106" spans="1:10">
      <c r="A106" t="s">
        <v>701</v>
      </c>
      <c r="B106" s="40">
        <v>46129</v>
      </c>
      <c r="C106" t="s">
        <v>1105</v>
      </c>
      <c r="D106" t="s">
        <v>1105</v>
      </c>
      <c r="E106" s="65">
        <v>39182040</v>
      </c>
      <c r="F106" t="s">
        <v>104</v>
      </c>
      <c r="G106">
        <v>6</v>
      </c>
      <c r="I106" s="40">
        <v>46312</v>
      </c>
      <c r="J106" t="s">
        <v>2443</v>
      </c>
    </row>
    <row r="107" spans="1:10">
      <c r="A107" t="s">
        <v>701</v>
      </c>
      <c r="B107" s="40">
        <v>46129</v>
      </c>
      <c r="C107" t="s">
        <v>2444</v>
      </c>
      <c r="D107" t="s">
        <v>2444</v>
      </c>
      <c r="E107" s="65">
        <v>23507700</v>
      </c>
      <c r="F107" t="s">
        <v>104</v>
      </c>
      <c r="G107">
        <v>6</v>
      </c>
      <c r="I107" s="40">
        <v>46312</v>
      </c>
    </row>
    <row r="108" spans="1:10">
      <c r="A108" t="s">
        <v>701</v>
      </c>
      <c r="B108" s="40">
        <v>46129</v>
      </c>
      <c r="C108" t="s">
        <v>1914</v>
      </c>
      <c r="D108" t="s">
        <v>1914</v>
      </c>
      <c r="E108" s="65">
        <v>23507700</v>
      </c>
      <c r="F108" t="s">
        <v>104</v>
      </c>
      <c r="G108">
        <v>6</v>
      </c>
      <c r="I108" s="40">
        <v>46312</v>
      </c>
      <c r="J108" t="s">
        <v>2445</v>
      </c>
    </row>
    <row r="109" spans="1:10">
      <c r="A109" t="s">
        <v>701</v>
      </c>
      <c r="B109" s="40">
        <v>46129</v>
      </c>
      <c r="C109" t="s">
        <v>2051</v>
      </c>
      <c r="D109" t="s">
        <v>2051</v>
      </c>
      <c r="E109" s="65">
        <v>62693550</v>
      </c>
      <c r="F109" t="s">
        <v>104</v>
      </c>
      <c r="G109">
        <v>6</v>
      </c>
      <c r="I109" s="40">
        <v>46312</v>
      </c>
      <c r="J109" t="s">
        <v>2446</v>
      </c>
    </row>
    <row r="110" spans="1:10">
      <c r="A110" t="s">
        <v>701</v>
      </c>
      <c r="B110" s="40">
        <v>46129</v>
      </c>
      <c r="C110" t="s">
        <v>2447</v>
      </c>
      <c r="D110" t="s">
        <v>2447</v>
      </c>
      <c r="E110" s="65">
        <v>23507700</v>
      </c>
      <c r="F110" t="s">
        <v>104</v>
      </c>
      <c r="G110">
        <v>6</v>
      </c>
      <c r="I110" s="40">
        <v>46312</v>
      </c>
      <c r="J110" t="s">
        <v>2448</v>
      </c>
    </row>
    <row r="111" spans="1:10">
      <c r="A111" t="s">
        <v>701</v>
      </c>
      <c r="B111" s="40">
        <v>46129</v>
      </c>
      <c r="C111" t="s">
        <v>2052</v>
      </c>
      <c r="D111" t="s">
        <v>2052</v>
      </c>
      <c r="E111" s="65">
        <v>62689740</v>
      </c>
      <c r="F111" t="s">
        <v>104</v>
      </c>
      <c r="G111">
        <v>6</v>
      </c>
      <c r="I111" s="40">
        <v>46312</v>
      </c>
      <c r="J111" t="s">
        <v>2449</v>
      </c>
    </row>
    <row r="112" spans="1:10">
      <c r="A112" t="s">
        <v>701</v>
      </c>
      <c r="B112" s="40">
        <v>46129</v>
      </c>
      <c r="C112" t="s">
        <v>1407</v>
      </c>
      <c r="D112" t="s">
        <v>1407</v>
      </c>
      <c r="E112" s="65">
        <v>78364080</v>
      </c>
      <c r="F112" t="s">
        <v>104</v>
      </c>
      <c r="G112">
        <v>6</v>
      </c>
      <c r="I112" s="40">
        <v>46312</v>
      </c>
      <c r="J112" t="s">
        <v>2430</v>
      </c>
    </row>
    <row r="113" spans="1:10">
      <c r="A113" t="s">
        <v>733</v>
      </c>
      <c r="B113" s="40">
        <v>46129</v>
      </c>
      <c r="C113" t="s">
        <v>2450</v>
      </c>
      <c r="D113" t="s">
        <v>2450</v>
      </c>
      <c r="E113" s="65">
        <v>19577092</v>
      </c>
      <c r="F113" t="s">
        <v>104</v>
      </c>
      <c r="G113">
        <v>6</v>
      </c>
      <c r="I113" s="40">
        <v>46312</v>
      </c>
    </row>
    <row r="114" spans="1:10">
      <c r="A114" t="s">
        <v>733</v>
      </c>
      <c r="B114" s="40">
        <v>46129</v>
      </c>
      <c r="C114" t="s">
        <v>1840</v>
      </c>
      <c r="D114" t="s">
        <v>1840</v>
      </c>
      <c r="E114" s="65">
        <v>3912228.0000000005</v>
      </c>
      <c r="F114" t="s">
        <v>104</v>
      </c>
    </row>
    <row r="115" spans="1:10">
      <c r="A115" t="s">
        <v>733</v>
      </c>
      <c r="B115" s="40">
        <v>46129</v>
      </c>
      <c r="C115" t="s">
        <v>1219</v>
      </c>
      <c r="D115" t="s">
        <v>1219</v>
      </c>
      <c r="E115" s="65">
        <v>78320332</v>
      </c>
      <c r="F115" t="s">
        <v>104</v>
      </c>
      <c r="G115">
        <v>6</v>
      </c>
      <c r="I115" s="40">
        <v>46312</v>
      </c>
    </row>
    <row r="116" spans="1:10">
      <c r="A116" t="s">
        <v>733</v>
      </c>
      <c r="B116" s="40">
        <v>46129</v>
      </c>
      <c r="C116" t="s">
        <v>2451</v>
      </c>
      <c r="D116" t="s">
        <v>2451</v>
      </c>
      <c r="E116" s="65">
        <v>78320332</v>
      </c>
      <c r="F116" t="s">
        <v>104</v>
      </c>
    </row>
    <row r="117" spans="1:10">
      <c r="A117" t="s">
        <v>733</v>
      </c>
      <c r="B117" s="40">
        <v>46129</v>
      </c>
      <c r="C117" t="s">
        <v>2452</v>
      </c>
      <c r="D117" t="s">
        <v>2452</v>
      </c>
      <c r="E117" s="65">
        <v>1954120.0000000002</v>
      </c>
      <c r="F117" t="s">
        <v>104</v>
      </c>
      <c r="G117">
        <v>6</v>
      </c>
      <c r="I117" s="40">
        <v>46312</v>
      </c>
    </row>
    <row r="118" spans="1:10">
      <c r="A118" t="s">
        <v>733</v>
      </c>
      <c r="B118" s="40">
        <v>46129</v>
      </c>
      <c r="C118" t="s">
        <v>1323</v>
      </c>
      <c r="D118" t="s">
        <v>1323</v>
      </c>
      <c r="E118" s="65">
        <v>33973772</v>
      </c>
      <c r="F118" t="s">
        <v>104</v>
      </c>
      <c r="G118">
        <v>6</v>
      </c>
      <c r="I118" s="40">
        <v>46312</v>
      </c>
    </row>
    <row r="119" spans="1:10">
      <c r="A119" t="s">
        <v>733</v>
      </c>
      <c r="B119" s="40">
        <v>46129</v>
      </c>
      <c r="C119" t="s">
        <v>2453</v>
      </c>
      <c r="D119" t="s">
        <v>2453</v>
      </c>
      <c r="E119" s="65">
        <v>44346560</v>
      </c>
      <c r="F119" t="s">
        <v>104</v>
      </c>
    </row>
    <row r="120" spans="1:10">
      <c r="A120" t="s">
        <v>733</v>
      </c>
      <c r="B120" s="40">
        <v>46129</v>
      </c>
      <c r="C120" t="s">
        <v>1375</v>
      </c>
      <c r="D120" t="s">
        <v>1375</v>
      </c>
      <c r="E120" s="65">
        <v>46990604</v>
      </c>
      <c r="F120" t="s">
        <v>104</v>
      </c>
      <c r="J120" t="s">
        <v>2449</v>
      </c>
    </row>
    <row r="121" spans="1:10">
      <c r="A121" t="s">
        <v>733</v>
      </c>
      <c r="B121" s="40">
        <v>46129</v>
      </c>
      <c r="C121" t="s">
        <v>1842</v>
      </c>
      <c r="D121" t="s">
        <v>1842</v>
      </c>
      <c r="E121" s="65">
        <v>26157292</v>
      </c>
      <c r="F121" t="s">
        <v>104</v>
      </c>
    </row>
    <row r="122" spans="1:10">
      <c r="A122" t="s">
        <v>733</v>
      </c>
      <c r="B122" s="40">
        <v>46129</v>
      </c>
      <c r="C122" t="s">
        <v>1887</v>
      </c>
      <c r="D122" t="s">
        <v>1887</v>
      </c>
      <c r="E122" s="65">
        <v>52163040</v>
      </c>
      <c r="F122" t="s">
        <v>104</v>
      </c>
      <c r="G122">
        <v>6</v>
      </c>
      <c r="I122" s="40">
        <v>46312</v>
      </c>
    </row>
    <row r="123" spans="1:10">
      <c r="A123" t="s">
        <v>733</v>
      </c>
      <c r="B123" s="40">
        <v>46129</v>
      </c>
      <c r="C123" t="s">
        <v>2056</v>
      </c>
      <c r="D123" t="s">
        <v>2056</v>
      </c>
      <c r="E123" s="65">
        <v>31325740.000000004</v>
      </c>
      <c r="F123" t="s">
        <v>104</v>
      </c>
      <c r="G123">
        <v>6</v>
      </c>
      <c r="I123" s="40">
        <v>46312</v>
      </c>
    </row>
    <row r="124" spans="1:10">
      <c r="A124" t="s">
        <v>733</v>
      </c>
      <c r="B124" s="40">
        <v>46129</v>
      </c>
      <c r="C124" t="s">
        <v>2454</v>
      </c>
      <c r="D124" t="s">
        <v>2454</v>
      </c>
      <c r="E124" s="65">
        <v>26627876</v>
      </c>
      <c r="F124" t="s">
        <v>104</v>
      </c>
    </row>
    <row r="125" spans="1:10">
      <c r="A125" t="s">
        <v>733</v>
      </c>
      <c r="B125" s="40">
        <v>46129</v>
      </c>
      <c r="C125" t="s">
        <v>2455</v>
      </c>
      <c r="D125" t="s">
        <v>2455</v>
      </c>
      <c r="E125" s="65">
        <v>12530296</v>
      </c>
      <c r="F125" t="s">
        <v>104</v>
      </c>
      <c r="G125">
        <v>6</v>
      </c>
      <c r="I125" s="40">
        <v>46312</v>
      </c>
    </row>
    <row r="126" spans="1:10">
      <c r="A126" t="s">
        <v>733</v>
      </c>
      <c r="B126" s="40">
        <v>46129</v>
      </c>
      <c r="C126" t="s">
        <v>2456</v>
      </c>
      <c r="D126" t="s">
        <v>2456</v>
      </c>
      <c r="E126" s="65">
        <v>13702768</v>
      </c>
      <c r="F126" t="s">
        <v>104</v>
      </c>
    </row>
    <row r="127" spans="1:10">
      <c r="A127" t="s">
        <v>733</v>
      </c>
      <c r="B127" s="40">
        <v>46129</v>
      </c>
      <c r="C127" t="s">
        <v>1144</v>
      </c>
      <c r="D127" t="s">
        <v>1144</v>
      </c>
      <c r="E127" s="65">
        <v>78320332</v>
      </c>
      <c r="F127" t="s">
        <v>104</v>
      </c>
    </row>
    <row r="128" spans="1:10">
      <c r="A128" t="s">
        <v>733</v>
      </c>
      <c r="B128" s="40">
        <v>46129</v>
      </c>
      <c r="C128" t="s">
        <v>1218</v>
      </c>
      <c r="D128" t="s">
        <v>1218</v>
      </c>
      <c r="E128" s="65">
        <v>117482492.00000001</v>
      </c>
      <c r="F128" t="s">
        <v>104</v>
      </c>
      <c r="G128">
        <v>6</v>
      </c>
      <c r="I128" s="40">
        <v>46312</v>
      </c>
      <c r="J128" t="s">
        <v>2457</v>
      </c>
    </row>
    <row r="129" spans="1:10">
      <c r="A129" t="s">
        <v>733</v>
      </c>
      <c r="B129" s="40">
        <v>46129</v>
      </c>
      <c r="C129" t="s">
        <v>2084</v>
      </c>
      <c r="D129" t="s">
        <v>2084</v>
      </c>
      <c r="E129" s="65">
        <v>15660876.000000002</v>
      </c>
      <c r="F129" t="s">
        <v>104</v>
      </c>
    </row>
    <row r="130" spans="1:10">
      <c r="A130" t="s">
        <v>733</v>
      </c>
      <c r="B130" s="40">
        <v>46129</v>
      </c>
      <c r="C130" t="s">
        <v>1175</v>
      </c>
      <c r="D130" t="s">
        <v>1175</v>
      </c>
      <c r="E130" s="65">
        <v>78320332</v>
      </c>
      <c r="F130" t="s">
        <v>104</v>
      </c>
    </row>
    <row r="131" spans="1:10">
      <c r="A131" t="s">
        <v>733</v>
      </c>
      <c r="B131" s="40">
        <v>46129</v>
      </c>
      <c r="C131" t="s">
        <v>1394</v>
      </c>
      <c r="D131" t="s">
        <v>1394</v>
      </c>
      <c r="E131" s="65">
        <v>39158172</v>
      </c>
      <c r="F131" t="s">
        <v>104</v>
      </c>
    </row>
    <row r="132" spans="1:10">
      <c r="A132" t="s">
        <v>733</v>
      </c>
      <c r="B132" s="40">
        <v>46129</v>
      </c>
      <c r="C132" t="s">
        <v>2458</v>
      </c>
      <c r="D132" t="s">
        <v>2458</v>
      </c>
      <c r="E132" s="65">
        <v>13559200</v>
      </c>
      <c r="F132" t="s">
        <v>104</v>
      </c>
    </row>
    <row r="133" spans="1:10">
      <c r="A133" t="s">
        <v>733</v>
      </c>
      <c r="B133" s="40">
        <v>46129</v>
      </c>
      <c r="C133" t="s">
        <v>1360</v>
      </c>
      <c r="D133" t="s">
        <v>1360</v>
      </c>
      <c r="E133" s="65">
        <v>39158172</v>
      </c>
      <c r="F133" t="s">
        <v>104</v>
      </c>
      <c r="J133" t="s">
        <v>2459</v>
      </c>
    </row>
    <row r="134" spans="1:10">
      <c r="A134" t="s">
        <v>733</v>
      </c>
      <c r="B134" s="40">
        <v>46129</v>
      </c>
      <c r="C134" t="s">
        <v>2460</v>
      </c>
      <c r="D134" t="s">
        <v>2460</v>
      </c>
      <c r="E134" s="65">
        <v>39158172</v>
      </c>
      <c r="F134" t="s">
        <v>104</v>
      </c>
      <c r="J134" t="s">
        <v>2461</v>
      </c>
    </row>
    <row r="135" spans="1:10">
      <c r="A135" t="s">
        <v>733</v>
      </c>
      <c r="B135" s="40">
        <v>46129</v>
      </c>
      <c r="C135" t="s">
        <v>1069</v>
      </c>
      <c r="D135" t="s">
        <v>1069</v>
      </c>
      <c r="E135" s="65">
        <v>39158172</v>
      </c>
      <c r="F135" t="s">
        <v>104</v>
      </c>
      <c r="J135" t="s">
        <v>2462</v>
      </c>
    </row>
    <row r="136" spans="1:10">
      <c r="A136" t="s">
        <v>733</v>
      </c>
      <c r="B136" s="40">
        <v>46129</v>
      </c>
      <c r="C136" t="s">
        <v>2463</v>
      </c>
      <c r="D136" t="s">
        <v>2463</v>
      </c>
      <c r="E136" s="65">
        <v>58739252.000000007</v>
      </c>
      <c r="F136" t="s">
        <v>104</v>
      </c>
      <c r="J136" t="s">
        <v>2464</v>
      </c>
    </row>
    <row r="137" spans="1:10">
      <c r="A137" t="s">
        <v>733</v>
      </c>
      <c r="B137" s="40">
        <v>46129</v>
      </c>
      <c r="C137" t="s">
        <v>1119</v>
      </c>
      <c r="D137" t="s">
        <v>1119</v>
      </c>
      <c r="E137" s="65">
        <v>117482492.00000001</v>
      </c>
      <c r="F137" t="s">
        <v>104</v>
      </c>
      <c r="G137">
        <v>6</v>
      </c>
      <c r="I137" s="40">
        <v>46312</v>
      </c>
      <c r="J137" t="s">
        <v>2403</v>
      </c>
    </row>
    <row r="138" spans="1:10">
      <c r="A138" t="s">
        <v>733</v>
      </c>
      <c r="B138" s="40">
        <v>46129</v>
      </c>
      <c r="C138" t="s">
        <v>1113</v>
      </c>
      <c r="D138" t="s">
        <v>1113</v>
      </c>
      <c r="E138" s="65">
        <v>117482492.00000001</v>
      </c>
      <c r="F138" t="s">
        <v>104</v>
      </c>
      <c r="G138">
        <v>6</v>
      </c>
      <c r="I138" s="40">
        <v>46312</v>
      </c>
    </row>
    <row r="139" spans="1:10">
      <c r="A139" t="s">
        <v>733</v>
      </c>
      <c r="B139" s="40">
        <v>46129</v>
      </c>
      <c r="C139" t="s">
        <v>2465</v>
      </c>
      <c r="D139" t="s">
        <v>2465</v>
      </c>
      <c r="E139" s="65">
        <v>7828444.0000000009</v>
      </c>
      <c r="F139" t="s">
        <v>104</v>
      </c>
      <c r="J139" t="s">
        <v>2466</v>
      </c>
    </row>
    <row r="140" spans="1:10">
      <c r="A140" t="s">
        <v>733</v>
      </c>
      <c r="B140" s="40">
        <v>46129</v>
      </c>
      <c r="C140" t="s">
        <v>2381</v>
      </c>
      <c r="D140" t="s">
        <v>2381</v>
      </c>
      <c r="E140" s="65">
        <v>39158172</v>
      </c>
      <c r="F140" t="s">
        <v>104</v>
      </c>
      <c r="J140" t="s">
        <v>2382</v>
      </c>
    </row>
    <row r="141" spans="1:10">
      <c r="A141" t="s">
        <v>733</v>
      </c>
      <c r="B141" s="40">
        <v>46129</v>
      </c>
      <c r="C141" t="s">
        <v>1452</v>
      </c>
      <c r="D141" t="s">
        <v>1452</v>
      </c>
      <c r="E141" s="65">
        <v>15660876.000000002</v>
      </c>
      <c r="F141" t="s">
        <v>104</v>
      </c>
      <c r="J141" t="s">
        <v>2365</v>
      </c>
    </row>
    <row r="142" spans="1:10">
      <c r="A142" t="s">
        <v>733</v>
      </c>
      <c r="B142" s="40">
        <v>46129</v>
      </c>
      <c r="C142" t="s">
        <v>2467</v>
      </c>
      <c r="D142" t="s">
        <v>2467</v>
      </c>
      <c r="E142" s="65">
        <v>15660876.000000002</v>
      </c>
      <c r="F142" t="s">
        <v>104</v>
      </c>
      <c r="J142" t="s">
        <v>2468</v>
      </c>
    </row>
    <row r="143" spans="1:10">
      <c r="A143" t="s">
        <v>976</v>
      </c>
      <c r="B143" s="40">
        <v>46128</v>
      </c>
      <c r="C143" t="s">
        <v>2415</v>
      </c>
      <c r="D143" t="s">
        <v>2415</v>
      </c>
      <c r="E143" s="65">
        <v>78294300</v>
      </c>
      <c r="F143" t="s">
        <v>104</v>
      </c>
      <c r="G143">
        <v>6</v>
      </c>
      <c r="I143" s="40">
        <v>46311</v>
      </c>
    </row>
    <row r="144" spans="1:10">
      <c r="A144" t="s">
        <v>976</v>
      </c>
      <c r="B144" s="40">
        <v>46128</v>
      </c>
      <c r="C144" t="s">
        <v>2469</v>
      </c>
      <c r="D144" t="s">
        <v>2469</v>
      </c>
      <c r="E144" s="65">
        <v>117457660</v>
      </c>
      <c r="F144" t="s">
        <v>104</v>
      </c>
      <c r="G144">
        <v>6</v>
      </c>
      <c r="I144" s="40">
        <v>46311</v>
      </c>
    </row>
    <row r="145" spans="1:10">
      <c r="A145" t="s">
        <v>976</v>
      </c>
      <c r="B145" s="40">
        <v>46128</v>
      </c>
      <c r="C145" t="s">
        <v>1887</v>
      </c>
      <c r="D145" t="s">
        <v>1887</v>
      </c>
      <c r="E145" s="65">
        <v>54789800</v>
      </c>
      <c r="F145" t="s">
        <v>104</v>
      </c>
      <c r="G145">
        <v>6</v>
      </c>
      <c r="I145" s="40">
        <v>46311</v>
      </c>
    </row>
    <row r="146" spans="1:10">
      <c r="A146" t="s">
        <v>976</v>
      </c>
      <c r="B146" s="40">
        <v>46128</v>
      </c>
      <c r="C146" t="s">
        <v>1333</v>
      </c>
      <c r="D146" t="s">
        <v>1333</v>
      </c>
      <c r="E146" s="65">
        <v>258452240</v>
      </c>
      <c r="F146" t="s">
        <v>104</v>
      </c>
      <c r="G146">
        <v>6</v>
      </c>
      <c r="I146" s="40">
        <v>46311</v>
      </c>
    </row>
    <row r="147" spans="1:10">
      <c r="A147" t="s">
        <v>976</v>
      </c>
      <c r="B147" s="40">
        <v>46128</v>
      </c>
      <c r="C147" t="s">
        <v>1402</v>
      </c>
      <c r="D147" t="s">
        <v>1402</v>
      </c>
      <c r="E147" s="65">
        <v>226259180</v>
      </c>
      <c r="F147" t="s">
        <v>104</v>
      </c>
      <c r="G147">
        <v>6</v>
      </c>
      <c r="I147" s="40">
        <v>46311</v>
      </c>
    </row>
    <row r="148" spans="1:10">
      <c r="A148" t="s">
        <v>976</v>
      </c>
      <c r="B148" s="40">
        <v>46128</v>
      </c>
      <c r="C148" t="s">
        <v>1403</v>
      </c>
      <c r="D148" t="s">
        <v>1403</v>
      </c>
      <c r="E148" s="65">
        <v>164466660</v>
      </c>
      <c r="F148" t="s">
        <v>104</v>
      </c>
      <c r="G148">
        <v>6</v>
      </c>
      <c r="I148" s="40">
        <v>46311</v>
      </c>
      <c r="J148" t="s">
        <v>2470</v>
      </c>
    </row>
    <row r="149" spans="1:10">
      <c r="A149" t="s">
        <v>976</v>
      </c>
      <c r="B149" s="40">
        <v>46128</v>
      </c>
      <c r="C149" t="s">
        <v>1119</v>
      </c>
      <c r="D149" t="s">
        <v>1119</v>
      </c>
      <c r="E149" s="65">
        <v>164466660</v>
      </c>
      <c r="F149" t="s">
        <v>104</v>
      </c>
      <c r="G149">
        <v>6</v>
      </c>
      <c r="I149" s="40">
        <v>46311</v>
      </c>
    </row>
    <row r="150" spans="1:10">
      <c r="A150" t="s">
        <v>976</v>
      </c>
      <c r="B150" s="40">
        <v>46128</v>
      </c>
      <c r="C150" t="s">
        <v>1404</v>
      </c>
      <c r="D150" t="s">
        <v>1404</v>
      </c>
      <c r="E150" s="65">
        <v>117457660</v>
      </c>
      <c r="F150" t="s">
        <v>104</v>
      </c>
      <c r="G150">
        <v>6</v>
      </c>
      <c r="I150" s="40">
        <v>46311</v>
      </c>
    </row>
    <row r="151" spans="1:10">
      <c r="A151" t="s">
        <v>976</v>
      </c>
      <c r="B151" s="40">
        <v>46128</v>
      </c>
      <c r="C151" t="s">
        <v>2471</v>
      </c>
      <c r="D151" t="s">
        <v>2471</v>
      </c>
      <c r="E151" s="65">
        <v>117457660</v>
      </c>
      <c r="F151" t="s">
        <v>104</v>
      </c>
      <c r="G151">
        <v>6</v>
      </c>
      <c r="I151" s="40">
        <v>46311</v>
      </c>
    </row>
    <row r="152" spans="1:10">
      <c r="A152" t="s">
        <v>976</v>
      </c>
      <c r="B152" s="40">
        <v>46128</v>
      </c>
      <c r="C152" t="s">
        <v>1113</v>
      </c>
      <c r="D152" t="s">
        <v>1113</v>
      </c>
      <c r="E152" s="65">
        <v>109644440</v>
      </c>
      <c r="F152" t="s">
        <v>104</v>
      </c>
      <c r="G152">
        <v>6</v>
      </c>
      <c r="I152" s="40">
        <v>46311</v>
      </c>
    </row>
    <row r="153" spans="1:10">
      <c r="A153" t="s">
        <v>976</v>
      </c>
      <c r="B153" s="40">
        <v>46128</v>
      </c>
      <c r="C153" t="s">
        <v>1069</v>
      </c>
      <c r="D153" t="s">
        <v>1069</v>
      </c>
      <c r="E153" s="65">
        <v>78294300</v>
      </c>
      <c r="F153" t="s">
        <v>104</v>
      </c>
      <c r="G153">
        <v>6</v>
      </c>
      <c r="I153" s="40">
        <v>46311</v>
      </c>
      <c r="J153" t="s">
        <v>2472</v>
      </c>
    </row>
    <row r="154" spans="1:10">
      <c r="A154" t="s">
        <v>976</v>
      </c>
      <c r="B154" s="40">
        <v>46128</v>
      </c>
      <c r="C154" t="s">
        <v>2473</v>
      </c>
      <c r="D154" t="s">
        <v>2473</v>
      </c>
      <c r="E154" s="65">
        <v>78294300</v>
      </c>
      <c r="F154" t="s">
        <v>104</v>
      </c>
      <c r="G154">
        <v>6</v>
      </c>
      <c r="I154" s="40">
        <v>46311</v>
      </c>
    </row>
    <row r="155" spans="1:10">
      <c r="A155" t="s">
        <v>976</v>
      </c>
      <c r="B155" s="40">
        <v>46128</v>
      </c>
      <c r="C155" t="s">
        <v>2474</v>
      </c>
      <c r="D155" t="s">
        <v>2474</v>
      </c>
      <c r="E155" s="65">
        <v>78294300</v>
      </c>
      <c r="F155" t="s">
        <v>104</v>
      </c>
      <c r="G155">
        <v>6</v>
      </c>
      <c r="I155" s="40">
        <v>46311</v>
      </c>
    </row>
    <row r="156" spans="1:10">
      <c r="A156" t="s">
        <v>976</v>
      </c>
      <c r="B156" s="40">
        <v>46128</v>
      </c>
      <c r="C156" t="s">
        <v>1597</v>
      </c>
      <c r="D156" t="s">
        <v>1597</v>
      </c>
      <c r="E156" s="65">
        <v>78294300</v>
      </c>
      <c r="F156" t="s">
        <v>104</v>
      </c>
      <c r="G156">
        <v>6</v>
      </c>
      <c r="I156" s="40">
        <v>46311</v>
      </c>
      <c r="J156" t="s">
        <v>2475</v>
      </c>
    </row>
    <row r="157" spans="1:10">
      <c r="A157" t="s">
        <v>976</v>
      </c>
      <c r="B157" s="40">
        <v>46128</v>
      </c>
      <c r="C157" t="s">
        <v>1842</v>
      </c>
      <c r="D157" t="s">
        <v>1842</v>
      </c>
      <c r="E157" s="65">
        <v>23504500</v>
      </c>
      <c r="F157" t="s">
        <v>104</v>
      </c>
      <c r="G157">
        <v>6</v>
      </c>
      <c r="I157" s="40">
        <v>46311</v>
      </c>
    </row>
    <row r="158" spans="1:10">
      <c r="A158" t="s">
        <v>976</v>
      </c>
      <c r="B158" s="40">
        <v>46128</v>
      </c>
      <c r="C158" t="s">
        <v>1175</v>
      </c>
      <c r="D158" t="s">
        <v>1175</v>
      </c>
      <c r="E158" s="65">
        <v>78294300</v>
      </c>
      <c r="F158" t="s">
        <v>104</v>
      </c>
      <c r="G158">
        <v>6</v>
      </c>
      <c r="I158" s="40">
        <v>46311</v>
      </c>
    </row>
    <row r="159" spans="1:10">
      <c r="A159" t="s">
        <v>976</v>
      </c>
      <c r="B159" s="40">
        <v>46128</v>
      </c>
      <c r="C159" t="s">
        <v>2476</v>
      </c>
      <c r="D159" t="s">
        <v>2476</v>
      </c>
      <c r="E159" s="65">
        <v>54822220</v>
      </c>
      <c r="F159" t="s">
        <v>104</v>
      </c>
      <c r="G159">
        <v>6</v>
      </c>
      <c r="I159" s="40">
        <v>46311</v>
      </c>
    </row>
    <row r="160" spans="1:10">
      <c r="A160" t="s">
        <v>976</v>
      </c>
      <c r="B160" s="40">
        <v>46128</v>
      </c>
      <c r="C160" t="s">
        <v>1323</v>
      </c>
      <c r="D160" t="s">
        <v>1323</v>
      </c>
      <c r="E160" s="65">
        <v>78294300</v>
      </c>
      <c r="F160" t="s">
        <v>104</v>
      </c>
      <c r="G160">
        <v>6</v>
      </c>
      <c r="I160" s="40">
        <v>46311</v>
      </c>
    </row>
    <row r="161" spans="1:10">
      <c r="A161" t="s">
        <v>976</v>
      </c>
      <c r="B161" s="40">
        <v>46128</v>
      </c>
      <c r="C161" t="s">
        <v>2477</v>
      </c>
      <c r="D161" t="s">
        <v>2477</v>
      </c>
      <c r="E161" s="65">
        <v>78294300</v>
      </c>
      <c r="F161" t="s">
        <v>104</v>
      </c>
      <c r="G161">
        <v>6</v>
      </c>
      <c r="I161" s="40">
        <v>46311</v>
      </c>
    </row>
    <row r="162" spans="1:10">
      <c r="A162" t="s">
        <v>976</v>
      </c>
      <c r="B162" s="40">
        <v>46128</v>
      </c>
      <c r="C162" t="s">
        <v>2381</v>
      </c>
      <c r="D162" t="s">
        <v>2381</v>
      </c>
      <c r="E162" s="65">
        <v>78294300</v>
      </c>
      <c r="F162" t="s">
        <v>104</v>
      </c>
      <c r="G162">
        <v>6</v>
      </c>
      <c r="I162" s="40">
        <v>46311</v>
      </c>
      <c r="J162" t="s">
        <v>2382</v>
      </c>
    </row>
    <row r="163" spans="1:10">
      <c r="A163" t="s">
        <v>976</v>
      </c>
      <c r="B163" s="40">
        <v>46128</v>
      </c>
      <c r="C163" t="s">
        <v>2478</v>
      </c>
      <c r="D163" t="s">
        <v>2478</v>
      </c>
      <c r="E163" s="65">
        <v>78294300</v>
      </c>
      <c r="F163" t="s">
        <v>104</v>
      </c>
      <c r="G163">
        <v>6</v>
      </c>
      <c r="I163" s="40">
        <v>46311</v>
      </c>
    </row>
    <row r="164" spans="1:10">
      <c r="A164" t="s">
        <v>779</v>
      </c>
      <c r="B164" s="40">
        <v>46112</v>
      </c>
      <c r="C164" t="s">
        <v>1184</v>
      </c>
      <c r="D164" t="s">
        <v>1184</v>
      </c>
      <c r="E164" s="65">
        <v>30000000</v>
      </c>
      <c r="F164" t="s">
        <v>104</v>
      </c>
      <c r="G164">
        <v>6</v>
      </c>
      <c r="I164" s="40">
        <v>46295</v>
      </c>
      <c r="J164" t="s">
        <v>2479</v>
      </c>
    </row>
    <row r="165" spans="1:10">
      <c r="A165" t="s">
        <v>921</v>
      </c>
      <c r="B165" s="40">
        <v>46111</v>
      </c>
      <c r="C165" t="s">
        <v>2480</v>
      </c>
      <c r="D165" t="s">
        <v>2480</v>
      </c>
      <c r="E165" s="65">
        <v>39106800</v>
      </c>
      <c r="F165" t="s">
        <v>104</v>
      </c>
      <c r="G165">
        <v>6</v>
      </c>
      <c r="I165" s="40">
        <v>46295</v>
      </c>
      <c r="J165" t="s">
        <v>2481</v>
      </c>
    </row>
    <row r="166" spans="1:10">
      <c r="A166" t="s">
        <v>921</v>
      </c>
      <c r="B166" s="40">
        <v>46111</v>
      </c>
      <c r="C166" t="s">
        <v>2482</v>
      </c>
      <c r="D166" t="s">
        <v>2482</v>
      </c>
      <c r="E166" s="65">
        <v>23463400</v>
      </c>
      <c r="F166" t="s">
        <v>104</v>
      </c>
      <c r="G166">
        <v>6</v>
      </c>
      <c r="I166" s="40">
        <v>46295</v>
      </c>
    </row>
    <row r="167" spans="1:10">
      <c r="A167" t="s">
        <v>921</v>
      </c>
      <c r="B167" s="40">
        <v>46111</v>
      </c>
      <c r="C167" t="s">
        <v>2483</v>
      </c>
      <c r="D167" t="s">
        <v>2483</v>
      </c>
      <c r="E167" s="65">
        <v>39106800</v>
      </c>
      <c r="F167" t="s">
        <v>104</v>
      </c>
      <c r="G167">
        <v>6</v>
      </c>
      <c r="I167" s="40">
        <v>46295</v>
      </c>
      <c r="J167" t="s">
        <v>2484</v>
      </c>
    </row>
    <row r="168" spans="1:10">
      <c r="A168" t="s">
        <v>921</v>
      </c>
      <c r="B168" s="40">
        <v>46111</v>
      </c>
      <c r="C168" t="s">
        <v>2485</v>
      </c>
      <c r="D168" t="s">
        <v>2485</v>
      </c>
      <c r="E168" s="65">
        <v>24996800</v>
      </c>
      <c r="F168" t="s">
        <v>104</v>
      </c>
      <c r="G168">
        <v>6</v>
      </c>
      <c r="I168" s="40">
        <v>46295</v>
      </c>
      <c r="J168" t="s">
        <v>2486</v>
      </c>
    </row>
    <row r="169" spans="1:10">
      <c r="A169" t="s">
        <v>921</v>
      </c>
      <c r="B169" s="40">
        <v>46111</v>
      </c>
      <c r="C169" t="s">
        <v>2180</v>
      </c>
      <c r="D169" t="s">
        <v>2180</v>
      </c>
      <c r="E169" s="65">
        <v>45352600</v>
      </c>
      <c r="F169" t="s">
        <v>104</v>
      </c>
      <c r="G169">
        <v>6</v>
      </c>
      <c r="I169" s="40">
        <v>46295</v>
      </c>
    </row>
    <row r="170" spans="1:10">
      <c r="A170" t="s">
        <v>921</v>
      </c>
      <c r="B170" s="40">
        <v>46111</v>
      </c>
      <c r="C170" t="s">
        <v>2179</v>
      </c>
      <c r="D170" t="s">
        <v>2179</v>
      </c>
      <c r="E170" s="65">
        <v>49997000</v>
      </c>
      <c r="F170" t="s">
        <v>104</v>
      </c>
      <c r="G170">
        <v>6</v>
      </c>
      <c r="I170" s="40">
        <v>46295</v>
      </c>
      <c r="J170" t="s">
        <v>2487</v>
      </c>
    </row>
    <row r="171" spans="1:10">
      <c r="A171" t="s">
        <v>921</v>
      </c>
      <c r="B171" s="40">
        <v>46111</v>
      </c>
      <c r="C171" t="s">
        <v>1094</v>
      </c>
      <c r="D171" t="s">
        <v>1094</v>
      </c>
      <c r="E171" s="65">
        <v>78213600</v>
      </c>
      <c r="F171" t="s">
        <v>104</v>
      </c>
      <c r="G171">
        <v>6</v>
      </c>
      <c r="I171" s="40">
        <v>46295</v>
      </c>
      <c r="J171" t="s">
        <v>2488</v>
      </c>
    </row>
    <row r="172" spans="1:10">
      <c r="A172" t="s">
        <v>921</v>
      </c>
      <c r="B172" s="40">
        <v>46111</v>
      </c>
      <c r="C172" t="s">
        <v>1375</v>
      </c>
      <c r="D172" t="s">
        <v>1375</v>
      </c>
      <c r="E172" s="65">
        <v>234637400</v>
      </c>
      <c r="F172" t="s">
        <v>104</v>
      </c>
      <c r="G172">
        <v>6</v>
      </c>
      <c r="I172" s="40">
        <v>46295</v>
      </c>
    </row>
    <row r="173" spans="1:10">
      <c r="A173" t="s">
        <v>921</v>
      </c>
      <c r="B173" s="40">
        <v>46111</v>
      </c>
      <c r="C173" t="s">
        <v>1113</v>
      </c>
      <c r="D173" t="s">
        <v>1113</v>
      </c>
      <c r="E173" s="65">
        <v>234640800</v>
      </c>
      <c r="F173" t="s">
        <v>104</v>
      </c>
      <c r="G173">
        <v>6</v>
      </c>
      <c r="I173" s="40">
        <v>46295</v>
      </c>
    </row>
    <row r="174" spans="1:10">
      <c r="A174" t="s">
        <v>616</v>
      </c>
      <c r="B174" s="40">
        <v>46111</v>
      </c>
      <c r="C174" t="s">
        <v>1067</v>
      </c>
      <c r="D174" t="s">
        <v>1067</v>
      </c>
      <c r="E174" s="65">
        <v>767061210</v>
      </c>
      <c r="F174" t="s">
        <v>104</v>
      </c>
      <c r="G174">
        <v>18</v>
      </c>
      <c r="I174" s="40">
        <v>46660</v>
      </c>
    </row>
    <row r="175" spans="1:10">
      <c r="A175" t="s">
        <v>956</v>
      </c>
      <c r="B175" s="40">
        <v>46111</v>
      </c>
      <c r="C175" t="s">
        <v>2155</v>
      </c>
      <c r="D175" t="s">
        <v>2155</v>
      </c>
      <c r="E175" s="65">
        <v>45200000</v>
      </c>
      <c r="F175" t="s">
        <v>104</v>
      </c>
      <c r="G175">
        <v>9</v>
      </c>
      <c r="I175" s="40">
        <v>46388</v>
      </c>
      <c r="J175" t="s">
        <v>2489</v>
      </c>
    </row>
    <row r="176" spans="1:10">
      <c r="A176" t="s">
        <v>956</v>
      </c>
      <c r="B176" s="40">
        <v>46111</v>
      </c>
      <c r="C176" t="s">
        <v>2156</v>
      </c>
      <c r="D176" t="s">
        <v>2156</v>
      </c>
      <c r="E176" s="65">
        <v>2000000</v>
      </c>
      <c r="F176" t="s">
        <v>104</v>
      </c>
      <c r="G176">
        <v>9</v>
      </c>
      <c r="I176" s="40">
        <v>46388</v>
      </c>
      <c r="J176" t="s">
        <v>2490</v>
      </c>
    </row>
    <row r="177" spans="1:10">
      <c r="A177" t="s">
        <v>753</v>
      </c>
      <c r="B177" s="40">
        <v>46105</v>
      </c>
      <c r="C177" t="s">
        <v>1845</v>
      </c>
      <c r="D177" t="s">
        <v>1845</v>
      </c>
      <c r="E177" s="65">
        <v>54998060</v>
      </c>
      <c r="F177" t="s">
        <v>104</v>
      </c>
      <c r="J177" t="s">
        <v>2491</v>
      </c>
    </row>
    <row r="178" spans="1:10">
      <c r="A178" t="s">
        <v>753</v>
      </c>
      <c r="B178" s="40">
        <v>46105</v>
      </c>
      <c r="C178" t="s">
        <v>1846</v>
      </c>
      <c r="D178" t="s">
        <v>1846</v>
      </c>
      <c r="E178" s="65">
        <v>54949440</v>
      </c>
      <c r="F178" t="s">
        <v>104</v>
      </c>
      <c r="J178" t="s">
        <v>2492</v>
      </c>
    </row>
    <row r="179" spans="1:10">
      <c r="A179" t="s">
        <v>626</v>
      </c>
      <c r="B179" s="40">
        <v>46104</v>
      </c>
      <c r="C179" t="s">
        <v>2140</v>
      </c>
      <c r="D179" t="s">
        <v>2140</v>
      </c>
      <c r="E179" s="65">
        <v>29998080.000000004</v>
      </c>
      <c r="F179" t="s">
        <v>104</v>
      </c>
      <c r="G179">
        <v>6</v>
      </c>
      <c r="I179" s="40">
        <v>46288</v>
      </c>
    </row>
    <row r="180" spans="1:10">
      <c r="A180" t="s">
        <v>626</v>
      </c>
      <c r="B180" s="40">
        <v>46104</v>
      </c>
      <c r="C180" t="s">
        <v>2138</v>
      </c>
      <c r="D180" t="s">
        <v>2138</v>
      </c>
      <c r="E180" s="65">
        <v>49999680</v>
      </c>
      <c r="F180" t="s">
        <v>104</v>
      </c>
      <c r="G180">
        <v>6</v>
      </c>
      <c r="I180" s="40">
        <v>46288</v>
      </c>
    </row>
    <row r="181" spans="1:10">
      <c r="A181" t="s">
        <v>626</v>
      </c>
      <c r="B181" s="40">
        <v>46104</v>
      </c>
      <c r="C181" t="s">
        <v>2142</v>
      </c>
      <c r="D181" t="s">
        <v>2142</v>
      </c>
      <c r="E181" s="65">
        <v>9998640</v>
      </c>
      <c r="F181" t="s">
        <v>104</v>
      </c>
      <c r="G181">
        <v>6</v>
      </c>
      <c r="I181" s="40">
        <v>46288</v>
      </c>
    </row>
    <row r="182" spans="1:10">
      <c r="A182" t="s">
        <v>626</v>
      </c>
      <c r="B182" s="40">
        <v>46104</v>
      </c>
      <c r="C182" t="s">
        <v>2141</v>
      </c>
      <c r="D182" t="s">
        <v>2141</v>
      </c>
      <c r="E182" s="65">
        <v>9998640</v>
      </c>
      <c r="F182" t="s">
        <v>104</v>
      </c>
      <c r="G182">
        <v>6</v>
      </c>
      <c r="I182" s="40">
        <v>46288</v>
      </c>
    </row>
    <row r="183" spans="1:10">
      <c r="A183" t="s">
        <v>626</v>
      </c>
      <c r="B183" s="40">
        <v>46104</v>
      </c>
      <c r="C183" t="s">
        <v>2139</v>
      </c>
      <c r="D183" t="s">
        <v>2139</v>
      </c>
      <c r="E183" s="65">
        <v>39998880</v>
      </c>
      <c r="F183" t="s">
        <v>104</v>
      </c>
      <c r="G183">
        <v>6</v>
      </c>
      <c r="I183" s="40">
        <v>46288</v>
      </c>
    </row>
    <row r="184" spans="1:10">
      <c r="A184" t="s">
        <v>490</v>
      </c>
      <c r="B184" s="40">
        <v>46104</v>
      </c>
      <c r="C184" t="s">
        <v>2493</v>
      </c>
      <c r="D184" t="s">
        <v>2493</v>
      </c>
      <c r="E184" s="65">
        <v>10154560</v>
      </c>
      <c r="F184" t="s">
        <v>104</v>
      </c>
      <c r="G184">
        <v>6</v>
      </c>
      <c r="I184" s="40">
        <v>46288</v>
      </c>
    </row>
    <row r="185" spans="1:10">
      <c r="A185" t="s">
        <v>490</v>
      </c>
      <c r="B185" s="40">
        <v>46104</v>
      </c>
      <c r="C185" t="s">
        <v>2494</v>
      </c>
      <c r="D185" t="s">
        <v>2494</v>
      </c>
      <c r="E185" s="65">
        <v>29993600</v>
      </c>
      <c r="F185" t="s">
        <v>104</v>
      </c>
      <c r="G185">
        <v>6</v>
      </c>
      <c r="I185" s="40">
        <v>46288</v>
      </c>
    </row>
    <row r="186" spans="1:10">
      <c r="A186" t="s">
        <v>490</v>
      </c>
      <c r="B186" s="40">
        <v>46104</v>
      </c>
      <c r="C186" t="s">
        <v>1393</v>
      </c>
      <c r="D186" t="s">
        <v>1393</v>
      </c>
      <c r="E186" s="65">
        <v>112898240</v>
      </c>
      <c r="F186" t="s">
        <v>104</v>
      </c>
      <c r="G186">
        <v>6</v>
      </c>
      <c r="I186" s="40">
        <v>46288</v>
      </c>
    </row>
    <row r="187" spans="1:10">
      <c r="A187" t="s">
        <v>490</v>
      </c>
      <c r="B187" s="40">
        <v>46104</v>
      </c>
      <c r="C187" t="s">
        <v>1394</v>
      </c>
      <c r="D187" t="s">
        <v>1394</v>
      </c>
      <c r="E187" s="65">
        <v>78037440</v>
      </c>
      <c r="F187" t="s">
        <v>104</v>
      </c>
      <c r="G187">
        <v>6</v>
      </c>
      <c r="I187" s="40">
        <v>46288</v>
      </c>
    </row>
    <row r="188" spans="1:10">
      <c r="A188" t="s">
        <v>490</v>
      </c>
      <c r="B188" s="40">
        <v>46104</v>
      </c>
      <c r="C188" t="s">
        <v>1395</v>
      </c>
      <c r="D188" t="s">
        <v>1395</v>
      </c>
      <c r="E188" s="65">
        <v>74996480</v>
      </c>
      <c r="F188" t="s">
        <v>104</v>
      </c>
      <c r="G188">
        <v>6</v>
      </c>
      <c r="I188" s="40">
        <v>46288</v>
      </c>
    </row>
    <row r="189" spans="1:10">
      <c r="A189" t="s">
        <v>490</v>
      </c>
      <c r="B189" s="40">
        <v>46104</v>
      </c>
      <c r="C189" t="s">
        <v>1392</v>
      </c>
      <c r="D189" t="s">
        <v>1392</v>
      </c>
      <c r="E189" s="65">
        <v>156079040</v>
      </c>
      <c r="F189" t="s">
        <v>104</v>
      </c>
      <c r="G189">
        <v>6</v>
      </c>
      <c r="I189" s="40">
        <v>46288</v>
      </c>
    </row>
    <row r="190" spans="1:10">
      <c r="A190" t="s">
        <v>490</v>
      </c>
      <c r="B190" s="40">
        <v>46104</v>
      </c>
      <c r="C190" t="s">
        <v>1591</v>
      </c>
      <c r="D190" t="s">
        <v>1591</v>
      </c>
      <c r="E190" s="65">
        <v>49999040</v>
      </c>
      <c r="F190" t="s">
        <v>104</v>
      </c>
      <c r="G190">
        <v>6</v>
      </c>
      <c r="I190" s="40">
        <v>46288</v>
      </c>
    </row>
    <row r="191" spans="1:10">
      <c r="A191" t="s">
        <v>490</v>
      </c>
      <c r="B191" s="40">
        <v>46104</v>
      </c>
      <c r="C191" t="s">
        <v>2495</v>
      </c>
      <c r="D191" t="s">
        <v>2495</v>
      </c>
      <c r="E191" s="65">
        <v>46820800</v>
      </c>
      <c r="F191" t="s">
        <v>104</v>
      </c>
      <c r="G191">
        <v>6</v>
      </c>
      <c r="I191" s="40">
        <v>46288</v>
      </c>
    </row>
    <row r="192" spans="1:10">
      <c r="A192" t="s">
        <v>490</v>
      </c>
      <c r="B192" s="40">
        <v>46104</v>
      </c>
      <c r="C192" t="s">
        <v>2056</v>
      </c>
      <c r="D192" t="s">
        <v>2056</v>
      </c>
      <c r="E192" s="65">
        <v>39016640</v>
      </c>
      <c r="F192" t="s">
        <v>104</v>
      </c>
      <c r="G192">
        <v>6</v>
      </c>
      <c r="I192" s="40">
        <v>46288</v>
      </c>
    </row>
    <row r="193" spans="1:10">
      <c r="A193" t="s">
        <v>490</v>
      </c>
      <c r="B193" s="40">
        <v>46104</v>
      </c>
      <c r="C193" t="s">
        <v>2496</v>
      </c>
      <c r="D193" t="s">
        <v>2496</v>
      </c>
      <c r="E193" s="65">
        <v>49999040</v>
      </c>
      <c r="F193" t="s">
        <v>104</v>
      </c>
      <c r="G193">
        <v>6</v>
      </c>
      <c r="I193" s="40">
        <v>46288</v>
      </c>
    </row>
    <row r="194" spans="1:10">
      <c r="A194" t="s">
        <v>490</v>
      </c>
      <c r="B194" s="40">
        <v>46104</v>
      </c>
      <c r="C194" t="s">
        <v>1396</v>
      </c>
      <c r="D194" t="s">
        <v>1396</v>
      </c>
      <c r="E194" s="65">
        <v>55997760</v>
      </c>
      <c r="F194" t="s">
        <v>104</v>
      </c>
      <c r="G194">
        <v>6</v>
      </c>
      <c r="I194" s="40">
        <v>46288</v>
      </c>
    </row>
    <row r="195" spans="1:10">
      <c r="A195" t="s">
        <v>474</v>
      </c>
      <c r="B195" s="40">
        <v>46101</v>
      </c>
      <c r="C195" t="s">
        <v>1324</v>
      </c>
      <c r="D195" t="s">
        <v>1324</v>
      </c>
      <c r="E195" s="65">
        <v>124359587.99999999</v>
      </c>
      <c r="F195" t="s">
        <v>104</v>
      </c>
      <c r="G195">
        <v>6</v>
      </c>
      <c r="I195" s="40">
        <v>46285</v>
      </c>
    </row>
    <row r="196" spans="1:10">
      <c r="A196" t="s">
        <v>474</v>
      </c>
      <c r="B196" s="40">
        <v>46101</v>
      </c>
      <c r="C196" t="s">
        <v>2381</v>
      </c>
      <c r="D196" t="s">
        <v>2381</v>
      </c>
      <c r="E196" s="65">
        <v>78212628</v>
      </c>
      <c r="F196" t="s">
        <v>104</v>
      </c>
      <c r="G196">
        <v>6</v>
      </c>
      <c r="I196" s="40">
        <v>46285</v>
      </c>
    </row>
    <row r="197" spans="1:10">
      <c r="A197" t="s">
        <v>474</v>
      </c>
      <c r="B197" s="40">
        <v>46101</v>
      </c>
      <c r="C197" t="s">
        <v>2497</v>
      </c>
      <c r="D197" t="s">
        <v>2497</v>
      </c>
      <c r="E197" s="65">
        <v>78212628</v>
      </c>
      <c r="F197" t="s">
        <v>104</v>
      </c>
      <c r="G197">
        <v>6</v>
      </c>
      <c r="I197" s="40">
        <v>46285</v>
      </c>
    </row>
    <row r="198" spans="1:10">
      <c r="A198" t="s">
        <v>474</v>
      </c>
      <c r="B198" s="40">
        <v>46101</v>
      </c>
      <c r="C198" t="s">
        <v>1325</v>
      </c>
      <c r="D198" t="s">
        <v>1325</v>
      </c>
      <c r="E198" s="65">
        <v>117322536</v>
      </c>
      <c r="F198" t="s">
        <v>104</v>
      </c>
      <c r="G198">
        <v>6</v>
      </c>
      <c r="I198" s="40">
        <v>46285</v>
      </c>
    </row>
    <row r="199" spans="1:10">
      <c r="A199" t="s">
        <v>474</v>
      </c>
      <c r="B199" s="40">
        <v>46101</v>
      </c>
      <c r="C199" t="s">
        <v>1322</v>
      </c>
      <c r="D199" t="s">
        <v>1322</v>
      </c>
      <c r="E199" s="65">
        <v>234652260</v>
      </c>
      <c r="F199" t="s">
        <v>104</v>
      </c>
      <c r="G199">
        <v>6</v>
      </c>
      <c r="I199" s="40">
        <v>46285</v>
      </c>
    </row>
    <row r="200" spans="1:10">
      <c r="A200" t="s">
        <v>474</v>
      </c>
      <c r="B200" s="40">
        <v>46101</v>
      </c>
      <c r="C200" t="s">
        <v>2478</v>
      </c>
      <c r="D200" t="s">
        <v>2478</v>
      </c>
      <c r="E200" s="65">
        <v>78212628</v>
      </c>
      <c r="F200" t="s">
        <v>104</v>
      </c>
      <c r="G200">
        <v>6</v>
      </c>
      <c r="I200" s="40">
        <v>46285</v>
      </c>
    </row>
    <row r="201" spans="1:10">
      <c r="A201" t="s">
        <v>474</v>
      </c>
      <c r="B201" s="40">
        <v>46101</v>
      </c>
      <c r="C201" t="s">
        <v>1091</v>
      </c>
      <c r="D201" t="s">
        <v>1091</v>
      </c>
      <c r="E201" s="65">
        <v>78212628</v>
      </c>
      <c r="F201" t="s">
        <v>104</v>
      </c>
      <c r="G201">
        <v>6</v>
      </c>
      <c r="I201" s="40">
        <v>46285</v>
      </c>
    </row>
    <row r="202" spans="1:10">
      <c r="A202" t="s">
        <v>474</v>
      </c>
      <c r="B202" s="40">
        <v>46101</v>
      </c>
      <c r="C202" t="s">
        <v>1119</v>
      </c>
      <c r="D202" t="s">
        <v>1119</v>
      </c>
      <c r="E202" s="65">
        <v>234652260</v>
      </c>
      <c r="F202" t="s">
        <v>104</v>
      </c>
      <c r="G202">
        <v>6</v>
      </c>
      <c r="I202" s="40">
        <v>46285</v>
      </c>
    </row>
    <row r="203" spans="1:10">
      <c r="A203" t="s">
        <v>474</v>
      </c>
      <c r="B203" s="40">
        <v>46101</v>
      </c>
      <c r="C203" t="s">
        <v>2498</v>
      </c>
      <c r="D203" t="s">
        <v>2498</v>
      </c>
      <c r="E203" s="65">
        <v>117315348</v>
      </c>
      <c r="F203" t="s">
        <v>104</v>
      </c>
      <c r="G203">
        <v>6</v>
      </c>
      <c r="I203" s="40">
        <v>46285</v>
      </c>
    </row>
    <row r="204" spans="1:10">
      <c r="A204" t="s">
        <v>474</v>
      </c>
      <c r="B204" s="40">
        <v>46101</v>
      </c>
      <c r="C204" t="s">
        <v>2499</v>
      </c>
      <c r="D204" t="s">
        <v>2499</v>
      </c>
      <c r="E204" s="65">
        <v>110285484</v>
      </c>
      <c r="F204" t="s">
        <v>104</v>
      </c>
      <c r="G204">
        <v>6</v>
      </c>
      <c r="I204" s="40">
        <v>46285</v>
      </c>
    </row>
    <row r="205" spans="1:10">
      <c r="A205" t="s">
        <v>474</v>
      </c>
      <c r="B205" s="40">
        <v>46101</v>
      </c>
      <c r="C205" t="s">
        <v>1323</v>
      </c>
      <c r="D205" t="s">
        <v>1323</v>
      </c>
      <c r="E205" s="65">
        <v>228233376</v>
      </c>
      <c r="F205" t="s">
        <v>104</v>
      </c>
      <c r="G205">
        <v>6</v>
      </c>
      <c r="I205" s="40">
        <v>46285</v>
      </c>
    </row>
    <row r="206" spans="1:10">
      <c r="A206" t="s">
        <v>474</v>
      </c>
      <c r="B206" s="40">
        <v>46101</v>
      </c>
      <c r="C206" t="s">
        <v>2500</v>
      </c>
      <c r="D206" t="s">
        <v>2500</v>
      </c>
      <c r="E206" s="65">
        <v>6411696</v>
      </c>
      <c r="F206" t="s">
        <v>104</v>
      </c>
      <c r="G206">
        <v>6</v>
      </c>
      <c r="I206" s="40">
        <v>46285</v>
      </c>
    </row>
    <row r="207" spans="1:10">
      <c r="A207" t="s">
        <v>494</v>
      </c>
      <c r="B207" s="40">
        <v>46091</v>
      </c>
      <c r="C207" t="s">
        <v>1199</v>
      </c>
      <c r="D207" t="s">
        <v>1199</v>
      </c>
      <c r="E207" s="65">
        <v>49999950</v>
      </c>
      <c r="F207" t="s">
        <v>104</v>
      </c>
      <c r="G207">
        <v>6</v>
      </c>
      <c r="I207" s="40">
        <v>46275</v>
      </c>
    </row>
    <row r="208" spans="1:10">
      <c r="A208" t="s">
        <v>494</v>
      </c>
      <c r="B208" s="40">
        <v>46091</v>
      </c>
      <c r="C208" t="s">
        <v>2501</v>
      </c>
      <c r="D208" t="s">
        <v>2501</v>
      </c>
      <c r="E208" s="65">
        <v>23445864</v>
      </c>
      <c r="F208" t="s">
        <v>104</v>
      </c>
      <c r="G208">
        <v>6</v>
      </c>
      <c r="I208" s="40">
        <v>46275</v>
      </c>
      <c r="J208" t="s">
        <v>2502</v>
      </c>
    </row>
    <row r="209" spans="1:10">
      <c r="A209" t="s">
        <v>494</v>
      </c>
      <c r="B209" s="40">
        <v>46091</v>
      </c>
      <c r="C209" t="s">
        <v>2503</v>
      </c>
      <c r="D209" t="s">
        <v>2503</v>
      </c>
      <c r="E209" s="65">
        <v>29999970</v>
      </c>
      <c r="F209" t="s">
        <v>104</v>
      </c>
      <c r="G209">
        <v>6</v>
      </c>
      <c r="I209" s="40">
        <v>46275</v>
      </c>
      <c r="J209" t="s">
        <v>2504</v>
      </c>
    </row>
    <row r="210" spans="1:10">
      <c r="A210" t="s">
        <v>494</v>
      </c>
      <c r="B210" s="40">
        <v>46091</v>
      </c>
      <c r="C210" t="s">
        <v>2414</v>
      </c>
      <c r="D210" t="s">
        <v>2414</v>
      </c>
      <c r="E210" s="65">
        <v>11722932</v>
      </c>
      <c r="F210" t="s">
        <v>104</v>
      </c>
      <c r="G210">
        <v>6</v>
      </c>
      <c r="I210" s="40">
        <v>46275</v>
      </c>
      <c r="J210" t="s">
        <v>2505</v>
      </c>
    </row>
    <row r="211" spans="1:10">
      <c r="A211" t="s">
        <v>494</v>
      </c>
      <c r="B211" s="40">
        <v>46091</v>
      </c>
      <c r="C211" t="s">
        <v>1075</v>
      </c>
      <c r="D211" t="s">
        <v>1075</v>
      </c>
      <c r="E211" s="65">
        <v>49999950</v>
      </c>
      <c r="F211" t="s">
        <v>104</v>
      </c>
      <c r="G211">
        <v>6</v>
      </c>
      <c r="I211" s="40">
        <v>46275</v>
      </c>
      <c r="J211" t="s">
        <v>2506</v>
      </c>
    </row>
    <row r="212" spans="1:10">
      <c r="A212" t="s">
        <v>494</v>
      </c>
      <c r="B212" s="40">
        <v>46091</v>
      </c>
      <c r="C212" t="s">
        <v>1201</v>
      </c>
      <c r="D212" t="s">
        <v>1201</v>
      </c>
      <c r="E212" s="65">
        <v>31264038</v>
      </c>
      <c r="F212" t="s">
        <v>104</v>
      </c>
      <c r="G212">
        <v>6</v>
      </c>
      <c r="I212" s="40">
        <v>46275</v>
      </c>
      <c r="J212" t="s">
        <v>2507</v>
      </c>
    </row>
    <row r="213" spans="1:10">
      <c r="A213" t="s">
        <v>494</v>
      </c>
      <c r="B213" s="40">
        <v>46091</v>
      </c>
      <c r="C213" t="s">
        <v>1198</v>
      </c>
      <c r="D213" t="s">
        <v>1198</v>
      </c>
      <c r="E213" s="65">
        <v>222998334</v>
      </c>
      <c r="F213" t="s">
        <v>104</v>
      </c>
      <c r="G213">
        <v>6</v>
      </c>
      <c r="I213" s="40">
        <v>46275</v>
      </c>
      <c r="J213" t="s">
        <v>2508</v>
      </c>
    </row>
    <row r="214" spans="1:10">
      <c r="A214" t="s">
        <v>494</v>
      </c>
      <c r="B214" s="40">
        <v>46091</v>
      </c>
      <c r="C214" t="s">
        <v>1200</v>
      </c>
      <c r="D214" t="s">
        <v>1200</v>
      </c>
      <c r="E214" s="65">
        <v>39079326</v>
      </c>
      <c r="F214" t="s">
        <v>104</v>
      </c>
      <c r="G214">
        <v>6</v>
      </c>
      <c r="I214" s="40">
        <v>46275</v>
      </c>
      <c r="J214" t="s">
        <v>2509</v>
      </c>
    </row>
    <row r="215" spans="1:10">
      <c r="A215" t="s">
        <v>600</v>
      </c>
      <c r="B215" s="40">
        <v>46090</v>
      </c>
      <c r="C215" t="s">
        <v>2056</v>
      </c>
      <c r="D215" t="s">
        <v>2056</v>
      </c>
      <c r="E215" s="65">
        <v>23443992</v>
      </c>
      <c r="F215" t="s">
        <v>104</v>
      </c>
      <c r="G215">
        <v>6</v>
      </c>
      <c r="I215" s="40">
        <v>46274</v>
      </c>
      <c r="J215" t="s">
        <v>1375</v>
      </c>
    </row>
    <row r="216" spans="1:10">
      <c r="A216" t="s">
        <v>600</v>
      </c>
      <c r="B216" s="40">
        <v>46090</v>
      </c>
      <c r="C216" t="s">
        <v>2510</v>
      </c>
      <c r="D216" t="s">
        <v>2510</v>
      </c>
      <c r="E216" s="65">
        <v>27350136</v>
      </c>
      <c r="F216" t="s">
        <v>104</v>
      </c>
      <c r="G216">
        <v>6</v>
      </c>
      <c r="I216" s="40">
        <v>46274</v>
      </c>
      <c r="J216" t="s">
        <v>2367</v>
      </c>
    </row>
    <row r="217" spans="1:10">
      <c r="A217" t="s">
        <v>600</v>
      </c>
      <c r="B217" s="40">
        <v>46090</v>
      </c>
      <c r="C217" t="s">
        <v>1178</v>
      </c>
      <c r="D217" t="s">
        <v>1178</v>
      </c>
      <c r="E217" s="65">
        <v>39075696</v>
      </c>
      <c r="F217" t="s">
        <v>104</v>
      </c>
      <c r="G217">
        <v>6</v>
      </c>
      <c r="I217" s="40">
        <v>46274</v>
      </c>
    </row>
    <row r="218" spans="1:10">
      <c r="A218" t="s">
        <v>600</v>
      </c>
      <c r="B218" s="40">
        <v>46090</v>
      </c>
      <c r="C218" t="s">
        <v>2511</v>
      </c>
      <c r="D218" t="s">
        <v>2511</v>
      </c>
      <c r="E218" s="65">
        <v>33786720</v>
      </c>
      <c r="F218" t="s">
        <v>104</v>
      </c>
      <c r="G218">
        <v>6</v>
      </c>
      <c r="I218" s="40">
        <v>46274</v>
      </c>
      <c r="J218" t="s">
        <v>2512</v>
      </c>
    </row>
    <row r="219" spans="1:10">
      <c r="A219" t="s">
        <v>600</v>
      </c>
      <c r="B219" s="40">
        <v>46090</v>
      </c>
      <c r="C219" t="s">
        <v>2513</v>
      </c>
      <c r="D219" t="s">
        <v>2513</v>
      </c>
      <c r="E219" s="65">
        <v>19537848</v>
      </c>
      <c r="F219" t="s">
        <v>104</v>
      </c>
      <c r="G219">
        <v>6</v>
      </c>
      <c r="I219" s="40">
        <v>46274</v>
      </c>
      <c r="J219" t="s">
        <v>2514</v>
      </c>
    </row>
    <row r="220" spans="1:10">
      <c r="A220" t="s">
        <v>600</v>
      </c>
      <c r="B220" s="40">
        <v>46090</v>
      </c>
      <c r="C220" t="s">
        <v>2515</v>
      </c>
      <c r="D220" t="s">
        <v>2515</v>
      </c>
      <c r="E220" s="65">
        <v>23443992</v>
      </c>
      <c r="F220" t="s">
        <v>104</v>
      </c>
      <c r="G220">
        <v>6</v>
      </c>
      <c r="I220" s="40">
        <v>46274</v>
      </c>
    </row>
    <row r="221" spans="1:10">
      <c r="A221" t="s">
        <v>600</v>
      </c>
      <c r="B221" s="40">
        <v>46090</v>
      </c>
      <c r="C221" t="s">
        <v>2516</v>
      </c>
      <c r="D221" t="s">
        <v>2516</v>
      </c>
      <c r="E221" s="65">
        <v>23443992</v>
      </c>
      <c r="F221" t="s">
        <v>104</v>
      </c>
      <c r="G221">
        <v>6</v>
      </c>
      <c r="I221" s="40">
        <v>46274</v>
      </c>
    </row>
    <row r="222" spans="1:10">
      <c r="A222" t="s">
        <v>600</v>
      </c>
      <c r="B222" s="40">
        <v>46090</v>
      </c>
      <c r="C222" t="s">
        <v>1176</v>
      </c>
      <c r="D222" t="s">
        <v>1176</v>
      </c>
      <c r="E222" s="65">
        <v>39075696</v>
      </c>
      <c r="F222" t="s">
        <v>104</v>
      </c>
      <c r="G222">
        <v>6</v>
      </c>
      <c r="I222" s="40">
        <v>46274</v>
      </c>
      <c r="J222" t="s">
        <v>2517</v>
      </c>
    </row>
    <row r="223" spans="1:10">
      <c r="A223" t="s">
        <v>600</v>
      </c>
      <c r="B223" s="40">
        <v>46090</v>
      </c>
      <c r="C223" t="s">
        <v>2518</v>
      </c>
      <c r="D223" t="s">
        <v>2518</v>
      </c>
      <c r="E223" s="65">
        <v>23443992</v>
      </c>
      <c r="F223" t="s">
        <v>104</v>
      </c>
      <c r="G223">
        <v>6</v>
      </c>
      <c r="I223" s="40">
        <v>46274</v>
      </c>
      <c r="J223" t="s">
        <v>2519</v>
      </c>
    </row>
    <row r="224" spans="1:10">
      <c r="A224" t="s">
        <v>600</v>
      </c>
      <c r="B224" s="40">
        <v>46090</v>
      </c>
      <c r="C224" t="s">
        <v>2520</v>
      </c>
      <c r="D224" t="s">
        <v>2520</v>
      </c>
      <c r="E224" s="65">
        <v>28134216</v>
      </c>
      <c r="F224" t="s">
        <v>104</v>
      </c>
      <c r="G224">
        <v>6</v>
      </c>
      <c r="I224" s="40">
        <v>46274</v>
      </c>
      <c r="J224" t="s">
        <v>2521</v>
      </c>
    </row>
    <row r="225" spans="1:10">
      <c r="A225" t="s">
        <v>600</v>
      </c>
      <c r="B225" s="40">
        <v>46090</v>
      </c>
      <c r="C225" t="s">
        <v>2522</v>
      </c>
      <c r="D225" t="s">
        <v>2522</v>
      </c>
      <c r="E225" s="65">
        <v>22296384</v>
      </c>
      <c r="F225" t="s">
        <v>104</v>
      </c>
      <c r="G225">
        <v>6</v>
      </c>
      <c r="I225" s="40">
        <v>46274</v>
      </c>
    </row>
    <row r="226" spans="1:10">
      <c r="A226" t="s">
        <v>600</v>
      </c>
      <c r="B226" s="40">
        <v>46090</v>
      </c>
      <c r="C226" t="s">
        <v>2523</v>
      </c>
      <c r="D226" t="s">
        <v>2523</v>
      </c>
      <c r="E226" s="65">
        <v>19345392</v>
      </c>
      <c r="F226" t="s">
        <v>104</v>
      </c>
      <c r="G226">
        <v>6</v>
      </c>
      <c r="I226" s="40">
        <v>46274</v>
      </c>
      <c r="J226" t="s">
        <v>2524</v>
      </c>
    </row>
    <row r="227" spans="1:10">
      <c r="A227" t="s">
        <v>600</v>
      </c>
      <c r="B227" s="40">
        <v>46090</v>
      </c>
      <c r="C227" t="s">
        <v>2525</v>
      </c>
      <c r="D227" t="s">
        <v>2525</v>
      </c>
      <c r="E227" s="65">
        <v>31263408</v>
      </c>
      <c r="F227" t="s">
        <v>104</v>
      </c>
      <c r="G227">
        <v>6</v>
      </c>
      <c r="I227" s="40">
        <v>46274</v>
      </c>
    </row>
    <row r="228" spans="1:10">
      <c r="A228" t="s">
        <v>600</v>
      </c>
      <c r="B228" s="40">
        <v>46090</v>
      </c>
      <c r="C228" t="s">
        <v>1175</v>
      </c>
      <c r="D228" t="s">
        <v>1175</v>
      </c>
      <c r="E228" s="65">
        <v>46895112</v>
      </c>
      <c r="F228" t="s">
        <v>104</v>
      </c>
      <c r="G228">
        <v>6</v>
      </c>
      <c r="I228" s="40">
        <v>46274</v>
      </c>
    </row>
    <row r="229" spans="1:10">
      <c r="A229" t="s">
        <v>600</v>
      </c>
      <c r="B229" s="40">
        <v>46090</v>
      </c>
      <c r="C229" t="s">
        <v>1105</v>
      </c>
      <c r="D229" t="s">
        <v>1105</v>
      </c>
      <c r="E229" s="65">
        <v>19994040</v>
      </c>
      <c r="F229" t="s">
        <v>104</v>
      </c>
      <c r="G229">
        <v>6</v>
      </c>
      <c r="I229" s="40">
        <v>46274</v>
      </c>
      <c r="J229" t="s">
        <v>2526</v>
      </c>
    </row>
    <row r="230" spans="1:10">
      <c r="A230" t="s">
        <v>600</v>
      </c>
      <c r="B230" s="40">
        <v>46090</v>
      </c>
      <c r="C230" t="s">
        <v>2096</v>
      </c>
      <c r="D230" t="s">
        <v>2096</v>
      </c>
      <c r="E230" s="65">
        <v>19994040</v>
      </c>
      <c r="F230" t="s">
        <v>104</v>
      </c>
      <c r="G230">
        <v>6</v>
      </c>
      <c r="I230" s="40">
        <v>46274</v>
      </c>
      <c r="J230" t="s">
        <v>2527</v>
      </c>
    </row>
    <row r="231" spans="1:10">
      <c r="A231" t="s">
        <v>600</v>
      </c>
      <c r="B231" s="40">
        <v>46090</v>
      </c>
      <c r="C231" t="s">
        <v>1113</v>
      </c>
      <c r="D231" t="s">
        <v>1113</v>
      </c>
      <c r="E231" s="65">
        <v>117241344</v>
      </c>
      <c r="F231" t="s">
        <v>104</v>
      </c>
      <c r="G231">
        <v>6</v>
      </c>
      <c r="I231" s="40">
        <v>46274</v>
      </c>
    </row>
    <row r="232" spans="1:10">
      <c r="A232" t="s">
        <v>600</v>
      </c>
      <c r="B232" s="40">
        <v>46090</v>
      </c>
      <c r="C232" t="s">
        <v>1300</v>
      </c>
      <c r="D232" t="s">
        <v>1300</v>
      </c>
      <c r="E232" s="65">
        <v>23443992</v>
      </c>
      <c r="F232" t="s">
        <v>104</v>
      </c>
      <c r="G232">
        <v>6</v>
      </c>
      <c r="I232" s="40">
        <v>46274</v>
      </c>
    </row>
    <row r="233" spans="1:10">
      <c r="A233" t="s">
        <v>600</v>
      </c>
      <c r="B233" s="40">
        <v>46090</v>
      </c>
      <c r="C233" t="s">
        <v>2482</v>
      </c>
      <c r="D233" t="s">
        <v>2482</v>
      </c>
      <c r="E233" s="65">
        <v>15631704</v>
      </c>
      <c r="F233" t="s">
        <v>104</v>
      </c>
      <c r="G233">
        <v>6</v>
      </c>
      <c r="I233" s="40">
        <v>46274</v>
      </c>
      <c r="J233" t="s">
        <v>2528</v>
      </c>
    </row>
    <row r="234" spans="1:10">
      <c r="A234" t="s">
        <v>600</v>
      </c>
      <c r="B234" s="40">
        <v>46090</v>
      </c>
      <c r="C234" t="s">
        <v>2529</v>
      </c>
      <c r="D234" t="s">
        <v>2529</v>
      </c>
      <c r="E234" s="65">
        <v>15631704</v>
      </c>
      <c r="F234" t="s">
        <v>104</v>
      </c>
      <c r="G234">
        <v>6</v>
      </c>
      <c r="I234" s="40">
        <v>46274</v>
      </c>
      <c r="J234" t="s">
        <v>2530</v>
      </c>
    </row>
    <row r="235" spans="1:10">
      <c r="A235" t="s">
        <v>600</v>
      </c>
      <c r="B235" s="40">
        <v>46090</v>
      </c>
      <c r="C235" t="s">
        <v>1177</v>
      </c>
      <c r="D235" t="s">
        <v>1177</v>
      </c>
      <c r="E235" s="65">
        <v>39075696</v>
      </c>
      <c r="F235" t="s">
        <v>104</v>
      </c>
      <c r="G235">
        <v>6</v>
      </c>
      <c r="I235" s="40">
        <v>46274</v>
      </c>
      <c r="J235" t="s">
        <v>2531</v>
      </c>
    </row>
    <row r="236" spans="1:10">
      <c r="A236" t="s">
        <v>419</v>
      </c>
      <c r="B236" s="40">
        <v>46090</v>
      </c>
      <c r="C236" t="s">
        <v>1963</v>
      </c>
      <c r="D236" t="s">
        <v>1963</v>
      </c>
      <c r="E236" s="65">
        <v>78160896</v>
      </c>
      <c r="F236" t="s">
        <v>104</v>
      </c>
      <c r="G236">
        <v>6</v>
      </c>
      <c r="I236" s="40">
        <v>46274</v>
      </c>
      <c r="J236" t="s">
        <v>2532</v>
      </c>
    </row>
    <row r="237" spans="1:10">
      <c r="A237" t="s">
        <v>419</v>
      </c>
      <c r="B237" s="40">
        <v>46090</v>
      </c>
      <c r="C237" t="s">
        <v>1977</v>
      </c>
      <c r="D237" t="s">
        <v>1977</v>
      </c>
      <c r="E237" s="65">
        <v>38114304</v>
      </c>
      <c r="F237" t="s">
        <v>104</v>
      </c>
      <c r="G237">
        <v>6</v>
      </c>
      <c r="I237" s="40">
        <v>46274</v>
      </c>
      <c r="J237" t="s">
        <v>2533</v>
      </c>
    </row>
    <row r="238" spans="1:10">
      <c r="A238" t="s">
        <v>419</v>
      </c>
      <c r="B238" s="40">
        <v>46090</v>
      </c>
      <c r="C238" t="s">
        <v>2534</v>
      </c>
      <c r="D238" t="s">
        <v>2534</v>
      </c>
      <c r="E238" s="65">
        <v>29700096</v>
      </c>
      <c r="F238" t="s">
        <v>104</v>
      </c>
      <c r="G238">
        <v>6</v>
      </c>
      <c r="I238" s="40">
        <v>46274</v>
      </c>
      <c r="J238" t="s">
        <v>2535</v>
      </c>
    </row>
    <row r="239" spans="1:10">
      <c r="A239" t="s">
        <v>419</v>
      </c>
      <c r="B239" s="40">
        <v>46090</v>
      </c>
      <c r="C239" t="s">
        <v>2536</v>
      </c>
      <c r="D239" t="s">
        <v>2536</v>
      </c>
      <c r="E239" s="65">
        <v>23448576</v>
      </c>
      <c r="F239" t="s">
        <v>104</v>
      </c>
      <c r="G239">
        <v>6</v>
      </c>
      <c r="I239" s="40">
        <v>46274</v>
      </c>
      <c r="J239" t="s">
        <v>2537</v>
      </c>
    </row>
    <row r="240" spans="1:10">
      <c r="A240" t="s">
        <v>419</v>
      </c>
      <c r="B240" s="40">
        <v>46090</v>
      </c>
      <c r="C240" t="s">
        <v>1976</v>
      </c>
      <c r="D240" t="s">
        <v>1976</v>
      </c>
      <c r="E240" s="65">
        <v>117242880</v>
      </c>
      <c r="F240" t="s">
        <v>104</v>
      </c>
      <c r="G240">
        <v>6</v>
      </c>
      <c r="I240" s="40">
        <v>46274</v>
      </c>
      <c r="J240" t="s">
        <v>2538</v>
      </c>
    </row>
    <row r="241" spans="1:10">
      <c r="A241" t="s">
        <v>419</v>
      </c>
      <c r="B241" s="40">
        <v>46090</v>
      </c>
      <c r="C241" t="s">
        <v>1104</v>
      </c>
      <c r="D241" t="s">
        <v>1104</v>
      </c>
      <c r="E241" s="65">
        <v>79997952</v>
      </c>
      <c r="F241" t="s">
        <v>104</v>
      </c>
      <c r="G241">
        <v>6</v>
      </c>
      <c r="I241" s="40">
        <v>46274</v>
      </c>
      <c r="J241" t="s">
        <v>2539</v>
      </c>
    </row>
    <row r="242" spans="1:10">
      <c r="A242" t="s">
        <v>419</v>
      </c>
      <c r="B242" s="40">
        <v>46090</v>
      </c>
      <c r="C242" t="s">
        <v>1347</v>
      </c>
      <c r="D242" t="s">
        <v>1347</v>
      </c>
      <c r="E242" s="65">
        <v>156321792</v>
      </c>
      <c r="F242" t="s">
        <v>104</v>
      </c>
      <c r="G242">
        <v>6</v>
      </c>
      <c r="I242" s="40">
        <v>46274</v>
      </c>
      <c r="J242" t="s">
        <v>2540</v>
      </c>
    </row>
    <row r="243" spans="1:10">
      <c r="A243" t="s">
        <v>832</v>
      </c>
      <c r="B243" s="40">
        <v>46066</v>
      </c>
      <c r="C243" t="s">
        <v>1291</v>
      </c>
      <c r="D243" t="s">
        <v>1291</v>
      </c>
      <c r="E243" s="65">
        <v>38592972</v>
      </c>
      <c r="F243" t="s">
        <v>104</v>
      </c>
      <c r="G243">
        <v>11</v>
      </c>
      <c r="I243" s="40">
        <v>46400</v>
      </c>
    </row>
    <row r="244" spans="1:10">
      <c r="A244" t="s">
        <v>832</v>
      </c>
      <c r="B244" s="40">
        <v>46066</v>
      </c>
      <c r="C244" t="s">
        <v>1211</v>
      </c>
      <c r="D244" t="s">
        <v>1211</v>
      </c>
      <c r="E244" s="65">
        <v>23390664</v>
      </c>
      <c r="F244" t="s">
        <v>104</v>
      </c>
      <c r="G244">
        <v>6</v>
      </c>
      <c r="I244" s="40">
        <v>46247</v>
      </c>
    </row>
    <row r="245" spans="1:10">
      <c r="A245" t="s">
        <v>832</v>
      </c>
      <c r="B245" s="40">
        <v>46066</v>
      </c>
      <c r="C245" t="s">
        <v>1411</v>
      </c>
      <c r="D245" t="s">
        <v>1411</v>
      </c>
      <c r="E245" s="65">
        <v>23390664</v>
      </c>
      <c r="F245" t="s">
        <v>104</v>
      </c>
      <c r="G245">
        <v>6</v>
      </c>
      <c r="I245" s="40">
        <v>46247</v>
      </c>
    </row>
    <row r="246" spans="1:10">
      <c r="A246" t="s">
        <v>832</v>
      </c>
      <c r="B246" s="40">
        <v>46066</v>
      </c>
      <c r="C246" t="s">
        <v>2162</v>
      </c>
      <c r="D246" t="s">
        <v>2162</v>
      </c>
      <c r="E246" s="65">
        <v>31183944</v>
      </c>
      <c r="F246" t="s">
        <v>104</v>
      </c>
      <c r="G246">
        <v>9</v>
      </c>
      <c r="I246" s="40">
        <v>46339</v>
      </c>
    </row>
    <row r="247" spans="1:10">
      <c r="A247" t="s">
        <v>390</v>
      </c>
      <c r="B247" s="40">
        <v>46066</v>
      </c>
      <c r="C247" t="s">
        <v>2541</v>
      </c>
      <c r="D247" t="s">
        <v>2541</v>
      </c>
      <c r="E247" s="65">
        <v>38998708</v>
      </c>
      <c r="F247" t="s">
        <v>104</v>
      </c>
      <c r="G247">
        <v>6</v>
      </c>
      <c r="I247" s="40">
        <v>46247</v>
      </c>
    </row>
    <row r="248" spans="1:10">
      <c r="A248" t="s">
        <v>390</v>
      </c>
      <c r="B248" s="40">
        <v>46066</v>
      </c>
      <c r="C248" t="s">
        <v>1314</v>
      </c>
      <c r="D248" t="s">
        <v>1314</v>
      </c>
      <c r="E248" s="65">
        <v>200112472</v>
      </c>
      <c r="F248" t="s">
        <v>104</v>
      </c>
      <c r="G248">
        <v>6</v>
      </c>
      <c r="I248" s="40">
        <v>46247</v>
      </c>
    </row>
    <row r="249" spans="1:10">
      <c r="A249" t="s">
        <v>390</v>
      </c>
      <c r="B249" s="40">
        <v>46066</v>
      </c>
      <c r="C249" t="s">
        <v>1113</v>
      </c>
      <c r="D249" t="s">
        <v>1113</v>
      </c>
      <c r="E249" s="65">
        <v>194933270</v>
      </c>
      <c r="F249" t="s">
        <v>104</v>
      </c>
      <c r="G249">
        <v>6</v>
      </c>
      <c r="I249" s="40">
        <v>46247</v>
      </c>
    </row>
    <row r="250" spans="1:10">
      <c r="A250" t="s">
        <v>390</v>
      </c>
      <c r="B250" s="40">
        <v>46066</v>
      </c>
      <c r="C250" t="s">
        <v>1315</v>
      </c>
      <c r="D250" t="s">
        <v>1315</v>
      </c>
      <c r="E250" s="65">
        <v>140348740</v>
      </c>
      <c r="F250" t="s">
        <v>104</v>
      </c>
      <c r="G250">
        <v>6</v>
      </c>
      <c r="I250" s="40">
        <v>46247</v>
      </c>
    </row>
    <row r="251" spans="1:10">
      <c r="A251" t="s">
        <v>390</v>
      </c>
      <c r="B251" s="40">
        <v>46066</v>
      </c>
      <c r="C251" t="s">
        <v>1316</v>
      </c>
      <c r="D251" t="s">
        <v>1316</v>
      </c>
      <c r="E251" s="65">
        <v>59996776</v>
      </c>
      <c r="F251" t="s">
        <v>104</v>
      </c>
      <c r="G251">
        <v>6</v>
      </c>
      <c r="I251" s="40">
        <v>46247</v>
      </c>
    </row>
    <row r="252" spans="1:10">
      <c r="A252" t="s">
        <v>390</v>
      </c>
      <c r="B252" s="40">
        <v>46066</v>
      </c>
      <c r="C252" t="s">
        <v>1317</v>
      </c>
      <c r="D252" t="s">
        <v>1317</v>
      </c>
      <c r="E252" s="65">
        <v>54998384</v>
      </c>
      <c r="F252" t="s">
        <v>104</v>
      </c>
      <c r="G252">
        <v>6</v>
      </c>
      <c r="I252" s="40">
        <v>46247</v>
      </c>
    </row>
    <row r="253" spans="1:10">
      <c r="A253" t="s">
        <v>390</v>
      </c>
      <c r="B253" s="40">
        <v>46066</v>
      </c>
      <c r="C253" t="s">
        <v>2542</v>
      </c>
      <c r="D253" t="s">
        <v>2542</v>
      </c>
      <c r="E253" s="65">
        <v>46781574</v>
      </c>
      <c r="F253" t="s">
        <v>104</v>
      </c>
      <c r="G253">
        <v>6</v>
      </c>
      <c r="I253" s="40">
        <v>46247</v>
      </c>
      <c r="J253" t="s">
        <v>2543</v>
      </c>
    </row>
    <row r="254" spans="1:10">
      <c r="A254" t="s">
        <v>390</v>
      </c>
      <c r="B254" s="40">
        <v>46066</v>
      </c>
      <c r="C254" t="s">
        <v>2544</v>
      </c>
      <c r="D254" t="s">
        <v>2544</v>
      </c>
      <c r="E254" s="65">
        <v>33996298</v>
      </c>
      <c r="F254" t="s">
        <v>104</v>
      </c>
      <c r="G254">
        <v>6</v>
      </c>
      <c r="I254" s="40">
        <v>46247</v>
      </c>
    </row>
    <row r="255" spans="1:10">
      <c r="A255" t="s">
        <v>390</v>
      </c>
      <c r="B255" s="40">
        <v>46066</v>
      </c>
      <c r="C255" t="s">
        <v>2545</v>
      </c>
      <c r="D255" t="s">
        <v>2545</v>
      </c>
      <c r="E255" s="65">
        <v>27017032</v>
      </c>
      <c r="F255" t="s">
        <v>104</v>
      </c>
      <c r="G255">
        <v>6</v>
      </c>
      <c r="I255" s="40">
        <v>46247</v>
      </c>
    </row>
    <row r="256" spans="1:10">
      <c r="A256" t="s">
        <v>390</v>
      </c>
      <c r="B256" s="40">
        <v>46066</v>
      </c>
      <c r="C256" t="s">
        <v>2463</v>
      </c>
      <c r="D256" t="s">
        <v>2463</v>
      </c>
      <c r="E256" s="65">
        <v>23388778</v>
      </c>
      <c r="F256" t="s">
        <v>104</v>
      </c>
      <c r="G256">
        <v>6</v>
      </c>
      <c r="I256" s="40">
        <v>46247</v>
      </c>
      <c r="J256" t="s">
        <v>2464</v>
      </c>
    </row>
    <row r="257" spans="1:10">
      <c r="A257" t="s">
        <v>390</v>
      </c>
      <c r="B257" s="40">
        <v>46066</v>
      </c>
      <c r="C257" t="s">
        <v>1914</v>
      </c>
      <c r="D257" t="s">
        <v>1914</v>
      </c>
      <c r="E257" s="65">
        <v>38986654</v>
      </c>
      <c r="F257" t="s">
        <v>104</v>
      </c>
      <c r="G257">
        <v>6</v>
      </c>
      <c r="I257" s="40">
        <v>46247</v>
      </c>
      <c r="J257" t="s">
        <v>2445</v>
      </c>
    </row>
    <row r="258" spans="1:10">
      <c r="A258" t="s">
        <v>390</v>
      </c>
      <c r="B258" s="40">
        <v>46066</v>
      </c>
      <c r="C258" t="s">
        <v>1300</v>
      </c>
      <c r="D258" t="s">
        <v>1300</v>
      </c>
      <c r="E258" s="65">
        <v>23388778</v>
      </c>
      <c r="F258" t="s">
        <v>104</v>
      </c>
      <c r="G258">
        <v>6</v>
      </c>
      <c r="I258" s="40">
        <v>46247</v>
      </c>
    </row>
    <row r="259" spans="1:10">
      <c r="A259" t="s">
        <v>390</v>
      </c>
      <c r="B259" s="40">
        <v>46066</v>
      </c>
      <c r="C259" t="s">
        <v>2546</v>
      </c>
      <c r="D259" t="s">
        <v>2546</v>
      </c>
      <c r="E259" s="65">
        <v>38986654</v>
      </c>
      <c r="F259" t="s">
        <v>104</v>
      </c>
      <c r="G259">
        <v>6</v>
      </c>
      <c r="I259" s="40">
        <v>46247</v>
      </c>
    </row>
    <row r="260" spans="1:10">
      <c r="A260" t="s">
        <v>390</v>
      </c>
      <c r="B260" s="40">
        <v>46066</v>
      </c>
      <c r="C260" t="s">
        <v>2547</v>
      </c>
      <c r="D260" t="s">
        <v>2547</v>
      </c>
      <c r="E260" s="65">
        <v>23388778</v>
      </c>
      <c r="F260" t="s">
        <v>104</v>
      </c>
      <c r="G260">
        <v>6</v>
      </c>
      <c r="I260" s="40">
        <v>46247</v>
      </c>
    </row>
    <row r="261" spans="1:10">
      <c r="A261" t="s">
        <v>390</v>
      </c>
      <c r="B261" s="40">
        <v>46066</v>
      </c>
      <c r="C261" t="s">
        <v>2529</v>
      </c>
      <c r="D261" t="s">
        <v>2529</v>
      </c>
      <c r="E261" s="65">
        <v>15593858</v>
      </c>
      <c r="F261" t="s">
        <v>104</v>
      </c>
      <c r="G261">
        <v>6</v>
      </c>
      <c r="I261" s="40">
        <v>46247</v>
      </c>
    </row>
    <row r="262" spans="1:10">
      <c r="A262" t="s">
        <v>390</v>
      </c>
      <c r="B262" s="40">
        <v>46066</v>
      </c>
      <c r="C262" t="s">
        <v>1105</v>
      </c>
      <c r="D262" t="s">
        <v>1105</v>
      </c>
      <c r="E262" s="65">
        <v>7999838</v>
      </c>
      <c r="F262" t="s">
        <v>104</v>
      </c>
      <c r="G262">
        <v>6</v>
      </c>
      <c r="I262" s="40">
        <v>46247</v>
      </c>
    </row>
    <row r="263" spans="1:10">
      <c r="A263" t="s">
        <v>313</v>
      </c>
      <c r="B263" s="40">
        <v>46064</v>
      </c>
      <c r="C263" t="s">
        <v>1094</v>
      </c>
      <c r="D263" t="s">
        <v>1094</v>
      </c>
      <c r="E263" s="65">
        <v>155907780</v>
      </c>
      <c r="F263" t="s">
        <v>104</v>
      </c>
      <c r="G263">
        <v>6</v>
      </c>
      <c r="I263" s="40">
        <v>46245</v>
      </c>
    </row>
    <row r="264" spans="1:10">
      <c r="A264" t="s">
        <v>313</v>
      </c>
      <c r="B264" s="40">
        <v>46064</v>
      </c>
      <c r="C264" t="s">
        <v>1093</v>
      </c>
      <c r="D264" t="s">
        <v>1093</v>
      </c>
      <c r="E264" s="65">
        <v>155907780</v>
      </c>
      <c r="F264" t="s">
        <v>104</v>
      </c>
      <c r="G264">
        <v>6</v>
      </c>
      <c r="I264" s="40">
        <v>46245</v>
      </c>
    </row>
    <row r="265" spans="1:10">
      <c r="A265" t="s">
        <v>313</v>
      </c>
      <c r="B265" s="40">
        <v>46064</v>
      </c>
      <c r="C265" t="s">
        <v>2548</v>
      </c>
      <c r="D265" t="s">
        <v>2548</v>
      </c>
      <c r="E265" s="65">
        <v>116931980</v>
      </c>
      <c r="F265" t="s">
        <v>104</v>
      </c>
      <c r="G265">
        <v>6</v>
      </c>
      <c r="I265" s="40">
        <v>46245</v>
      </c>
    </row>
    <row r="266" spans="1:10">
      <c r="A266" t="s">
        <v>313</v>
      </c>
      <c r="B266" s="40">
        <v>46064</v>
      </c>
      <c r="C266" t="s">
        <v>2549</v>
      </c>
      <c r="D266" t="s">
        <v>2549</v>
      </c>
      <c r="E266" s="65">
        <v>77951600</v>
      </c>
      <c r="F266" t="s">
        <v>104</v>
      </c>
      <c r="G266">
        <v>6</v>
      </c>
      <c r="I266" s="40">
        <v>46245</v>
      </c>
    </row>
    <row r="267" spans="1:10">
      <c r="A267" t="s">
        <v>313</v>
      </c>
      <c r="B267" s="40">
        <v>46064</v>
      </c>
      <c r="C267" t="s">
        <v>1091</v>
      </c>
      <c r="D267" t="s">
        <v>1091</v>
      </c>
      <c r="E267" s="65">
        <v>233863960</v>
      </c>
      <c r="F267" t="s">
        <v>104</v>
      </c>
      <c r="G267">
        <v>6</v>
      </c>
      <c r="I267" s="40">
        <v>46245</v>
      </c>
    </row>
    <row r="268" spans="1:10">
      <c r="A268" t="s">
        <v>313</v>
      </c>
      <c r="B268" s="40">
        <v>46064</v>
      </c>
      <c r="C268" t="s">
        <v>2423</v>
      </c>
      <c r="D268" t="s">
        <v>2423</v>
      </c>
      <c r="E268" s="65">
        <v>155907780</v>
      </c>
      <c r="F268" t="s">
        <v>104</v>
      </c>
      <c r="G268">
        <v>6</v>
      </c>
      <c r="I268" s="40">
        <v>46245</v>
      </c>
    </row>
    <row r="269" spans="1:10">
      <c r="A269" t="s">
        <v>313</v>
      </c>
      <c r="B269" s="40">
        <v>46064</v>
      </c>
      <c r="C269" t="s">
        <v>1092</v>
      </c>
      <c r="D269" t="s">
        <v>1092</v>
      </c>
      <c r="E269" s="65">
        <v>233863960</v>
      </c>
      <c r="F269" t="s">
        <v>104</v>
      </c>
      <c r="G269">
        <v>6</v>
      </c>
      <c r="I269" s="40">
        <v>46245</v>
      </c>
    </row>
    <row r="270" spans="1:10">
      <c r="A270" t="s">
        <v>313</v>
      </c>
      <c r="B270" s="40">
        <v>46064</v>
      </c>
      <c r="C270" t="s">
        <v>1210</v>
      </c>
      <c r="D270" t="s">
        <v>1210</v>
      </c>
      <c r="E270" s="65">
        <v>155907780</v>
      </c>
      <c r="F270" t="s">
        <v>104</v>
      </c>
      <c r="G270">
        <v>6</v>
      </c>
      <c r="I270" s="40">
        <v>46245</v>
      </c>
    </row>
    <row r="271" spans="1:10">
      <c r="A271" t="s">
        <v>313</v>
      </c>
      <c r="B271" s="40">
        <v>46064</v>
      </c>
      <c r="C271" t="s">
        <v>1090</v>
      </c>
      <c r="D271" t="s">
        <v>1090</v>
      </c>
      <c r="E271" s="65">
        <v>779548060</v>
      </c>
      <c r="F271" t="s">
        <v>104</v>
      </c>
      <c r="G271">
        <v>6</v>
      </c>
      <c r="I271" s="40">
        <v>46245</v>
      </c>
    </row>
    <row r="272" spans="1:10">
      <c r="A272" t="s">
        <v>313</v>
      </c>
      <c r="B272" s="40">
        <v>46064</v>
      </c>
      <c r="C272" t="s">
        <v>2550</v>
      </c>
      <c r="D272" t="s">
        <v>2550</v>
      </c>
      <c r="E272" s="65">
        <v>77951600</v>
      </c>
      <c r="F272" t="s">
        <v>104</v>
      </c>
      <c r="G272">
        <v>6</v>
      </c>
      <c r="I272" s="40">
        <v>46245</v>
      </c>
      <c r="J272" t="s">
        <v>2551</v>
      </c>
    </row>
    <row r="273" spans="1:10">
      <c r="A273" t="s">
        <v>890</v>
      </c>
      <c r="B273" s="40">
        <v>46063</v>
      </c>
      <c r="C273" t="s">
        <v>1338</v>
      </c>
      <c r="D273" t="s">
        <v>1338</v>
      </c>
      <c r="E273" s="65">
        <v>272928060</v>
      </c>
      <c r="F273" t="s">
        <v>104</v>
      </c>
      <c r="G273">
        <v>6</v>
      </c>
      <c r="I273" s="40">
        <v>46244</v>
      </c>
      <c r="J273" t="s">
        <v>2413</v>
      </c>
    </row>
    <row r="274" spans="1:10">
      <c r="A274" t="s">
        <v>890</v>
      </c>
      <c r="B274" s="40">
        <v>46063</v>
      </c>
      <c r="C274" t="s">
        <v>1993</v>
      </c>
      <c r="D274" t="s">
        <v>1993</v>
      </c>
      <c r="E274" s="65">
        <v>272928060</v>
      </c>
      <c r="F274" t="s">
        <v>104</v>
      </c>
      <c r="G274">
        <v>6</v>
      </c>
      <c r="I274" s="40">
        <v>46244</v>
      </c>
      <c r="J274" t="s">
        <v>2552</v>
      </c>
    </row>
    <row r="275" spans="1:10">
      <c r="A275" t="s">
        <v>890</v>
      </c>
      <c r="B275" s="40">
        <v>46063</v>
      </c>
      <c r="C275" t="s">
        <v>1994</v>
      </c>
      <c r="D275" t="s">
        <v>1994</v>
      </c>
      <c r="E275" s="65">
        <v>155957280</v>
      </c>
      <c r="F275" t="s">
        <v>104</v>
      </c>
      <c r="G275">
        <v>6</v>
      </c>
      <c r="I275" s="40">
        <v>46244</v>
      </c>
    </row>
    <row r="276" spans="1:10">
      <c r="A276" t="s">
        <v>890</v>
      </c>
      <c r="B276" s="40">
        <v>46063</v>
      </c>
      <c r="C276" t="s">
        <v>1995</v>
      </c>
      <c r="D276" t="s">
        <v>1995</v>
      </c>
      <c r="E276" s="65">
        <v>77978640</v>
      </c>
      <c r="F276" t="s">
        <v>104</v>
      </c>
      <c r="G276">
        <v>6</v>
      </c>
      <c r="I276" s="40">
        <v>46244</v>
      </c>
      <c r="J276" t="s">
        <v>2553</v>
      </c>
    </row>
    <row r="277" spans="1:10">
      <c r="A277" t="s">
        <v>890</v>
      </c>
      <c r="B277" s="40">
        <v>46063</v>
      </c>
      <c r="C277" t="s">
        <v>2529</v>
      </c>
      <c r="D277" t="s">
        <v>2529</v>
      </c>
      <c r="E277" s="65">
        <v>54583920</v>
      </c>
      <c r="F277" t="s">
        <v>104</v>
      </c>
      <c r="G277">
        <v>6</v>
      </c>
      <c r="I277" s="40">
        <v>46244</v>
      </c>
      <c r="J277" t="s">
        <v>2530</v>
      </c>
    </row>
    <row r="278" spans="1:10">
      <c r="A278" t="s">
        <v>890</v>
      </c>
      <c r="B278" s="40">
        <v>46063</v>
      </c>
      <c r="C278" t="s">
        <v>2068</v>
      </c>
      <c r="D278" t="s">
        <v>2068</v>
      </c>
      <c r="E278" s="65">
        <v>54583920</v>
      </c>
      <c r="F278" t="s">
        <v>104</v>
      </c>
      <c r="G278">
        <v>6</v>
      </c>
      <c r="I278" s="40">
        <v>46244</v>
      </c>
      <c r="J278" t="s">
        <v>2554</v>
      </c>
    </row>
    <row r="279" spans="1:10">
      <c r="A279" t="s">
        <v>890</v>
      </c>
      <c r="B279" s="40">
        <v>46063</v>
      </c>
      <c r="C279" t="s">
        <v>2555</v>
      </c>
      <c r="D279" t="s">
        <v>2555</v>
      </c>
      <c r="E279" s="65">
        <v>54583920</v>
      </c>
      <c r="F279" t="s">
        <v>104</v>
      </c>
      <c r="G279">
        <v>6</v>
      </c>
      <c r="I279" s="40">
        <v>46244</v>
      </c>
      <c r="J279" t="s">
        <v>2556</v>
      </c>
    </row>
    <row r="280" spans="1:10">
      <c r="A280" t="s">
        <v>890</v>
      </c>
      <c r="B280" s="40">
        <v>46063</v>
      </c>
      <c r="C280" t="s">
        <v>1341</v>
      </c>
      <c r="D280" t="s">
        <v>1341</v>
      </c>
      <c r="E280" s="65">
        <v>38989320</v>
      </c>
      <c r="F280" t="s">
        <v>104</v>
      </c>
      <c r="G280">
        <v>6</v>
      </c>
      <c r="I280" s="40">
        <v>46244</v>
      </c>
    </row>
    <row r="281" spans="1:10">
      <c r="A281" t="s">
        <v>890</v>
      </c>
      <c r="B281" s="40">
        <v>46063</v>
      </c>
      <c r="C281" t="s">
        <v>1638</v>
      </c>
      <c r="D281" t="s">
        <v>1638</v>
      </c>
      <c r="E281" s="65">
        <v>38989320</v>
      </c>
      <c r="F281" t="s">
        <v>104</v>
      </c>
      <c r="G281">
        <v>6</v>
      </c>
      <c r="I281" s="40">
        <v>46244</v>
      </c>
    </row>
    <row r="282" spans="1:10">
      <c r="A282" t="s">
        <v>890</v>
      </c>
      <c r="B282" s="40">
        <v>46063</v>
      </c>
      <c r="C282" t="s">
        <v>2414</v>
      </c>
      <c r="D282" t="s">
        <v>2414</v>
      </c>
      <c r="E282" s="65">
        <v>15594600</v>
      </c>
      <c r="F282" t="s">
        <v>104</v>
      </c>
      <c r="G282">
        <v>6</v>
      </c>
      <c r="I282" s="40">
        <v>46244</v>
      </c>
      <c r="J282" t="s">
        <v>2557</v>
      </c>
    </row>
    <row r="283" spans="1:10">
      <c r="A283" t="s">
        <v>890</v>
      </c>
      <c r="B283" s="40">
        <v>46063</v>
      </c>
      <c r="C283" t="s">
        <v>2558</v>
      </c>
      <c r="D283" t="s">
        <v>2558</v>
      </c>
      <c r="E283" s="65">
        <v>38989320</v>
      </c>
      <c r="F283" t="s">
        <v>104</v>
      </c>
      <c r="G283">
        <v>6</v>
      </c>
      <c r="I283" s="40">
        <v>46244</v>
      </c>
    </row>
    <row r="284" spans="1:10">
      <c r="A284" t="s">
        <v>890</v>
      </c>
      <c r="B284" s="40">
        <v>46063</v>
      </c>
      <c r="C284" t="s">
        <v>2559</v>
      </c>
      <c r="D284" t="s">
        <v>2559</v>
      </c>
      <c r="E284" s="65">
        <v>38989320</v>
      </c>
      <c r="F284" t="s">
        <v>104</v>
      </c>
      <c r="G284">
        <v>6</v>
      </c>
      <c r="I284" s="40">
        <v>46244</v>
      </c>
      <c r="J284" t="s">
        <v>2560</v>
      </c>
    </row>
    <row r="285" spans="1:10">
      <c r="A285" t="s">
        <v>890</v>
      </c>
      <c r="B285" s="40">
        <v>46063</v>
      </c>
      <c r="C285" t="s">
        <v>1291</v>
      </c>
      <c r="D285" t="s">
        <v>1291</v>
      </c>
      <c r="E285" s="65">
        <v>210544020</v>
      </c>
      <c r="F285" t="s">
        <v>104</v>
      </c>
      <c r="G285">
        <v>6</v>
      </c>
      <c r="I285" s="40">
        <v>46244</v>
      </c>
    </row>
    <row r="286" spans="1:10">
      <c r="A286" t="s">
        <v>890</v>
      </c>
      <c r="B286" s="40">
        <v>46063</v>
      </c>
      <c r="C286" t="s">
        <v>2561</v>
      </c>
      <c r="D286" t="s">
        <v>2561</v>
      </c>
      <c r="E286" s="65">
        <v>38989320</v>
      </c>
      <c r="F286" t="s">
        <v>104</v>
      </c>
      <c r="G286">
        <v>6</v>
      </c>
      <c r="I286" s="40">
        <v>46244</v>
      </c>
    </row>
    <row r="287" spans="1:10">
      <c r="A287" t="s">
        <v>890</v>
      </c>
      <c r="B287" s="40">
        <v>46063</v>
      </c>
      <c r="C287" t="s">
        <v>2562</v>
      </c>
      <c r="D287" t="s">
        <v>2562</v>
      </c>
      <c r="E287" s="65">
        <v>38989320</v>
      </c>
      <c r="F287" t="s">
        <v>104</v>
      </c>
      <c r="G287">
        <v>6</v>
      </c>
      <c r="I287" s="40">
        <v>46244</v>
      </c>
    </row>
    <row r="288" spans="1:10">
      <c r="A288" t="s">
        <v>890</v>
      </c>
      <c r="B288" s="40">
        <v>46063</v>
      </c>
      <c r="C288" t="s">
        <v>2563</v>
      </c>
      <c r="D288" t="s">
        <v>2563</v>
      </c>
      <c r="E288" s="65">
        <v>38989320</v>
      </c>
      <c r="F288" t="s">
        <v>104</v>
      </c>
      <c r="G288">
        <v>6</v>
      </c>
      <c r="I288" s="40">
        <v>46244</v>
      </c>
    </row>
    <row r="289" spans="1:10">
      <c r="A289" t="s">
        <v>793</v>
      </c>
      <c r="B289" s="40">
        <v>46063</v>
      </c>
      <c r="C289" t="s">
        <v>1385</v>
      </c>
      <c r="D289" t="s">
        <v>1385</v>
      </c>
      <c r="E289" s="65">
        <v>49998375</v>
      </c>
      <c r="F289" t="s">
        <v>104</v>
      </c>
    </row>
    <row r="290" spans="1:10">
      <c r="A290" t="s">
        <v>793</v>
      </c>
      <c r="B290" s="40">
        <v>46063</v>
      </c>
      <c r="C290" t="s">
        <v>1384</v>
      </c>
      <c r="D290" t="s">
        <v>1384</v>
      </c>
      <c r="E290" s="65">
        <v>79998625</v>
      </c>
      <c r="F290" t="s">
        <v>104</v>
      </c>
      <c r="J290" t="s">
        <v>2564</v>
      </c>
    </row>
    <row r="291" spans="1:10">
      <c r="A291" t="s">
        <v>487</v>
      </c>
      <c r="B291" s="40">
        <v>46062</v>
      </c>
      <c r="C291" t="s">
        <v>1302</v>
      </c>
      <c r="D291" t="s">
        <v>1302</v>
      </c>
      <c r="E291" s="65">
        <v>62381004</v>
      </c>
      <c r="F291" t="s">
        <v>104</v>
      </c>
      <c r="G291">
        <v>6</v>
      </c>
      <c r="I291" s="40">
        <v>46243</v>
      </c>
      <c r="J291" t="s">
        <v>2565</v>
      </c>
    </row>
    <row r="292" spans="1:10">
      <c r="A292" t="s">
        <v>487</v>
      </c>
      <c r="B292" s="40">
        <v>46062</v>
      </c>
      <c r="C292" t="s">
        <v>1166</v>
      </c>
      <c r="D292" t="s">
        <v>1166</v>
      </c>
      <c r="E292" s="65">
        <v>514653972</v>
      </c>
      <c r="F292" t="s">
        <v>104</v>
      </c>
      <c r="G292">
        <v>6</v>
      </c>
      <c r="I292" s="40">
        <v>46243</v>
      </c>
      <c r="J292" t="s">
        <v>2402</v>
      </c>
    </row>
    <row r="293" spans="1:10">
      <c r="A293" t="s">
        <v>487</v>
      </c>
      <c r="B293" s="40">
        <v>46062</v>
      </c>
      <c r="C293" t="s">
        <v>1119</v>
      </c>
      <c r="D293" t="s">
        <v>1119</v>
      </c>
      <c r="E293" s="65">
        <v>514653972</v>
      </c>
      <c r="F293" t="s">
        <v>104</v>
      </c>
      <c r="G293">
        <v>6</v>
      </c>
      <c r="I293" s="40">
        <v>46243</v>
      </c>
    </row>
    <row r="294" spans="1:10">
      <c r="A294" t="s">
        <v>487</v>
      </c>
      <c r="B294" s="40">
        <v>46062</v>
      </c>
      <c r="C294" t="s">
        <v>1163</v>
      </c>
      <c r="D294" t="s">
        <v>1163</v>
      </c>
      <c r="E294" s="65">
        <v>350898492</v>
      </c>
      <c r="F294" t="s">
        <v>104</v>
      </c>
      <c r="G294">
        <v>6</v>
      </c>
      <c r="I294" s="40">
        <v>46243</v>
      </c>
      <c r="J294" t="s">
        <v>2566</v>
      </c>
    </row>
    <row r="295" spans="1:10">
      <c r="A295" t="s">
        <v>487</v>
      </c>
      <c r="B295" s="40">
        <v>46062</v>
      </c>
      <c r="C295" t="s">
        <v>1164</v>
      </c>
      <c r="D295" t="s">
        <v>1164</v>
      </c>
      <c r="E295" s="65">
        <v>163755480</v>
      </c>
      <c r="F295" t="s">
        <v>104</v>
      </c>
      <c r="G295">
        <v>6</v>
      </c>
      <c r="I295" s="40">
        <v>46243</v>
      </c>
      <c r="J295" t="s">
        <v>2428</v>
      </c>
    </row>
    <row r="296" spans="1:10">
      <c r="A296" t="s">
        <v>487</v>
      </c>
      <c r="B296" s="40">
        <v>46062</v>
      </c>
      <c r="C296" t="s">
        <v>1167</v>
      </c>
      <c r="D296" t="s">
        <v>1167</v>
      </c>
      <c r="E296" s="65">
        <v>428885436</v>
      </c>
      <c r="F296" t="s">
        <v>104</v>
      </c>
      <c r="G296">
        <v>6</v>
      </c>
      <c r="I296" s="40">
        <v>46243</v>
      </c>
      <c r="J296" t="s">
        <v>2380</v>
      </c>
    </row>
    <row r="297" spans="1:10">
      <c r="A297" t="s">
        <v>487</v>
      </c>
      <c r="B297" s="40">
        <v>46062</v>
      </c>
      <c r="C297" t="s">
        <v>1090</v>
      </c>
      <c r="D297" t="s">
        <v>1090</v>
      </c>
      <c r="E297" s="65">
        <v>327510960</v>
      </c>
      <c r="F297" t="s">
        <v>104</v>
      </c>
      <c r="G297">
        <v>6</v>
      </c>
      <c r="I297" s="40">
        <v>46243</v>
      </c>
      <c r="J297" t="s">
        <v>2567</v>
      </c>
    </row>
    <row r="298" spans="1:10">
      <c r="A298" t="s">
        <v>487</v>
      </c>
      <c r="B298" s="40">
        <v>46062</v>
      </c>
      <c r="C298" t="s">
        <v>1259</v>
      </c>
      <c r="D298" t="s">
        <v>1259</v>
      </c>
      <c r="E298" s="65">
        <v>327510960</v>
      </c>
      <c r="F298" t="s">
        <v>104</v>
      </c>
      <c r="G298">
        <v>6</v>
      </c>
      <c r="I298" s="40">
        <v>46243</v>
      </c>
      <c r="J298" t="s">
        <v>2568</v>
      </c>
    </row>
    <row r="299" spans="1:10">
      <c r="A299" t="s">
        <v>487</v>
      </c>
      <c r="B299" s="40">
        <v>46062</v>
      </c>
      <c r="C299" t="s">
        <v>2569</v>
      </c>
      <c r="D299" t="s">
        <v>2569</v>
      </c>
      <c r="E299" s="65">
        <v>148160229</v>
      </c>
      <c r="F299" t="s">
        <v>104</v>
      </c>
      <c r="G299">
        <v>6</v>
      </c>
      <c r="I299" s="40">
        <v>46243</v>
      </c>
    </row>
    <row r="300" spans="1:10">
      <c r="A300" t="s">
        <v>487</v>
      </c>
      <c r="B300" s="40">
        <v>46062</v>
      </c>
      <c r="C300" t="s">
        <v>1178</v>
      </c>
      <c r="D300" t="s">
        <v>1178</v>
      </c>
      <c r="E300" s="65">
        <v>116959038</v>
      </c>
      <c r="F300" t="s">
        <v>104</v>
      </c>
      <c r="G300">
        <v>6</v>
      </c>
      <c r="I300" s="40">
        <v>46243</v>
      </c>
      <c r="J300" t="s">
        <v>2388</v>
      </c>
    </row>
    <row r="301" spans="1:10">
      <c r="A301" t="s">
        <v>487</v>
      </c>
      <c r="B301" s="40">
        <v>46062</v>
      </c>
      <c r="C301" t="s">
        <v>2570</v>
      </c>
      <c r="D301" t="s">
        <v>2570</v>
      </c>
      <c r="E301" s="65">
        <v>77976255</v>
      </c>
      <c r="F301" t="s">
        <v>104</v>
      </c>
      <c r="G301">
        <v>6</v>
      </c>
      <c r="I301" s="40">
        <v>46243</v>
      </c>
      <c r="J301" t="s">
        <v>2571</v>
      </c>
    </row>
    <row r="302" spans="1:10">
      <c r="A302" t="s">
        <v>487</v>
      </c>
      <c r="B302" s="40">
        <v>46062</v>
      </c>
      <c r="C302" t="s">
        <v>2068</v>
      </c>
      <c r="D302" t="s">
        <v>2068</v>
      </c>
      <c r="E302" s="65">
        <v>77976255</v>
      </c>
      <c r="F302" t="s">
        <v>104</v>
      </c>
      <c r="G302">
        <v>6</v>
      </c>
      <c r="I302" s="40">
        <v>46243</v>
      </c>
      <c r="J302" t="s">
        <v>2554</v>
      </c>
    </row>
    <row r="303" spans="1:10">
      <c r="A303" t="s">
        <v>487</v>
      </c>
      <c r="B303" s="40">
        <v>46062</v>
      </c>
      <c r="C303" t="s">
        <v>1161</v>
      </c>
      <c r="D303" t="s">
        <v>1161</v>
      </c>
      <c r="E303" s="65">
        <v>77976255</v>
      </c>
      <c r="F303" t="s">
        <v>104</v>
      </c>
      <c r="G303">
        <v>6</v>
      </c>
      <c r="I303" s="40">
        <v>46243</v>
      </c>
      <c r="J303" t="s">
        <v>2572</v>
      </c>
    </row>
    <row r="304" spans="1:10">
      <c r="A304" t="s">
        <v>487</v>
      </c>
      <c r="B304" s="40">
        <v>46062</v>
      </c>
      <c r="C304" t="s">
        <v>2573</v>
      </c>
      <c r="D304" t="s">
        <v>2573</v>
      </c>
      <c r="E304" s="65">
        <v>62381004</v>
      </c>
      <c r="F304" t="s">
        <v>104</v>
      </c>
      <c r="G304">
        <v>6</v>
      </c>
      <c r="I304" s="40">
        <v>46243</v>
      </c>
    </row>
    <row r="305" spans="1:10">
      <c r="A305" t="s">
        <v>487</v>
      </c>
      <c r="B305" s="40">
        <v>46062</v>
      </c>
      <c r="C305" t="s">
        <v>1091</v>
      </c>
      <c r="D305" t="s">
        <v>1091</v>
      </c>
      <c r="E305" s="65">
        <v>38982783</v>
      </c>
      <c r="F305" t="s">
        <v>104</v>
      </c>
      <c r="G305">
        <v>6</v>
      </c>
      <c r="I305" s="40">
        <v>46243</v>
      </c>
      <c r="J305" t="s">
        <v>2421</v>
      </c>
    </row>
    <row r="306" spans="1:10">
      <c r="A306" t="s">
        <v>487</v>
      </c>
      <c r="B306" s="40">
        <v>46062</v>
      </c>
      <c r="C306" t="s">
        <v>1093</v>
      </c>
      <c r="D306" t="s">
        <v>1093</v>
      </c>
      <c r="E306" s="65">
        <v>38982783</v>
      </c>
      <c r="F306" t="s">
        <v>104</v>
      </c>
      <c r="G306">
        <v>6</v>
      </c>
      <c r="I306" s="40">
        <v>46243</v>
      </c>
    </row>
    <row r="307" spans="1:10">
      <c r="A307" t="s">
        <v>487</v>
      </c>
      <c r="B307" s="40">
        <v>46062</v>
      </c>
      <c r="C307" t="s">
        <v>2478</v>
      </c>
      <c r="D307" t="s">
        <v>2478</v>
      </c>
      <c r="E307" s="65">
        <v>116959038</v>
      </c>
      <c r="F307" t="s">
        <v>104</v>
      </c>
      <c r="G307">
        <v>6</v>
      </c>
      <c r="I307" s="40">
        <v>46243</v>
      </c>
      <c r="J307" t="s">
        <v>2574</v>
      </c>
    </row>
    <row r="308" spans="1:10">
      <c r="A308" t="s">
        <v>487</v>
      </c>
      <c r="B308" s="40">
        <v>46062</v>
      </c>
      <c r="C308" t="s">
        <v>1209</v>
      </c>
      <c r="D308" t="s">
        <v>1209</v>
      </c>
      <c r="E308" s="65">
        <v>62381004</v>
      </c>
      <c r="F308" t="s">
        <v>104</v>
      </c>
      <c r="G308">
        <v>6</v>
      </c>
      <c r="I308" s="40">
        <v>46243</v>
      </c>
      <c r="J308" t="s">
        <v>2405</v>
      </c>
    </row>
    <row r="309" spans="1:10">
      <c r="A309" t="s">
        <v>693</v>
      </c>
      <c r="B309" s="40">
        <v>46059</v>
      </c>
      <c r="C309" t="s">
        <v>1256</v>
      </c>
      <c r="D309" t="s">
        <v>1256</v>
      </c>
      <c r="E309" s="65">
        <v>7718115</v>
      </c>
      <c r="F309" t="s">
        <v>104</v>
      </c>
      <c r="J309" t="s">
        <v>2575</v>
      </c>
    </row>
    <row r="310" spans="1:10">
      <c r="A310" t="s">
        <v>693</v>
      </c>
      <c r="B310" s="40">
        <v>46059</v>
      </c>
      <c r="C310" t="s">
        <v>1255</v>
      </c>
      <c r="D310" t="s">
        <v>1255</v>
      </c>
      <c r="E310" s="65">
        <v>15439225</v>
      </c>
      <c r="F310" t="s">
        <v>104</v>
      </c>
    </row>
    <row r="311" spans="1:10">
      <c r="A311" t="s">
        <v>693</v>
      </c>
      <c r="B311" s="40">
        <v>46059</v>
      </c>
      <c r="C311" t="s">
        <v>1254</v>
      </c>
      <c r="D311" t="s">
        <v>1254</v>
      </c>
      <c r="E311" s="65">
        <v>23157340</v>
      </c>
      <c r="F311" t="s">
        <v>104</v>
      </c>
      <c r="J311" t="s">
        <v>2576</v>
      </c>
    </row>
    <row r="312" spans="1:10">
      <c r="A312" t="s">
        <v>693</v>
      </c>
      <c r="B312" s="40">
        <v>46059</v>
      </c>
      <c r="C312" t="s">
        <v>1253</v>
      </c>
      <c r="D312" t="s">
        <v>1253</v>
      </c>
      <c r="E312" s="65">
        <v>43559280</v>
      </c>
      <c r="F312" t="s">
        <v>104</v>
      </c>
    </row>
    <row r="313" spans="1:10">
      <c r="A313" t="s">
        <v>231</v>
      </c>
      <c r="B313" s="40">
        <v>46059</v>
      </c>
      <c r="C313" t="s">
        <v>2577</v>
      </c>
      <c r="D313" t="s">
        <v>2577</v>
      </c>
      <c r="E313" s="65">
        <v>77984400</v>
      </c>
      <c r="F313" t="s">
        <v>104</v>
      </c>
      <c r="G313">
        <v>6</v>
      </c>
      <c r="I313" s="40">
        <v>46240</v>
      </c>
      <c r="J313" t="s">
        <v>2578</v>
      </c>
    </row>
    <row r="314" spans="1:10">
      <c r="A314" t="s">
        <v>231</v>
      </c>
      <c r="B314" s="40">
        <v>46059</v>
      </c>
      <c r="C314" t="s">
        <v>2579</v>
      </c>
      <c r="D314" t="s">
        <v>2579</v>
      </c>
      <c r="E314" s="65">
        <v>77984400</v>
      </c>
      <c r="F314" t="s">
        <v>104</v>
      </c>
      <c r="G314">
        <v>6</v>
      </c>
      <c r="I314" s="40">
        <v>46240</v>
      </c>
    </row>
    <row r="315" spans="1:10">
      <c r="A315" t="s">
        <v>231</v>
      </c>
      <c r="B315" s="40">
        <v>46059</v>
      </c>
      <c r="C315" t="s">
        <v>2580</v>
      </c>
      <c r="D315" t="s">
        <v>2580</v>
      </c>
      <c r="E315" s="65">
        <v>233953200</v>
      </c>
      <c r="F315" t="s">
        <v>104</v>
      </c>
      <c r="G315">
        <v>6</v>
      </c>
      <c r="I315" s="40">
        <v>46240</v>
      </c>
      <c r="J315" t="s">
        <v>2581</v>
      </c>
    </row>
    <row r="316" spans="1:10">
      <c r="A316" t="s">
        <v>231</v>
      </c>
      <c r="B316" s="40">
        <v>46059</v>
      </c>
      <c r="C316" t="s">
        <v>1119</v>
      </c>
      <c r="D316" t="s">
        <v>1119</v>
      </c>
      <c r="E316" s="65">
        <v>155968800</v>
      </c>
      <c r="F316" t="s">
        <v>104</v>
      </c>
      <c r="G316">
        <v>6</v>
      </c>
      <c r="I316" s="40">
        <v>46240</v>
      </c>
    </row>
    <row r="317" spans="1:10">
      <c r="A317" t="s">
        <v>231</v>
      </c>
      <c r="B317" s="40">
        <v>46059</v>
      </c>
      <c r="C317" t="s">
        <v>2497</v>
      </c>
      <c r="D317" t="s">
        <v>2497</v>
      </c>
      <c r="E317" s="65">
        <v>233953200</v>
      </c>
      <c r="F317" t="s">
        <v>104</v>
      </c>
      <c r="G317">
        <v>6</v>
      </c>
      <c r="I317" s="40">
        <v>46240</v>
      </c>
      <c r="J317" t="s">
        <v>2506</v>
      </c>
    </row>
    <row r="318" spans="1:10">
      <c r="A318" t="s">
        <v>231</v>
      </c>
      <c r="B318" s="40">
        <v>46059</v>
      </c>
      <c r="C318" t="s">
        <v>2582</v>
      </c>
      <c r="D318" t="s">
        <v>2582</v>
      </c>
      <c r="E318" s="65">
        <v>233953200</v>
      </c>
      <c r="F318" t="s">
        <v>104</v>
      </c>
      <c r="G318">
        <v>6</v>
      </c>
      <c r="I318" s="40">
        <v>46240</v>
      </c>
    </row>
    <row r="319" spans="1:10">
      <c r="A319" t="s">
        <v>231</v>
      </c>
      <c r="B319" s="40">
        <v>46059</v>
      </c>
      <c r="C319" t="s">
        <v>2020</v>
      </c>
      <c r="D319" t="s">
        <v>2020</v>
      </c>
      <c r="E319" s="65">
        <v>213677100</v>
      </c>
      <c r="F319" t="s">
        <v>104</v>
      </c>
      <c r="G319">
        <v>6</v>
      </c>
      <c r="I319" s="40">
        <v>46240</v>
      </c>
    </row>
    <row r="320" spans="1:10">
      <c r="A320" t="s">
        <v>231</v>
      </c>
      <c r="B320" s="40">
        <v>46059</v>
      </c>
      <c r="C320" t="s">
        <v>1175</v>
      </c>
      <c r="D320" t="s">
        <v>1175</v>
      </c>
      <c r="E320" s="65">
        <v>254229300</v>
      </c>
      <c r="F320" t="s">
        <v>104</v>
      </c>
      <c r="G320">
        <v>6</v>
      </c>
      <c r="I320" s="40">
        <v>46240</v>
      </c>
    </row>
    <row r="321" spans="1:10">
      <c r="A321" t="s">
        <v>231</v>
      </c>
      <c r="B321" s="40">
        <v>46059</v>
      </c>
      <c r="C321" t="s">
        <v>1206</v>
      </c>
      <c r="D321" t="s">
        <v>1206</v>
      </c>
      <c r="E321" s="65">
        <v>623875200</v>
      </c>
      <c r="F321" t="s">
        <v>104</v>
      </c>
      <c r="G321">
        <v>6</v>
      </c>
      <c r="I321" s="40">
        <v>46240</v>
      </c>
    </row>
    <row r="322" spans="1:10">
      <c r="A322" t="s">
        <v>231</v>
      </c>
      <c r="B322" s="40">
        <v>46059</v>
      </c>
      <c r="C322" t="s">
        <v>1669</v>
      </c>
      <c r="D322" t="s">
        <v>1669</v>
      </c>
      <c r="E322" s="65">
        <v>389922000</v>
      </c>
      <c r="F322" t="s">
        <v>104</v>
      </c>
      <c r="G322">
        <v>6</v>
      </c>
      <c r="I322" s="40">
        <v>46240</v>
      </c>
    </row>
    <row r="323" spans="1:10">
      <c r="A323" t="s">
        <v>231</v>
      </c>
      <c r="B323" s="40">
        <v>46059</v>
      </c>
      <c r="C323" t="s">
        <v>1667</v>
      </c>
      <c r="D323" t="s">
        <v>1667</v>
      </c>
      <c r="E323" s="65">
        <v>506898600</v>
      </c>
      <c r="F323" t="s">
        <v>104</v>
      </c>
      <c r="G323">
        <v>6</v>
      </c>
      <c r="I323" s="40">
        <v>46240</v>
      </c>
    </row>
    <row r="324" spans="1:10">
      <c r="A324" t="s">
        <v>231</v>
      </c>
      <c r="B324" s="40">
        <v>46059</v>
      </c>
      <c r="C324" t="s">
        <v>2583</v>
      </c>
      <c r="D324" t="s">
        <v>2583</v>
      </c>
      <c r="E324" s="65">
        <v>155968800</v>
      </c>
      <c r="F324" t="s">
        <v>104</v>
      </c>
      <c r="G324">
        <v>6</v>
      </c>
      <c r="I324" s="40">
        <v>46240</v>
      </c>
    </row>
    <row r="325" spans="1:10">
      <c r="A325" t="s">
        <v>231</v>
      </c>
      <c r="B325" s="40">
        <v>46059</v>
      </c>
      <c r="C325" t="s">
        <v>1668</v>
      </c>
      <c r="D325" t="s">
        <v>1668</v>
      </c>
      <c r="E325" s="65">
        <v>389922000</v>
      </c>
      <c r="F325" t="s">
        <v>104</v>
      </c>
      <c r="G325">
        <v>6</v>
      </c>
      <c r="I325" s="40">
        <v>46240</v>
      </c>
    </row>
    <row r="326" spans="1:10">
      <c r="A326" t="s">
        <v>231</v>
      </c>
      <c r="B326" s="40">
        <v>46059</v>
      </c>
      <c r="C326" t="s">
        <v>1666</v>
      </c>
      <c r="D326" t="s">
        <v>1666</v>
      </c>
      <c r="E326" s="65">
        <v>1559695800</v>
      </c>
      <c r="F326" t="s">
        <v>104</v>
      </c>
      <c r="G326">
        <v>6</v>
      </c>
      <c r="I326" s="40">
        <v>46240</v>
      </c>
    </row>
    <row r="327" spans="1:10">
      <c r="A327" t="s">
        <v>231</v>
      </c>
      <c r="B327" s="40">
        <v>46059</v>
      </c>
      <c r="C327" t="s">
        <v>2584</v>
      </c>
      <c r="D327" t="s">
        <v>2584</v>
      </c>
      <c r="E327" s="65">
        <v>233953200</v>
      </c>
      <c r="F327" t="s">
        <v>104</v>
      </c>
      <c r="G327">
        <v>6</v>
      </c>
      <c r="I327" s="40">
        <v>46240</v>
      </c>
    </row>
    <row r="328" spans="1:10">
      <c r="A328" t="s">
        <v>533</v>
      </c>
      <c r="B328" s="40">
        <v>46059</v>
      </c>
      <c r="C328" t="s">
        <v>1732</v>
      </c>
      <c r="D328" t="s">
        <v>1732</v>
      </c>
      <c r="E328" s="65">
        <v>77981200</v>
      </c>
      <c r="F328" t="s">
        <v>104</v>
      </c>
      <c r="G328">
        <v>6</v>
      </c>
      <c r="I328" s="40">
        <v>46240</v>
      </c>
    </row>
    <row r="329" spans="1:10">
      <c r="A329" t="s">
        <v>533</v>
      </c>
      <c r="B329" s="40">
        <v>46059</v>
      </c>
      <c r="C329" t="s">
        <v>1338</v>
      </c>
      <c r="D329" t="s">
        <v>1338</v>
      </c>
      <c r="E329" s="65">
        <v>76419660</v>
      </c>
      <c r="F329" t="s">
        <v>104</v>
      </c>
      <c r="G329">
        <v>6</v>
      </c>
      <c r="I329" s="40">
        <v>46240</v>
      </c>
      <c r="J329" t="s">
        <v>2413</v>
      </c>
    </row>
    <row r="330" spans="1:10">
      <c r="A330" t="s">
        <v>533</v>
      </c>
      <c r="B330" s="40">
        <v>46059</v>
      </c>
      <c r="C330" t="s">
        <v>1114</v>
      </c>
      <c r="D330" t="s">
        <v>1114</v>
      </c>
      <c r="E330" s="65">
        <v>77981200</v>
      </c>
      <c r="F330" t="s">
        <v>104</v>
      </c>
      <c r="G330">
        <v>6</v>
      </c>
      <c r="I330" s="40">
        <v>46240</v>
      </c>
      <c r="J330" t="s">
        <v>2585</v>
      </c>
    </row>
    <row r="331" spans="1:10">
      <c r="A331" t="s">
        <v>533</v>
      </c>
      <c r="B331" s="40">
        <v>46059</v>
      </c>
      <c r="C331" t="s">
        <v>1887</v>
      </c>
      <c r="D331" t="s">
        <v>1887</v>
      </c>
      <c r="E331" s="65">
        <v>54586840</v>
      </c>
      <c r="F331" t="s">
        <v>104</v>
      </c>
      <c r="G331">
        <v>6</v>
      </c>
      <c r="I331" s="40">
        <v>46240</v>
      </c>
    </row>
    <row r="332" spans="1:10">
      <c r="A332" t="s">
        <v>533</v>
      </c>
      <c r="B332" s="40">
        <v>46059</v>
      </c>
      <c r="C332" t="s">
        <v>1110</v>
      </c>
      <c r="D332" t="s">
        <v>1110</v>
      </c>
      <c r="E332" s="65">
        <v>701859540</v>
      </c>
      <c r="F332" t="s">
        <v>104</v>
      </c>
      <c r="G332">
        <v>6</v>
      </c>
      <c r="I332" s="40">
        <v>46240</v>
      </c>
    </row>
    <row r="333" spans="1:10">
      <c r="A333" t="s">
        <v>533</v>
      </c>
      <c r="B333" s="40">
        <v>46059</v>
      </c>
      <c r="C333" t="s">
        <v>1111</v>
      </c>
      <c r="D333" t="s">
        <v>1111</v>
      </c>
      <c r="E333" s="65">
        <v>584878160</v>
      </c>
      <c r="F333" t="s">
        <v>104</v>
      </c>
      <c r="G333">
        <v>6</v>
      </c>
      <c r="I333" s="40">
        <v>46240</v>
      </c>
      <c r="J333" t="s">
        <v>2586</v>
      </c>
    </row>
    <row r="334" spans="1:10">
      <c r="A334" t="s">
        <v>533</v>
      </c>
      <c r="B334" s="40">
        <v>46059</v>
      </c>
      <c r="C334" t="s">
        <v>1113</v>
      </c>
      <c r="D334" t="s">
        <v>1113</v>
      </c>
      <c r="E334" s="65">
        <v>194953000</v>
      </c>
      <c r="F334" t="s">
        <v>104</v>
      </c>
      <c r="G334">
        <v>6</v>
      </c>
      <c r="I334" s="40">
        <v>46240</v>
      </c>
    </row>
    <row r="335" spans="1:10">
      <c r="A335" t="s">
        <v>533</v>
      </c>
      <c r="B335" s="40">
        <v>46059</v>
      </c>
      <c r="C335" t="s">
        <v>1094</v>
      </c>
      <c r="D335" t="s">
        <v>1094</v>
      </c>
      <c r="E335" s="65">
        <v>77981200</v>
      </c>
      <c r="F335" t="s">
        <v>104</v>
      </c>
      <c r="G335">
        <v>6</v>
      </c>
      <c r="I335" s="40">
        <v>46240</v>
      </c>
      <c r="J335" t="s">
        <v>2488</v>
      </c>
    </row>
    <row r="336" spans="1:10">
      <c r="A336" t="s">
        <v>533</v>
      </c>
      <c r="B336" s="40">
        <v>46059</v>
      </c>
      <c r="C336" t="s">
        <v>1112</v>
      </c>
      <c r="D336" t="s">
        <v>1112</v>
      </c>
      <c r="E336" s="65">
        <v>467906360</v>
      </c>
      <c r="F336" t="s">
        <v>104</v>
      </c>
      <c r="G336">
        <v>6</v>
      </c>
      <c r="I336" s="40">
        <v>46240</v>
      </c>
      <c r="J336" t="s">
        <v>2412</v>
      </c>
    </row>
    <row r="337" spans="1:10">
      <c r="A337" t="s">
        <v>533</v>
      </c>
      <c r="B337" s="40">
        <v>46059</v>
      </c>
      <c r="C337" t="s">
        <v>1842</v>
      </c>
      <c r="D337" t="s">
        <v>1842</v>
      </c>
      <c r="E337" s="65">
        <v>23394360</v>
      </c>
      <c r="F337" t="s">
        <v>104</v>
      </c>
      <c r="G337">
        <v>6</v>
      </c>
      <c r="I337" s="40">
        <v>46240</v>
      </c>
    </row>
    <row r="338" spans="1:10">
      <c r="A338" t="s">
        <v>533</v>
      </c>
      <c r="B338" s="40">
        <v>46059</v>
      </c>
      <c r="C338" t="s">
        <v>2381</v>
      </c>
      <c r="D338" t="s">
        <v>2381</v>
      </c>
      <c r="E338" s="65">
        <v>77981200</v>
      </c>
      <c r="F338" t="s">
        <v>104</v>
      </c>
      <c r="G338">
        <v>6</v>
      </c>
      <c r="I338" s="40">
        <v>46240</v>
      </c>
    </row>
    <row r="339" spans="1:10">
      <c r="A339" t="s">
        <v>304</v>
      </c>
      <c r="B339" s="40">
        <v>46057</v>
      </c>
      <c r="C339" t="s">
        <v>1842</v>
      </c>
      <c r="D339" t="s">
        <v>1842</v>
      </c>
      <c r="E339" s="65">
        <v>9993600</v>
      </c>
      <c r="F339" t="s">
        <v>104</v>
      </c>
      <c r="G339">
        <v>6</v>
      </c>
      <c r="I339" s="40">
        <v>46238</v>
      </c>
      <c r="J339" t="s">
        <v>1887</v>
      </c>
    </row>
    <row r="340" spans="1:10">
      <c r="A340" t="s">
        <v>304</v>
      </c>
      <c r="B340" s="40">
        <v>46057</v>
      </c>
      <c r="C340" t="s">
        <v>1563</v>
      </c>
      <c r="D340" t="s">
        <v>1563</v>
      </c>
      <c r="E340" s="65">
        <v>39996000</v>
      </c>
      <c r="F340" t="s">
        <v>104</v>
      </c>
      <c r="G340">
        <v>6</v>
      </c>
      <c r="I340" s="40">
        <v>46238</v>
      </c>
      <c r="J340" t="s">
        <v>2587</v>
      </c>
    </row>
    <row r="341" spans="1:10">
      <c r="A341" t="s">
        <v>304</v>
      </c>
      <c r="B341" s="40">
        <v>46057</v>
      </c>
      <c r="C341" t="s">
        <v>2588</v>
      </c>
      <c r="D341" t="s">
        <v>2588</v>
      </c>
      <c r="E341" s="65">
        <v>14997600</v>
      </c>
      <c r="F341" t="s">
        <v>104</v>
      </c>
      <c r="G341">
        <v>6</v>
      </c>
      <c r="I341" s="40">
        <v>46238</v>
      </c>
    </row>
    <row r="342" spans="1:10">
      <c r="A342" t="s">
        <v>304</v>
      </c>
      <c r="B342" s="40">
        <v>46057</v>
      </c>
      <c r="C342" t="s">
        <v>1561</v>
      </c>
      <c r="D342" t="s">
        <v>1561</v>
      </c>
      <c r="E342" s="65">
        <v>109994400</v>
      </c>
      <c r="F342" t="s">
        <v>104</v>
      </c>
      <c r="G342">
        <v>6</v>
      </c>
      <c r="I342" s="40">
        <v>46238</v>
      </c>
      <c r="J342" t="s">
        <v>2589</v>
      </c>
    </row>
    <row r="343" spans="1:10">
      <c r="A343" t="s">
        <v>304</v>
      </c>
      <c r="B343" s="40">
        <v>46057</v>
      </c>
      <c r="C343" t="s">
        <v>1565</v>
      </c>
      <c r="D343" t="s">
        <v>1565</v>
      </c>
      <c r="E343" s="65">
        <v>17928000</v>
      </c>
      <c r="F343" t="s">
        <v>104</v>
      </c>
      <c r="G343">
        <v>6</v>
      </c>
      <c r="I343" s="40">
        <v>46238</v>
      </c>
      <c r="J343" t="s">
        <v>2590</v>
      </c>
    </row>
    <row r="344" spans="1:10">
      <c r="A344" t="s">
        <v>304</v>
      </c>
      <c r="B344" s="40">
        <v>46057</v>
      </c>
      <c r="C344" t="s">
        <v>2591</v>
      </c>
      <c r="D344" t="s">
        <v>2591</v>
      </c>
      <c r="E344" s="65">
        <v>7790400</v>
      </c>
      <c r="F344" t="s">
        <v>104</v>
      </c>
      <c r="G344">
        <v>6</v>
      </c>
      <c r="I344" s="40">
        <v>46238</v>
      </c>
      <c r="J344" t="s">
        <v>2592</v>
      </c>
    </row>
    <row r="345" spans="1:10">
      <c r="A345" t="s">
        <v>304</v>
      </c>
      <c r="B345" s="40">
        <v>46057</v>
      </c>
      <c r="C345" t="s">
        <v>1564</v>
      </c>
      <c r="D345" t="s">
        <v>1564</v>
      </c>
      <c r="E345" s="65">
        <v>38592000</v>
      </c>
      <c r="F345" t="s">
        <v>104</v>
      </c>
      <c r="G345">
        <v>6</v>
      </c>
      <c r="I345" s="40">
        <v>46238</v>
      </c>
      <c r="J345" t="s">
        <v>2593</v>
      </c>
    </row>
    <row r="346" spans="1:10">
      <c r="A346" t="s">
        <v>304</v>
      </c>
      <c r="B346" s="40">
        <v>46057</v>
      </c>
      <c r="C346" t="s">
        <v>1562</v>
      </c>
      <c r="D346" t="s">
        <v>1562</v>
      </c>
      <c r="E346" s="65">
        <v>79999200</v>
      </c>
      <c r="F346" t="s">
        <v>104</v>
      </c>
      <c r="G346">
        <v>6</v>
      </c>
      <c r="I346" s="40">
        <v>46238</v>
      </c>
      <c r="J346" t="s">
        <v>1539</v>
      </c>
    </row>
    <row r="347" spans="1:10">
      <c r="A347" t="s">
        <v>339</v>
      </c>
      <c r="B347" s="40">
        <v>46056</v>
      </c>
      <c r="C347" t="s">
        <v>1274</v>
      </c>
      <c r="D347" t="s">
        <v>1274</v>
      </c>
      <c r="E347" s="65">
        <v>389831200</v>
      </c>
      <c r="F347" t="s">
        <v>104</v>
      </c>
      <c r="G347">
        <v>6</v>
      </c>
      <c r="I347" s="40">
        <v>46237</v>
      </c>
      <c r="J347" t="s">
        <v>1204</v>
      </c>
    </row>
    <row r="348" spans="1:10">
      <c r="A348" t="s">
        <v>339</v>
      </c>
      <c r="B348" s="40">
        <v>46056</v>
      </c>
      <c r="C348" t="s">
        <v>2594</v>
      </c>
      <c r="D348" t="s">
        <v>2594</v>
      </c>
      <c r="E348" s="65">
        <v>109144800</v>
      </c>
      <c r="F348" t="s">
        <v>104</v>
      </c>
      <c r="G348">
        <v>6</v>
      </c>
      <c r="I348" s="40">
        <v>46237</v>
      </c>
      <c r="J348" t="s">
        <v>1203</v>
      </c>
    </row>
    <row r="349" spans="1:10">
      <c r="A349" t="s">
        <v>339</v>
      </c>
      <c r="B349" s="40">
        <v>46056</v>
      </c>
      <c r="C349" t="s">
        <v>1119</v>
      </c>
      <c r="D349" t="s">
        <v>1119</v>
      </c>
      <c r="E349" s="65">
        <v>389831200</v>
      </c>
      <c r="F349" t="s">
        <v>104</v>
      </c>
      <c r="G349">
        <v>6</v>
      </c>
      <c r="I349" s="40">
        <v>46237</v>
      </c>
    </row>
    <row r="350" spans="1:10">
      <c r="A350" t="s">
        <v>339</v>
      </c>
      <c r="B350" s="40">
        <v>46056</v>
      </c>
      <c r="C350" t="s">
        <v>2595</v>
      </c>
      <c r="D350" t="s">
        <v>2595</v>
      </c>
      <c r="E350" s="65">
        <v>155917600</v>
      </c>
      <c r="F350" t="s">
        <v>104</v>
      </c>
      <c r="G350">
        <v>6</v>
      </c>
      <c r="I350" s="40">
        <v>46237</v>
      </c>
      <c r="J350" t="s">
        <v>2596</v>
      </c>
    </row>
    <row r="351" spans="1:10">
      <c r="A351" t="s">
        <v>339</v>
      </c>
      <c r="B351" s="40">
        <v>46056</v>
      </c>
      <c r="C351" t="s">
        <v>1273</v>
      </c>
      <c r="D351" t="s">
        <v>1273</v>
      </c>
      <c r="E351" s="65">
        <v>436628800</v>
      </c>
      <c r="F351" t="s">
        <v>104</v>
      </c>
      <c r="G351">
        <v>6</v>
      </c>
      <c r="I351" s="40">
        <v>46237</v>
      </c>
      <c r="J351" t="s">
        <v>1203</v>
      </c>
    </row>
    <row r="352" spans="1:10">
      <c r="A352" t="s">
        <v>339</v>
      </c>
      <c r="B352" s="40">
        <v>46056</v>
      </c>
      <c r="C352" t="s">
        <v>1118</v>
      </c>
      <c r="D352" t="s">
        <v>1118</v>
      </c>
      <c r="E352" s="65">
        <v>1169543200</v>
      </c>
      <c r="F352" t="s">
        <v>104</v>
      </c>
      <c r="G352">
        <v>6</v>
      </c>
      <c r="I352" s="40">
        <v>46237</v>
      </c>
      <c r="J352" t="s">
        <v>2597</v>
      </c>
    </row>
    <row r="353" spans="1:10">
      <c r="A353" t="s">
        <v>339</v>
      </c>
      <c r="B353" s="40">
        <v>46056</v>
      </c>
      <c r="C353" t="s">
        <v>1521</v>
      </c>
      <c r="D353" t="s">
        <v>1521</v>
      </c>
      <c r="E353" s="65">
        <v>233888800</v>
      </c>
      <c r="F353" t="s">
        <v>104</v>
      </c>
      <c r="G353">
        <v>6</v>
      </c>
      <c r="I353" s="40">
        <v>46237</v>
      </c>
    </row>
    <row r="354" spans="1:10">
      <c r="A354" t="s">
        <v>339</v>
      </c>
      <c r="B354" s="40">
        <v>46056</v>
      </c>
      <c r="C354" t="s">
        <v>1205</v>
      </c>
      <c r="D354" t="s">
        <v>1205</v>
      </c>
      <c r="E354" s="65">
        <v>467802400</v>
      </c>
      <c r="F354" t="s">
        <v>104</v>
      </c>
      <c r="G354">
        <v>6</v>
      </c>
      <c r="I354" s="40">
        <v>46237</v>
      </c>
    </row>
    <row r="355" spans="1:10">
      <c r="A355" t="s">
        <v>339</v>
      </c>
      <c r="B355" s="40">
        <v>46056</v>
      </c>
      <c r="C355" t="s">
        <v>2598</v>
      </c>
      <c r="D355" t="s">
        <v>2598</v>
      </c>
      <c r="E355" s="65">
        <v>233888800</v>
      </c>
      <c r="F355" t="s">
        <v>104</v>
      </c>
      <c r="G355">
        <v>6</v>
      </c>
      <c r="I355" s="40">
        <v>46237</v>
      </c>
      <c r="J355" t="s">
        <v>2599</v>
      </c>
    </row>
    <row r="356" spans="1:10">
      <c r="A356" t="s">
        <v>339</v>
      </c>
      <c r="B356" s="40">
        <v>46056</v>
      </c>
      <c r="C356" t="s">
        <v>2600</v>
      </c>
      <c r="D356" t="s">
        <v>2600</v>
      </c>
      <c r="E356" s="65">
        <v>311860000</v>
      </c>
      <c r="F356" t="s">
        <v>104</v>
      </c>
      <c r="G356">
        <v>6</v>
      </c>
      <c r="I356" s="40">
        <v>46237</v>
      </c>
      <c r="J356" t="s">
        <v>2601</v>
      </c>
    </row>
    <row r="357" spans="1:10">
      <c r="A357" t="s">
        <v>339</v>
      </c>
      <c r="B357" s="40">
        <v>46056</v>
      </c>
      <c r="C357" t="s">
        <v>2602</v>
      </c>
      <c r="D357" t="s">
        <v>2602</v>
      </c>
      <c r="E357" s="65">
        <v>233888800</v>
      </c>
      <c r="F357" t="s">
        <v>104</v>
      </c>
      <c r="G357">
        <v>6</v>
      </c>
      <c r="I357" s="40">
        <v>46237</v>
      </c>
      <c r="J357" t="s">
        <v>2603</v>
      </c>
    </row>
    <row r="358" spans="1:10">
      <c r="A358" t="s">
        <v>339</v>
      </c>
      <c r="B358" s="40">
        <v>46056</v>
      </c>
      <c r="C358" t="s">
        <v>1209</v>
      </c>
      <c r="D358" t="s">
        <v>1209</v>
      </c>
      <c r="E358" s="65">
        <v>233888800</v>
      </c>
      <c r="F358" t="s">
        <v>104</v>
      </c>
      <c r="G358">
        <v>6</v>
      </c>
      <c r="I358" s="40">
        <v>46237</v>
      </c>
      <c r="J358" t="s">
        <v>2405</v>
      </c>
    </row>
    <row r="359" spans="1:10">
      <c r="A359" t="s">
        <v>339</v>
      </c>
      <c r="B359" s="40">
        <v>46056</v>
      </c>
      <c r="C359" t="s">
        <v>2604</v>
      </c>
      <c r="D359" t="s">
        <v>2604</v>
      </c>
      <c r="E359" s="65">
        <v>155917600</v>
      </c>
      <c r="F359" t="s">
        <v>104</v>
      </c>
      <c r="G359">
        <v>6</v>
      </c>
      <c r="I359" s="40">
        <v>46237</v>
      </c>
      <c r="J359" t="s">
        <v>2605</v>
      </c>
    </row>
    <row r="360" spans="1:10">
      <c r="A360" t="s">
        <v>339</v>
      </c>
      <c r="B360" s="40">
        <v>46056</v>
      </c>
      <c r="C360" t="s">
        <v>2606</v>
      </c>
      <c r="D360" t="s">
        <v>2606</v>
      </c>
      <c r="E360" s="65">
        <v>155917600</v>
      </c>
      <c r="F360" t="s">
        <v>104</v>
      </c>
      <c r="G360">
        <v>6</v>
      </c>
      <c r="I360" s="40">
        <v>46237</v>
      </c>
      <c r="J360" t="s">
        <v>2607</v>
      </c>
    </row>
    <row r="361" spans="1:10">
      <c r="A361" t="s">
        <v>339</v>
      </c>
      <c r="B361" s="40">
        <v>46056</v>
      </c>
      <c r="C361" t="s">
        <v>1210</v>
      </c>
      <c r="D361" t="s">
        <v>1210</v>
      </c>
      <c r="E361" s="65">
        <v>155917600</v>
      </c>
      <c r="F361" t="s">
        <v>104</v>
      </c>
      <c r="G361">
        <v>6</v>
      </c>
      <c r="I361" s="40">
        <v>46237</v>
      </c>
      <c r="J361" t="s">
        <v>2438</v>
      </c>
    </row>
    <row r="362" spans="1:10">
      <c r="A362" t="s">
        <v>339</v>
      </c>
      <c r="B362" s="40">
        <v>46056</v>
      </c>
      <c r="C362" t="s">
        <v>2608</v>
      </c>
      <c r="D362" t="s">
        <v>2608</v>
      </c>
      <c r="E362" s="65">
        <v>155917600</v>
      </c>
      <c r="F362" t="s">
        <v>104</v>
      </c>
      <c r="G362">
        <v>6</v>
      </c>
      <c r="I362" s="40">
        <v>46237</v>
      </c>
      <c r="J362" t="s">
        <v>2609</v>
      </c>
    </row>
    <row r="363" spans="1:10">
      <c r="A363" t="s">
        <v>346</v>
      </c>
      <c r="B363" s="40">
        <v>46050</v>
      </c>
      <c r="C363" t="s">
        <v>2610</v>
      </c>
      <c r="D363" t="s">
        <v>2610</v>
      </c>
      <c r="E363" s="65">
        <v>77936040</v>
      </c>
      <c r="F363" t="s">
        <v>104</v>
      </c>
      <c r="G363">
        <v>6</v>
      </c>
      <c r="I363" s="40">
        <v>46231</v>
      </c>
      <c r="J363" t="s">
        <v>2611</v>
      </c>
    </row>
    <row r="364" spans="1:10">
      <c r="A364" t="s">
        <v>346</v>
      </c>
      <c r="B364" s="40">
        <v>46050</v>
      </c>
      <c r="C364" t="s">
        <v>1209</v>
      </c>
      <c r="D364" t="s">
        <v>1209</v>
      </c>
      <c r="E364" s="65">
        <v>77936040</v>
      </c>
      <c r="F364" t="s">
        <v>104</v>
      </c>
      <c r="G364">
        <v>6</v>
      </c>
      <c r="I364" s="40">
        <v>46231</v>
      </c>
      <c r="J364" t="s">
        <v>2405</v>
      </c>
    </row>
    <row r="365" spans="1:10">
      <c r="A365" t="s">
        <v>346</v>
      </c>
      <c r="B365" s="40">
        <v>46050</v>
      </c>
      <c r="C365" t="s">
        <v>1204</v>
      </c>
      <c r="D365" t="s">
        <v>1204</v>
      </c>
      <c r="E365" s="65">
        <v>350735840</v>
      </c>
      <c r="F365" t="s">
        <v>104</v>
      </c>
      <c r="G365">
        <v>6</v>
      </c>
      <c r="I365" s="40">
        <v>46231</v>
      </c>
    </row>
    <row r="366" spans="1:10">
      <c r="A366" t="s">
        <v>346</v>
      </c>
      <c r="B366" s="40">
        <v>46050</v>
      </c>
      <c r="C366" t="s">
        <v>2612</v>
      </c>
      <c r="D366" t="s">
        <v>2612</v>
      </c>
      <c r="E366" s="65">
        <v>77936040</v>
      </c>
      <c r="F366" t="s">
        <v>104</v>
      </c>
      <c r="G366">
        <v>6</v>
      </c>
      <c r="I366" s="40">
        <v>46231</v>
      </c>
    </row>
    <row r="367" spans="1:10">
      <c r="A367" t="s">
        <v>346</v>
      </c>
      <c r="B367" s="40">
        <v>46050</v>
      </c>
      <c r="C367" t="s">
        <v>1205</v>
      </c>
      <c r="D367" t="s">
        <v>1205</v>
      </c>
      <c r="E367" s="65">
        <v>272799800</v>
      </c>
      <c r="F367" t="s">
        <v>104</v>
      </c>
      <c r="G367">
        <v>6</v>
      </c>
      <c r="I367" s="40">
        <v>46231</v>
      </c>
    </row>
    <row r="368" spans="1:10">
      <c r="A368" t="s">
        <v>346</v>
      </c>
      <c r="B368" s="40">
        <v>46050</v>
      </c>
      <c r="C368" t="s">
        <v>1206</v>
      </c>
      <c r="D368" t="s">
        <v>1206</v>
      </c>
      <c r="E368" s="65">
        <v>233808120</v>
      </c>
      <c r="F368" t="s">
        <v>104</v>
      </c>
      <c r="G368">
        <v>6</v>
      </c>
      <c r="I368" s="40">
        <v>46231</v>
      </c>
    </row>
    <row r="369" spans="1:10">
      <c r="A369" t="s">
        <v>346</v>
      </c>
      <c r="B369" s="40">
        <v>46050</v>
      </c>
      <c r="C369" t="s">
        <v>1207</v>
      </c>
      <c r="D369" t="s">
        <v>1207</v>
      </c>
      <c r="E369" s="65">
        <v>77936040</v>
      </c>
      <c r="F369" t="s">
        <v>104</v>
      </c>
      <c r="G369">
        <v>6</v>
      </c>
      <c r="I369" s="40">
        <v>46231</v>
      </c>
      <c r="J369" t="s">
        <v>2466</v>
      </c>
    </row>
    <row r="370" spans="1:10">
      <c r="A370" t="s">
        <v>346</v>
      </c>
      <c r="B370" s="40">
        <v>46050</v>
      </c>
      <c r="C370" t="s">
        <v>1203</v>
      </c>
      <c r="D370" t="s">
        <v>1203</v>
      </c>
      <c r="E370" s="65">
        <v>350735840</v>
      </c>
      <c r="F370" t="s">
        <v>104</v>
      </c>
      <c r="G370">
        <v>6</v>
      </c>
      <c r="I370" s="40">
        <v>46231</v>
      </c>
    </row>
    <row r="371" spans="1:10">
      <c r="A371" t="s">
        <v>272</v>
      </c>
      <c r="B371" s="40">
        <v>46044</v>
      </c>
      <c r="C371" t="s">
        <v>1337</v>
      </c>
      <c r="D371" t="s">
        <v>1337</v>
      </c>
      <c r="E371" s="65">
        <v>120797700</v>
      </c>
      <c r="F371" t="s">
        <v>104</v>
      </c>
      <c r="G371">
        <v>6</v>
      </c>
      <c r="I371" s="40">
        <v>46225</v>
      </c>
      <c r="J371" t="s">
        <v>2613</v>
      </c>
    </row>
    <row r="372" spans="1:10">
      <c r="A372" t="s">
        <v>272</v>
      </c>
      <c r="B372" s="40">
        <v>46044</v>
      </c>
      <c r="C372" t="s">
        <v>1340</v>
      </c>
      <c r="D372" t="s">
        <v>1340</v>
      </c>
      <c r="E372" s="65">
        <v>62328600</v>
      </c>
      <c r="F372" t="s">
        <v>104</v>
      </c>
      <c r="G372">
        <v>6</v>
      </c>
      <c r="I372" s="40">
        <v>46225</v>
      </c>
    </row>
    <row r="373" spans="1:10">
      <c r="A373" t="s">
        <v>272</v>
      </c>
      <c r="B373" s="40">
        <v>46044</v>
      </c>
      <c r="C373" t="s">
        <v>1338</v>
      </c>
      <c r="D373" t="s">
        <v>1338</v>
      </c>
      <c r="E373" s="65">
        <v>77909200</v>
      </c>
      <c r="F373" t="s">
        <v>104</v>
      </c>
      <c r="G373">
        <v>6</v>
      </c>
      <c r="I373" s="40">
        <v>46225</v>
      </c>
    </row>
    <row r="374" spans="1:10">
      <c r="A374" t="s">
        <v>272</v>
      </c>
      <c r="B374" s="40">
        <v>46044</v>
      </c>
      <c r="C374" t="s">
        <v>2614</v>
      </c>
      <c r="D374" t="s">
        <v>2614</v>
      </c>
      <c r="E374" s="65">
        <v>38954600</v>
      </c>
      <c r="F374" t="s">
        <v>104</v>
      </c>
      <c r="G374">
        <v>6</v>
      </c>
      <c r="I374" s="40">
        <v>46225</v>
      </c>
    </row>
    <row r="375" spans="1:10">
      <c r="A375" t="s">
        <v>272</v>
      </c>
      <c r="B375" s="40">
        <v>46044</v>
      </c>
      <c r="C375" t="s">
        <v>1341</v>
      </c>
      <c r="D375" t="s">
        <v>1341</v>
      </c>
      <c r="E375" s="65">
        <v>62328600</v>
      </c>
      <c r="F375" t="s">
        <v>104</v>
      </c>
      <c r="G375">
        <v>6</v>
      </c>
      <c r="I375" s="40">
        <v>46225</v>
      </c>
    </row>
    <row r="376" spans="1:10">
      <c r="A376" t="s">
        <v>272</v>
      </c>
      <c r="B376" s="40">
        <v>46044</v>
      </c>
      <c r="C376" t="s">
        <v>1339</v>
      </c>
      <c r="D376" t="s">
        <v>1339</v>
      </c>
      <c r="E376" s="65">
        <v>77909200</v>
      </c>
      <c r="F376" t="s">
        <v>104</v>
      </c>
      <c r="G376">
        <v>6</v>
      </c>
      <c r="I376" s="40">
        <v>46225</v>
      </c>
    </row>
    <row r="377" spans="1:10">
      <c r="A377" t="s">
        <v>905</v>
      </c>
      <c r="B377" s="40">
        <v>46035</v>
      </c>
      <c r="C377" t="s">
        <v>1593</v>
      </c>
      <c r="D377" t="s">
        <v>1593</v>
      </c>
      <c r="E377" s="65">
        <v>21835060</v>
      </c>
      <c r="F377" t="s">
        <v>104</v>
      </c>
      <c r="G377">
        <v>6</v>
      </c>
      <c r="I377" s="40">
        <v>46216</v>
      </c>
      <c r="J377" t="s">
        <v>2615</v>
      </c>
    </row>
    <row r="378" spans="1:10">
      <c r="A378" t="s">
        <v>387</v>
      </c>
      <c r="B378" s="40">
        <v>46035</v>
      </c>
      <c r="C378" t="s">
        <v>1164</v>
      </c>
      <c r="D378" t="s">
        <v>1164</v>
      </c>
      <c r="E378" s="65">
        <v>194513400</v>
      </c>
      <c r="F378" t="s">
        <v>104</v>
      </c>
      <c r="G378">
        <v>6</v>
      </c>
      <c r="I378" s="40">
        <v>46216</v>
      </c>
    </row>
    <row r="379" spans="1:10">
      <c r="A379" t="s">
        <v>387</v>
      </c>
      <c r="B379" s="40">
        <v>46035</v>
      </c>
      <c r="C379" t="s">
        <v>1071</v>
      </c>
      <c r="D379" t="s">
        <v>1071</v>
      </c>
      <c r="E379" s="65">
        <v>194513400</v>
      </c>
      <c r="F379" t="s">
        <v>104</v>
      </c>
      <c r="G379">
        <v>6</v>
      </c>
      <c r="I379" s="40">
        <v>46216</v>
      </c>
    </row>
    <row r="380" spans="1:10">
      <c r="A380" t="s">
        <v>387</v>
      </c>
      <c r="B380" s="40">
        <v>46035</v>
      </c>
      <c r="C380" t="s">
        <v>1128</v>
      </c>
      <c r="D380" t="s">
        <v>1128</v>
      </c>
      <c r="E380" s="65">
        <v>155617200</v>
      </c>
      <c r="F380" t="s">
        <v>104</v>
      </c>
      <c r="G380">
        <v>6</v>
      </c>
      <c r="I380" s="40">
        <v>46216</v>
      </c>
    </row>
    <row r="381" spans="1:10">
      <c r="A381" t="s">
        <v>387</v>
      </c>
      <c r="B381" s="40">
        <v>46035</v>
      </c>
      <c r="C381" t="s">
        <v>2616</v>
      </c>
      <c r="D381" t="s">
        <v>2616</v>
      </c>
      <c r="E381" s="65">
        <v>77808600</v>
      </c>
      <c r="F381" t="s">
        <v>104</v>
      </c>
      <c r="G381">
        <v>6</v>
      </c>
      <c r="I381" s="40">
        <v>46216</v>
      </c>
    </row>
    <row r="382" spans="1:10">
      <c r="A382" t="s">
        <v>387</v>
      </c>
      <c r="B382" s="40">
        <v>46035</v>
      </c>
      <c r="C382" t="s">
        <v>2381</v>
      </c>
      <c r="D382" t="s">
        <v>2381</v>
      </c>
      <c r="E382" s="65">
        <v>77808600</v>
      </c>
      <c r="F382" t="s">
        <v>104</v>
      </c>
      <c r="G382">
        <v>6</v>
      </c>
      <c r="I382" s="40">
        <v>46216</v>
      </c>
    </row>
    <row r="383" spans="1:10">
      <c r="A383" t="s">
        <v>387</v>
      </c>
      <c r="B383" s="40">
        <v>46035</v>
      </c>
      <c r="C383" t="s">
        <v>1163</v>
      </c>
      <c r="D383" t="s">
        <v>1163</v>
      </c>
      <c r="E383" s="65">
        <v>194513400</v>
      </c>
      <c r="F383" t="s">
        <v>104</v>
      </c>
      <c r="G383">
        <v>6</v>
      </c>
      <c r="I383" s="40">
        <v>46216</v>
      </c>
    </row>
    <row r="384" spans="1:10">
      <c r="A384" t="s">
        <v>387</v>
      </c>
      <c r="B384" s="40">
        <v>46035</v>
      </c>
      <c r="C384" t="s">
        <v>1209</v>
      </c>
      <c r="D384" t="s">
        <v>1209</v>
      </c>
      <c r="E384" s="65">
        <v>77808600</v>
      </c>
      <c r="F384" t="s">
        <v>104</v>
      </c>
      <c r="G384">
        <v>6</v>
      </c>
      <c r="I384" s="40">
        <v>46216</v>
      </c>
    </row>
    <row r="385" spans="1:10">
      <c r="A385" t="s">
        <v>387</v>
      </c>
      <c r="B385" s="40">
        <v>46035</v>
      </c>
      <c r="C385" t="s">
        <v>1292</v>
      </c>
      <c r="D385" t="s">
        <v>1292</v>
      </c>
      <c r="E385" s="65">
        <v>77808600</v>
      </c>
      <c r="F385" t="s">
        <v>104</v>
      </c>
      <c r="G385">
        <v>6</v>
      </c>
      <c r="I385" s="40">
        <v>46216</v>
      </c>
    </row>
    <row r="386" spans="1:10">
      <c r="A386" t="s">
        <v>387</v>
      </c>
      <c r="B386" s="40">
        <v>46035</v>
      </c>
      <c r="C386" t="s">
        <v>1162</v>
      </c>
      <c r="D386" t="s">
        <v>1162</v>
      </c>
      <c r="E386" s="65">
        <v>231093000</v>
      </c>
      <c r="F386" t="s">
        <v>104</v>
      </c>
      <c r="G386">
        <v>6</v>
      </c>
      <c r="I386" s="40">
        <v>46216</v>
      </c>
    </row>
    <row r="387" spans="1:10">
      <c r="A387" t="s">
        <v>387</v>
      </c>
      <c r="B387" s="40">
        <v>46035</v>
      </c>
      <c r="C387" t="s">
        <v>1114</v>
      </c>
      <c r="D387" t="s">
        <v>1114</v>
      </c>
      <c r="E387" s="65">
        <v>38896200</v>
      </c>
      <c r="F387" t="s">
        <v>104</v>
      </c>
      <c r="G387">
        <v>6</v>
      </c>
      <c r="I387" s="40">
        <v>46216</v>
      </c>
    </row>
    <row r="388" spans="1:10">
      <c r="A388" t="s">
        <v>387</v>
      </c>
      <c r="B388" s="40">
        <v>46035</v>
      </c>
      <c r="C388" t="s">
        <v>2617</v>
      </c>
      <c r="D388" t="s">
        <v>2617</v>
      </c>
      <c r="E388" s="65">
        <v>167670000</v>
      </c>
      <c r="F388" t="s">
        <v>104</v>
      </c>
      <c r="G388">
        <v>6</v>
      </c>
      <c r="I388" s="40">
        <v>46216</v>
      </c>
    </row>
    <row r="389" spans="1:10">
      <c r="A389" t="s">
        <v>387</v>
      </c>
      <c r="B389" s="40">
        <v>46035</v>
      </c>
      <c r="C389" t="s">
        <v>2618</v>
      </c>
      <c r="D389" t="s">
        <v>2618</v>
      </c>
      <c r="E389" s="65">
        <v>143548200</v>
      </c>
      <c r="F389" t="s">
        <v>104</v>
      </c>
      <c r="G389">
        <v>6</v>
      </c>
      <c r="I389" s="40">
        <v>46216</v>
      </c>
    </row>
    <row r="390" spans="1:10">
      <c r="A390" t="s">
        <v>387</v>
      </c>
      <c r="B390" s="40">
        <v>46035</v>
      </c>
      <c r="C390" t="s">
        <v>1279</v>
      </c>
      <c r="D390" t="s">
        <v>1279</v>
      </c>
      <c r="E390" s="65">
        <v>77808600</v>
      </c>
      <c r="F390" t="s">
        <v>104</v>
      </c>
      <c r="G390">
        <v>6</v>
      </c>
      <c r="I390" s="40">
        <v>46216</v>
      </c>
    </row>
    <row r="391" spans="1:10">
      <c r="A391" t="s">
        <v>387</v>
      </c>
      <c r="B391" s="40">
        <v>46035</v>
      </c>
      <c r="C391" t="s">
        <v>1161</v>
      </c>
      <c r="D391" t="s">
        <v>1161</v>
      </c>
      <c r="E391" s="65">
        <v>233425800</v>
      </c>
      <c r="F391" t="s">
        <v>104</v>
      </c>
      <c r="G391">
        <v>6</v>
      </c>
      <c r="I391" s="40">
        <v>46216</v>
      </c>
    </row>
    <row r="392" spans="1:10">
      <c r="A392" t="s">
        <v>387</v>
      </c>
      <c r="B392" s="40">
        <v>46035</v>
      </c>
      <c r="C392" t="s">
        <v>1362</v>
      </c>
      <c r="D392" t="s">
        <v>1362</v>
      </c>
      <c r="E392" s="65">
        <v>77808600</v>
      </c>
      <c r="F392" t="s">
        <v>104</v>
      </c>
      <c r="G392">
        <v>6</v>
      </c>
      <c r="I392" s="40">
        <v>46216</v>
      </c>
    </row>
    <row r="393" spans="1:10">
      <c r="A393" t="s">
        <v>387</v>
      </c>
      <c r="B393" s="40">
        <v>46035</v>
      </c>
      <c r="C393" t="s">
        <v>1358</v>
      </c>
      <c r="D393" t="s">
        <v>1358</v>
      </c>
      <c r="E393" s="65">
        <v>77808600</v>
      </c>
      <c r="F393" t="s">
        <v>104</v>
      </c>
      <c r="G393">
        <v>6</v>
      </c>
      <c r="I393" s="40">
        <v>46216</v>
      </c>
    </row>
    <row r="394" spans="1:10">
      <c r="A394" t="s">
        <v>387</v>
      </c>
      <c r="B394" s="40">
        <v>46035</v>
      </c>
      <c r="C394" t="s">
        <v>1069</v>
      </c>
      <c r="D394" t="s">
        <v>1069</v>
      </c>
      <c r="E394" s="65">
        <v>77808600</v>
      </c>
      <c r="F394" t="s">
        <v>104</v>
      </c>
      <c r="G394">
        <v>6</v>
      </c>
      <c r="I394" s="40">
        <v>46216</v>
      </c>
    </row>
    <row r="395" spans="1:10">
      <c r="A395" t="s">
        <v>387</v>
      </c>
      <c r="B395" s="40">
        <v>46035</v>
      </c>
      <c r="C395" t="s">
        <v>2439</v>
      </c>
      <c r="D395" t="s">
        <v>2439</v>
      </c>
      <c r="E395" s="65">
        <v>155617200</v>
      </c>
      <c r="F395" t="s">
        <v>104</v>
      </c>
      <c r="G395">
        <v>6</v>
      </c>
      <c r="I395" s="40">
        <v>46216</v>
      </c>
      <c r="J395" t="s">
        <v>2440</v>
      </c>
    </row>
    <row r="396" spans="1:10">
      <c r="A396" t="s">
        <v>962</v>
      </c>
      <c r="B396" s="40">
        <v>46035</v>
      </c>
      <c r="C396" t="s">
        <v>1779</v>
      </c>
      <c r="D396" t="s">
        <v>1779</v>
      </c>
      <c r="E396" s="65">
        <v>6998400</v>
      </c>
      <c r="F396" t="s">
        <v>104</v>
      </c>
      <c r="G396">
        <v>6</v>
      </c>
      <c r="I396" s="40">
        <v>46216</v>
      </c>
    </row>
    <row r="397" spans="1:10">
      <c r="A397" t="s">
        <v>962</v>
      </c>
      <c r="B397" s="40">
        <v>46035</v>
      </c>
      <c r="C397" t="s">
        <v>1780</v>
      </c>
      <c r="D397" t="s">
        <v>1780</v>
      </c>
      <c r="E397" s="65">
        <v>6998400</v>
      </c>
      <c r="F397" t="s">
        <v>104</v>
      </c>
      <c r="G397">
        <v>6</v>
      </c>
      <c r="I397" s="40">
        <v>46216</v>
      </c>
    </row>
    <row r="398" spans="1:10">
      <c r="A398" t="s">
        <v>292</v>
      </c>
      <c r="B398" s="40">
        <v>46034</v>
      </c>
      <c r="C398" t="s">
        <v>2619</v>
      </c>
      <c r="D398" t="s">
        <v>2619</v>
      </c>
      <c r="E398" s="65">
        <v>194498320</v>
      </c>
      <c r="F398" t="s">
        <v>104</v>
      </c>
      <c r="G398">
        <v>6</v>
      </c>
      <c r="I398" s="40">
        <v>46215</v>
      </c>
    </row>
    <row r="399" spans="1:10">
      <c r="A399" t="s">
        <v>292</v>
      </c>
      <c r="B399" s="40">
        <v>46034</v>
      </c>
      <c r="C399" t="s">
        <v>1291</v>
      </c>
      <c r="D399" t="s">
        <v>1291</v>
      </c>
      <c r="E399" s="65">
        <v>155596560</v>
      </c>
      <c r="F399" t="s">
        <v>104</v>
      </c>
      <c r="G399">
        <v>6</v>
      </c>
      <c r="I399" s="40">
        <v>46215</v>
      </c>
    </row>
    <row r="400" spans="1:10">
      <c r="A400" t="s">
        <v>292</v>
      </c>
      <c r="B400" s="40">
        <v>46034</v>
      </c>
      <c r="C400" t="s">
        <v>1279</v>
      </c>
      <c r="D400" t="s">
        <v>1279</v>
      </c>
      <c r="E400" s="65">
        <v>199989840</v>
      </c>
      <c r="F400" t="s">
        <v>104</v>
      </c>
      <c r="G400">
        <v>6</v>
      </c>
      <c r="I400" s="40">
        <v>46215</v>
      </c>
    </row>
    <row r="401" spans="1:10">
      <c r="A401" t="s">
        <v>292</v>
      </c>
      <c r="B401" s="40">
        <v>46034</v>
      </c>
      <c r="C401" t="s">
        <v>2497</v>
      </c>
      <c r="D401" t="s">
        <v>2497</v>
      </c>
      <c r="E401" s="65">
        <v>77793040</v>
      </c>
      <c r="F401" t="s">
        <v>104</v>
      </c>
      <c r="G401">
        <v>6</v>
      </c>
      <c r="I401" s="40">
        <v>46215</v>
      </c>
    </row>
    <row r="402" spans="1:10">
      <c r="A402" t="s">
        <v>292</v>
      </c>
      <c r="B402" s="40">
        <v>46034</v>
      </c>
      <c r="C402" t="s">
        <v>1277</v>
      </c>
      <c r="D402" t="s">
        <v>1277</v>
      </c>
      <c r="E402" s="65">
        <v>544603680</v>
      </c>
      <c r="F402" t="s">
        <v>104</v>
      </c>
      <c r="G402">
        <v>6</v>
      </c>
      <c r="I402" s="40">
        <v>46215</v>
      </c>
    </row>
    <row r="403" spans="1:10">
      <c r="A403" t="s">
        <v>292</v>
      </c>
      <c r="B403" s="40">
        <v>46034</v>
      </c>
      <c r="C403" t="s">
        <v>1278</v>
      </c>
      <c r="D403" t="s">
        <v>1278</v>
      </c>
      <c r="E403" s="65">
        <v>262000000</v>
      </c>
      <c r="F403" t="s">
        <v>104</v>
      </c>
      <c r="G403">
        <v>6</v>
      </c>
      <c r="I403" s="40">
        <v>46215</v>
      </c>
    </row>
    <row r="404" spans="1:10">
      <c r="A404" t="s">
        <v>292</v>
      </c>
      <c r="B404" s="40">
        <v>46034</v>
      </c>
      <c r="C404" t="s">
        <v>2066</v>
      </c>
      <c r="D404" t="s">
        <v>2066</v>
      </c>
      <c r="E404" s="65">
        <v>116694800</v>
      </c>
      <c r="F404" t="s">
        <v>104</v>
      </c>
      <c r="G404">
        <v>6</v>
      </c>
      <c r="I404" s="40">
        <v>46215</v>
      </c>
    </row>
    <row r="405" spans="1:10">
      <c r="A405" t="s">
        <v>292</v>
      </c>
      <c r="B405" s="40">
        <v>46034</v>
      </c>
      <c r="C405" t="s">
        <v>1119</v>
      </c>
      <c r="D405" t="s">
        <v>1119</v>
      </c>
      <c r="E405" s="65">
        <v>311203600</v>
      </c>
      <c r="F405" t="s">
        <v>104</v>
      </c>
      <c r="G405">
        <v>6</v>
      </c>
      <c r="I405" s="40">
        <v>46215</v>
      </c>
    </row>
    <row r="406" spans="1:10">
      <c r="A406" t="s">
        <v>292</v>
      </c>
      <c r="B406" s="40">
        <v>46034</v>
      </c>
      <c r="C406" t="s">
        <v>1302</v>
      </c>
      <c r="D406" t="s">
        <v>1302</v>
      </c>
      <c r="E406" s="65">
        <v>77793040</v>
      </c>
      <c r="F406" t="s">
        <v>104</v>
      </c>
      <c r="G406">
        <v>6</v>
      </c>
      <c r="I406" s="40">
        <v>46215</v>
      </c>
    </row>
    <row r="407" spans="1:10">
      <c r="A407" t="s">
        <v>292</v>
      </c>
      <c r="B407" s="40">
        <v>46034</v>
      </c>
      <c r="C407" t="s">
        <v>1161</v>
      </c>
      <c r="D407" t="s">
        <v>1161</v>
      </c>
      <c r="E407" s="65">
        <v>233400080</v>
      </c>
      <c r="F407" t="s">
        <v>104</v>
      </c>
      <c r="G407">
        <v>6</v>
      </c>
      <c r="I407" s="40">
        <v>46215</v>
      </c>
    </row>
    <row r="408" spans="1:10">
      <c r="A408" t="s">
        <v>996</v>
      </c>
      <c r="B408" s="40">
        <v>46031</v>
      </c>
      <c r="C408" t="s">
        <v>2105</v>
      </c>
      <c r="D408" t="s">
        <v>2105</v>
      </c>
      <c r="E408" s="65">
        <v>116707800</v>
      </c>
      <c r="F408" t="s">
        <v>104</v>
      </c>
      <c r="G408">
        <v>6</v>
      </c>
      <c r="I408" s="40">
        <v>46212</v>
      </c>
      <c r="J408" t="s">
        <v>1841</v>
      </c>
    </row>
    <row r="409" spans="1:10">
      <c r="A409" t="s">
        <v>996</v>
      </c>
      <c r="B409" s="40">
        <v>46031</v>
      </c>
      <c r="C409" t="s">
        <v>1932</v>
      </c>
      <c r="D409" t="s">
        <v>1932</v>
      </c>
      <c r="E409" s="65">
        <v>272316000</v>
      </c>
      <c r="F409" t="s">
        <v>104</v>
      </c>
      <c r="G409">
        <v>6</v>
      </c>
      <c r="I409" s="40">
        <v>46212</v>
      </c>
      <c r="J409" t="s">
        <v>2620</v>
      </c>
    </row>
    <row r="410" spans="1:10">
      <c r="A410" t="s">
        <v>996</v>
      </c>
      <c r="B410" s="40">
        <v>46031</v>
      </c>
      <c r="C410" t="s">
        <v>1167</v>
      </c>
      <c r="D410" t="s">
        <v>1167</v>
      </c>
      <c r="E410" s="65">
        <v>233415600</v>
      </c>
      <c r="F410" t="s">
        <v>104</v>
      </c>
      <c r="G410">
        <v>6</v>
      </c>
      <c r="I410" s="40">
        <v>46212</v>
      </c>
      <c r="J410" t="s">
        <v>2380</v>
      </c>
    </row>
    <row r="411" spans="1:10">
      <c r="A411" t="s">
        <v>996</v>
      </c>
      <c r="B411" s="40">
        <v>46031</v>
      </c>
      <c r="C411" t="s">
        <v>1090</v>
      </c>
      <c r="D411" t="s">
        <v>1090</v>
      </c>
      <c r="E411" s="65">
        <v>272316000</v>
      </c>
      <c r="F411" t="s">
        <v>104</v>
      </c>
      <c r="G411">
        <v>6</v>
      </c>
      <c r="I411" s="40">
        <v>46212</v>
      </c>
      <c r="J411" t="s">
        <v>2567</v>
      </c>
    </row>
    <row r="412" spans="1:10">
      <c r="A412" t="s">
        <v>996</v>
      </c>
      <c r="B412" s="40">
        <v>46031</v>
      </c>
      <c r="C412" t="s">
        <v>2405</v>
      </c>
      <c r="D412" t="s">
        <v>2405</v>
      </c>
      <c r="E412" s="65">
        <v>155608200</v>
      </c>
      <c r="F412" t="s">
        <v>104</v>
      </c>
      <c r="G412">
        <v>6</v>
      </c>
      <c r="I412" s="40">
        <v>46212</v>
      </c>
      <c r="J412" t="s">
        <v>2405</v>
      </c>
    </row>
    <row r="413" spans="1:10">
      <c r="A413" t="s">
        <v>996</v>
      </c>
      <c r="B413" s="40">
        <v>46031</v>
      </c>
      <c r="C413" t="s">
        <v>1175</v>
      </c>
      <c r="D413" t="s">
        <v>1175</v>
      </c>
      <c r="E413" s="65">
        <v>194511900</v>
      </c>
      <c r="F413" t="s">
        <v>104</v>
      </c>
      <c r="G413">
        <v>6</v>
      </c>
      <c r="I413" s="40">
        <v>46212</v>
      </c>
    </row>
    <row r="414" spans="1:10">
      <c r="A414" t="s">
        <v>996</v>
      </c>
      <c r="B414" s="40">
        <v>46031</v>
      </c>
      <c r="C414" t="s">
        <v>1178</v>
      </c>
      <c r="D414" t="s">
        <v>1178</v>
      </c>
      <c r="E414" s="65">
        <v>155608200</v>
      </c>
      <c r="F414" t="s">
        <v>104</v>
      </c>
      <c r="G414">
        <v>6</v>
      </c>
      <c r="I414" s="40">
        <v>46212</v>
      </c>
      <c r="J414" t="s">
        <v>2388</v>
      </c>
    </row>
    <row r="415" spans="1:10">
      <c r="A415" t="s">
        <v>996</v>
      </c>
      <c r="B415" s="40">
        <v>46031</v>
      </c>
      <c r="C415" t="s">
        <v>1933</v>
      </c>
      <c r="D415" t="s">
        <v>1933</v>
      </c>
      <c r="E415" s="65">
        <v>272316000</v>
      </c>
      <c r="F415" t="s">
        <v>104</v>
      </c>
      <c r="G415">
        <v>6</v>
      </c>
      <c r="I415" s="40">
        <v>46212</v>
      </c>
      <c r="J415" t="s">
        <v>2568</v>
      </c>
    </row>
    <row r="416" spans="1:10">
      <c r="A416" t="s">
        <v>996</v>
      </c>
      <c r="B416" s="40">
        <v>46031</v>
      </c>
      <c r="C416" t="s">
        <v>1325</v>
      </c>
      <c r="D416" t="s">
        <v>1325</v>
      </c>
      <c r="E416" s="65">
        <v>116707800</v>
      </c>
      <c r="F416" t="s">
        <v>104</v>
      </c>
      <c r="G416">
        <v>6</v>
      </c>
      <c r="I416" s="40">
        <v>46212</v>
      </c>
      <c r="J416" t="s">
        <v>2621</v>
      </c>
    </row>
    <row r="417" spans="1:10">
      <c r="A417" t="s">
        <v>996</v>
      </c>
      <c r="B417" s="40">
        <v>46031</v>
      </c>
      <c r="C417" t="s">
        <v>2622</v>
      </c>
      <c r="D417" t="s">
        <v>2622</v>
      </c>
      <c r="E417" s="65">
        <v>116707800</v>
      </c>
      <c r="F417" t="s">
        <v>104</v>
      </c>
      <c r="G417">
        <v>6</v>
      </c>
      <c r="I417" s="40">
        <v>46212</v>
      </c>
      <c r="J417" t="s">
        <v>2623</v>
      </c>
    </row>
    <row r="418" spans="1:10">
      <c r="A418" t="s">
        <v>996</v>
      </c>
      <c r="B418" s="40">
        <v>46031</v>
      </c>
      <c r="C418" t="s">
        <v>1649</v>
      </c>
      <c r="D418" t="s">
        <v>1649</v>
      </c>
      <c r="E418" s="65">
        <v>116707800</v>
      </c>
      <c r="F418" t="s">
        <v>104</v>
      </c>
      <c r="G418">
        <v>6</v>
      </c>
      <c r="I418" s="40">
        <v>46212</v>
      </c>
    </row>
    <row r="419" spans="1:10">
      <c r="A419" t="s">
        <v>996</v>
      </c>
      <c r="B419" s="40">
        <v>46031</v>
      </c>
      <c r="C419" t="s">
        <v>2624</v>
      </c>
      <c r="D419" t="s">
        <v>2624</v>
      </c>
      <c r="E419" s="65">
        <v>116707800</v>
      </c>
      <c r="F419" t="s">
        <v>104</v>
      </c>
      <c r="G419">
        <v>6</v>
      </c>
      <c r="I419" s="40">
        <v>46212</v>
      </c>
      <c r="J419" t="s">
        <v>2625</v>
      </c>
    </row>
    <row r="420" spans="1:10">
      <c r="A420" t="s">
        <v>996</v>
      </c>
      <c r="B420" s="40">
        <v>46031</v>
      </c>
      <c r="C420" t="s">
        <v>1840</v>
      </c>
      <c r="D420" t="s">
        <v>1840</v>
      </c>
      <c r="E420" s="65">
        <v>77804100</v>
      </c>
      <c r="F420" t="s">
        <v>104</v>
      </c>
      <c r="G420">
        <v>6</v>
      </c>
      <c r="I420" s="40">
        <v>46212</v>
      </c>
    </row>
    <row r="421" spans="1:10">
      <c r="A421" t="s">
        <v>996</v>
      </c>
      <c r="B421" s="40">
        <v>46031</v>
      </c>
      <c r="C421" t="s">
        <v>1931</v>
      </c>
      <c r="D421" t="s">
        <v>1931</v>
      </c>
      <c r="E421" s="65">
        <v>505731600</v>
      </c>
      <c r="F421" t="s">
        <v>104</v>
      </c>
      <c r="G421">
        <v>6</v>
      </c>
      <c r="I421" s="40">
        <v>46212</v>
      </c>
    </row>
    <row r="422" spans="1:10">
      <c r="A422" t="s">
        <v>695</v>
      </c>
      <c r="B422" s="40">
        <v>46031</v>
      </c>
      <c r="C422" t="s">
        <v>1496</v>
      </c>
      <c r="D422" t="s">
        <v>1496</v>
      </c>
      <c r="E422" s="65">
        <v>77808000</v>
      </c>
      <c r="F422" t="s">
        <v>104</v>
      </c>
      <c r="G422">
        <v>6</v>
      </c>
      <c r="I422" s="40">
        <v>46213</v>
      </c>
    </row>
    <row r="423" spans="1:10">
      <c r="A423" t="s">
        <v>695</v>
      </c>
      <c r="B423" s="40">
        <v>46031</v>
      </c>
      <c r="C423" t="s">
        <v>1498</v>
      </c>
      <c r="D423" t="s">
        <v>1498</v>
      </c>
      <c r="E423" s="65">
        <v>23340000</v>
      </c>
      <c r="F423" t="s">
        <v>104</v>
      </c>
      <c r="G423">
        <v>6</v>
      </c>
      <c r="I423" s="40">
        <v>46213</v>
      </c>
      <c r="J423" t="s">
        <v>2626</v>
      </c>
    </row>
    <row r="424" spans="1:10">
      <c r="A424" t="s">
        <v>695</v>
      </c>
      <c r="B424" s="40">
        <v>46031</v>
      </c>
      <c r="C424" t="s">
        <v>2057</v>
      </c>
      <c r="D424" t="s">
        <v>2057</v>
      </c>
      <c r="E424" s="65">
        <v>15558000</v>
      </c>
      <c r="F424" t="s">
        <v>104</v>
      </c>
      <c r="G424">
        <v>6</v>
      </c>
      <c r="I424" s="40">
        <v>46213</v>
      </c>
      <c r="J424" t="s">
        <v>2627</v>
      </c>
    </row>
    <row r="425" spans="1:10">
      <c r="A425" t="s">
        <v>695</v>
      </c>
      <c r="B425" s="40">
        <v>46031</v>
      </c>
      <c r="C425" t="s">
        <v>1495</v>
      </c>
      <c r="D425" t="s">
        <v>1495</v>
      </c>
      <c r="E425" s="65">
        <v>233424000</v>
      </c>
      <c r="F425" t="s">
        <v>104</v>
      </c>
      <c r="G425">
        <v>36</v>
      </c>
      <c r="I425" s="40">
        <v>47128</v>
      </c>
      <c r="J425" t="s">
        <v>2628</v>
      </c>
    </row>
    <row r="426" spans="1:10">
      <c r="A426" t="s">
        <v>695</v>
      </c>
      <c r="B426" s="40">
        <v>46031</v>
      </c>
      <c r="C426" t="s">
        <v>1499</v>
      </c>
      <c r="D426" t="s">
        <v>1499</v>
      </c>
      <c r="E426" s="65">
        <v>23340000</v>
      </c>
      <c r="F426" t="s">
        <v>104</v>
      </c>
      <c r="G426">
        <v>6</v>
      </c>
      <c r="I426" s="40">
        <v>46213</v>
      </c>
      <c r="J426" t="s">
        <v>2629</v>
      </c>
    </row>
    <row r="427" spans="1:10">
      <c r="A427" t="s">
        <v>695</v>
      </c>
      <c r="B427" s="40">
        <v>46031</v>
      </c>
      <c r="C427" t="s">
        <v>2523</v>
      </c>
      <c r="D427" t="s">
        <v>2523</v>
      </c>
      <c r="E427" s="65">
        <v>23106000</v>
      </c>
      <c r="F427" t="s">
        <v>104</v>
      </c>
      <c r="G427">
        <v>6</v>
      </c>
      <c r="I427" s="40">
        <v>46213</v>
      </c>
      <c r="J427" t="s">
        <v>2524</v>
      </c>
    </row>
    <row r="428" spans="1:10">
      <c r="A428" t="s">
        <v>695</v>
      </c>
      <c r="B428" s="40">
        <v>46031</v>
      </c>
      <c r="C428" t="s">
        <v>1497</v>
      </c>
      <c r="D428" t="s">
        <v>1497</v>
      </c>
      <c r="E428" s="65">
        <v>62244000</v>
      </c>
      <c r="F428" t="s">
        <v>104</v>
      </c>
    </row>
    <row r="429" spans="1:10">
      <c r="A429" t="s">
        <v>695</v>
      </c>
      <c r="B429" s="40">
        <v>46031</v>
      </c>
      <c r="C429" t="s">
        <v>2142</v>
      </c>
      <c r="D429" t="s">
        <v>2142</v>
      </c>
      <c r="E429" s="65">
        <v>9996000</v>
      </c>
      <c r="F429" t="s">
        <v>104</v>
      </c>
      <c r="G429">
        <v>6</v>
      </c>
      <c r="I429" s="40">
        <v>46213</v>
      </c>
      <c r="J429" t="s">
        <v>2630</v>
      </c>
    </row>
    <row r="430" spans="1:10">
      <c r="A430" t="s">
        <v>1022</v>
      </c>
      <c r="B430" s="40">
        <v>46031</v>
      </c>
      <c r="C430" t="s">
        <v>2085</v>
      </c>
      <c r="D430" t="s">
        <v>2085</v>
      </c>
      <c r="E430" s="65">
        <v>77795740</v>
      </c>
      <c r="F430" t="s">
        <v>104</v>
      </c>
      <c r="G430">
        <v>6</v>
      </c>
      <c r="I430" s="40">
        <v>46212</v>
      </c>
      <c r="J430" t="s">
        <v>2631</v>
      </c>
    </row>
    <row r="431" spans="1:10">
      <c r="A431" t="s">
        <v>1022</v>
      </c>
      <c r="B431" s="40">
        <v>46031</v>
      </c>
      <c r="C431" t="s">
        <v>1238</v>
      </c>
      <c r="D431" t="s">
        <v>1238</v>
      </c>
      <c r="E431" s="65">
        <v>31118296</v>
      </c>
      <c r="F431" t="s">
        <v>104</v>
      </c>
      <c r="G431">
        <v>6</v>
      </c>
      <c r="I431" s="40">
        <v>46212</v>
      </c>
      <c r="J431" t="s">
        <v>2398</v>
      </c>
    </row>
    <row r="432" spans="1:10">
      <c r="A432" t="s">
        <v>1022</v>
      </c>
      <c r="B432" s="40">
        <v>46031</v>
      </c>
      <c r="C432" t="s">
        <v>2610</v>
      </c>
      <c r="D432" t="s">
        <v>2610</v>
      </c>
      <c r="E432" s="65">
        <v>77795740</v>
      </c>
      <c r="F432" t="s">
        <v>104</v>
      </c>
      <c r="G432">
        <v>6</v>
      </c>
      <c r="I432" s="40">
        <v>46212</v>
      </c>
    </row>
    <row r="433" spans="1:10">
      <c r="A433" t="s">
        <v>1022</v>
      </c>
      <c r="B433" s="40">
        <v>46031</v>
      </c>
      <c r="C433" t="s">
        <v>1209</v>
      </c>
      <c r="D433" t="s">
        <v>1209</v>
      </c>
      <c r="E433" s="65">
        <v>93354888</v>
      </c>
      <c r="F433" t="s">
        <v>104</v>
      </c>
      <c r="G433">
        <v>6</v>
      </c>
      <c r="I433" s="40">
        <v>46212</v>
      </c>
    </row>
    <row r="434" spans="1:10">
      <c r="A434" t="s">
        <v>1022</v>
      </c>
      <c r="B434" s="40">
        <v>46031</v>
      </c>
      <c r="C434" t="s">
        <v>2632</v>
      </c>
      <c r="D434" t="s">
        <v>2632</v>
      </c>
      <c r="E434" s="65">
        <v>38897870</v>
      </c>
      <c r="F434" t="s">
        <v>104</v>
      </c>
      <c r="G434">
        <v>6</v>
      </c>
      <c r="I434" s="40">
        <v>46212</v>
      </c>
      <c r="J434" t="s">
        <v>2633</v>
      </c>
    </row>
    <row r="435" spans="1:10">
      <c r="A435" t="s">
        <v>1022</v>
      </c>
      <c r="B435" s="40">
        <v>46031</v>
      </c>
      <c r="C435" t="s">
        <v>1219</v>
      </c>
      <c r="D435" t="s">
        <v>1219</v>
      </c>
      <c r="E435" s="65">
        <v>38897870</v>
      </c>
      <c r="F435" t="s">
        <v>104</v>
      </c>
      <c r="G435">
        <v>6</v>
      </c>
      <c r="I435" s="40">
        <v>46212</v>
      </c>
    </row>
    <row r="436" spans="1:10">
      <c r="A436" t="s">
        <v>1022</v>
      </c>
      <c r="B436" s="40">
        <v>46031</v>
      </c>
      <c r="C436" t="s">
        <v>2634</v>
      </c>
      <c r="D436" t="s">
        <v>2634</v>
      </c>
      <c r="E436" s="65">
        <v>77795740</v>
      </c>
      <c r="F436" t="s">
        <v>104</v>
      </c>
      <c r="G436">
        <v>6</v>
      </c>
      <c r="I436" s="40">
        <v>46212</v>
      </c>
      <c r="J436" t="s">
        <v>2635</v>
      </c>
    </row>
    <row r="437" spans="1:10">
      <c r="A437" t="s">
        <v>1022</v>
      </c>
      <c r="B437" s="40">
        <v>46031</v>
      </c>
      <c r="C437" t="s">
        <v>2084</v>
      </c>
      <c r="D437" t="s">
        <v>2084</v>
      </c>
      <c r="E437" s="65">
        <v>116705204</v>
      </c>
      <c r="F437" t="s">
        <v>104</v>
      </c>
      <c r="G437">
        <v>6</v>
      </c>
      <c r="I437" s="40">
        <v>46212</v>
      </c>
      <c r="J437" t="s">
        <v>2626</v>
      </c>
    </row>
    <row r="438" spans="1:10">
      <c r="A438" t="s">
        <v>1022</v>
      </c>
      <c r="B438" s="40">
        <v>46031</v>
      </c>
      <c r="C438" t="s">
        <v>2083</v>
      </c>
      <c r="D438" t="s">
        <v>2083</v>
      </c>
      <c r="E438" s="65">
        <v>116705204</v>
      </c>
      <c r="F438" t="s">
        <v>104</v>
      </c>
      <c r="G438">
        <v>6</v>
      </c>
      <c r="I438" s="40">
        <v>46212</v>
      </c>
      <c r="J438" t="s">
        <v>2636</v>
      </c>
    </row>
    <row r="439" spans="1:10">
      <c r="A439" t="s">
        <v>1022</v>
      </c>
      <c r="B439" s="40">
        <v>46031</v>
      </c>
      <c r="C439" t="s">
        <v>2086</v>
      </c>
      <c r="D439" t="s">
        <v>2086</v>
      </c>
      <c r="E439" s="65">
        <v>77795740</v>
      </c>
      <c r="F439" t="s">
        <v>104</v>
      </c>
      <c r="G439">
        <v>6</v>
      </c>
      <c r="I439" s="40">
        <v>46212</v>
      </c>
      <c r="J439" t="s">
        <v>2637</v>
      </c>
    </row>
    <row r="440" spans="1:10">
      <c r="A440" t="s">
        <v>1022</v>
      </c>
      <c r="B440" s="40">
        <v>46031</v>
      </c>
      <c r="C440" t="s">
        <v>2638</v>
      </c>
      <c r="D440" t="s">
        <v>2638</v>
      </c>
      <c r="E440" s="65">
        <v>31118296</v>
      </c>
      <c r="F440" t="s">
        <v>104</v>
      </c>
      <c r="G440">
        <v>6</v>
      </c>
      <c r="I440" s="40">
        <v>46212</v>
      </c>
      <c r="J440" t="s">
        <v>2639</v>
      </c>
    </row>
    <row r="441" spans="1:10">
      <c r="A441" t="s">
        <v>958</v>
      </c>
      <c r="B441" s="40">
        <v>46030</v>
      </c>
      <c r="C441" t="s">
        <v>1105</v>
      </c>
      <c r="D441" t="s">
        <v>1105</v>
      </c>
      <c r="E441" s="65">
        <v>74995480</v>
      </c>
      <c r="F441" t="s">
        <v>104</v>
      </c>
    </row>
    <row r="442" spans="1:10">
      <c r="A442" t="s">
        <v>958</v>
      </c>
      <c r="B442" s="40">
        <v>46030</v>
      </c>
      <c r="C442" t="s">
        <v>2414</v>
      </c>
      <c r="D442" t="s">
        <v>2414</v>
      </c>
      <c r="E442" s="65">
        <v>54462940</v>
      </c>
      <c r="F442" t="s">
        <v>104</v>
      </c>
    </row>
    <row r="443" spans="1:10">
      <c r="A443" t="s">
        <v>958</v>
      </c>
      <c r="B443" s="40">
        <v>46030</v>
      </c>
      <c r="C443" t="s">
        <v>1209</v>
      </c>
      <c r="D443" t="s">
        <v>1209</v>
      </c>
      <c r="E443" s="65">
        <v>233422560</v>
      </c>
      <c r="F443" t="s">
        <v>104</v>
      </c>
    </row>
    <row r="444" spans="1:10">
      <c r="A444" t="s">
        <v>958</v>
      </c>
      <c r="B444" s="40">
        <v>46030</v>
      </c>
      <c r="C444" t="s">
        <v>1969</v>
      </c>
      <c r="D444" t="s">
        <v>1969</v>
      </c>
      <c r="E444" s="65">
        <v>326789260</v>
      </c>
      <c r="F444" t="s">
        <v>104</v>
      </c>
    </row>
    <row r="445" spans="1:10">
      <c r="A445" t="s">
        <v>958</v>
      </c>
      <c r="B445" s="40">
        <v>46030</v>
      </c>
      <c r="C445" t="s">
        <v>2640</v>
      </c>
      <c r="D445" t="s">
        <v>2640</v>
      </c>
      <c r="E445" s="65">
        <v>38903760</v>
      </c>
      <c r="F445" t="s">
        <v>104</v>
      </c>
    </row>
    <row r="446" spans="1:10">
      <c r="A446" t="s">
        <v>958</v>
      </c>
      <c r="B446" s="40">
        <v>46030</v>
      </c>
      <c r="C446" t="s">
        <v>2641</v>
      </c>
      <c r="D446" t="s">
        <v>2641</v>
      </c>
      <c r="E446" s="65">
        <v>77807520</v>
      </c>
      <c r="F446" t="s">
        <v>104</v>
      </c>
    </row>
    <row r="447" spans="1:10">
      <c r="A447" t="s">
        <v>958</v>
      </c>
      <c r="B447" s="40">
        <v>46030</v>
      </c>
      <c r="C447" t="s">
        <v>2642</v>
      </c>
      <c r="D447" t="s">
        <v>2642</v>
      </c>
      <c r="E447" s="65">
        <v>70022120</v>
      </c>
      <c r="F447" t="s">
        <v>104</v>
      </c>
    </row>
    <row r="448" spans="1:10">
      <c r="A448" t="s">
        <v>958</v>
      </c>
      <c r="B448" s="40">
        <v>46030</v>
      </c>
      <c r="C448" t="s">
        <v>1394</v>
      </c>
      <c r="D448" t="s">
        <v>1394</v>
      </c>
      <c r="E448" s="65">
        <v>349355300</v>
      </c>
      <c r="F448" t="s">
        <v>104</v>
      </c>
    </row>
    <row r="449" spans="1:10">
      <c r="A449" t="s">
        <v>958</v>
      </c>
      <c r="B449" s="40">
        <v>46030</v>
      </c>
      <c r="C449" t="s">
        <v>1175</v>
      </c>
      <c r="D449" t="s">
        <v>1175</v>
      </c>
      <c r="E449" s="65">
        <v>225637160</v>
      </c>
      <c r="F449" t="s">
        <v>104</v>
      </c>
    </row>
    <row r="450" spans="1:10">
      <c r="A450" t="s">
        <v>958</v>
      </c>
      <c r="B450" s="40">
        <v>46030</v>
      </c>
      <c r="C450" t="s">
        <v>1291</v>
      </c>
      <c r="D450" t="s">
        <v>1291</v>
      </c>
      <c r="E450" s="65">
        <v>1392761580</v>
      </c>
      <c r="F450" t="s">
        <v>104</v>
      </c>
    </row>
    <row r="451" spans="1:10">
      <c r="A451" t="s">
        <v>958</v>
      </c>
      <c r="B451" s="40">
        <v>46030</v>
      </c>
      <c r="C451" t="s">
        <v>1069</v>
      </c>
      <c r="D451" t="s">
        <v>1069</v>
      </c>
      <c r="E451" s="65">
        <v>140044240</v>
      </c>
      <c r="F451" t="s">
        <v>104</v>
      </c>
    </row>
    <row r="452" spans="1:10">
      <c r="A452" t="s">
        <v>982</v>
      </c>
      <c r="B452" s="40">
        <v>46030</v>
      </c>
      <c r="C452" t="s">
        <v>2549</v>
      </c>
      <c r="D452" t="s">
        <v>2549</v>
      </c>
      <c r="E452" s="65">
        <v>23340952</v>
      </c>
      <c r="F452" t="s">
        <v>104</v>
      </c>
    </row>
    <row r="453" spans="1:10">
      <c r="A453" t="s">
        <v>982</v>
      </c>
      <c r="B453" s="40">
        <v>46030</v>
      </c>
      <c r="C453" t="s">
        <v>1284</v>
      </c>
      <c r="D453" t="s">
        <v>1284</v>
      </c>
      <c r="E453" s="65">
        <v>23340952</v>
      </c>
      <c r="F453" t="s">
        <v>104</v>
      </c>
      <c r="J453" t="s">
        <v>2498</v>
      </c>
    </row>
    <row r="454" spans="1:10">
      <c r="A454" t="s">
        <v>982</v>
      </c>
      <c r="B454" s="40">
        <v>46030</v>
      </c>
      <c r="C454" t="s">
        <v>1211</v>
      </c>
      <c r="D454" t="s">
        <v>1211</v>
      </c>
      <c r="E454" s="65">
        <v>15557752</v>
      </c>
      <c r="F454" t="s">
        <v>104</v>
      </c>
      <c r="J454" t="s">
        <v>2498</v>
      </c>
    </row>
    <row r="455" spans="1:10">
      <c r="A455" t="s">
        <v>982</v>
      </c>
      <c r="B455" s="40">
        <v>46030</v>
      </c>
      <c r="C455" t="s">
        <v>2643</v>
      </c>
      <c r="D455" t="s">
        <v>2643</v>
      </c>
      <c r="E455" s="65">
        <v>23340952</v>
      </c>
      <c r="F455" t="s">
        <v>104</v>
      </c>
      <c r="J455" t="s">
        <v>2644</v>
      </c>
    </row>
    <row r="456" spans="1:10">
      <c r="A456" t="s">
        <v>982</v>
      </c>
      <c r="B456" s="40">
        <v>46030</v>
      </c>
      <c r="C456" t="s">
        <v>1919</v>
      </c>
      <c r="D456" t="s">
        <v>1919</v>
      </c>
      <c r="E456" s="65">
        <v>77801732</v>
      </c>
      <c r="F456" t="s">
        <v>104</v>
      </c>
      <c r="G456">
        <v>12</v>
      </c>
      <c r="I456" s="40">
        <v>46396</v>
      </c>
    </row>
    <row r="457" spans="1:10">
      <c r="A457" t="s">
        <v>982</v>
      </c>
      <c r="B457" s="40">
        <v>46030</v>
      </c>
      <c r="C457" t="s">
        <v>2095</v>
      </c>
      <c r="D457" t="s">
        <v>2095</v>
      </c>
      <c r="E457" s="65">
        <v>23340952</v>
      </c>
      <c r="F457" t="s">
        <v>104</v>
      </c>
    </row>
    <row r="458" spans="1:10">
      <c r="A458" t="s">
        <v>982</v>
      </c>
      <c r="B458" s="40">
        <v>46030</v>
      </c>
      <c r="C458" t="s">
        <v>1452</v>
      </c>
      <c r="D458" t="s">
        <v>1452</v>
      </c>
      <c r="E458" s="65">
        <v>23340952</v>
      </c>
      <c r="F458" t="s">
        <v>104</v>
      </c>
      <c r="J458" t="s">
        <v>2365</v>
      </c>
    </row>
    <row r="459" spans="1:10">
      <c r="A459" t="s">
        <v>982</v>
      </c>
      <c r="B459" s="40">
        <v>46030</v>
      </c>
      <c r="C459" t="s">
        <v>1411</v>
      </c>
      <c r="D459" t="s">
        <v>1411</v>
      </c>
      <c r="E459" s="65">
        <v>23340952</v>
      </c>
      <c r="F459" t="s">
        <v>104</v>
      </c>
    </row>
    <row r="460" spans="1:10">
      <c r="A460" t="s">
        <v>982</v>
      </c>
      <c r="B460" s="40">
        <v>46030</v>
      </c>
      <c r="C460" t="s">
        <v>1834</v>
      </c>
      <c r="D460" t="s">
        <v>1834</v>
      </c>
      <c r="E460" s="65">
        <v>38898704</v>
      </c>
      <c r="F460" t="s">
        <v>104</v>
      </c>
      <c r="J460" t="s">
        <v>2645</v>
      </c>
    </row>
    <row r="461" spans="1:10">
      <c r="A461" t="s">
        <v>982</v>
      </c>
      <c r="B461" s="40">
        <v>46030</v>
      </c>
      <c r="C461" t="s">
        <v>2646</v>
      </c>
      <c r="D461" t="s">
        <v>2646</v>
      </c>
      <c r="E461" s="65">
        <v>38898704</v>
      </c>
      <c r="F461" t="s">
        <v>104</v>
      </c>
      <c r="J461" t="s">
        <v>2647</v>
      </c>
    </row>
    <row r="462" spans="1:10">
      <c r="A462" t="s">
        <v>982</v>
      </c>
      <c r="B462" s="40">
        <v>46030</v>
      </c>
      <c r="C462" t="s">
        <v>1274</v>
      </c>
      <c r="D462" t="s">
        <v>1274</v>
      </c>
      <c r="E462" s="65">
        <v>38898704</v>
      </c>
      <c r="F462" t="s">
        <v>104</v>
      </c>
      <c r="J462" t="s">
        <v>1204</v>
      </c>
    </row>
    <row r="463" spans="1:10">
      <c r="A463" t="s">
        <v>982</v>
      </c>
      <c r="B463" s="40">
        <v>46030</v>
      </c>
      <c r="C463" t="s">
        <v>1931</v>
      </c>
      <c r="D463" t="s">
        <v>1931</v>
      </c>
      <c r="E463" s="65">
        <v>116704760</v>
      </c>
      <c r="F463" t="s">
        <v>104</v>
      </c>
    </row>
    <row r="464" spans="1:10">
      <c r="A464" t="s">
        <v>982</v>
      </c>
      <c r="B464" s="40">
        <v>46030</v>
      </c>
      <c r="C464" t="s">
        <v>1119</v>
      </c>
      <c r="D464" t="s">
        <v>1119</v>
      </c>
      <c r="E464" s="65">
        <v>77801732</v>
      </c>
      <c r="F464" t="s">
        <v>104</v>
      </c>
      <c r="J464" t="s">
        <v>2403</v>
      </c>
    </row>
    <row r="465" spans="1:10">
      <c r="A465" t="s">
        <v>982</v>
      </c>
      <c r="B465" s="40">
        <v>46030</v>
      </c>
      <c r="C465" t="s">
        <v>2152</v>
      </c>
      <c r="D465" t="s">
        <v>2152</v>
      </c>
      <c r="E465" s="65">
        <v>38898704</v>
      </c>
      <c r="F465" t="s">
        <v>104</v>
      </c>
      <c r="J465" t="s">
        <v>2648</v>
      </c>
    </row>
    <row r="466" spans="1:10">
      <c r="A466" t="s">
        <v>874</v>
      </c>
      <c r="B466" s="40">
        <v>46030</v>
      </c>
      <c r="C466" t="s">
        <v>2558</v>
      </c>
      <c r="D466" t="s">
        <v>2558</v>
      </c>
      <c r="E466" s="65">
        <v>116706660</v>
      </c>
      <c r="F466" t="s">
        <v>104</v>
      </c>
      <c r="G466">
        <v>6</v>
      </c>
      <c r="I466" s="40">
        <v>46211</v>
      </c>
    </row>
    <row r="467" spans="1:10">
      <c r="A467" t="s">
        <v>874</v>
      </c>
      <c r="B467" s="40">
        <v>46030</v>
      </c>
      <c r="C467" t="s">
        <v>1214</v>
      </c>
      <c r="D467" t="s">
        <v>1214</v>
      </c>
      <c r="E467" s="65">
        <v>155604060</v>
      </c>
      <c r="F467" t="s">
        <v>104</v>
      </c>
      <c r="G467">
        <v>6</v>
      </c>
      <c r="I467" s="40">
        <v>46211</v>
      </c>
    </row>
    <row r="468" spans="1:10">
      <c r="A468" t="s">
        <v>874</v>
      </c>
      <c r="B468" s="40">
        <v>46030</v>
      </c>
      <c r="C468" t="s">
        <v>2105</v>
      </c>
      <c r="D468" t="s">
        <v>2105</v>
      </c>
      <c r="E468" s="65">
        <v>155604060</v>
      </c>
      <c r="F468" t="s">
        <v>104</v>
      </c>
      <c r="G468">
        <v>6</v>
      </c>
      <c r="I468" s="40">
        <v>46211</v>
      </c>
    </row>
    <row r="469" spans="1:10">
      <c r="A469" t="s">
        <v>874</v>
      </c>
      <c r="B469" s="40">
        <v>46030</v>
      </c>
      <c r="C469" t="s">
        <v>2649</v>
      </c>
      <c r="D469" t="s">
        <v>2649</v>
      </c>
      <c r="E469" s="65">
        <v>99990900</v>
      </c>
      <c r="F469" t="s">
        <v>104</v>
      </c>
      <c r="G469">
        <v>6</v>
      </c>
      <c r="I469" s="40">
        <v>46211</v>
      </c>
    </row>
    <row r="470" spans="1:10">
      <c r="A470" t="s">
        <v>874</v>
      </c>
      <c r="B470" s="40">
        <v>46030</v>
      </c>
      <c r="C470" t="s">
        <v>2650</v>
      </c>
      <c r="D470" t="s">
        <v>2650</v>
      </c>
      <c r="E470" s="65">
        <v>16542240</v>
      </c>
      <c r="F470" t="s">
        <v>104</v>
      </c>
      <c r="G470">
        <v>6</v>
      </c>
      <c r="I470" s="40">
        <v>46211</v>
      </c>
    </row>
    <row r="471" spans="1:10">
      <c r="A471" t="s">
        <v>874</v>
      </c>
      <c r="B471" s="40">
        <v>46030</v>
      </c>
      <c r="C471" t="s">
        <v>2651</v>
      </c>
      <c r="D471" t="s">
        <v>2651</v>
      </c>
      <c r="E471" s="65">
        <v>77664660</v>
      </c>
      <c r="F471" t="s">
        <v>104</v>
      </c>
      <c r="G471">
        <v>6</v>
      </c>
      <c r="I471" s="40">
        <v>46211</v>
      </c>
    </row>
    <row r="472" spans="1:10">
      <c r="A472" t="s">
        <v>874</v>
      </c>
      <c r="B472" s="40">
        <v>46030</v>
      </c>
      <c r="C472" t="s">
        <v>2652</v>
      </c>
      <c r="D472" t="s">
        <v>2652</v>
      </c>
      <c r="E472" s="65">
        <v>31117920</v>
      </c>
      <c r="F472" t="s">
        <v>104</v>
      </c>
      <c r="G472">
        <v>6</v>
      </c>
      <c r="I472" s="40">
        <v>46211</v>
      </c>
    </row>
    <row r="473" spans="1:10">
      <c r="A473" t="s">
        <v>874</v>
      </c>
      <c r="B473" s="40">
        <v>46030</v>
      </c>
      <c r="C473" t="s">
        <v>2104</v>
      </c>
      <c r="D473" t="s">
        <v>2104</v>
      </c>
      <c r="E473" s="65">
        <v>163383540</v>
      </c>
      <c r="F473" t="s">
        <v>104</v>
      </c>
      <c r="G473">
        <v>6</v>
      </c>
      <c r="I473" s="40">
        <v>46211</v>
      </c>
    </row>
    <row r="474" spans="1:10">
      <c r="A474" t="s">
        <v>874</v>
      </c>
      <c r="B474" s="40">
        <v>46030</v>
      </c>
      <c r="C474" t="s">
        <v>2653</v>
      </c>
      <c r="D474" t="s">
        <v>2653</v>
      </c>
      <c r="E474" s="65">
        <v>23338440</v>
      </c>
      <c r="F474" t="s">
        <v>104</v>
      </c>
      <c r="G474">
        <v>6</v>
      </c>
      <c r="I474" s="40">
        <v>46211</v>
      </c>
    </row>
    <row r="475" spans="1:10">
      <c r="A475" t="s">
        <v>874</v>
      </c>
      <c r="B475" s="40">
        <v>46030</v>
      </c>
      <c r="C475" t="s">
        <v>1114</v>
      </c>
      <c r="D475" t="s">
        <v>1114</v>
      </c>
      <c r="E475" s="65">
        <v>155604060</v>
      </c>
      <c r="F475" t="s">
        <v>104</v>
      </c>
      <c r="G475">
        <v>6</v>
      </c>
      <c r="I475" s="40">
        <v>46211</v>
      </c>
    </row>
    <row r="476" spans="1:10">
      <c r="A476" t="s">
        <v>874</v>
      </c>
      <c r="B476" s="40">
        <v>46030</v>
      </c>
      <c r="C476" t="s">
        <v>2106</v>
      </c>
      <c r="D476" t="s">
        <v>2106</v>
      </c>
      <c r="E476" s="65">
        <v>132265620</v>
      </c>
      <c r="F476" t="s">
        <v>104</v>
      </c>
      <c r="G476">
        <v>6</v>
      </c>
      <c r="I476" s="40">
        <v>46211</v>
      </c>
    </row>
    <row r="477" spans="1:10">
      <c r="A477" t="s">
        <v>874</v>
      </c>
      <c r="B477" s="40">
        <v>46030</v>
      </c>
      <c r="C477" t="s">
        <v>2385</v>
      </c>
      <c r="D477" t="s">
        <v>2385</v>
      </c>
      <c r="E477" s="65">
        <v>21834600</v>
      </c>
      <c r="F477" t="s">
        <v>104</v>
      </c>
      <c r="G477">
        <v>6</v>
      </c>
      <c r="I477" s="40">
        <v>46211</v>
      </c>
    </row>
    <row r="478" spans="1:10">
      <c r="A478" t="s">
        <v>874</v>
      </c>
      <c r="B478" s="40">
        <v>46030</v>
      </c>
      <c r="C478" t="s">
        <v>2654</v>
      </c>
      <c r="D478" t="s">
        <v>2654</v>
      </c>
      <c r="E478" s="65">
        <v>77028420</v>
      </c>
      <c r="F478" t="s">
        <v>104</v>
      </c>
      <c r="G478">
        <v>6</v>
      </c>
      <c r="I478" s="40">
        <v>46211</v>
      </c>
    </row>
    <row r="479" spans="1:10">
      <c r="A479" t="s">
        <v>874</v>
      </c>
      <c r="B479" s="40">
        <v>46030</v>
      </c>
      <c r="C479" t="s">
        <v>2655</v>
      </c>
      <c r="D479" t="s">
        <v>2655</v>
      </c>
      <c r="E479" s="65">
        <v>33084480</v>
      </c>
      <c r="F479" t="s">
        <v>104</v>
      </c>
      <c r="G479">
        <v>6</v>
      </c>
      <c r="I479" s="40">
        <v>46211</v>
      </c>
    </row>
    <row r="480" spans="1:10">
      <c r="A480" t="s">
        <v>874</v>
      </c>
      <c r="B480" s="40">
        <v>46030</v>
      </c>
      <c r="C480" t="s">
        <v>2656</v>
      </c>
      <c r="D480" t="s">
        <v>2656</v>
      </c>
      <c r="E480" s="65">
        <v>32997720</v>
      </c>
      <c r="F480" t="s">
        <v>104</v>
      </c>
      <c r="G480">
        <v>6</v>
      </c>
      <c r="I480" s="40">
        <v>46211</v>
      </c>
    </row>
    <row r="481" spans="1:10">
      <c r="A481" t="s">
        <v>874</v>
      </c>
      <c r="B481" s="40">
        <v>46030</v>
      </c>
      <c r="C481" t="s">
        <v>1834</v>
      </c>
      <c r="D481" t="s">
        <v>1834</v>
      </c>
      <c r="E481" s="65">
        <v>46676880</v>
      </c>
      <c r="F481" t="s">
        <v>104</v>
      </c>
      <c r="G481">
        <v>6</v>
      </c>
      <c r="I481" s="40">
        <v>46211</v>
      </c>
    </row>
    <row r="482" spans="1:10">
      <c r="A482" t="s">
        <v>874</v>
      </c>
      <c r="B482" s="40">
        <v>46030</v>
      </c>
      <c r="C482" t="s">
        <v>2188</v>
      </c>
      <c r="D482" t="s">
        <v>2188</v>
      </c>
      <c r="E482" s="65">
        <v>54456360</v>
      </c>
      <c r="F482" t="s">
        <v>104</v>
      </c>
      <c r="G482">
        <v>6</v>
      </c>
      <c r="I482" s="40">
        <v>46211</v>
      </c>
    </row>
    <row r="483" spans="1:10">
      <c r="A483" t="s">
        <v>874</v>
      </c>
      <c r="B483" s="40">
        <v>46030</v>
      </c>
      <c r="C483" t="s">
        <v>1119</v>
      </c>
      <c r="D483" t="s">
        <v>1119</v>
      </c>
      <c r="E483" s="65">
        <v>77794800</v>
      </c>
      <c r="F483" t="s">
        <v>104</v>
      </c>
      <c r="G483">
        <v>6</v>
      </c>
      <c r="I483" s="40">
        <v>46211</v>
      </c>
    </row>
    <row r="484" spans="1:10">
      <c r="A484" t="s">
        <v>874</v>
      </c>
      <c r="B484" s="40">
        <v>46030</v>
      </c>
      <c r="C484" t="s">
        <v>2657</v>
      </c>
      <c r="D484" t="s">
        <v>2657</v>
      </c>
      <c r="E484" s="65">
        <v>110271960</v>
      </c>
      <c r="F484" t="s">
        <v>104</v>
      </c>
      <c r="G484">
        <v>6</v>
      </c>
      <c r="I484" s="40">
        <v>46211</v>
      </c>
    </row>
    <row r="485" spans="1:10">
      <c r="A485" t="s">
        <v>974</v>
      </c>
      <c r="B485" s="40">
        <v>46024</v>
      </c>
      <c r="C485" t="s">
        <v>1119</v>
      </c>
      <c r="D485" t="s">
        <v>1119</v>
      </c>
      <c r="E485" s="65">
        <v>77835520</v>
      </c>
      <c r="F485" t="s">
        <v>104</v>
      </c>
      <c r="J485" t="s">
        <v>2403</v>
      </c>
    </row>
    <row r="486" spans="1:10">
      <c r="A486" t="s">
        <v>974</v>
      </c>
      <c r="B486" s="40">
        <v>46024</v>
      </c>
      <c r="C486" t="s">
        <v>1209</v>
      </c>
      <c r="D486" t="s">
        <v>1209</v>
      </c>
      <c r="E486" s="65">
        <v>77835520</v>
      </c>
      <c r="F486" t="s">
        <v>104</v>
      </c>
      <c r="G486">
        <v>6</v>
      </c>
      <c r="I486" s="40">
        <v>46205</v>
      </c>
      <c r="J486" t="s">
        <v>2405</v>
      </c>
    </row>
    <row r="487" spans="1:10">
      <c r="A487" t="s">
        <v>974</v>
      </c>
      <c r="B487" s="40">
        <v>46024</v>
      </c>
      <c r="C487" t="s">
        <v>2658</v>
      </c>
      <c r="D487" t="s">
        <v>2658</v>
      </c>
      <c r="E487" s="65">
        <v>38917760</v>
      </c>
      <c r="F487" t="s">
        <v>104</v>
      </c>
      <c r="G487">
        <v>6</v>
      </c>
      <c r="I487" s="40">
        <v>46205</v>
      </c>
    </row>
    <row r="488" spans="1:10">
      <c r="A488" t="s">
        <v>974</v>
      </c>
      <c r="B488" s="40">
        <v>46024</v>
      </c>
      <c r="C488" t="s">
        <v>2546</v>
      </c>
      <c r="D488" t="s">
        <v>2546</v>
      </c>
      <c r="E488" s="65">
        <v>38917760</v>
      </c>
      <c r="F488" t="s">
        <v>104</v>
      </c>
      <c r="G488">
        <v>6</v>
      </c>
      <c r="I488" s="40">
        <v>46205</v>
      </c>
    </row>
    <row r="489" spans="1:10">
      <c r="A489" t="s">
        <v>974</v>
      </c>
      <c r="B489" s="40">
        <v>46024</v>
      </c>
      <c r="C489" t="s">
        <v>2659</v>
      </c>
      <c r="D489" t="s">
        <v>2659</v>
      </c>
      <c r="E489" s="65">
        <v>62265280.000000007</v>
      </c>
      <c r="F489" t="s">
        <v>104</v>
      </c>
      <c r="G489">
        <v>6</v>
      </c>
      <c r="I489" s="40">
        <v>46205</v>
      </c>
    </row>
    <row r="490" spans="1:10">
      <c r="A490" t="s">
        <v>974</v>
      </c>
      <c r="B490" s="40">
        <v>46024</v>
      </c>
      <c r="C490" t="s">
        <v>2660</v>
      </c>
      <c r="D490" t="s">
        <v>2660</v>
      </c>
      <c r="E490" s="65">
        <v>77835520</v>
      </c>
      <c r="F490" t="s">
        <v>104</v>
      </c>
      <c r="J490" t="s">
        <v>2661</v>
      </c>
    </row>
    <row r="491" spans="1:10">
      <c r="A491" t="s">
        <v>974</v>
      </c>
      <c r="B491" s="40">
        <v>46024</v>
      </c>
      <c r="C491" t="s">
        <v>2473</v>
      </c>
      <c r="D491" t="s">
        <v>2473</v>
      </c>
      <c r="E491" s="65">
        <v>77835520</v>
      </c>
      <c r="F491" t="s">
        <v>104</v>
      </c>
      <c r="G491">
        <v>6</v>
      </c>
      <c r="I491" s="40">
        <v>46205</v>
      </c>
      <c r="J491" t="s">
        <v>2662</v>
      </c>
    </row>
    <row r="492" spans="1:10">
      <c r="A492" t="s">
        <v>974</v>
      </c>
      <c r="B492" s="40">
        <v>46024</v>
      </c>
      <c r="C492" t="s">
        <v>1325</v>
      </c>
      <c r="D492" t="s">
        <v>1325</v>
      </c>
      <c r="E492" s="65">
        <v>77835520</v>
      </c>
      <c r="F492" t="s">
        <v>104</v>
      </c>
      <c r="J492" t="s">
        <v>2621</v>
      </c>
    </row>
    <row r="493" spans="1:10">
      <c r="A493" t="s">
        <v>974</v>
      </c>
      <c r="B493" s="40">
        <v>46024</v>
      </c>
      <c r="C493" t="s">
        <v>1091</v>
      </c>
      <c r="D493" t="s">
        <v>1091</v>
      </c>
      <c r="E493" s="65">
        <v>93401840</v>
      </c>
      <c r="F493" t="s">
        <v>104</v>
      </c>
      <c r="G493">
        <v>6</v>
      </c>
      <c r="I493" s="40">
        <v>46205</v>
      </c>
      <c r="J493" t="s">
        <v>2663</v>
      </c>
    </row>
    <row r="494" spans="1:10">
      <c r="A494" t="s">
        <v>974</v>
      </c>
      <c r="B494" s="40">
        <v>46024</v>
      </c>
      <c r="C494" t="s">
        <v>2664</v>
      </c>
      <c r="D494" t="s">
        <v>2664</v>
      </c>
      <c r="E494" s="65">
        <v>50591520</v>
      </c>
      <c r="F494" t="s">
        <v>104</v>
      </c>
      <c r="G494">
        <v>6</v>
      </c>
      <c r="I494" s="40">
        <v>46205</v>
      </c>
      <c r="J494" t="s">
        <v>2665</v>
      </c>
    </row>
    <row r="495" spans="1:10">
      <c r="A495" t="s">
        <v>974</v>
      </c>
      <c r="B495" s="40">
        <v>46024</v>
      </c>
      <c r="C495" t="s">
        <v>2666</v>
      </c>
      <c r="D495" t="s">
        <v>2666</v>
      </c>
      <c r="E495" s="65">
        <v>38917760</v>
      </c>
      <c r="F495" t="s">
        <v>104</v>
      </c>
      <c r="G495">
        <v>6</v>
      </c>
      <c r="I495" s="40">
        <v>46205</v>
      </c>
    </row>
    <row r="496" spans="1:10">
      <c r="A496" t="s">
        <v>974</v>
      </c>
      <c r="B496" s="40">
        <v>46024</v>
      </c>
      <c r="C496" t="s">
        <v>1571</v>
      </c>
      <c r="D496" t="s">
        <v>1571</v>
      </c>
      <c r="E496" s="65">
        <v>62265280.000000007</v>
      </c>
      <c r="F496" t="s">
        <v>104</v>
      </c>
      <c r="G496">
        <v>6</v>
      </c>
      <c r="I496" s="40">
        <v>46205</v>
      </c>
      <c r="J496" t="s">
        <v>2667</v>
      </c>
    </row>
    <row r="497" spans="1:10">
      <c r="A497" t="s">
        <v>974</v>
      </c>
      <c r="B497" s="40">
        <v>46024</v>
      </c>
      <c r="C497" t="s">
        <v>2383</v>
      </c>
      <c r="D497" t="s">
        <v>2383</v>
      </c>
      <c r="E497" s="65">
        <v>116753280.00000001</v>
      </c>
      <c r="F497" t="s">
        <v>104</v>
      </c>
      <c r="G497">
        <v>6</v>
      </c>
      <c r="I497" s="40">
        <v>46205</v>
      </c>
      <c r="J497" t="s">
        <v>2384</v>
      </c>
    </row>
    <row r="498" spans="1:10">
      <c r="A498" t="s">
        <v>974</v>
      </c>
      <c r="B498" s="40">
        <v>46024</v>
      </c>
      <c r="C498" t="s">
        <v>2668</v>
      </c>
      <c r="D498" t="s">
        <v>2668</v>
      </c>
      <c r="E498" s="65">
        <v>116753280.00000001</v>
      </c>
      <c r="F498" t="s">
        <v>104</v>
      </c>
    </row>
    <row r="499" spans="1:10">
      <c r="A499" t="s">
        <v>974</v>
      </c>
      <c r="B499" s="40">
        <v>46024</v>
      </c>
      <c r="C499" t="s">
        <v>2669</v>
      </c>
      <c r="D499" t="s">
        <v>2669</v>
      </c>
      <c r="E499" s="65">
        <v>77835520</v>
      </c>
      <c r="F499" t="s">
        <v>104</v>
      </c>
      <c r="G499">
        <v>6</v>
      </c>
      <c r="I499" s="40">
        <v>46205</v>
      </c>
      <c r="J499" t="s">
        <v>2670</v>
      </c>
    </row>
    <row r="500" spans="1:10">
      <c r="A500" t="s">
        <v>974</v>
      </c>
      <c r="B500" s="40">
        <v>46024</v>
      </c>
      <c r="C500" t="s">
        <v>2671</v>
      </c>
      <c r="D500" t="s">
        <v>2671</v>
      </c>
      <c r="E500" s="65">
        <v>116753280.00000001</v>
      </c>
      <c r="F500" t="s">
        <v>104</v>
      </c>
      <c r="G500">
        <v>6</v>
      </c>
      <c r="I500" s="40">
        <v>46205</v>
      </c>
    </row>
    <row r="501" spans="1:10">
      <c r="A501" t="s">
        <v>974</v>
      </c>
      <c r="B501" s="40">
        <v>46024</v>
      </c>
      <c r="C501" t="s">
        <v>1392</v>
      </c>
      <c r="D501" t="s">
        <v>1392</v>
      </c>
      <c r="E501" s="65">
        <v>155671040</v>
      </c>
      <c r="F501" t="s">
        <v>104</v>
      </c>
      <c r="G501">
        <v>6</v>
      </c>
      <c r="I501" s="40">
        <v>46205</v>
      </c>
      <c r="J501" t="s">
        <v>2672</v>
      </c>
    </row>
    <row r="502" spans="1:10">
      <c r="A502" t="s">
        <v>974</v>
      </c>
      <c r="B502" s="40">
        <v>46024</v>
      </c>
      <c r="C502" t="s">
        <v>1394</v>
      </c>
      <c r="D502" t="s">
        <v>1394</v>
      </c>
      <c r="E502" s="65">
        <v>233506560.00000003</v>
      </c>
      <c r="F502" t="s">
        <v>104</v>
      </c>
      <c r="G502">
        <v>6</v>
      </c>
      <c r="I502" s="40">
        <v>46205</v>
      </c>
      <c r="J502" t="s">
        <v>2673</v>
      </c>
    </row>
    <row r="503" spans="1:10">
      <c r="A503" t="s">
        <v>974</v>
      </c>
      <c r="B503" s="40">
        <v>46024</v>
      </c>
      <c r="C503" t="s">
        <v>1090</v>
      </c>
      <c r="D503" t="s">
        <v>1090</v>
      </c>
      <c r="E503" s="65">
        <v>233506560.00000003</v>
      </c>
      <c r="F503" t="s">
        <v>104</v>
      </c>
      <c r="G503">
        <v>6</v>
      </c>
      <c r="I503" s="40">
        <v>46205</v>
      </c>
      <c r="J503" t="s">
        <v>2567</v>
      </c>
    </row>
    <row r="504" spans="1:10">
      <c r="A504" t="s">
        <v>974</v>
      </c>
      <c r="B504" s="40">
        <v>46024</v>
      </c>
      <c r="C504" t="s">
        <v>2064</v>
      </c>
      <c r="D504" t="s">
        <v>2064</v>
      </c>
      <c r="E504" s="65">
        <v>272424320</v>
      </c>
      <c r="F504" t="s">
        <v>104</v>
      </c>
      <c r="G504">
        <v>6</v>
      </c>
      <c r="I504" s="40">
        <v>46205</v>
      </c>
      <c r="J504" t="s">
        <v>2674</v>
      </c>
    </row>
    <row r="505" spans="1:10">
      <c r="A505" t="s">
        <v>974</v>
      </c>
      <c r="B505" s="40">
        <v>46024</v>
      </c>
      <c r="C505" t="s">
        <v>1069</v>
      </c>
      <c r="D505" t="s">
        <v>1069</v>
      </c>
      <c r="E505" s="65">
        <v>622684160</v>
      </c>
      <c r="F505" t="s">
        <v>104</v>
      </c>
      <c r="G505">
        <v>6</v>
      </c>
      <c r="I505" s="40">
        <v>46205</v>
      </c>
      <c r="J505" t="s">
        <v>2472</v>
      </c>
    </row>
    <row r="506" spans="1:10">
      <c r="A506" t="s">
        <v>974</v>
      </c>
      <c r="B506" s="40">
        <v>46024</v>
      </c>
      <c r="C506" t="s">
        <v>1842</v>
      </c>
      <c r="D506" t="s">
        <v>1842</v>
      </c>
      <c r="E506" s="65">
        <v>62261360.000000007</v>
      </c>
      <c r="F506" t="s">
        <v>104</v>
      </c>
      <c r="G506">
        <v>6</v>
      </c>
      <c r="I506" s="40">
        <v>46205</v>
      </c>
      <c r="J506" t="s">
        <v>1887</v>
      </c>
    </row>
    <row r="507" spans="1:10">
      <c r="A507" t="s">
        <v>974</v>
      </c>
      <c r="B507" s="40">
        <v>46024</v>
      </c>
      <c r="C507" t="s">
        <v>2675</v>
      </c>
      <c r="D507" t="s">
        <v>2675</v>
      </c>
      <c r="E507" s="65">
        <v>116753280.00000001</v>
      </c>
      <c r="F507" t="s">
        <v>104</v>
      </c>
      <c r="G507">
        <v>6</v>
      </c>
      <c r="I507" s="40">
        <v>46205</v>
      </c>
    </row>
    <row r="508" spans="1:10">
      <c r="A508" t="s">
        <v>653</v>
      </c>
      <c r="B508" s="40">
        <v>46021</v>
      </c>
      <c r="C508" t="s">
        <v>1216</v>
      </c>
      <c r="D508" t="s">
        <v>1216</v>
      </c>
      <c r="E508" s="65">
        <v>62262662</v>
      </c>
      <c r="F508" t="s">
        <v>104</v>
      </c>
      <c r="G508">
        <v>6</v>
      </c>
      <c r="I508" s="40">
        <v>46203</v>
      </c>
      <c r="J508" t="s">
        <v>2676</v>
      </c>
    </row>
    <row r="509" spans="1:10">
      <c r="A509" t="s">
        <v>653</v>
      </c>
      <c r="B509" s="40">
        <v>46021</v>
      </c>
      <c r="C509" t="s">
        <v>1215</v>
      </c>
      <c r="D509" t="s">
        <v>1215</v>
      </c>
      <c r="E509" s="65">
        <v>77828327.5</v>
      </c>
      <c r="F509" t="s">
        <v>104</v>
      </c>
      <c r="G509">
        <v>6</v>
      </c>
      <c r="I509" s="40">
        <v>46203</v>
      </c>
      <c r="J509" t="s">
        <v>2677</v>
      </c>
    </row>
    <row r="510" spans="1:10">
      <c r="A510" t="s">
        <v>653</v>
      </c>
      <c r="B510" s="40">
        <v>46021</v>
      </c>
      <c r="C510" t="s">
        <v>2497</v>
      </c>
      <c r="D510" t="s">
        <v>2497</v>
      </c>
      <c r="E510" s="65">
        <v>38912219.5</v>
      </c>
      <c r="F510" t="s">
        <v>104</v>
      </c>
      <c r="G510">
        <v>6</v>
      </c>
      <c r="I510" s="40">
        <v>46203</v>
      </c>
      <c r="J510" t="s">
        <v>2506</v>
      </c>
    </row>
    <row r="511" spans="1:10">
      <c r="A511" t="s">
        <v>653</v>
      </c>
      <c r="B511" s="40">
        <v>46021</v>
      </c>
      <c r="C511" t="s">
        <v>1214</v>
      </c>
      <c r="D511" t="s">
        <v>1214</v>
      </c>
      <c r="E511" s="65">
        <v>77828327.5</v>
      </c>
      <c r="F511" t="s">
        <v>104</v>
      </c>
      <c r="G511">
        <v>6</v>
      </c>
      <c r="I511" s="40">
        <v>46203</v>
      </c>
      <c r="J511" t="s">
        <v>2678</v>
      </c>
    </row>
    <row r="512" spans="1:10">
      <c r="A512" t="s">
        <v>653</v>
      </c>
      <c r="B512" s="40">
        <v>46021</v>
      </c>
      <c r="C512" t="s">
        <v>1206</v>
      </c>
      <c r="D512" t="s">
        <v>1206</v>
      </c>
      <c r="E512" s="65">
        <v>116744435.5</v>
      </c>
      <c r="F512" t="s">
        <v>104</v>
      </c>
      <c r="G512">
        <v>6</v>
      </c>
      <c r="I512" s="40">
        <v>46203</v>
      </c>
    </row>
    <row r="513" spans="1:10">
      <c r="A513" t="s">
        <v>653</v>
      </c>
      <c r="B513" s="40">
        <v>46021</v>
      </c>
      <c r="C513" t="s">
        <v>2463</v>
      </c>
      <c r="D513" t="s">
        <v>2463</v>
      </c>
      <c r="E513" s="65">
        <v>15565665.5</v>
      </c>
      <c r="F513" t="s">
        <v>104</v>
      </c>
      <c r="G513">
        <v>6</v>
      </c>
      <c r="I513" s="40">
        <v>46203</v>
      </c>
      <c r="J513" t="s">
        <v>2464</v>
      </c>
    </row>
    <row r="514" spans="1:10">
      <c r="A514" t="s">
        <v>653</v>
      </c>
      <c r="B514" s="40">
        <v>46021</v>
      </c>
      <c r="C514" t="s">
        <v>1211</v>
      </c>
      <c r="D514" t="s">
        <v>1211</v>
      </c>
      <c r="E514" s="65">
        <v>93397881.5</v>
      </c>
      <c r="F514" t="s">
        <v>104</v>
      </c>
      <c r="G514">
        <v>6</v>
      </c>
      <c r="I514" s="40">
        <v>46203</v>
      </c>
      <c r="J514" t="s">
        <v>2498</v>
      </c>
    </row>
    <row r="515" spans="1:10">
      <c r="A515" t="s">
        <v>558</v>
      </c>
      <c r="B515" s="40">
        <v>46021</v>
      </c>
      <c r="C515" t="s">
        <v>1697</v>
      </c>
      <c r="D515" t="s">
        <v>1697</v>
      </c>
      <c r="E515" s="65">
        <v>14999460</v>
      </c>
      <c r="F515" t="s">
        <v>104</v>
      </c>
      <c r="G515">
        <v>6</v>
      </c>
      <c r="I515" s="40">
        <v>46203</v>
      </c>
      <c r="J515" t="s">
        <v>2679</v>
      </c>
    </row>
    <row r="516" spans="1:10">
      <c r="A516" t="s">
        <v>558</v>
      </c>
      <c r="B516" s="40">
        <v>46021</v>
      </c>
      <c r="C516" t="s">
        <v>1698</v>
      </c>
      <c r="D516" t="s">
        <v>1698</v>
      </c>
      <c r="E516" s="65">
        <v>9998220</v>
      </c>
      <c r="F516" t="s">
        <v>104</v>
      </c>
      <c r="G516">
        <v>6</v>
      </c>
      <c r="I516" s="40">
        <v>46203</v>
      </c>
      <c r="J516" t="s">
        <v>2680</v>
      </c>
    </row>
    <row r="517" spans="1:10">
      <c r="A517" t="s">
        <v>558</v>
      </c>
      <c r="B517" s="40">
        <v>46021</v>
      </c>
      <c r="C517" t="s">
        <v>1699</v>
      </c>
      <c r="D517" t="s">
        <v>1699</v>
      </c>
      <c r="E517" s="65">
        <v>4498560</v>
      </c>
      <c r="F517" t="s">
        <v>104</v>
      </c>
      <c r="G517">
        <v>6</v>
      </c>
      <c r="I517" s="40">
        <v>46203</v>
      </c>
    </row>
    <row r="518" spans="1:10">
      <c r="A518" t="s">
        <v>558</v>
      </c>
      <c r="B518" s="40">
        <v>46021</v>
      </c>
      <c r="C518" t="s">
        <v>1696</v>
      </c>
      <c r="D518" t="s">
        <v>1696</v>
      </c>
      <c r="E518" s="65">
        <v>21998640</v>
      </c>
      <c r="F518" t="s">
        <v>104</v>
      </c>
      <c r="G518">
        <v>6</v>
      </c>
      <c r="I518" s="40">
        <v>46203</v>
      </c>
      <c r="J518" t="s">
        <v>2681</v>
      </c>
    </row>
    <row r="519" spans="1:10">
      <c r="A519" t="s">
        <v>763</v>
      </c>
      <c r="B519" s="40">
        <v>46021</v>
      </c>
      <c r="C519" t="s">
        <v>2682</v>
      </c>
      <c r="D519" t="s">
        <v>2682</v>
      </c>
      <c r="E519" s="65">
        <v>7776000</v>
      </c>
      <c r="F519" t="s">
        <v>104</v>
      </c>
      <c r="G519">
        <v>6</v>
      </c>
      <c r="I519" s="40">
        <v>46203</v>
      </c>
      <c r="J519" t="s">
        <v>2683</v>
      </c>
    </row>
    <row r="520" spans="1:10">
      <c r="A520" t="s">
        <v>763</v>
      </c>
      <c r="B520" s="40">
        <v>46021</v>
      </c>
      <c r="C520" t="s">
        <v>2529</v>
      </c>
      <c r="D520" t="s">
        <v>2529</v>
      </c>
      <c r="E520" s="65">
        <v>15556800</v>
      </c>
      <c r="F520" t="s">
        <v>104</v>
      </c>
      <c r="G520">
        <v>6</v>
      </c>
      <c r="I520" s="40">
        <v>46203</v>
      </c>
      <c r="J520" t="s">
        <v>2530</v>
      </c>
    </row>
    <row r="521" spans="1:10">
      <c r="A521" t="s">
        <v>763</v>
      </c>
      <c r="B521" s="40">
        <v>46021</v>
      </c>
      <c r="C521" t="s">
        <v>1164</v>
      </c>
      <c r="D521" t="s">
        <v>1164</v>
      </c>
      <c r="E521" s="65">
        <v>15556800</v>
      </c>
      <c r="F521" t="s">
        <v>104</v>
      </c>
      <c r="G521">
        <v>6</v>
      </c>
      <c r="I521" s="40">
        <v>46203</v>
      </c>
      <c r="J521" t="s">
        <v>2428</v>
      </c>
    </row>
    <row r="522" spans="1:10">
      <c r="A522" t="s">
        <v>763</v>
      </c>
      <c r="B522" s="40">
        <v>46021</v>
      </c>
      <c r="C522" t="s">
        <v>2175</v>
      </c>
      <c r="D522" t="s">
        <v>2175</v>
      </c>
      <c r="E522" s="65">
        <v>19996800</v>
      </c>
      <c r="F522" t="s">
        <v>104</v>
      </c>
      <c r="G522">
        <v>6</v>
      </c>
      <c r="I522" s="40">
        <v>46203</v>
      </c>
    </row>
    <row r="523" spans="1:10">
      <c r="A523" t="s">
        <v>763</v>
      </c>
      <c r="B523" s="40">
        <v>46021</v>
      </c>
      <c r="C523" t="s">
        <v>1411</v>
      </c>
      <c r="D523" t="s">
        <v>1411</v>
      </c>
      <c r="E523" s="65">
        <v>38894400</v>
      </c>
      <c r="F523" t="s">
        <v>104</v>
      </c>
      <c r="G523">
        <v>6</v>
      </c>
      <c r="I523" s="40">
        <v>46203</v>
      </c>
      <c r="J523" t="s">
        <v>2684</v>
      </c>
    </row>
    <row r="524" spans="1:10">
      <c r="A524" t="s">
        <v>763</v>
      </c>
      <c r="B524" s="40">
        <v>46021</v>
      </c>
      <c r="C524" t="s">
        <v>1905</v>
      </c>
      <c r="D524" t="s">
        <v>1905</v>
      </c>
      <c r="E524" s="65">
        <v>38894400</v>
      </c>
      <c r="F524" t="s">
        <v>104</v>
      </c>
      <c r="G524">
        <v>6</v>
      </c>
      <c r="I524" s="40">
        <v>46203</v>
      </c>
      <c r="J524" t="s">
        <v>2685</v>
      </c>
    </row>
    <row r="525" spans="1:10">
      <c r="A525" t="s">
        <v>763</v>
      </c>
      <c r="B525" s="40">
        <v>46021</v>
      </c>
      <c r="C525" t="s">
        <v>2174</v>
      </c>
      <c r="D525" t="s">
        <v>2174</v>
      </c>
      <c r="E525" s="65">
        <v>77788800</v>
      </c>
      <c r="F525" t="s">
        <v>104</v>
      </c>
      <c r="G525">
        <v>6</v>
      </c>
      <c r="I525" s="40">
        <v>46203</v>
      </c>
    </row>
    <row r="526" spans="1:10">
      <c r="A526" t="s">
        <v>763</v>
      </c>
      <c r="B526" s="40">
        <v>46021</v>
      </c>
      <c r="C526" t="s">
        <v>1127</v>
      </c>
      <c r="D526" t="s">
        <v>1127</v>
      </c>
      <c r="E526" s="65">
        <v>15556800</v>
      </c>
      <c r="F526" t="s">
        <v>104</v>
      </c>
      <c r="G526">
        <v>6</v>
      </c>
      <c r="I526" s="40">
        <v>46203</v>
      </c>
      <c r="J526" t="s">
        <v>2468</v>
      </c>
    </row>
    <row r="527" spans="1:10">
      <c r="A527" t="s">
        <v>763</v>
      </c>
      <c r="B527" s="40">
        <v>46021</v>
      </c>
      <c r="C527" t="s">
        <v>2173</v>
      </c>
      <c r="D527" t="s">
        <v>2173</v>
      </c>
      <c r="E527" s="65">
        <v>77788800</v>
      </c>
      <c r="F527" t="s">
        <v>104</v>
      </c>
      <c r="G527">
        <v>6</v>
      </c>
      <c r="I527" s="40">
        <v>46203</v>
      </c>
      <c r="J527" t="s">
        <v>2686</v>
      </c>
    </row>
    <row r="528" spans="1:10">
      <c r="A528" t="s">
        <v>840</v>
      </c>
      <c r="B528" s="40">
        <v>46021</v>
      </c>
      <c r="C528" t="s">
        <v>1092</v>
      </c>
      <c r="D528" t="s">
        <v>1092</v>
      </c>
      <c r="E528" s="65">
        <v>116714650</v>
      </c>
      <c r="F528" t="s">
        <v>104</v>
      </c>
      <c r="G528">
        <v>6</v>
      </c>
      <c r="I528" s="40">
        <v>46203</v>
      </c>
    </row>
    <row r="529" spans="1:10">
      <c r="A529" t="s">
        <v>840</v>
      </c>
      <c r="B529" s="40">
        <v>46021</v>
      </c>
      <c r="C529" t="s">
        <v>1274</v>
      </c>
      <c r="D529" t="s">
        <v>1274</v>
      </c>
      <c r="E529" s="65">
        <v>38900875</v>
      </c>
      <c r="F529" t="s">
        <v>104</v>
      </c>
      <c r="G529">
        <v>6</v>
      </c>
      <c r="I529" s="40">
        <v>46203</v>
      </c>
      <c r="J529" t="s">
        <v>1204</v>
      </c>
    </row>
    <row r="530" spans="1:10">
      <c r="A530" t="s">
        <v>840</v>
      </c>
      <c r="B530" s="40">
        <v>46021</v>
      </c>
      <c r="C530" t="s">
        <v>1329</v>
      </c>
      <c r="D530" t="s">
        <v>1329</v>
      </c>
      <c r="E530" s="65">
        <v>38900875</v>
      </c>
      <c r="F530" t="s">
        <v>104</v>
      </c>
      <c r="G530">
        <v>6</v>
      </c>
      <c r="I530" s="40">
        <v>46203</v>
      </c>
      <c r="J530" t="s">
        <v>2475</v>
      </c>
    </row>
    <row r="531" spans="1:10">
      <c r="A531" t="s">
        <v>840</v>
      </c>
      <c r="B531" s="40">
        <v>46021</v>
      </c>
      <c r="C531" t="s">
        <v>2687</v>
      </c>
      <c r="D531" t="s">
        <v>2687</v>
      </c>
      <c r="E531" s="65">
        <v>38900875</v>
      </c>
      <c r="F531" t="s">
        <v>104</v>
      </c>
      <c r="G531">
        <v>6</v>
      </c>
      <c r="I531" s="40">
        <v>46203</v>
      </c>
    </row>
    <row r="532" spans="1:10">
      <c r="A532" t="s">
        <v>840</v>
      </c>
      <c r="B532" s="40">
        <v>46021</v>
      </c>
      <c r="C532" t="s">
        <v>1411</v>
      </c>
      <c r="D532" t="s">
        <v>1411</v>
      </c>
      <c r="E532" s="65">
        <v>77801750</v>
      </c>
      <c r="F532" t="s">
        <v>104</v>
      </c>
      <c r="G532">
        <v>6</v>
      </c>
      <c r="I532" s="40">
        <v>46203</v>
      </c>
      <c r="J532" t="s">
        <v>2684</v>
      </c>
    </row>
    <row r="533" spans="1:10">
      <c r="A533" t="s">
        <v>840</v>
      </c>
      <c r="B533" s="40">
        <v>46021</v>
      </c>
      <c r="C533" t="s">
        <v>2688</v>
      </c>
      <c r="D533" t="s">
        <v>2688</v>
      </c>
      <c r="E533" s="65">
        <v>15560350</v>
      </c>
      <c r="F533" t="s">
        <v>104</v>
      </c>
      <c r="G533">
        <v>6</v>
      </c>
      <c r="I533" s="40">
        <v>46203</v>
      </c>
    </row>
    <row r="534" spans="1:10">
      <c r="A534" t="s">
        <v>840</v>
      </c>
      <c r="B534" s="40">
        <v>46021</v>
      </c>
      <c r="C534" t="s">
        <v>2158</v>
      </c>
      <c r="D534" t="s">
        <v>2158</v>
      </c>
      <c r="E534" s="65">
        <v>116714650</v>
      </c>
      <c r="F534" t="s">
        <v>104</v>
      </c>
      <c r="G534">
        <v>6</v>
      </c>
      <c r="I534" s="40">
        <v>46203</v>
      </c>
      <c r="J534" t="s">
        <v>2586</v>
      </c>
    </row>
    <row r="535" spans="1:10">
      <c r="A535" t="s">
        <v>840</v>
      </c>
      <c r="B535" s="40">
        <v>46021</v>
      </c>
      <c r="C535" t="s">
        <v>1273</v>
      </c>
      <c r="D535" t="s">
        <v>1273</v>
      </c>
      <c r="E535" s="65">
        <v>116714650</v>
      </c>
      <c r="F535" t="s">
        <v>104</v>
      </c>
      <c r="G535">
        <v>6</v>
      </c>
      <c r="I535" s="40">
        <v>46203</v>
      </c>
      <c r="J535" t="s">
        <v>1203</v>
      </c>
    </row>
    <row r="536" spans="1:10">
      <c r="A536" t="s">
        <v>840</v>
      </c>
      <c r="B536" s="40">
        <v>46021</v>
      </c>
      <c r="C536" t="s">
        <v>2159</v>
      </c>
      <c r="D536" t="s">
        <v>2159</v>
      </c>
      <c r="E536" s="65">
        <v>116714650</v>
      </c>
      <c r="F536" t="s">
        <v>104</v>
      </c>
      <c r="G536">
        <v>6</v>
      </c>
      <c r="I536" s="40">
        <v>46203</v>
      </c>
    </row>
    <row r="537" spans="1:10">
      <c r="A537" t="s">
        <v>840</v>
      </c>
      <c r="B537" s="40">
        <v>46021</v>
      </c>
      <c r="C537" t="s">
        <v>1834</v>
      </c>
      <c r="D537" t="s">
        <v>1834</v>
      </c>
      <c r="E537" s="65">
        <v>38900875</v>
      </c>
      <c r="F537" t="s">
        <v>104</v>
      </c>
      <c r="G537">
        <v>6</v>
      </c>
      <c r="I537" s="40">
        <v>46203</v>
      </c>
      <c r="J537" t="s">
        <v>2626</v>
      </c>
    </row>
    <row r="538" spans="1:10">
      <c r="A538" t="s">
        <v>840</v>
      </c>
      <c r="B538" s="40">
        <v>46021</v>
      </c>
      <c r="C538" t="s">
        <v>1810</v>
      </c>
      <c r="D538" t="s">
        <v>1810</v>
      </c>
      <c r="E538" s="65">
        <v>38900875</v>
      </c>
      <c r="F538" t="s">
        <v>104</v>
      </c>
      <c r="G538">
        <v>6</v>
      </c>
      <c r="I538" s="40">
        <v>46203</v>
      </c>
      <c r="J538" t="s">
        <v>2689</v>
      </c>
    </row>
    <row r="539" spans="1:10">
      <c r="A539" t="s">
        <v>840</v>
      </c>
      <c r="B539" s="40">
        <v>46021</v>
      </c>
      <c r="C539" t="s">
        <v>1840</v>
      </c>
      <c r="D539" t="s">
        <v>1840</v>
      </c>
      <c r="E539" s="65">
        <v>31120700</v>
      </c>
      <c r="F539" t="s">
        <v>104</v>
      </c>
      <c r="G539">
        <v>6</v>
      </c>
      <c r="I539" s="40">
        <v>46203</v>
      </c>
    </row>
    <row r="540" spans="1:10">
      <c r="A540" t="s">
        <v>840</v>
      </c>
      <c r="B540" s="40">
        <v>46021</v>
      </c>
      <c r="C540" t="s">
        <v>1842</v>
      </c>
      <c r="D540" t="s">
        <v>1842</v>
      </c>
      <c r="E540" s="65">
        <v>18205850</v>
      </c>
      <c r="F540" t="s">
        <v>104</v>
      </c>
      <c r="G540">
        <v>6</v>
      </c>
      <c r="I540" s="40">
        <v>46203</v>
      </c>
      <c r="J540" t="s">
        <v>1887</v>
      </c>
    </row>
    <row r="541" spans="1:10">
      <c r="A541" t="s">
        <v>840</v>
      </c>
      <c r="B541" s="40">
        <v>46021</v>
      </c>
      <c r="C541" t="s">
        <v>2690</v>
      </c>
      <c r="D541" t="s">
        <v>2690</v>
      </c>
      <c r="E541" s="65">
        <v>31120700</v>
      </c>
      <c r="F541" t="s">
        <v>104</v>
      </c>
      <c r="G541">
        <v>6</v>
      </c>
      <c r="I541" s="40">
        <v>46203</v>
      </c>
      <c r="J541" t="s">
        <v>2691</v>
      </c>
    </row>
    <row r="542" spans="1:10">
      <c r="A542" t="s">
        <v>840</v>
      </c>
      <c r="B542" s="40">
        <v>46021</v>
      </c>
      <c r="C542" t="s">
        <v>1209</v>
      </c>
      <c r="D542" t="s">
        <v>1209</v>
      </c>
      <c r="E542" s="65">
        <v>38900875</v>
      </c>
      <c r="F542" t="s">
        <v>104</v>
      </c>
      <c r="G542">
        <v>6</v>
      </c>
      <c r="I542" s="40">
        <v>46203</v>
      </c>
      <c r="J542" t="s">
        <v>2405</v>
      </c>
    </row>
    <row r="543" spans="1:10">
      <c r="A543" t="s">
        <v>840</v>
      </c>
      <c r="B543" s="40">
        <v>46021</v>
      </c>
      <c r="C543" t="s">
        <v>1887</v>
      </c>
      <c r="D543" t="s">
        <v>1887</v>
      </c>
      <c r="E543" s="65">
        <v>20695025</v>
      </c>
      <c r="F543" t="s">
        <v>104</v>
      </c>
      <c r="G543">
        <v>6</v>
      </c>
      <c r="I543" s="40">
        <v>46203</v>
      </c>
    </row>
    <row r="544" spans="1:10">
      <c r="A544" t="s">
        <v>795</v>
      </c>
      <c r="B544" s="40">
        <v>46021</v>
      </c>
      <c r="C544" t="s">
        <v>2187</v>
      </c>
      <c r="D544" t="s">
        <v>2187</v>
      </c>
      <c r="E544" s="65">
        <v>233377740</v>
      </c>
      <c r="F544" t="s">
        <v>104</v>
      </c>
      <c r="G544">
        <v>6</v>
      </c>
      <c r="I544" s="40">
        <v>46203</v>
      </c>
      <c r="J544" t="s">
        <v>1113</v>
      </c>
    </row>
    <row r="545" spans="1:10">
      <c r="A545" t="s">
        <v>795</v>
      </c>
      <c r="B545" s="40">
        <v>46021</v>
      </c>
      <c r="C545" t="s">
        <v>2692</v>
      </c>
      <c r="D545" t="s">
        <v>2692</v>
      </c>
      <c r="E545" s="65">
        <v>15557040</v>
      </c>
      <c r="F545" t="s">
        <v>104</v>
      </c>
      <c r="G545">
        <v>6</v>
      </c>
      <c r="I545" s="40">
        <v>46203</v>
      </c>
      <c r="J545" t="s">
        <v>2693</v>
      </c>
    </row>
    <row r="546" spans="1:10">
      <c r="A546" t="s">
        <v>795</v>
      </c>
      <c r="B546" s="40">
        <v>46021</v>
      </c>
      <c r="C546" t="s">
        <v>2463</v>
      </c>
      <c r="D546" t="s">
        <v>2463</v>
      </c>
      <c r="E546" s="65">
        <v>38737620</v>
      </c>
      <c r="F546" t="s">
        <v>104</v>
      </c>
      <c r="G546">
        <v>6</v>
      </c>
      <c r="I546" s="40">
        <v>46203</v>
      </c>
      <c r="J546" t="s">
        <v>2464</v>
      </c>
    </row>
    <row r="547" spans="1:10">
      <c r="A547" t="s">
        <v>795</v>
      </c>
      <c r="B547" s="40">
        <v>46021</v>
      </c>
      <c r="C547" t="s">
        <v>1127</v>
      </c>
      <c r="D547" t="s">
        <v>1127</v>
      </c>
      <c r="E547" s="65">
        <v>155585160</v>
      </c>
      <c r="F547" t="s">
        <v>104</v>
      </c>
      <c r="G547">
        <v>6</v>
      </c>
      <c r="I547" s="40">
        <v>46203</v>
      </c>
      <c r="J547" t="s">
        <v>2468</v>
      </c>
    </row>
    <row r="548" spans="1:10">
      <c r="A548" t="s">
        <v>795</v>
      </c>
      <c r="B548" s="40">
        <v>46021</v>
      </c>
      <c r="C548" t="s">
        <v>1411</v>
      </c>
      <c r="D548" t="s">
        <v>1411</v>
      </c>
      <c r="E548" s="65">
        <v>116685180</v>
      </c>
      <c r="F548" t="s">
        <v>104</v>
      </c>
      <c r="G548">
        <v>6</v>
      </c>
      <c r="I548" s="40">
        <v>46203</v>
      </c>
      <c r="J548" t="s">
        <v>2684</v>
      </c>
    </row>
    <row r="549" spans="1:10">
      <c r="A549" t="s">
        <v>795</v>
      </c>
      <c r="B549" s="40">
        <v>46021</v>
      </c>
      <c r="C549" t="s">
        <v>2095</v>
      </c>
      <c r="D549" t="s">
        <v>2095</v>
      </c>
      <c r="E549" s="65">
        <v>23335560</v>
      </c>
      <c r="F549" t="s">
        <v>104</v>
      </c>
      <c r="G549">
        <v>6</v>
      </c>
      <c r="I549" s="40">
        <v>46203</v>
      </c>
      <c r="J549" t="s">
        <v>2694</v>
      </c>
    </row>
    <row r="550" spans="1:10">
      <c r="A550" t="s">
        <v>795</v>
      </c>
      <c r="B550" s="40">
        <v>46021</v>
      </c>
      <c r="C550" t="s">
        <v>1114</v>
      </c>
      <c r="D550" t="s">
        <v>1114</v>
      </c>
      <c r="E550" s="65">
        <v>38892600</v>
      </c>
      <c r="F550" t="s">
        <v>104</v>
      </c>
      <c r="G550">
        <v>6</v>
      </c>
      <c r="I550" s="40">
        <v>46203</v>
      </c>
    </row>
    <row r="551" spans="1:10">
      <c r="A551" t="s">
        <v>795</v>
      </c>
      <c r="B551" s="40">
        <v>46021</v>
      </c>
      <c r="C551" t="s">
        <v>2188</v>
      </c>
      <c r="D551" t="s">
        <v>2188</v>
      </c>
      <c r="E551" s="65">
        <v>54449640</v>
      </c>
      <c r="F551" t="s">
        <v>104</v>
      </c>
      <c r="G551">
        <v>6</v>
      </c>
      <c r="I551" s="40">
        <v>46203</v>
      </c>
      <c r="J551" t="s">
        <v>2377</v>
      </c>
    </row>
    <row r="552" spans="1:10">
      <c r="A552" t="s">
        <v>795</v>
      </c>
      <c r="B552" s="40">
        <v>46021</v>
      </c>
      <c r="C552" t="s">
        <v>2653</v>
      </c>
      <c r="D552" t="s">
        <v>2653</v>
      </c>
      <c r="E552" s="65">
        <v>23335560</v>
      </c>
      <c r="F552" t="s">
        <v>104</v>
      </c>
      <c r="G552">
        <v>6</v>
      </c>
      <c r="I552" s="40">
        <v>46203</v>
      </c>
      <c r="J552" t="s">
        <v>2377</v>
      </c>
    </row>
    <row r="553" spans="1:10">
      <c r="A553" t="s">
        <v>783</v>
      </c>
      <c r="B553" s="40">
        <v>46014</v>
      </c>
      <c r="C553" t="s">
        <v>1078</v>
      </c>
      <c r="D553" t="s">
        <v>1078</v>
      </c>
      <c r="E553" s="65">
        <v>108904824</v>
      </c>
      <c r="F553" t="s">
        <v>104</v>
      </c>
      <c r="G553">
        <v>6</v>
      </c>
      <c r="I553" s="40">
        <v>46204</v>
      </c>
      <c r="J553" t="s">
        <v>2695</v>
      </c>
    </row>
    <row r="554" spans="1:10">
      <c r="A554" t="s">
        <v>1008</v>
      </c>
      <c r="B554" s="40">
        <v>46014</v>
      </c>
      <c r="C554" t="s">
        <v>2696</v>
      </c>
      <c r="D554" t="s">
        <v>2696</v>
      </c>
      <c r="E554" s="65">
        <v>4000000</v>
      </c>
      <c r="F554" t="s">
        <v>104</v>
      </c>
      <c r="G554">
        <v>6</v>
      </c>
      <c r="I554" s="40">
        <v>46196</v>
      </c>
      <c r="J554" t="s">
        <v>2697</v>
      </c>
    </row>
    <row r="555" spans="1:10">
      <c r="A555" t="s">
        <v>1008</v>
      </c>
      <c r="B555" s="40">
        <v>46014</v>
      </c>
      <c r="C555" t="s">
        <v>2097</v>
      </c>
      <c r="D555" t="s">
        <v>2097</v>
      </c>
      <c r="E555" s="65">
        <v>10000000</v>
      </c>
      <c r="F555" t="s">
        <v>104</v>
      </c>
      <c r="G555">
        <v>6</v>
      </c>
      <c r="I555" s="40">
        <v>46196</v>
      </c>
      <c r="J555" t="s">
        <v>2698</v>
      </c>
    </row>
    <row r="556" spans="1:10">
      <c r="A556" t="s">
        <v>1008</v>
      </c>
      <c r="B556" s="40">
        <v>46014</v>
      </c>
      <c r="C556" t="s">
        <v>2699</v>
      </c>
      <c r="D556" t="s">
        <v>2699</v>
      </c>
      <c r="E556" s="65">
        <v>7782400</v>
      </c>
      <c r="F556" t="s">
        <v>104</v>
      </c>
      <c r="G556">
        <v>6</v>
      </c>
      <c r="I556" s="40">
        <v>46196</v>
      </c>
      <c r="J556" t="s">
        <v>2700</v>
      </c>
    </row>
    <row r="557" spans="1:10">
      <c r="A557" t="s">
        <v>1008</v>
      </c>
      <c r="B557" s="40">
        <v>46014</v>
      </c>
      <c r="C557" t="s">
        <v>2094</v>
      </c>
      <c r="D557" t="s">
        <v>2094</v>
      </c>
      <c r="E557" s="65">
        <v>38915200</v>
      </c>
      <c r="F557" t="s">
        <v>104</v>
      </c>
      <c r="G557">
        <v>6</v>
      </c>
      <c r="I557" s="40">
        <v>46196</v>
      </c>
      <c r="J557" t="s">
        <v>2701</v>
      </c>
    </row>
    <row r="558" spans="1:10">
      <c r="A558" t="s">
        <v>1008</v>
      </c>
      <c r="B558" s="40">
        <v>46014</v>
      </c>
      <c r="C558" t="s">
        <v>2095</v>
      </c>
      <c r="D558" t="s">
        <v>2095</v>
      </c>
      <c r="E558" s="65">
        <v>11673600</v>
      </c>
      <c r="F558" t="s">
        <v>104</v>
      </c>
      <c r="G558">
        <v>6</v>
      </c>
      <c r="I558" s="40">
        <v>46196</v>
      </c>
      <c r="J558" t="s">
        <v>2702</v>
      </c>
    </row>
    <row r="559" spans="1:10">
      <c r="A559" t="s">
        <v>1008</v>
      </c>
      <c r="B559" s="40">
        <v>46014</v>
      </c>
      <c r="C559" t="s">
        <v>1182</v>
      </c>
      <c r="D559" t="s">
        <v>1182</v>
      </c>
      <c r="E559" s="65">
        <v>10998400</v>
      </c>
      <c r="F559" t="s">
        <v>104</v>
      </c>
      <c r="G559">
        <v>6</v>
      </c>
      <c r="I559" s="40">
        <v>46196</v>
      </c>
      <c r="J559" t="s">
        <v>2703</v>
      </c>
    </row>
    <row r="560" spans="1:10">
      <c r="A560" t="s">
        <v>1008</v>
      </c>
      <c r="B560" s="40">
        <v>46014</v>
      </c>
      <c r="C560" t="s">
        <v>2096</v>
      </c>
      <c r="D560" t="s">
        <v>2096</v>
      </c>
      <c r="E560" s="65">
        <v>10000000</v>
      </c>
      <c r="F560" t="s">
        <v>104</v>
      </c>
      <c r="G560">
        <v>6</v>
      </c>
      <c r="I560" s="40">
        <v>46196</v>
      </c>
      <c r="J560" t="s">
        <v>2704</v>
      </c>
    </row>
    <row r="561" spans="1:10">
      <c r="A561" t="s">
        <v>470</v>
      </c>
      <c r="B561" s="40">
        <v>46013</v>
      </c>
      <c r="C561" t="s">
        <v>1398</v>
      </c>
      <c r="D561" t="s">
        <v>1398</v>
      </c>
      <c r="E561" s="65">
        <v>233518680</v>
      </c>
      <c r="F561" t="s">
        <v>104</v>
      </c>
    </row>
    <row r="562" spans="1:10">
      <c r="A562" t="s">
        <v>470</v>
      </c>
      <c r="B562" s="40">
        <v>46013</v>
      </c>
      <c r="C562" t="s">
        <v>1399</v>
      </c>
      <c r="D562" t="s">
        <v>1399</v>
      </c>
      <c r="E562" s="65">
        <v>61648670</v>
      </c>
      <c r="F562" t="s">
        <v>104</v>
      </c>
    </row>
    <row r="563" spans="1:10">
      <c r="A563" t="s">
        <v>470</v>
      </c>
      <c r="B563" s="40">
        <v>46013</v>
      </c>
      <c r="C563" t="s">
        <v>1400</v>
      </c>
      <c r="D563" t="s">
        <v>1400</v>
      </c>
      <c r="E563" s="65">
        <v>15411000</v>
      </c>
      <c r="F563" t="s">
        <v>104</v>
      </c>
    </row>
    <row r="564" spans="1:10">
      <c r="A564" t="s">
        <v>757</v>
      </c>
      <c r="B564" s="40">
        <v>46010</v>
      </c>
      <c r="C564" t="s">
        <v>1282</v>
      </c>
      <c r="D564" t="s">
        <v>1282</v>
      </c>
      <c r="E564" s="65">
        <v>144320000</v>
      </c>
      <c r="F564" t="s">
        <v>104</v>
      </c>
      <c r="G564">
        <v>6</v>
      </c>
      <c r="I564" s="40">
        <v>46192</v>
      </c>
    </row>
    <row r="565" spans="1:10">
      <c r="A565" t="s">
        <v>757</v>
      </c>
      <c r="B565" s="40">
        <v>46010</v>
      </c>
      <c r="C565" t="s">
        <v>1283</v>
      </c>
      <c r="D565" t="s">
        <v>1283</v>
      </c>
      <c r="E565" s="65">
        <v>49997860</v>
      </c>
      <c r="F565" t="s">
        <v>104</v>
      </c>
      <c r="G565">
        <v>6</v>
      </c>
      <c r="I565" s="40">
        <v>46192</v>
      </c>
    </row>
    <row r="566" spans="1:10">
      <c r="A566" t="s">
        <v>757</v>
      </c>
      <c r="B566" s="40">
        <v>46010</v>
      </c>
      <c r="C566" t="s">
        <v>1284</v>
      </c>
      <c r="D566" t="s">
        <v>1284</v>
      </c>
      <c r="E566" s="65">
        <v>29996010</v>
      </c>
      <c r="F566" t="s">
        <v>104</v>
      </c>
      <c r="G566">
        <v>6</v>
      </c>
      <c r="I566" s="40">
        <v>46192</v>
      </c>
    </row>
    <row r="567" spans="1:10">
      <c r="A567" t="s">
        <v>949</v>
      </c>
      <c r="B567" s="40">
        <v>46010</v>
      </c>
      <c r="C567" t="s">
        <v>2002</v>
      </c>
      <c r="D567" t="s">
        <v>2002</v>
      </c>
      <c r="E567" s="65">
        <v>15577490</v>
      </c>
      <c r="F567" t="s">
        <v>104</v>
      </c>
    </row>
    <row r="568" spans="1:10">
      <c r="A568" t="s">
        <v>949</v>
      </c>
      <c r="B568" s="40">
        <v>46010</v>
      </c>
      <c r="C568" t="s">
        <v>2003</v>
      </c>
      <c r="D568" t="s">
        <v>2003</v>
      </c>
      <c r="E568" s="65">
        <v>7787430</v>
      </c>
      <c r="F568" t="s">
        <v>104</v>
      </c>
    </row>
    <row r="569" spans="1:10">
      <c r="A569" t="s">
        <v>949</v>
      </c>
      <c r="B569" s="40">
        <v>46010</v>
      </c>
      <c r="C569" t="s">
        <v>2000</v>
      </c>
      <c r="D569" t="s">
        <v>2000</v>
      </c>
      <c r="E569" s="65">
        <v>77022180</v>
      </c>
      <c r="F569" t="s">
        <v>104</v>
      </c>
    </row>
    <row r="570" spans="1:10">
      <c r="A570" t="s">
        <v>949</v>
      </c>
      <c r="B570" s="40">
        <v>46010</v>
      </c>
      <c r="C570" t="s">
        <v>2001</v>
      </c>
      <c r="D570" t="s">
        <v>2001</v>
      </c>
      <c r="E570" s="65">
        <v>19998520</v>
      </c>
      <c r="F570" t="s">
        <v>104</v>
      </c>
    </row>
    <row r="571" spans="1:10">
      <c r="A571" t="s">
        <v>949</v>
      </c>
      <c r="B571" s="40">
        <v>46010</v>
      </c>
      <c r="C571" t="s">
        <v>1999</v>
      </c>
      <c r="D571" t="s">
        <v>1999</v>
      </c>
      <c r="E571" s="65">
        <v>425704950</v>
      </c>
      <c r="F571" t="s">
        <v>104</v>
      </c>
    </row>
    <row r="572" spans="1:10">
      <c r="A572" t="s">
        <v>915</v>
      </c>
      <c r="B572" s="40">
        <v>46008</v>
      </c>
      <c r="C572" t="s">
        <v>1963</v>
      </c>
      <c r="D572" t="s">
        <v>1963</v>
      </c>
      <c r="E572" s="65">
        <v>77859408</v>
      </c>
      <c r="F572" t="s">
        <v>104</v>
      </c>
      <c r="G572">
        <v>6</v>
      </c>
      <c r="I572" s="40">
        <v>46190</v>
      </c>
      <c r="J572" t="s">
        <v>2532</v>
      </c>
    </row>
    <row r="573" spans="1:10">
      <c r="A573" t="s">
        <v>915</v>
      </c>
      <c r="B573" s="40">
        <v>46008</v>
      </c>
      <c r="C573" t="s">
        <v>1411</v>
      </c>
      <c r="D573" t="s">
        <v>1411</v>
      </c>
      <c r="E573" s="65">
        <v>77859408</v>
      </c>
      <c r="F573" t="s">
        <v>104</v>
      </c>
      <c r="G573">
        <v>6</v>
      </c>
      <c r="I573" s="40">
        <v>46190</v>
      </c>
      <c r="J573" t="s">
        <v>2705</v>
      </c>
    </row>
    <row r="574" spans="1:10">
      <c r="A574" t="s">
        <v>915</v>
      </c>
      <c r="B574" s="40">
        <v>46008</v>
      </c>
      <c r="C574" t="s">
        <v>1127</v>
      </c>
      <c r="D574" t="s">
        <v>1127</v>
      </c>
      <c r="E574" s="65">
        <v>116790448</v>
      </c>
      <c r="F574" t="s">
        <v>104</v>
      </c>
      <c r="G574">
        <v>6</v>
      </c>
      <c r="I574" s="40">
        <v>46190</v>
      </c>
      <c r="J574" t="s">
        <v>2706</v>
      </c>
    </row>
    <row r="575" spans="1:10">
      <c r="A575" t="s">
        <v>915</v>
      </c>
      <c r="B575" s="40">
        <v>46008</v>
      </c>
      <c r="C575" t="s">
        <v>2707</v>
      </c>
      <c r="D575" t="s">
        <v>2707</v>
      </c>
      <c r="E575" s="65">
        <v>38928368</v>
      </c>
      <c r="F575" t="s">
        <v>104</v>
      </c>
      <c r="G575">
        <v>6</v>
      </c>
      <c r="I575" s="40">
        <v>46190</v>
      </c>
      <c r="J575" t="s">
        <v>2708</v>
      </c>
    </row>
    <row r="576" spans="1:10">
      <c r="A576" t="s">
        <v>915</v>
      </c>
      <c r="B576" s="40">
        <v>46008</v>
      </c>
      <c r="C576" t="s">
        <v>2709</v>
      </c>
      <c r="D576" t="s">
        <v>2709</v>
      </c>
      <c r="E576" s="65">
        <v>38928368</v>
      </c>
      <c r="F576" t="s">
        <v>104</v>
      </c>
      <c r="G576">
        <v>6</v>
      </c>
      <c r="I576" s="40">
        <v>46190</v>
      </c>
      <c r="J576" t="s">
        <v>2710</v>
      </c>
    </row>
    <row r="577" spans="1:10">
      <c r="A577" t="s">
        <v>915</v>
      </c>
      <c r="B577" s="40">
        <v>46008</v>
      </c>
      <c r="C577" t="s">
        <v>1962</v>
      </c>
      <c r="D577" t="s">
        <v>1962</v>
      </c>
      <c r="E577" s="65">
        <v>77859408</v>
      </c>
      <c r="F577" t="s">
        <v>104</v>
      </c>
      <c r="G577">
        <v>6</v>
      </c>
      <c r="I577" s="40">
        <v>46190</v>
      </c>
      <c r="J577" t="s">
        <v>2711</v>
      </c>
    </row>
    <row r="578" spans="1:10">
      <c r="A578" t="s">
        <v>915</v>
      </c>
      <c r="B578" s="40">
        <v>46008</v>
      </c>
      <c r="C578" t="s">
        <v>2712</v>
      </c>
      <c r="D578" t="s">
        <v>2712</v>
      </c>
      <c r="E578" s="65">
        <v>38928368</v>
      </c>
      <c r="F578" t="s">
        <v>104</v>
      </c>
      <c r="G578">
        <v>6</v>
      </c>
      <c r="I578" s="40">
        <v>46190</v>
      </c>
      <c r="J578" t="s">
        <v>2713</v>
      </c>
    </row>
    <row r="579" spans="1:10">
      <c r="A579" t="s">
        <v>915</v>
      </c>
      <c r="B579" s="40">
        <v>46008</v>
      </c>
      <c r="C579" t="s">
        <v>1119</v>
      </c>
      <c r="D579" t="s">
        <v>1119</v>
      </c>
      <c r="E579" s="65">
        <v>77859408</v>
      </c>
      <c r="F579" t="s">
        <v>104</v>
      </c>
      <c r="G579">
        <v>6</v>
      </c>
      <c r="I579" s="40">
        <v>46190</v>
      </c>
      <c r="J579" t="s">
        <v>2403</v>
      </c>
    </row>
    <row r="580" spans="1:10">
      <c r="A580" t="s">
        <v>915</v>
      </c>
      <c r="B580" s="40">
        <v>46008</v>
      </c>
      <c r="C580" t="s">
        <v>1206</v>
      </c>
      <c r="D580" t="s">
        <v>1206</v>
      </c>
      <c r="E580" s="65">
        <v>38928368</v>
      </c>
      <c r="F580" t="s">
        <v>104</v>
      </c>
      <c r="G580">
        <v>6</v>
      </c>
      <c r="I580" s="40">
        <v>46190</v>
      </c>
    </row>
    <row r="581" spans="1:10">
      <c r="A581" t="s">
        <v>864</v>
      </c>
      <c r="B581" s="40">
        <v>46007</v>
      </c>
      <c r="C581" t="s">
        <v>1103</v>
      </c>
      <c r="D581" t="s">
        <v>1103</v>
      </c>
      <c r="E581" s="65">
        <v>54249900.000000007</v>
      </c>
      <c r="F581" t="s">
        <v>104</v>
      </c>
      <c r="G581">
        <v>6</v>
      </c>
      <c r="I581" s="40">
        <v>46189</v>
      </c>
    </row>
    <row r="582" spans="1:10">
      <c r="A582" t="s">
        <v>864</v>
      </c>
      <c r="B582" s="40">
        <v>46007</v>
      </c>
      <c r="C582" t="s">
        <v>1105</v>
      </c>
      <c r="D582" t="s">
        <v>1105</v>
      </c>
      <c r="E582" s="65">
        <v>9999750</v>
      </c>
      <c r="F582" t="s">
        <v>104</v>
      </c>
      <c r="G582">
        <v>6</v>
      </c>
      <c r="I582" s="40">
        <v>46189</v>
      </c>
    </row>
    <row r="583" spans="1:10">
      <c r="A583" t="s">
        <v>864</v>
      </c>
      <c r="B583" s="40">
        <v>46007</v>
      </c>
      <c r="C583" t="s">
        <v>1104</v>
      </c>
      <c r="D583" t="s">
        <v>1104</v>
      </c>
      <c r="E583" s="65">
        <v>9999750</v>
      </c>
      <c r="F583" t="s">
        <v>104</v>
      </c>
      <c r="G583">
        <v>6</v>
      </c>
      <c r="I583" s="40">
        <v>46189</v>
      </c>
    </row>
    <row r="584" spans="1:10">
      <c r="A584" t="s">
        <v>307</v>
      </c>
      <c r="B584" s="40">
        <v>46002</v>
      </c>
      <c r="C584" t="s">
        <v>1236</v>
      </c>
      <c r="D584" t="s">
        <v>1236</v>
      </c>
      <c r="E584" s="65">
        <v>233574960</v>
      </c>
      <c r="F584" t="s">
        <v>104</v>
      </c>
      <c r="G584">
        <v>6</v>
      </c>
      <c r="I584" s="40">
        <v>46184</v>
      </c>
    </row>
    <row r="585" spans="1:10">
      <c r="A585" t="s">
        <v>307</v>
      </c>
      <c r="B585" s="40">
        <v>46002</v>
      </c>
      <c r="C585" t="s">
        <v>2714</v>
      </c>
      <c r="D585" t="s">
        <v>2714</v>
      </c>
      <c r="E585" s="65">
        <v>38927280</v>
      </c>
      <c r="F585" t="s">
        <v>104</v>
      </c>
      <c r="G585">
        <v>6</v>
      </c>
      <c r="I585" s="40">
        <v>46184</v>
      </c>
    </row>
    <row r="586" spans="1:10">
      <c r="A586" t="s">
        <v>307</v>
      </c>
      <c r="B586" s="40">
        <v>46002</v>
      </c>
      <c r="C586" t="s">
        <v>1235</v>
      </c>
      <c r="D586" t="s">
        <v>1235</v>
      </c>
      <c r="E586" s="65">
        <v>661800420</v>
      </c>
      <c r="F586" t="s">
        <v>104</v>
      </c>
      <c r="G586">
        <v>6</v>
      </c>
      <c r="I586" s="40">
        <v>46184</v>
      </c>
    </row>
    <row r="587" spans="1:10">
      <c r="A587" t="s">
        <v>307</v>
      </c>
      <c r="B587" s="40">
        <v>46002</v>
      </c>
      <c r="C587" t="s">
        <v>1239</v>
      </c>
      <c r="D587" t="s">
        <v>1239</v>
      </c>
      <c r="E587" s="65">
        <v>77857380</v>
      </c>
      <c r="F587" t="s">
        <v>104</v>
      </c>
      <c r="G587">
        <v>6</v>
      </c>
      <c r="I587" s="40">
        <v>46184</v>
      </c>
    </row>
    <row r="588" spans="1:10">
      <c r="A588" t="s">
        <v>307</v>
      </c>
      <c r="B588" s="40">
        <v>46002</v>
      </c>
      <c r="C588" t="s">
        <v>1238</v>
      </c>
      <c r="D588" t="s">
        <v>1238</v>
      </c>
      <c r="E588" s="65">
        <v>116787480</v>
      </c>
      <c r="F588" t="s">
        <v>104</v>
      </c>
      <c r="G588">
        <v>6</v>
      </c>
      <c r="I588" s="40">
        <v>46184</v>
      </c>
    </row>
    <row r="589" spans="1:10">
      <c r="A589" t="s">
        <v>307</v>
      </c>
      <c r="B589" s="40">
        <v>46002</v>
      </c>
      <c r="C589" t="s">
        <v>1237</v>
      </c>
      <c r="D589" t="s">
        <v>1237</v>
      </c>
      <c r="E589" s="65">
        <v>155717580</v>
      </c>
      <c r="F589" t="s">
        <v>104</v>
      </c>
      <c r="G589">
        <v>6</v>
      </c>
      <c r="I589" s="40">
        <v>46184</v>
      </c>
    </row>
    <row r="590" spans="1:10">
      <c r="A590" t="s">
        <v>307</v>
      </c>
      <c r="B590" s="40">
        <v>46002</v>
      </c>
      <c r="C590" t="s">
        <v>2715</v>
      </c>
      <c r="D590" t="s">
        <v>2715</v>
      </c>
      <c r="E590" s="65">
        <v>38927280</v>
      </c>
      <c r="F590" t="s">
        <v>104</v>
      </c>
      <c r="G590">
        <v>6</v>
      </c>
      <c r="I590" s="40">
        <v>46184</v>
      </c>
    </row>
    <row r="591" spans="1:10">
      <c r="A591" t="s">
        <v>1006</v>
      </c>
      <c r="B591" s="40">
        <v>46001</v>
      </c>
      <c r="C591" t="s">
        <v>1182</v>
      </c>
      <c r="D591" t="s">
        <v>1182</v>
      </c>
      <c r="E591" s="65">
        <v>38599216</v>
      </c>
      <c r="F591" t="s">
        <v>104</v>
      </c>
      <c r="G591">
        <v>6</v>
      </c>
      <c r="I591" s="40">
        <v>46183</v>
      </c>
    </row>
    <row r="592" spans="1:10">
      <c r="A592" t="s">
        <v>1006</v>
      </c>
      <c r="B592" s="40">
        <v>46001</v>
      </c>
      <c r="C592" t="s">
        <v>2025</v>
      </c>
      <c r="D592" t="s">
        <v>2025</v>
      </c>
      <c r="E592" s="65">
        <v>49998014</v>
      </c>
      <c r="F592" t="s">
        <v>104</v>
      </c>
      <c r="G592">
        <v>6</v>
      </c>
      <c r="I592" s="40">
        <v>46183</v>
      </c>
    </row>
    <row r="593" spans="1:10">
      <c r="A593" t="s">
        <v>1006</v>
      </c>
      <c r="B593" s="40">
        <v>46001</v>
      </c>
      <c r="C593" t="s">
        <v>2024</v>
      </c>
      <c r="D593" t="s">
        <v>2024</v>
      </c>
      <c r="E593" s="65">
        <v>111998928</v>
      </c>
      <c r="F593" t="s">
        <v>104</v>
      </c>
      <c r="G593">
        <v>6</v>
      </c>
      <c r="I593" s="40">
        <v>46183</v>
      </c>
    </row>
    <row r="594" spans="1:10">
      <c r="A594" t="s">
        <v>570</v>
      </c>
      <c r="B594" s="40">
        <v>45999</v>
      </c>
      <c r="C594" t="s">
        <v>1682</v>
      </c>
      <c r="D594" t="s">
        <v>1682</v>
      </c>
      <c r="E594" s="65">
        <v>76931200</v>
      </c>
      <c r="F594" t="s">
        <v>104</v>
      </c>
      <c r="G594">
        <v>6</v>
      </c>
      <c r="I594" s="40">
        <v>46181</v>
      </c>
      <c r="J594" t="s">
        <v>2716</v>
      </c>
    </row>
    <row r="595" spans="1:10">
      <c r="A595" t="s">
        <v>570</v>
      </c>
      <c r="B595" s="40">
        <v>45999</v>
      </c>
      <c r="C595" t="s">
        <v>2118</v>
      </c>
      <c r="D595" t="s">
        <v>2118</v>
      </c>
      <c r="E595" s="65">
        <v>77847600</v>
      </c>
      <c r="F595" t="s">
        <v>104</v>
      </c>
      <c r="G595">
        <v>6</v>
      </c>
      <c r="I595" s="40">
        <v>46181</v>
      </c>
      <c r="J595" t="s">
        <v>2717</v>
      </c>
    </row>
    <row r="596" spans="1:10">
      <c r="A596" t="s">
        <v>570</v>
      </c>
      <c r="B596" s="40">
        <v>45999</v>
      </c>
      <c r="C596" t="s">
        <v>2117</v>
      </c>
      <c r="D596" t="s">
        <v>2117</v>
      </c>
      <c r="E596" s="65">
        <v>700721200</v>
      </c>
      <c r="F596" t="s">
        <v>104</v>
      </c>
      <c r="G596">
        <v>6</v>
      </c>
      <c r="I596" s="40">
        <v>46181</v>
      </c>
      <c r="J596" t="s">
        <v>2718</v>
      </c>
    </row>
    <row r="597" spans="1:10">
      <c r="A597" t="s">
        <v>570</v>
      </c>
      <c r="B597" s="40">
        <v>45999</v>
      </c>
      <c r="C597" t="s">
        <v>1069</v>
      </c>
      <c r="D597" t="s">
        <v>1069</v>
      </c>
      <c r="E597" s="65">
        <v>77847600</v>
      </c>
      <c r="F597" t="s">
        <v>104</v>
      </c>
      <c r="G597">
        <v>6</v>
      </c>
      <c r="I597" s="40">
        <v>46181</v>
      </c>
    </row>
    <row r="598" spans="1:10">
      <c r="A598" t="s">
        <v>570</v>
      </c>
      <c r="B598" s="40">
        <v>45999</v>
      </c>
      <c r="C598" t="s">
        <v>1358</v>
      </c>
      <c r="D598" t="s">
        <v>1358</v>
      </c>
      <c r="E598" s="65">
        <v>38918000</v>
      </c>
      <c r="F598" t="s">
        <v>104</v>
      </c>
      <c r="G598">
        <v>6</v>
      </c>
      <c r="I598" s="40">
        <v>46181</v>
      </c>
      <c r="J598" t="s">
        <v>2399</v>
      </c>
    </row>
    <row r="599" spans="1:10">
      <c r="A599" t="s">
        <v>570</v>
      </c>
      <c r="B599" s="40">
        <v>45999</v>
      </c>
      <c r="C599" t="s">
        <v>1104</v>
      </c>
      <c r="D599" t="s">
        <v>1104</v>
      </c>
      <c r="E599" s="65">
        <v>38918000</v>
      </c>
      <c r="F599" t="s">
        <v>104</v>
      </c>
      <c r="G599">
        <v>6</v>
      </c>
      <c r="I599" s="40">
        <v>46181</v>
      </c>
      <c r="J599" t="s">
        <v>2719</v>
      </c>
    </row>
    <row r="600" spans="1:10">
      <c r="A600" t="s">
        <v>570</v>
      </c>
      <c r="B600" s="40">
        <v>45999</v>
      </c>
      <c r="C600" t="s">
        <v>1175</v>
      </c>
      <c r="D600" t="s">
        <v>1175</v>
      </c>
      <c r="E600" s="65">
        <v>77847600</v>
      </c>
      <c r="F600" t="s">
        <v>104</v>
      </c>
      <c r="G600">
        <v>6</v>
      </c>
      <c r="I600" s="40">
        <v>46181</v>
      </c>
      <c r="J600" t="s">
        <v>2720</v>
      </c>
    </row>
    <row r="601" spans="1:10">
      <c r="A601" t="s">
        <v>658</v>
      </c>
      <c r="B601" s="40">
        <v>45996</v>
      </c>
      <c r="C601" t="s">
        <v>1104</v>
      </c>
      <c r="D601" t="s">
        <v>1104</v>
      </c>
      <c r="E601" s="65">
        <v>18888320</v>
      </c>
      <c r="F601" t="s">
        <v>104</v>
      </c>
      <c r="G601">
        <v>6</v>
      </c>
      <c r="I601" s="40">
        <v>46178</v>
      </c>
      <c r="J601" t="s">
        <v>1147</v>
      </c>
    </row>
    <row r="602" spans="1:10">
      <c r="A602" t="s">
        <v>658</v>
      </c>
      <c r="B602" s="40">
        <v>45996</v>
      </c>
      <c r="C602" t="s">
        <v>1180</v>
      </c>
      <c r="D602" t="s">
        <v>1180</v>
      </c>
      <c r="E602" s="65">
        <v>38867840</v>
      </c>
      <c r="F602" t="s">
        <v>104</v>
      </c>
      <c r="G602">
        <v>6</v>
      </c>
      <c r="I602" s="40">
        <v>46178</v>
      </c>
      <c r="J602" t="s">
        <v>2721</v>
      </c>
    </row>
    <row r="603" spans="1:10">
      <c r="A603" t="s">
        <v>658</v>
      </c>
      <c r="B603" s="40">
        <v>45996</v>
      </c>
      <c r="C603" t="s">
        <v>1181</v>
      </c>
      <c r="D603" t="s">
        <v>1181</v>
      </c>
      <c r="E603" s="65">
        <v>38867840</v>
      </c>
      <c r="F603" t="s">
        <v>104</v>
      </c>
      <c r="G603">
        <v>6</v>
      </c>
      <c r="I603" s="40">
        <v>46178</v>
      </c>
      <c r="J603" t="s">
        <v>2722</v>
      </c>
    </row>
    <row r="604" spans="1:10">
      <c r="A604" t="s">
        <v>658</v>
      </c>
      <c r="B604" s="40">
        <v>45996</v>
      </c>
      <c r="C604" t="s">
        <v>2723</v>
      </c>
      <c r="D604" t="s">
        <v>2723</v>
      </c>
      <c r="E604" s="65">
        <v>15547840</v>
      </c>
      <c r="F604" t="s">
        <v>104</v>
      </c>
      <c r="G604">
        <v>6</v>
      </c>
      <c r="I604" s="40">
        <v>46178</v>
      </c>
      <c r="J604" t="s">
        <v>2724</v>
      </c>
    </row>
    <row r="605" spans="1:10">
      <c r="A605" t="s">
        <v>658</v>
      </c>
      <c r="B605" s="40">
        <v>45996</v>
      </c>
      <c r="C605" t="s">
        <v>1182</v>
      </c>
      <c r="D605" t="s">
        <v>1182</v>
      </c>
      <c r="E605" s="65">
        <v>19979520</v>
      </c>
      <c r="F605" t="s">
        <v>104</v>
      </c>
      <c r="G605">
        <v>6</v>
      </c>
      <c r="I605" s="40">
        <v>46178</v>
      </c>
      <c r="J605" t="s">
        <v>2703</v>
      </c>
    </row>
    <row r="606" spans="1:10">
      <c r="A606" t="s">
        <v>658</v>
      </c>
      <c r="B606" s="40">
        <v>45996</v>
      </c>
      <c r="C606" t="s">
        <v>1113</v>
      </c>
      <c r="D606" t="s">
        <v>1113</v>
      </c>
      <c r="E606" s="65">
        <v>38867840</v>
      </c>
      <c r="F606" t="s">
        <v>104</v>
      </c>
      <c r="G606">
        <v>6</v>
      </c>
      <c r="I606" s="40">
        <v>46178</v>
      </c>
    </row>
    <row r="607" spans="1:10">
      <c r="A607" t="s">
        <v>612</v>
      </c>
      <c r="B607" s="40">
        <v>45996</v>
      </c>
      <c r="C607" t="s">
        <v>2114</v>
      </c>
      <c r="D607" t="s">
        <v>2114</v>
      </c>
      <c r="E607" s="65">
        <v>131822400</v>
      </c>
      <c r="F607" t="s">
        <v>104</v>
      </c>
      <c r="G607">
        <v>6</v>
      </c>
      <c r="I607" s="40">
        <v>46178</v>
      </c>
      <c r="J607" t="s">
        <v>2725</v>
      </c>
    </row>
    <row r="608" spans="1:10">
      <c r="A608" t="s">
        <v>612</v>
      </c>
      <c r="B608" s="40">
        <v>45996</v>
      </c>
      <c r="C608" t="s">
        <v>2115</v>
      </c>
      <c r="D608" t="s">
        <v>2115</v>
      </c>
      <c r="E608" s="65">
        <v>29698900</v>
      </c>
      <c r="F608" t="s">
        <v>104</v>
      </c>
      <c r="G608">
        <v>6</v>
      </c>
      <c r="I608" s="40">
        <v>46178</v>
      </c>
    </row>
    <row r="609" spans="1:10">
      <c r="A609" t="s">
        <v>901</v>
      </c>
      <c r="B609" s="40">
        <v>45994</v>
      </c>
      <c r="C609" t="s">
        <v>1631</v>
      </c>
      <c r="D609" t="s">
        <v>1631</v>
      </c>
      <c r="E609" s="65">
        <v>24747000</v>
      </c>
      <c r="F609" t="s">
        <v>104</v>
      </c>
      <c r="G609">
        <v>6</v>
      </c>
      <c r="I609" s="40">
        <v>46176</v>
      </c>
      <c r="J609" t="s">
        <v>2726</v>
      </c>
    </row>
    <row r="610" spans="1:10">
      <c r="A610" t="s">
        <v>901</v>
      </c>
      <c r="B610" s="40">
        <v>45994</v>
      </c>
      <c r="C610" t="s">
        <v>1633</v>
      </c>
      <c r="D610" t="s">
        <v>1633</v>
      </c>
      <c r="E610" s="65">
        <v>10887950</v>
      </c>
      <c r="F610" t="s">
        <v>104</v>
      </c>
      <c r="G610">
        <v>6</v>
      </c>
      <c r="I610" s="40">
        <v>46176</v>
      </c>
      <c r="J610" t="s">
        <v>2727</v>
      </c>
    </row>
    <row r="611" spans="1:10">
      <c r="A611" t="s">
        <v>901</v>
      </c>
      <c r="B611" s="40">
        <v>45994</v>
      </c>
      <c r="C611" t="s">
        <v>1632</v>
      </c>
      <c r="D611" t="s">
        <v>1632</v>
      </c>
      <c r="E611" s="65">
        <v>10887950</v>
      </c>
      <c r="F611" t="s">
        <v>104</v>
      </c>
      <c r="G611">
        <v>6</v>
      </c>
      <c r="I611" s="40">
        <v>46176</v>
      </c>
      <c r="J611" t="s">
        <v>2728</v>
      </c>
    </row>
    <row r="612" spans="1:10">
      <c r="A612" t="s">
        <v>901</v>
      </c>
      <c r="B612" s="40">
        <v>45994</v>
      </c>
      <c r="C612" t="s">
        <v>1630</v>
      </c>
      <c r="D612" t="s">
        <v>1630</v>
      </c>
      <c r="E612" s="65">
        <v>29696400</v>
      </c>
      <c r="F612" t="s">
        <v>104</v>
      </c>
      <c r="G612">
        <v>6</v>
      </c>
      <c r="I612" s="40">
        <v>46176</v>
      </c>
      <c r="J612" t="s">
        <v>2729</v>
      </c>
    </row>
    <row r="613" spans="1:10">
      <c r="A613" t="s">
        <v>854</v>
      </c>
      <c r="B613" s="40">
        <v>45989</v>
      </c>
      <c r="C613" t="s">
        <v>1427</v>
      </c>
      <c r="D613" t="s">
        <v>1427</v>
      </c>
      <c r="E613" s="65">
        <v>216042120</v>
      </c>
      <c r="F613" t="s">
        <v>104</v>
      </c>
      <c r="J613" t="s">
        <v>2730</v>
      </c>
    </row>
    <row r="614" spans="1:10">
      <c r="A614" t="s">
        <v>325</v>
      </c>
      <c r="B614" s="40">
        <v>45985</v>
      </c>
      <c r="C614" t="s">
        <v>2731</v>
      </c>
      <c r="D614" t="s">
        <v>2731</v>
      </c>
      <c r="E614" s="65">
        <v>46641560</v>
      </c>
      <c r="F614" t="s">
        <v>104</v>
      </c>
      <c r="G614">
        <v>6</v>
      </c>
      <c r="I614" s="40">
        <v>46166</v>
      </c>
    </row>
    <row r="615" spans="1:10">
      <c r="A615" t="s">
        <v>325</v>
      </c>
      <c r="B615" s="40">
        <v>45985</v>
      </c>
      <c r="C615" t="s">
        <v>1507</v>
      </c>
      <c r="D615" t="s">
        <v>1507</v>
      </c>
      <c r="E615" s="65">
        <v>77743260</v>
      </c>
      <c r="F615" t="s">
        <v>104</v>
      </c>
      <c r="G615">
        <v>6</v>
      </c>
      <c r="I615" s="40">
        <v>46166</v>
      </c>
    </row>
    <row r="616" spans="1:10">
      <c r="A616" t="s">
        <v>325</v>
      </c>
      <c r="B616" s="40">
        <v>45985</v>
      </c>
      <c r="C616" t="s">
        <v>1458</v>
      </c>
      <c r="D616" t="s">
        <v>1458</v>
      </c>
      <c r="E616" s="65">
        <v>77743260</v>
      </c>
      <c r="F616" t="s">
        <v>104</v>
      </c>
      <c r="G616">
        <v>6</v>
      </c>
      <c r="I616" s="40">
        <v>46166</v>
      </c>
    </row>
    <row r="617" spans="1:10">
      <c r="A617" t="s">
        <v>325</v>
      </c>
      <c r="B617" s="40">
        <v>45985</v>
      </c>
      <c r="C617" t="s">
        <v>2732</v>
      </c>
      <c r="D617" t="s">
        <v>2732</v>
      </c>
      <c r="E617" s="65">
        <v>77743260</v>
      </c>
      <c r="F617" t="s">
        <v>104</v>
      </c>
      <c r="G617">
        <v>6</v>
      </c>
      <c r="I617" s="40">
        <v>46166</v>
      </c>
    </row>
    <row r="618" spans="1:10">
      <c r="A618" t="s">
        <v>325</v>
      </c>
      <c r="B618" s="40">
        <v>45985</v>
      </c>
      <c r="C618" t="s">
        <v>2577</v>
      </c>
      <c r="D618" t="s">
        <v>2577</v>
      </c>
      <c r="E618" s="65">
        <v>77743260</v>
      </c>
      <c r="F618" t="s">
        <v>104</v>
      </c>
      <c r="G618">
        <v>6</v>
      </c>
      <c r="I618" s="40">
        <v>46166</v>
      </c>
    </row>
    <row r="619" spans="1:10">
      <c r="A619" t="s">
        <v>325</v>
      </c>
      <c r="B619" s="40">
        <v>45985</v>
      </c>
      <c r="C619" t="s">
        <v>2549</v>
      </c>
      <c r="D619" t="s">
        <v>2549</v>
      </c>
      <c r="E619" s="65">
        <v>77743260</v>
      </c>
      <c r="F619" t="s">
        <v>104</v>
      </c>
      <c r="G619">
        <v>6</v>
      </c>
      <c r="I619" s="40">
        <v>46166</v>
      </c>
    </row>
    <row r="620" spans="1:10">
      <c r="A620" t="s">
        <v>325</v>
      </c>
      <c r="B620" s="40">
        <v>45985</v>
      </c>
      <c r="C620" t="s">
        <v>2733</v>
      </c>
      <c r="D620" t="s">
        <v>2733</v>
      </c>
      <c r="E620" s="65">
        <v>77743260</v>
      </c>
      <c r="F620" t="s">
        <v>104</v>
      </c>
      <c r="G620">
        <v>6</v>
      </c>
      <c r="I620" s="40">
        <v>46166</v>
      </c>
    </row>
    <row r="621" spans="1:10">
      <c r="A621" t="s">
        <v>325</v>
      </c>
      <c r="B621" s="40">
        <v>45985</v>
      </c>
      <c r="C621" t="s">
        <v>1969</v>
      </c>
      <c r="D621" t="s">
        <v>1969</v>
      </c>
      <c r="E621" s="65">
        <v>77743260</v>
      </c>
      <c r="F621" t="s">
        <v>104</v>
      </c>
      <c r="G621">
        <v>6</v>
      </c>
      <c r="I621" s="40">
        <v>46166</v>
      </c>
    </row>
    <row r="622" spans="1:10">
      <c r="A622" t="s">
        <v>325</v>
      </c>
      <c r="B622" s="40">
        <v>45985</v>
      </c>
      <c r="C622" t="s">
        <v>1597</v>
      </c>
      <c r="D622" t="s">
        <v>1597</v>
      </c>
      <c r="E622" s="65">
        <v>77743260</v>
      </c>
      <c r="F622" t="s">
        <v>104</v>
      </c>
      <c r="G622">
        <v>6</v>
      </c>
      <c r="I622" s="40">
        <v>46166</v>
      </c>
    </row>
    <row r="623" spans="1:10">
      <c r="A623" t="s">
        <v>325</v>
      </c>
      <c r="B623" s="40">
        <v>45985</v>
      </c>
      <c r="C623" t="s">
        <v>1660</v>
      </c>
      <c r="D623" t="s">
        <v>1660</v>
      </c>
      <c r="E623" s="65">
        <v>48432930</v>
      </c>
      <c r="F623" t="s">
        <v>104</v>
      </c>
      <c r="G623">
        <v>6</v>
      </c>
      <c r="I623" s="40">
        <v>46166</v>
      </c>
    </row>
    <row r="624" spans="1:10">
      <c r="A624" t="s">
        <v>325</v>
      </c>
      <c r="B624" s="40">
        <v>45985</v>
      </c>
      <c r="C624" t="s">
        <v>1323</v>
      </c>
      <c r="D624" t="s">
        <v>1323</v>
      </c>
      <c r="E624" s="65">
        <v>68181960</v>
      </c>
      <c r="F624" t="s">
        <v>104</v>
      </c>
      <c r="G624">
        <v>6</v>
      </c>
      <c r="I624" s="40">
        <v>46166</v>
      </c>
    </row>
    <row r="625" spans="1:10">
      <c r="A625" t="s">
        <v>325</v>
      </c>
      <c r="B625" s="40">
        <v>45985</v>
      </c>
      <c r="C625" t="s">
        <v>2734</v>
      </c>
      <c r="D625" t="s">
        <v>2734</v>
      </c>
      <c r="E625" s="65">
        <v>116614890</v>
      </c>
      <c r="F625" t="s">
        <v>104</v>
      </c>
      <c r="G625">
        <v>6</v>
      </c>
      <c r="I625" s="40">
        <v>46166</v>
      </c>
    </row>
    <row r="626" spans="1:10">
      <c r="A626" t="s">
        <v>325</v>
      </c>
      <c r="B626" s="40">
        <v>45985</v>
      </c>
      <c r="C626" t="s">
        <v>1712</v>
      </c>
      <c r="D626" t="s">
        <v>1712</v>
      </c>
      <c r="E626" s="65">
        <v>233229780</v>
      </c>
      <c r="F626" t="s">
        <v>104</v>
      </c>
      <c r="G626">
        <v>6</v>
      </c>
      <c r="I626" s="40">
        <v>46166</v>
      </c>
    </row>
    <row r="627" spans="1:10">
      <c r="A627" t="s">
        <v>325</v>
      </c>
      <c r="B627" s="40">
        <v>45985</v>
      </c>
      <c r="C627" t="s">
        <v>1495</v>
      </c>
      <c r="D627" t="s">
        <v>1495</v>
      </c>
      <c r="E627" s="65">
        <v>233229780</v>
      </c>
      <c r="F627" t="s">
        <v>104</v>
      </c>
      <c r="G627">
        <v>6</v>
      </c>
      <c r="I627" s="40">
        <v>46166</v>
      </c>
    </row>
    <row r="628" spans="1:10">
      <c r="A628" t="s">
        <v>325</v>
      </c>
      <c r="B628" s="40">
        <v>45985</v>
      </c>
      <c r="C628" t="s">
        <v>1209</v>
      </c>
      <c r="D628" t="s">
        <v>1209</v>
      </c>
      <c r="E628" s="65">
        <v>233229780</v>
      </c>
      <c r="F628" t="s">
        <v>104</v>
      </c>
      <c r="G628">
        <v>6</v>
      </c>
      <c r="I628" s="40">
        <v>46166</v>
      </c>
    </row>
    <row r="629" spans="1:10">
      <c r="A629" t="s">
        <v>325</v>
      </c>
      <c r="B629" s="40">
        <v>45985</v>
      </c>
      <c r="C629" t="s">
        <v>1713</v>
      </c>
      <c r="D629" t="s">
        <v>1713</v>
      </c>
      <c r="E629" s="65">
        <v>233229780</v>
      </c>
      <c r="F629" t="s">
        <v>104</v>
      </c>
      <c r="G629">
        <v>6</v>
      </c>
      <c r="I629" s="40">
        <v>46166</v>
      </c>
    </row>
    <row r="630" spans="1:10">
      <c r="A630" t="s">
        <v>325</v>
      </c>
      <c r="B630" s="40">
        <v>45985</v>
      </c>
      <c r="C630" t="s">
        <v>1113</v>
      </c>
      <c r="D630" t="s">
        <v>1113</v>
      </c>
      <c r="E630" s="65">
        <v>777443590</v>
      </c>
      <c r="F630" t="s">
        <v>104</v>
      </c>
      <c r="G630">
        <v>6</v>
      </c>
      <c r="I630" s="40">
        <v>46166</v>
      </c>
    </row>
    <row r="631" spans="1:10">
      <c r="A631" t="s">
        <v>325</v>
      </c>
      <c r="B631" s="40">
        <v>45985</v>
      </c>
      <c r="C631" t="s">
        <v>2735</v>
      </c>
      <c r="D631" t="s">
        <v>2735</v>
      </c>
      <c r="E631" s="65">
        <v>116614890</v>
      </c>
      <c r="F631" t="s">
        <v>104</v>
      </c>
      <c r="G631">
        <v>6</v>
      </c>
      <c r="I631" s="40">
        <v>46166</v>
      </c>
    </row>
    <row r="632" spans="1:10">
      <c r="A632" t="s">
        <v>262</v>
      </c>
      <c r="B632" s="40">
        <v>45978</v>
      </c>
      <c r="C632" t="s">
        <v>1331</v>
      </c>
      <c r="D632" t="s">
        <v>1331</v>
      </c>
      <c r="E632" s="65">
        <v>153782000</v>
      </c>
      <c r="F632" t="s">
        <v>104</v>
      </c>
      <c r="G632">
        <v>6</v>
      </c>
      <c r="I632" s="40">
        <v>46159</v>
      </c>
    </row>
    <row r="633" spans="1:10">
      <c r="A633" t="s">
        <v>262</v>
      </c>
      <c r="B633" s="40">
        <v>45978</v>
      </c>
      <c r="C633" t="s">
        <v>1458</v>
      </c>
      <c r="D633" t="s">
        <v>1458</v>
      </c>
      <c r="E633" s="65">
        <v>217035600</v>
      </c>
      <c r="F633" t="s">
        <v>104</v>
      </c>
      <c r="G633">
        <v>6</v>
      </c>
      <c r="I633" s="40">
        <v>46159</v>
      </c>
    </row>
    <row r="634" spans="1:10">
      <c r="A634" t="s">
        <v>262</v>
      </c>
      <c r="B634" s="40">
        <v>45978</v>
      </c>
      <c r="C634" t="s">
        <v>1457</v>
      </c>
      <c r="D634" t="s">
        <v>1457</v>
      </c>
      <c r="E634" s="65">
        <v>753433200</v>
      </c>
      <c r="F634" t="s">
        <v>104</v>
      </c>
      <c r="G634">
        <v>6</v>
      </c>
      <c r="I634" s="40">
        <v>46159</v>
      </c>
      <c r="J634" t="s">
        <v>2736</v>
      </c>
    </row>
    <row r="635" spans="1:10">
      <c r="A635" t="s">
        <v>262</v>
      </c>
      <c r="B635" s="40">
        <v>45978</v>
      </c>
      <c r="C635" t="s">
        <v>2020</v>
      </c>
      <c r="D635" t="s">
        <v>2020</v>
      </c>
      <c r="E635" s="65">
        <v>85435200</v>
      </c>
      <c r="F635" t="s">
        <v>104</v>
      </c>
      <c r="G635">
        <v>6</v>
      </c>
      <c r="I635" s="40">
        <v>46159</v>
      </c>
    </row>
    <row r="636" spans="1:10">
      <c r="A636" t="s">
        <v>262</v>
      </c>
      <c r="B636" s="40">
        <v>45978</v>
      </c>
      <c r="C636" t="s">
        <v>2737</v>
      </c>
      <c r="D636" t="s">
        <v>2737</v>
      </c>
      <c r="E636" s="65">
        <v>77662800</v>
      </c>
      <c r="F636" t="s">
        <v>104</v>
      </c>
      <c r="G636">
        <v>6</v>
      </c>
      <c r="I636" s="40">
        <v>46159</v>
      </c>
      <c r="J636" t="s">
        <v>2738</v>
      </c>
    </row>
    <row r="637" spans="1:10">
      <c r="A637" t="s">
        <v>262</v>
      </c>
      <c r="B637" s="40">
        <v>45978</v>
      </c>
      <c r="C637" t="s">
        <v>2739</v>
      </c>
      <c r="D637" t="s">
        <v>2739</v>
      </c>
      <c r="E637" s="65">
        <v>77662800</v>
      </c>
      <c r="F637" t="s">
        <v>104</v>
      </c>
      <c r="G637">
        <v>6</v>
      </c>
      <c r="I637" s="40">
        <v>46159</v>
      </c>
    </row>
    <row r="638" spans="1:10">
      <c r="A638" t="s">
        <v>262</v>
      </c>
      <c r="B638" s="40">
        <v>45978</v>
      </c>
      <c r="C638" t="s">
        <v>2142</v>
      </c>
      <c r="D638" t="s">
        <v>2142</v>
      </c>
      <c r="E638" s="65">
        <v>54257200</v>
      </c>
      <c r="F638" t="s">
        <v>104</v>
      </c>
      <c r="G638">
        <v>6</v>
      </c>
      <c r="I638" s="40">
        <v>46159</v>
      </c>
      <c r="J638" t="s">
        <v>2630</v>
      </c>
    </row>
    <row r="639" spans="1:10">
      <c r="A639" t="s">
        <v>262</v>
      </c>
      <c r="B639" s="40">
        <v>45978</v>
      </c>
      <c r="C639" t="s">
        <v>1460</v>
      </c>
      <c r="D639" t="s">
        <v>1460</v>
      </c>
      <c r="E639" s="65">
        <v>116497600</v>
      </c>
      <c r="F639" t="s">
        <v>104</v>
      </c>
      <c r="G639">
        <v>6</v>
      </c>
      <c r="I639" s="40">
        <v>46159</v>
      </c>
    </row>
    <row r="640" spans="1:10">
      <c r="A640" t="s">
        <v>262</v>
      </c>
      <c r="B640" s="40">
        <v>45978</v>
      </c>
      <c r="C640" t="s">
        <v>1459</v>
      </c>
      <c r="D640" t="s">
        <v>1459</v>
      </c>
      <c r="E640" s="65">
        <v>116497600</v>
      </c>
      <c r="F640" t="s">
        <v>104</v>
      </c>
      <c r="G640">
        <v>6</v>
      </c>
      <c r="I640" s="40">
        <v>46159</v>
      </c>
    </row>
    <row r="641" spans="1:10">
      <c r="A641" t="s">
        <v>461</v>
      </c>
      <c r="B641" s="40">
        <v>45971</v>
      </c>
      <c r="C641" t="s">
        <v>2740</v>
      </c>
      <c r="D641" t="s">
        <v>2740</v>
      </c>
      <c r="E641" s="65">
        <v>42721720</v>
      </c>
      <c r="F641" t="s">
        <v>104</v>
      </c>
      <c r="G641">
        <v>6</v>
      </c>
      <c r="I641" s="40">
        <v>46152</v>
      </c>
      <c r="J641" t="s">
        <v>2741</v>
      </c>
    </row>
    <row r="642" spans="1:10">
      <c r="A642" t="s">
        <v>461</v>
      </c>
      <c r="B642" s="40">
        <v>45971</v>
      </c>
      <c r="C642" t="s">
        <v>2577</v>
      </c>
      <c r="D642" t="s">
        <v>2577</v>
      </c>
      <c r="E642" s="65">
        <v>38833640</v>
      </c>
      <c r="F642" t="s">
        <v>104</v>
      </c>
      <c r="G642">
        <v>6</v>
      </c>
      <c r="I642" s="40">
        <v>46152</v>
      </c>
      <c r="J642" t="s">
        <v>2578</v>
      </c>
    </row>
    <row r="643" spans="1:10">
      <c r="A643" t="s">
        <v>461</v>
      </c>
      <c r="B643" s="40">
        <v>45971</v>
      </c>
      <c r="C643" t="s">
        <v>1834</v>
      </c>
      <c r="D643" t="s">
        <v>1834</v>
      </c>
      <c r="E643" s="65">
        <v>38833640</v>
      </c>
      <c r="F643" t="s">
        <v>104</v>
      </c>
      <c r="G643">
        <v>6</v>
      </c>
      <c r="I643" s="40">
        <v>46152</v>
      </c>
      <c r="J643" t="s">
        <v>2626</v>
      </c>
    </row>
    <row r="644" spans="1:10">
      <c r="A644" t="s">
        <v>461</v>
      </c>
      <c r="B644" s="40">
        <v>45971</v>
      </c>
      <c r="C644" t="s">
        <v>2742</v>
      </c>
      <c r="D644" t="s">
        <v>2742</v>
      </c>
      <c r="E644" s="65">
        <v>38833640</v>
      </c>
      <c r="F644" t="s">
        <v>104</v>
      </c>
      <c r="G644">
        <v>6</v>
      </c>
      <c r="I644" s="40">
        <v>46152</v>
      </c>
      <c r="J644" t="s">
        <v>2743</v>
      </c>
    </row>
    <row r="645" spans="1:10">
      <c r="A645" t="s">
        <v>461</v>
      </c>
      <c r="B645" s="40">
        <v>45971</v>
      </c>
      <c r="C645" t="s">
        <v>1884</v>
      </c>
      <c r="D645" t="s">
        <v>1884</v>
      </c>
      <c r="E645" s="65">
        <v>34950800</v>
      </c>
      <c r="F645" t="s">
        <v>104</v>
      </c>
      <c r="G645">
        <v>6</v>
      </c>
      <c r="I645" s="40">
        <v>46152</v>
      </c>
      <c r="J645" t="s">
        <v>2744</v>
      </c>
    </row>
    <row r="646" spans="1:10">
      <c r="A646" t="s">
        <v>461</v>
      </c>
      <c r="B646" s="40">
        <v>45971</v>
      </c>
      <c r="C646" t="s">
        <v>1471</v>
      </c>
      <c r="D646" t="s">
        <v>1471</v>
      </c>
      <c r="E646" s="65">
        <v>116511400</v>
      </c>
      <c r="F646" t="s">
        <v>104</v>
      </c>
      <c r="G646">
        <v>6</v>
      </c>
      <c r="I646" s="40">
        <v>46152</v>
      </c>
      <c r="J646" t="s">
        <v>2745</v>
      </c>
    </row>
    <row r="647" spans="1:10">
      <c r="A647" t="s">
        <v>461</v>
      </c>
      <c r="B647" s="40">
        <v>45971</v>
      </c>
      <c r="C647" t="s">
        <v>2746</v>
      </c>
      <c r="D647" t="s">
        <v>2746</v>
      </c>
      <c r="E647" s="65">
        <v>38833640</v>
      </c>
      <c r="F647" t="s">
        <v>104</v>
      </c>
      <c r="G647">
        <v>6</v>
      </c>
      <c r="I647" s="40">
        <v>46152</v>
      </c>
      <c r="J647" t="s">
        <v>2745</v>
      </c>
    </row>
    <row r="648" spans="1:10">
      <c r="A648" t="s">
        <v>461</v>
      </c>
      <c r="B648" s="40">
        <v>45971</v>
      </c>
      <c r="C648" t="s">
        <v>1219</v>
      </c>
      <c r="D648" t="s">
        <v>1219</v>
      </c>
      <c r="E648" s="65">
        <v>155350280</v>
      </c>
      <c r="F648" t="s">
        <v>104</v>
      </c>
      <c r="G648">
        <v>6</v>
      </c>
      <c r="I648" s="40">
        <v>46152</v>
      </c>
    </row>
    <row r="649" spans="1:10">
      <c r="A649" t="s">
        <v>461</v>
      </c>
      <c r="B649" s="40">
        <v>45971</v>
      </c>
      <c r="C649" t="s">
        <v>1840</v>
      </c>
      <c r="D649" t="s">
        <v>1840</v>
      </c>
      <c r="E649" s="65">
        <v>54370240</v>
      </c>
      <c r="F649" t="s">
        <v>104</v>
      </c>
      <c r="G649">
        <v>6</v>
      </c>
      <c r="I649" s="40">
        <v>46152</v>
      </c>
    </row>
    <row r="650" spans="1:10">
      <c r="A650" t="s">
        <v>461</v>
      </c>
      <c r="B650" s="40">
        <v>45971</v>
      </c>
      <c r="C650" t="s">
        <v>2747</v>
      </c>
      <c r="D650" t="s">
        <v>2747</v>
      </c>
      <c r="E650" s="65">
        <v>3882840</v>
      </c>
      <c r="F650" t="s">
        <v>104</v>
      </c>
      <c r="G650">
        <v>6</v>
      </c>
      <c r="I650" s="40">
        <v>46152</v>
      </c>
      <c r="J650" t="s">
        <v>2744</v>
      </c>
    </row>
    <row r="651" spans="1:10">
      <c r="A651" t="s">
        <v>461</v>
      </c>
      <c r="B651" s="40">
        <v>45971</v>
      </c>
      <c r="C651" t="s">
        <v>1472</v>
      </c>
      <c r="D651" t="s">
        <v>1472</v>
      </c>
      <c r="E651" s="65">
        <v>77672520</v>
      </c>
      <c r="F651" t="s">
        <v>104</v>
      </c>
      <c r="G651">
        <v>6</v>
      </c>
      <c r="I651" s="40">
        <v>46152</v>
      </c>
      <c r="J651" t="s">
        <v>2620</v>
      </c>
    </row>
    <row r="652" spans="1:10">
      <c r="A652" t="s">
        <v>461</v>
      </c>
      <c r="B652" s="40">
        <v>45971</v>
      </c>
      <c r="C652" t="s">
        <v>1571</v>
      </c>
      <c r="D652" t="s">
        <v>1571</v>
      </c>
      <c r="E652" s="65">
        <v>62135920</v>
      </c>
      <c r="F652" t="s">
        <v>104</v>
      </c>
      <c r="G652">
        <v>6</v>
      </c>
      <c r="I652" s="40">
        <v>46152</v>
      </c>
      <c r="J652" t="s">
        <v>2667</v>
      </c>
    </row>
    <row r="653" spans="1:10">
      <c r="A653" t="s">
        <v>461</v>
      </c>
      <c r="B653" s="40">
        <v>45971</v>
      </c>
      <c r="C653" t="s">
        <v>1887</v>
      </c>
      <c r="D653" t="s">
        <v>1887</v>
      </c>
      <c r="E653" s="65">
        <v>45593240</v>
      </c>
      <c r="F653" t="s">
        <v>104</v>
      </c>
      <c r="G653">
        <v>6</v>
      </c>
      <c r="I653" s="40">
        <v>46152</v>
      </c>
    </row>
    <row r="654" spans="1:10">
      <c r="A654" t="s">
        <v>461</v>
      </c>
      <c r="B654" s="40">
        <v>45971</v>
      </c>
      <c r="C654" t="s">
        <v>1842</v>
      </c>
      <c r="D654" t="s">
        <v>1842</v>
      </c>
      <c r="E654" s="65">
        <v>16542680</v>
      </c>
      <c r="F654" t="s">
        <v>104</v>
      </c>
      <c r="G654">
        <v>6</v>
      </c>
      <c r="I654" s="40">
        <v>46152</v>
      </c>
      <c r="J654" t="s">
        <v>1887</v>
      </c>
    </row>
    <row r="655" spans="1:10">
      <c r="A655" t="s">
        <v>461</v>
      </c>
      <c r="B655" s="40">
        <v>45971</v>
      </c>
      <c r="C655" t="s">
        <v>2748</v>
      </c>
      <c r="D655" t="s">
        <v>2748</v>
      </c>
      <c r="E655" s="65">
        <v>77672520</v>
      </c>
      <c r="F655" t="s">
        <v>104</v>
      </c>
      <c r="G655">
        <v>6</v>
      </c>
      <c r="I655" s="40">
        <v>46152</v>
      </c>
      <c r="J655" t="s">
        <v>2749</v>
      </c>
    </row>
    <row r="656" spans="1:10">
      <c r="A656" t="s">
        <v>461</v>
      </c>
      <c r="B656" s="40">
        <v>45971</v>
      </c>
      <c r="C656" t="s">
        <v>1473</v>
      </c>
      <c r="D656" t="s">
        <v>1473</v>
      </c>
      <c r="E656" s="65">
        <v>77672520</v>
      </c>
      <c r="F656" t="s">
        <v>104</v>
      </c>
      <c r="G656">
        <v>6</v>
      </c>
      <c r="I656" s="40">
        <v>46152</v>
      </c>
      <c r="J656" t="s">
        <v>2713</v>
      </c>
    </row>
    <row r="657" spans="1:10">
      <c r="A657" t="s">
        <v>461</v>
      </c>
      <c r="B657" s="40">
        <v>45971</v>
      </c>
      <c r="C657" t="s">
        <v>2450</v>
      </c>
      <c r="D657" t="s">
        <v>2450</v>
      </c>
      <c r="E657" s="65">
        <v>7765680</v>
      </c>
      <c r="F657" t="s">
        <v>104</v>
      </c>
      <c r="G657">
        <v>6</v>
      </c>
      <c r="I657" s="40">
        <v>46152</v>
      </c>
      <c r="J657" t="s">
        <v>1840</v>
      </c>
    </row>
    <row r="658" spans="1:10">
      <c r="A658" t="s">
        <v>461</v>
      </c>
      <c r="B658" s="40">
        <v>45971</v>
      </c>
      <c r="C658" t="s">
        <v>2750</v>
      </c>
      <c r="D658" t="s">
        <v>2750</v>
      </c>
      <c r="E658" s="65">
        <v>34950800</v>
      </c>
      <c r="F658" t="s">
        <v>104</v>
      </c>
      <c r="G658">
        <v>6</v>
      </c>
      <c r="I658" s="40">
        <v>46152</v>
      </c>
      <c r="J658" t="s">
        <v>2751</v>
      </c>
    </row>
    <row r="659" spans="1:10">
      <c r="A659" t="s">
        <v>461</v>
      </c>
      <c r="B659" s="40">
        <v>45971</v>
      </c>
      <c r="C659" t="s">
        <v>2752</v>
      </c>
      <c r="D659" t="s">
        <v>2752</v>
      </c>
      <c r="E659" s="65">
        <v>38833640</v>
      </c>
      <c r="F659" t="s">
        <v>104</v>
      </c>
      <c r="G659">
        <v>6</v>
      </c>
      <c r="I659" s="40">
        <v>46152</v>
      </c>
      <c r="J659" t="s">
        <v>2753</v>
      </c>
    </row>
    <row r="660" spans="1:10">
      <c r="A660" t="s">
        <v>461</v>
      </c>
      <c r="B660" s="40">
        <v>45971</v>
      </c>
      <c r="C660" t="s">
        <v>1474</v>
      </c>
      <c r="D660" t="s">
        <v>1474</v>
      </c>
      <c r="E660" s="65">
        <v>77672520</v>
      </c>
      <c r="F660" t="s">
        <v>104</v>
      </c>
      <c r="G660">
        <v>6</v>
      </c>
      <c r="I660" s="40">
        <v>46152</v>
      </c>
      <c r="J660" t="s">
        <v>2754</v>
      </c>
    </row>
    <row r="661" spans="1:10">
      <c r="A661" t="s">
        <v>248</v>
      </c>
      <c r="B661" s="40">
        <v>45967</v>
      </c>
      <c r="C661" t="s">
        <v>2755</v>
      </c>
      <c r="D661" t="s">
        <v>2755</v>
      </c>
      <c r="E661" s="65">
        <v>38841000</v>
      </c>
      <c r="F661" t="s">
        <v>104</v>
      </c>
      <c r="G661">
        <v>6</v>
      </c>
      <c r="I661" s="40">
        <v>46148</v>
      </c>
    </row>
    <row r="662" spans="1:10">
      <c r="A662" t="s">
        <v>248</v>
      </c>
      <c r="B662" s="40">
        <v>45967</v>
      </c>
      <c r="C662" t="s">
        <v>1301</v>
      </c>
      <c r="D662" t="s">
        <v>1301</v>
      </c>
      <c r="E662" s="65">
        <v>77682000</v>
      </c>
      <c r="F662" t="s">
        <v>104</v>
      </c>
      <c r="G662">
        <v>6</v>
      </c>
      <c r="I662" s="40">
        <v>46148</v>
      </c>
    </row>
    <row r="663" spans="1:10">
      <c r="A663" t="s">
        <v>248</v>
      </c>
      <c r="B663" s="40">
        <v>45967</v>
      </c>
      <c r="C663" t="s">
        <v>1302</v>
      </c>
      <c r="D663" t="s">
        <v>1302</v>
      </c>
      <c r="E663" s="65">
        <v>77682000</v>
      </c>
      <c r="F663" t="s">
        <v>104</v>
      </c>
      <c r="G663">
        <v>6</v>
      </c>
      <c r="I663" s="40">
        <v>46148</v>
      </c>
    </row>
    <row r="664" spans="1:10">
      <c r="A664" t="s">
        <v>248</v>
      </c>
      <c r="B664" s="40">
        <v>45967</v>
      </c>
      <c r="C664" t="s">
        <v>1360</v>
      </c>
      <c r="D664" t="s">
        <v>1360</v>
      </c>
      <c r="E664" s="65">
        <v>77682000</v>
      </c>
      <c r="F664" t="s">
        <v>104</v>
      </c>
      <c r="G664">
        <v>6</v>
      </c>
      <c r="I664" s="40">
        <v>46148</v>
      </c>
    </row>
    <row r="665" spans="1:10">
      <c r="A665" t="s">
        <v>248</v>
      </c>
      <c r="B665" s="40">
        <v>45967</v>
      </c>
      <c r="C665" t="s">
        <v>1300</v>
      </c>
      <c r="D665" t="s">
        <v>1300</v>
      </c>
      <c r="E665" s="65">
        <v>77682000</v>
      </c>
      <c r="F665" t="s">
        <v>104</v>
      </c>
      <c r="G665">
        <v>6</v>
      </c>
      <c r="I665" s="40">
        <v>46148</v>
      </c>
    </row>
    <row r="666" spans="1:10">
      <c r="A666" t="s">
        <v>248</v>
      </c>
      <c r="B666" s="40">
        <v>45967</v>
      </c>
      <c r="C666" t="s">
        <v>1298</v>
      </c>
      <c r="D666" t="s">
        <v>1298</v>
      </c>
      <c r="E666" s="65">
        <v>327041000</v>
      </c>
      <c r="F666" t="s">
        <v>104</v>
      </c>
      <c r="G666">
        <v>6</v>
      </c>
      <c r="I666" s="40">
        <v>46148</v>
      </c>
    </row>
    <row r="667" spans="1:10">
      <c r="A667" t="s">
        <v>248</v>
      </c>
      <c r="B667" s="40">
        <v>45967</v>
      </c>
      <c r="C667" t="s">
        <v>1299</v>
      </c>
      <c r="D667" t="s">
        <v>1299</v>
      </c>
      <c r="E667" s="65">
        <v>155364000</v>
      </c>
      <c r="F667" t="s">
        <v>104</v>
      </c>
      <c r="G667">
        <v>6</v>
      </c>
      <c r="I667" s="40">
        <v>46148</v>
      </c>
    </row>
    <row r="668" spans="1:10">
      <c r="A668" t="s">
        <v>775</v>
      </c>
      <c r="B668" s="40">
        <v>45967</v>
      </c>
      <c r="C668" t="s">
        <v>1325</v>
      </c>
      <c r="D668" t="s">
        <v>1325</v>
      </c>
      <c r="E668" s="65">
        <v>155374200</v>
      </c>
      <c r="F668" t="s">
        <v>104</v>
      </c>
      <c r="G668">
        <v>6</v>
      </c>
      <c r="I668" s="40">
        <v>46148</v>
      </c>
      <c r="J668" t="s">
        <v>2621</v>
      </c>
    </row>
    <row r="669" spans="1:10">
      <c r="A669" t="s">
        <v>775</v>
      </c>
      <c r="B669" s="40">
        <v>45967</v>
      </c>
      <c r="C669" t="s">
        <v>2066</v>
      </c>
      <c r="D669" t="s">
        <v>2066</v>
      </c>
      <c r="E669" s="65">
        <v>388449400</v>
      </c>
      <c r="F669" t="s">
        <v>104</v>
      </c>
      <c r="G669">
        <v>6</v>
      </c>
      <c r="I669" s="40">
        <v>46148</v>
      </c>
      <c r="J669" t="s">
        <v>2756</v>
      </c>
    </row>
    <row r="670" spans="1:10">
      <c r="A670" t="s">
        <v>775</v>
      </c>
      <c r="B670" s="40">
        <v>45967</v>
      </c>
      <c r="C670" t="s">
        <v>2068</v>
      </c>
      <c r="D670" t="s">
        <v>2068</v>
      </c>
      <c r="E670" s="65">
        <v>116537600</v>
      </c>
      <c r="F670" t="s">
        <v>104</v>
      </c>
      <c r="G670">
        <v>6</v>
      </c>
      <c r="I670" s="40">
        <v>46148</v>
      </c>
      <c r="J670" t="s">
        <v>2554</v>
      </c>
    </row>
    <row r="671" spans="1:10">
      <c r="A671" t="s">
        <v>775</v>
      </c>
      <c r="B671" s="40">
        <v>45967</v>
      </c>
      <c r="C671" t="s">
        <v>2069</v>
      </c>
      <c r="D671" t="s">
        <v>2069</v>
      </c>
      <c r="E671" s="65">
        <v>77687100</v>
      </c>
      <c r="F671" t="s">
        <v>104</v>
      </c>
      <c r="G671">
        <v>6</v>
      </c>
      <c r="I671" s="40">
        <v>46148</v>
      </c>
      <c r="J671" t="s">
        <v>2757</v>
      </c>
    </row>
    <row r="672" spans="1:10">
      <c r="A672" t="s">
        <v>775</v>
      </c>
      <c r="B672" s="40">
        <v>45967</v>
      </c>
      <c r="C672" t="s">
        <v>2067</v>
      </c>
      <c r="D672" t="s">
        <v>2067</v>
      </c>
      <c r="E672" s="65">
        <v>194224700</v>
      </c>
      <c r="F672" t="s">
        <v>104</v>
      </c>
      <c r="G672">
        <v>6</v>
      </c>
      <c r="I672" s="40">
        <v>46148</v>
      </c>
      <c r="J672" t="s">
        <v>2758</v>
      </c>
    </row>
    <row r="673" spans="1:10">
      <c r="A673" t="s">
        <v>259</v>
      </c>
      <c r="B673" s="40">
        <v>45966</v>
      </c>
      <c r="C673" t="s">
        <v>1300</v>
      </c>
      <c r="D673" t="s">
        <v>1300</v>
      </c>
      <c r="E673" s="65">
        <v>155380400</v>
      </c>
      <c r="F673" t="s">
        <v>104</v>
      </c>
      <c r="G673">
        <v>6</v>
      </c>
      <c r="I673" s="40">
        <v>46147</v>
      </c>
      <c r="J673" t="s">
        <v>2759</v>
      </c>
    </row>
    <row r="674" spans="1:10">
      <c r="A674" t="s">
        <v>259</v>
      </c>
      <c r="B674" s="40">
        <v>45966</v>
      </c>
      <c r="C674" t="s">
        <v>1362</v>
      </c>
      <c r="D674" t="s">
        <v>1362</v>
      </c>
      <c r="E674" s="65">
        <v>233070600</v>
      </c>
      <c r="F674" t="s">
        <v>104</v>
      </c>
      <c r="G674">
        <v>6</v>
      </c>
      <c r="I674" s="40">
        <v>46147</v>
      </c>
      <c r="J674" t="s">
        <v>2760</v>
      </c>
    </row>
    <row r="675" spans="1:10">
      <c r="A675" t="s">
        <v>259</v>
      </c>
      <c r="B675" s="40">
        <v>45966</v>
      </c>
      <c r="C675" t="s">
        <v>2646</v>
      </c>
      <c r="D675" t="s">
        <v>2646</v>
      </c>
      <c r="E675" s="65">
        <v>155380400</v>
      </c>
      <c r="F675" t="s">
        <v>104</v>
      </c>
      <c r="G675">
        <v>6</v>
      </c>
      <c r="I675" s="40">
        <v>46147</v>
      </c>
      <c r="J675" t="s">
        <v>2761</v>
      </c>
    </row>
    <row r="676" spans="1:10">
      <c r="A676" t="s">
        <v>259</v>
      </c>
      <c r="B676" s="40">
        <v>45966</v>
      </c>
      <c r="C676" t="s">
        <v>2762</v>
      </c>
      <c r="D676" t="s">
        <v>2762</v>
      </c>
      <c r="E676" s="65">
        <v>201997150</v>
      </c>
      <c r="F676" t="s">
        <v>104</v>
      </c>
      <c r="G676">
        <v>6</v>
      </c>
      <c r="I676" s="40">
        <v>46147</v>
      </c>
      <c r="J676" t="s">
        <v>2763</v>
      </c>
    </row>
    <row r="677" spans="1:10">
      <c r="A677" t="s">
        <v>259</v>
      </c>
      <c r="B677" s="40">
        <v>45966</v>
      </c>
      <c r="C677" t="s">
        <v>2066</v>
      </c>
      <c r="D677" t="s">
        <v>2066</v>
      </c>
      <c r="E677" s="65">
        <v>155380400</v>
      </c>
      <c r="F677" t="s">
        <v>104</v>
      </c>
      <c r="G677">
        <v>6</v>
      </c>
      <c r="I677" s="40">
        <v>46147</v>
      </c>
      <c r="J677" t="s">
        <v>2764</v>
      </c>
    </row>
    <row r="678" spans="1:10">
      <c r="A678" t="s">
        <v>259</v>
      </c>
      <c r="B678" s="40">
        <v>45966</v>
      </c>
      <c r="C678" t="s">
        <v>2765</v>
      </c>
      <c r="D678" t="s">
        <v>2765</v>
      </c>
      <c r="E678" s="65">
        <v>155380400</v>
      </c>
      <c r="F678" t="s">
        <v>104</v>
      </c>
      <c r="G678">
        <v>6</v>
      </c>
      <c r="I678" s="40">
        <v>46147</v>
      </c>
      <c r="J678" t="s">
        <v>2766</v>
      </c>
    </row>
    <row r="679" spans="1:10">
      <c r="A679" t="s">
        <v>259</v>
      </c>
      <c r="B679" s="40">
        <v>45966</v>
      </c>
      <c r="C679" t="s">
        <v>2767</v>
      </c>
      <c r="D679" t="s">
        <v>2767</v>
      </c>
      <c r="E679" s="65">
        <v>155380400</v>
      </c>
      <c r="F679" t="s">
        <v>104</v>
      </c>
      <c r="G679">
        <v>6</v>
      </c>
      <c r="I679" s="40">
        <v>46147</v>
      </c>
    </row>
    <row r="680" spans="1:10">
      <c r="A680" t="s">
        <v>259</v>
      </c>
      <c r="B680" s="40">
        <v>45966</v>
      </c>
      <c r="C680" t="s">
        <v>1288</v>
      </c>
      <c r="D680" t="s">
        <v>1288</v>
      </c>
      <c r="E680" s="65">
        <v>233070600</v>
      </c>
      <c r="F680" t="s">
        <v>104</v>
      </c>
      <c r="G680">
        <v>6</v>
      </c>
      <c r="I680" s="40">
        <v>46147</v>
      </c>
      <c r="J680" t="s">
        <v>2768</v>
      </c>
    </row>
    <row r="681" spans="1:10">
      <c r="A681" t="s">
        <v>259</v>
      </c>
      <c r="B681" s="40">
        <v>45966</v>
      </c>
      <c r="C681" t="s">
        <v>2769</v>
      </c>
      <c r="D681" t="s">
        <v>2769</v>
      </c>
      <c r="E681" s="65">
        <v>155380400</v>
      </c>
      <c r="F681" t="s">
        <v>104</v>
      </c>
      <c r="G681">
        <v>6</v>
      </c>
      <c r="I681" s="40">
        <v>46147</v>
      </c>
      <c r="J681" t="s">
        <v>2770</v>
      </c>
    </row>
    <row r="682" spans="1:10">
      <c r="A682" t="s">
        <v>259</v>
      </c>
      <c r="B682" s="40">
        <v>45966</v>
      </c>
      <c r="C682" t="s">
        <v>1302</v>
      </c>
      <c r="D682" t="s">
        <v>1302</v>
      </c>
      <c r="E682" s="65">
        <v>155380400</v>
      </c>
      <c r="F682" t="s">
        <v>104</v>
      </c>
      <c r="G682">
        <v>6</v>
      </c>
      <c r="I682" s="40">
        <v>46147</v>
      </c>
      <c r="J682" t="s">
        <v>2565</v>
      </c>
    </row>
    <row r="683" spans="1:10">
      <c r="A683" t="s">
        <v>259</v>
      </c>
      <c r="B683" s="40">
        <v>45966</v>
      </c>
      <c r="C683" t="s">
        <v>1163</v>
      </c>
      <c r="D683" t="s">
        <v>1163</v>
      </c>
      <c r="E683" s="65">
        <v>155380400</v>
      </c>
      <c r="F683" t="s">
        <v>104</v>
      </c>
      <c r="G683">
        <v>6</v>
      </c>
      <c r="I683" s="40">
        <v>46147</v>
      </c>
      <c r="J683" t="s">
        <v>2771</v>
      </c>
    </row>
    <row r="684" spans="1:10">
      <c r="A684" t="s">
        <v>259</v>
      </c>
      <c r="B684" s="40">
        <v>45966</v>
      </c>
      <c r="C684" t="s">
        <v>1178</v>
      </c>
      <c r="D684" t="s">
        <v>1178</v>
      </c>
      <c r="E684" s="65">
        <v>155380400</v>
      </c>
      <c r="F684" t="s">
        <v>104</v>
      </c>
      <c r="G684">
        <v>6</v>
      </c>
      <c r="I684" s="40">
        <v>46147</v>
      </c>
      <c r="J684" t="s">
        <v>2388</v>
      </c>
    </row>
    <row r="685" spans="1:10">
      <c r="A685" t="s">
        <v>259</v>
      </c>
      <c r="B685" s="40">
        <v>45966</v>
      </c>
      <c r="C685" t="s">
        <v>2056</v>
      </c>
      <c r="D685" t="s">
        <v>2056</v>
      </c>
      <c r="E685" s="65">
        <v>48944300</v>
      </c>
      <c r="F685" t="s">
        <v>104</v>
      </c>
      <c r="G685">
        <v>6</v>
      </c>
      <c r="I685" s="40">
        <v>46147</v>
      </c>
      <c r="J685" t="s">
        <v>2449</v>
      </c>
    </row>
    <row r="686" spans="1:10">
      <c r="A686" t="s">
        <v>259</v>
      </c>
      <c r="B686" s="40">
        <v>45966</v>
      </c>
      <c r="C686" t="s">
        <v>2772</v>
      </c>
      <c r="D686" t="s">
        <v>2772</v>
      </c>
      <c r="E686" s="65">
        <v>186453850</v>
      </c>
      <c r="F686" t="s">
        <v>104</v>
      </c>
      <c r="G686">
        <v>6</v>
      </c>
      <c r="I686" s="40">
        <v>46147</v>
      </c>
      <c r="J686" t="s">
        <v>2586</v>
      </c>
    </row>
    <row r="687" spans="1:10">
      <c r="A687" t="s">
        <v>259</v>
      </c>
      <c r="B687" s="40">
        <v>45966</v>
      </c>
      <c r="C687" t="s">
        <v>2145</v>
      </c>
      <c r="D687" t="s">
        <v>2145</v>
      </c>
      <c r="E687" s="65">
        <v>233070600</v>
      </c>
      <c r="F687" t="s">
        <v>104</v>
      </c>
      <c r="G687">
        <v>6</v>
      </c>
      <c r="I687" s="40">
        <v>46147</v>
      </c>
      <c r="J687" t="s">
        <v>2773</v>
      </c>
    </row>
    <row r="688" spans="1:10">
      <c r="A688" t="s">
        <v>259</v>
      </c>
      <c r="B688" s="40">
        <v>45966</v>
      </c>
      <c r="C688" t="s">
        <v>1137</v>
      </c>
      <c r="D688" t="s">
        <v>1137</v>
      </c>
      <c r="E688" s="65">
        <v>233070600</v>
      </c>
      <c r="F688" t="s">
        <v>104</v>
      </c>
      <c r="G688">
        <v>6</v>
      </c>
      <c r="I688" s="40">
        <v>46147</v>
      </c>
      <c r="J688" t="s">
        <v>2774</v>
      </c>
    </row>
    <row r="689" spans="1:10">
      <c r="A689" t="s">
        <v>259</v>
      </c>
      <c r="B689" s="40">
        <v>45966</v>
      </c>
      <c r="C689" t="s">
        <v>2775</v>
      </c>
      <c r="D689" t="s">
        <v>2775</v>
      </c>
      <c r="E689" s="65">
        <v>233070600</v>
      </c>
      <c r="F689" t="s">
        <v>104</v>
      </c>
      <c r="G689">
        <v>6</v>
      </c>
      <c r="I689" s="40">
        <v>46147</v>
      </c>
      <c r="J689" t="s">
        <v>2776</v>
      </c>
    </row>
    <row r="690" spans="1:10">
      <c r="A690" t="s">
        <v>259</v>
      </c>
      <c r="B690" s="40">
        <v>45966</v>
      </c>
      <c r="C690" t="s">
        <v>1375</v>
      </c>
      <c r="D690" t="s">
        <v>1375</v>
      </c>
      <c r="E690" s="65">
        <v>233070600</v>
      </c>
      <c r="F690" t="s">
        <v>104</v>
      </c>
      <c r="G690">
        <v>6</v>
      </c>
      <c r="I690" s="40">
        <v>46147</v>
      </c>
      <c r="J690" t="s">
        <v>2449</v>
      </c>
    </row>
    <row r="691" spans="1:10">
      <c r="A691" t="s">
        <v>259</v>
      </c>
      <c r="B691" s="40">
        <v>45966</v>
      </c>
      <c r="C691" t="s">
        <v>1287</v>
      </c>
      <c r="D691" t="s">
        <v>1287</v>
      </c>
      <c r="E691" s="65">
        <v>388464150</v>
      </c>
      <c r="F691" t="s">
        <v>104</v>
      </c>
      <c r="G691">
        <v>6</v>
      </c>
      <c r="I691" s="40">
        <v>46147</v>
      </c>
      <c r="J691" t="s">
        <v>2777</v>
      </c>
    </row>
    <row r="692" spans="1:10">
      <c r="A692" t="s">
        <v>259</v>
      </c>
      <c r="B692" s="40">
        <v>45966</v>
      </c>
      <c r="C692" t="s">
        <v>1286</v>
      </c>
      <c r="D692" t="s">
        <v>1286</v>
      </c>
      <c r="E692" s="65">
        <v>2176745800</v>
      </c>
      <c r="F692" t="s">
        <v>104</v>
      </c>
      <c r="G692">
        <v>6</v>
      </c>
      <c r="I692" s="40">
        <v>46147</v>
      </c>
      <c r="J692" t="s">
        <v>2778</v>
      </c>
    </row>
    <row r="693" spans="1:10">
      <c r="A693" t="s">
        <v>259</v>
      </c>
      <c r="B693" s="40">
        <v>45966</v>
      </c>
      <c r="C693" t="s">
        <v>1289</v>
      </c>
      <c r="D693" t="s">
        <v>1289</v>
      </c>
      <c r="E693" s="65">
        <v>233070600</v>
      </c>
      <c r="F693" t="s">
        <v>104</v>
      </c>
      <c r="G693">
        <v>6</v>
      </c>
      <c r="I693" s="40">
        <v>46147</v>
      </c>
      <c r="J693" t="s">
        <v>2779</v>
      </c>
    </row>
    <row r="694" spans="1:10">
      <c r="A694" t="s">
        <v>259</v>
      </c>
      <c r="B694" s="40">
        <v>45966</v>
      </c>
      <c r="C694" t="s">
        <v>2780</v>
      </c>
      <c r="D694" t="s">
        <v>2780</v>
      </c>
      <c r="E694" s="65">
        <v>155380400</v>
      </c>
      <c r="F694" t="s">
        <v>104</v>
      </c>
      <c r="G694">
        <v>6</v>
      </c>
      <c r="I694" s="40">
        <v>46147</v>
      </c>
      <c r="J694" t="s">
        <v>2781</v>
      </c>
    </row>
    <row r="695" spans="1:10">
      <c r="A695" t="s">
        <v>259</v>
      </c>
      <c r="B695" s="40">
        <v>45966</v>
      </c>
      <c r="C695" t="s">
        <v>1766</v>
      </c>
      <c r="D695" t="s">
        <v>1766</v>
      </c>
      <c r="E695" s="65">
        <v>233070600</v>
      </c>
      <c r="F695" t="s">
        <v>104</v>
      </c>
      <c r="G695">
        <v>6</v>
      </c>
      <c r="I695" s="40">
        <v>46147</v>
      </c>
    </row>
    <row r="696" spans="1:10">
      <c r="A696" t="s">
        <v>556</v>
      </c>
      <c r="B696" s="40">
        <v>45964</v>
      </c>
      <c r="C696" t="s">
        <v>1274</v>
      </c>
      <c r="D696" t="s">
        <v>1274</v>
      </c>
      <c r="E696" s="65">
        <v>54448560</v>
      </c>
      <c r="F696" t="s">
        <v>104</v>
      </c>
      <c r="G696">
        <v>9</v>
      </c>
      <c r="I696" s="40">
        <v>46234</v>
      </c>
    </row>
    <row r="697" spans="1:10">
      <c r="A697" t="s">
        <v>556</v>
      </c>
      <c r="B697" s="40">
        <v>45964</v>
      </c>
      <c r="C697" t="s">
        <v>2197</v>
      </c>
      <c r="D697" t="s">
        <v>2197</v>
      </c>
      <c r="E697" s="65">
        <v>155568120</v>
      </c>
      <c r="F697" t="s">
        <v>104</v>
      </c>
      <c r="G697">
        <v>9</v>
      </c>
      <c r="I697" s="40">
        <v>46234</v>
      </c>
    </row>
    <row r="698" spans="1:10">
      <c r="A698" t="s">
        <v>556</v>
      </c>
      <c r="B698" s="40">
        <v>45964</v>
      </c>
      <c r="C698" t="s">
        <v>2199</v>
      </c>
      <c r="D698" t="s">
        <v>2199</v>
      </c>
      <c r="E698" s="65">
        <v>77781240</v>
      </c>
      <c r="F698" t="s">
        <v>104</v>
      </c>
      <c r="G698">
        <v>9</v>
      </c>
      <c r="I698" s="40">
        <v>46234</v>
      </c>
    </row>
    <row r="699" spans="1:10">
      <c r="A699" t="s">
        <v>556</v>
      </c>
      <c r="B699" s="40">
        <v>45964</v>
      </c>
      <c r="C699" t="s">
        <v>2198</v>
      </c>
      <c r="D699" t="s">
        <v>2198</v>
      </c>
      <c r="E699" s="65">
        <v>77781240</v>
      </c>
      <c r="F699" t="s">
        <v>104</v>
      </c>
      <c r="G699">
        <v>9</v>
      </c>
      <c r="I699" s="40">
        <v>46234</v>
      </c>
      <c r="J699" t="s">
        <v>2782</v>
      </c>
    </row>
    <row r="700" spans="1:10">
      <c r="A700" t="s">
        <v>556</v>
      </c>
      <c r="B700" s="40">
        <v>45964</v>
      </c>
      <c r="C700" t="s">
        <v>2200</v>
      </c>
      <c r="D700" t="s">
        <v>2200</v>
      </c>
      <c r="E700" s="65">
        <v>38887800</v>
      </c>
      <c r="F700" t="s">
        <v>104</v>
      </c>
      <c r="G700">
        <v>9</v>
      </c>
      <c r="I700" s="40">
        <v>46234</v>
      </c>
    </row>
    <row r="701" spans="1:10">
      <c r="A701" t="s">
        <v>556</v>
      </c>
      <c r="B701" s="40">
        <v>45964</v>
      </c>
      <c r="C701" t="s">
        <v>2783</v>
      </c>
      <c r="D701" t="s">
        <v>2783</v>
      </c>
      <c r="E701" s="65">
        <v>15555120</v>
      </c>
      <c r="F701" t="s">
        <v>104</v>
      </c>
      <c r="G701">
        <v>9</v>
      </c>
      <c r="I701" s="40">
        <v>46234</v>
      </c>
    </row>
    <row r="702" spans="1:10">
      <c r="A702" t="s">
        <v>556</v>
      </c>
      <c r="B702" s="40">
        <v>45964</v>
      </c>
      <c r="C702" t="s">
        <v>2784</v>
      </c>
      <c r="D702" t="s">
        <v>2784</v>
      </c>
      <c r="E702" s="65">
        <v>38887800</v>
      </c>
      <c r="F702" t="s">
        <v>104</v>
      </c>
      <c r="G702">
        <v>9</v>
      </c>
      <c r="I702" s="40">
        <v>46234</v>
      </c>
      <c r="J702" t="s">
        <v>2785</v>
      </c>
    </row>
    <row r="703" spans="1:10">
      <c r="A703" t="s">
        <v>240</v>
      </c>
      <c r="B703" s="40">
        <v>45958</v>
      </c>
      <c r="C703" t="s">
        <v>2786</v>
      </c>
      <c r="D703" t="s">
        <v>2786</v>
      </c>
      <c r="E703" s="65">
        <v>155643360</v>
      </c>
      <c r="F703" t="s">
        <v>104</v>
      </c>
      <c r="G703">
        <v>6</v>
      </c>
      <c r="I703" s="40">
        <v>46140</v>
      </c>
    </row>
    <row r="704" spans="1:10">
      <c r="A704" t="s">
        <v>240</v>
      </c>
      <c r="B704" s="40">
        <v>45958</v>
      </c>
      <c r="C704" t="s">
        <v>2787</v>
      </c>
      <c r="D704" t="s">
        <v>2787</v>
      </c>
      <c r="E704" s="65">
        <v>186771180</v>
      </c>
      <c r="F704" t="s">
        <v>104</v>
      </c>
      <c r="G704">
        <v>6</v>
      </c>
      <c r="I704" s="40">
        <v>46140</v>
      </c>
    </row>
    <row r="705" spans="1:9">
      <c r="A705" t="s">
        <v>240</v>
      </c>
      <c r="B705" s="40">
        <v>45958</v>
      </c>
      <c r="C705" t="s">
        <v>2497</v>
      </c>
      <c r="D705" t="s">
        <v>2497</v>
      </c>
      <c r="E705" s="65">
        <v>155643360</v>
      </c>
      <c r="F705" t="s">
        <v>104</v>
      </c>
      <c r="G705">
        <v>6</v>
      </c>
      <c r="I705" s="40">
        <v>46140</v>
      </c>
    </row>
    <row r="706" spans="1:9">
      <c r="A706" t="s">
        <v>240</v>
      </c>
      <c r="B706" s="40">
        <v>45958</v>
      </c>
      <c r="C706" t="s">
        <v>2788</v>
      </c>
      <c r="D706" t="s">
        <v>2788</v>
      </c>
      <c r="E706" s="65">
        <v>155643360</v>
      </c>
      <c r="F706" t="s">
        <v>104</v>
      </c>
      <c r="G706">
        <v>6</v>
      </c>
      <c r="I706" s="40">
        <v>46140</v>
      </c>
    </row>
    <row r="707" spans="1:9">
      <c r="A707" t="s">
        <v>240</v>
      </c>
      <c r="B707" s="40">
        <v>45958</v>
      </c>
      <c r="C707" t="s">
        <v>2789</v>
      </c>
      <c r="D707" t="s">
        <v>2789</v>
      </c>
      <c r="E707" s="65">
        <v>34237620</v>
      </c>
      <c r="F707" t="s">
        <v>104</v>
      </c>
      <c r="G707">
        <v>6</v>
      </c>
      <c r="I707" s="40">
        <v>46140</v>
      </c>
    </row>
    <row r="708" spans="1:9">
      <c r="A708" t="s">
        <v>240</v>
      </c>
      <c r="B708" s="40">
        <v>45958</v>
      </c>
      <c r="C708" t="s">
        <v>2790</v>
      </c>
      <c r="D708" t="s">
        <v>2790</v>
      </c>
      <c r="E708" s="65">
        <v>155643360</v>
      </c>
      <c r="F708" t="s">
        <v>104</v>
      </c>
      <c r="G708">
        <v>6</v>
      </c>
      <c r="I708" s="40">
        <v>46140</v>
      </c>
    </row>
    <row r="709" spans="1:9">
      <c r="A709" t="s">
        <v>240</v>
      </c>
      <c r="B709" s="40">
        <v>45958</v>
      </c>
      <c r="C709" t="s">
        <v>2791</v>
      </c>
      <c r="D709" t="s">
        <v>2791</v>
      </c>
      <c r="E709" s="65">
        <v>233465040</v>
      </c>
      <c r="F709" t="s">
        <v>104</v>
      </c>
      <c r="G709">
        <v>6</v>
      </c>
      <c r="I709" s="40">
        <v>46140</v>
      </c>
    </row>
    <row r="710" spans="1:9">
      <c r="A710" t="s">
        <v>240</v>
      </c>
      <c r="B710" s="40">
        <v>45958</v>
      </c>
      <c r="C710" t="s">
        <v>1113</v>
      </c>
      <c r="D710" t="s">
        <v>1113</v>
      </c>
      <c r="E710" s="65">
        <v>389108400</v>
      </c>
      <c r="F710" t="s">
        <v>104</v>
      </c>
      <c r="G710">
        <v>6</v>
      </c>
      <c r="I710" s="40">
        <v>46140</v>
      </c>
    </row>
    <row r="711" spans="1:9">
      <c r="A711" t="s">
        <v>240</v>
      </c>
      <c r="B711" s="40">
        <v>45958</v>
      </c>
      <c r="C711" t="s">
        <v>2577</v>
      </c>
      <c r="D711" t="s">
        <v>2577</v>
      </c>
      <c r="E711" s="65">
        <v>233465040</v>
      </c>
      <c r="F711" t="s">
        <v>104</v>
      </c>
      <c r="G711">
        <v>6</v>
      </c>
      <c r="I711" s="40">
        <v>46140</v>
      </c>
    </row>
    <row r="712" spans="1:9">
      <c r="A712" t="s">
        <v>240</v>
      </c>
      <c r="B712" s="40">
        <v>45958</v>
      </c>
      <c r="C712" t="s">
        <v>1093</v>
      </c>
      <c r="D712" t="s">
        <v>1093</v>
      </c>
      <c r="E712" s="65">
        <v>233465040</v>
      </c>
      <c r="F712" t="s">
        <v>104</v>
      </c>
      <c r="G712">
        <v>6</v>
      </c>
      <c r="I712" s="40">
        <v>46140</v>
      </c>
    </row>
    <row r="713" spans="1:9">
      <c r="A713" t="s">
        <v>240</v>
      </c>
      <c r="B713" s="40">
        <v>45958</v>
      </c>
      <c r="C713" t="s">
        <v>1335</v>
      </c>
      <c r="D713" t="s">
        <v>1335</v>
      </c>
      <c r="E713" s="65">
        <v>389108400</v>
      </c>
      <c r="F713" t="s">
        <v>104</v>
      </c>
      <c r="G713">
        <v>6</v>
      </c>
      <c r="I713" s="40">
        <v>46140</v>
      </c>
    </row>
    <row r="714" spans="1:9">
      <c r="A714" t="s">
        <v>240</v>
      </c>
      <c r="B714" s="40">
        <v>45958</v>
      </c>
      <c r="C714" t="s">
        <v>2066</v>
      </c>
      <c r="D714" t="s">
        <v>2066</v>
      </c>
      <c r="E714" s="65">
        <v>233465040</v>
      </c>
      <c r="F714" t="s">
        <v>104</v>
      </c>
      <c r="G714">
        <v>6</v>
      </c>
      <c r="I714" s="40">
        <v>46140</v>
      </c>
    </row>
    <row r="715" spans="1:9">
      <c r="A715" t="s">
        <v>240</v>
      </c>
      <c r="B715" s="40">
        <v>45958</v>
      </c>
      <c r="C715" t="s">
        <v>1394</v>
      </c>
      <c r="D715" t="s">
        <v>1394</v>
      </c>
      <c r="E715" s="65">
        <v>311286720</v>
      </c>
      <c r="F715" t="s">
        <v>104</v>
      </c>
      <c r="G715">
        <v>6</v>
      </c>
      <c r="I715" s="40">
        <v>46140</v>
      </c>
    </row>
    <row r="716" spans="1:9">
      <c r="A716" t="s">
        <v>240</v>
      </c>
      <c r="B716" s="40">
        <v>45958</v>
      </c>
      <c r="C716" t="s">
        <v>1175</v>
      </c>
      <c r="D716" t="s">
        <v>1175</v>
      </c>
      <c r="E716" s="65">
        <v>46689600</v>
      </c>
      <c r="F716" t="s">
        <v>104</v>
      </c>
      <c r="G716">
        <v>6</v>
      </c>
      <c r="I716" s="40">
        <v>46140</v>
      </c>
    </row>
    <row r="717" spans="1:9">
      <c r="A717" t="s">
        <v>240</v>
      </c>
      <c r="B717" s="40">
        <v>45958</v>
      </c>
      <c r="C717" t="s">
        <v>1323</v>
      </c>
      <c r="D717" t="s">
        <v>1323</v>
      </c>
      <c r="E717" s="65">
        <v>233465040</v>
      </c>
      <c r="F717" t="s">
        <v>104</v>
      </c>
      <c r="G717">
        <v>6</v>
      </c>
      <c r="I717" s="40">
        <v>46140</v>
      </c>
    </row>
    <row r="718" spans="1:9">
      <c r="A718" t="s">
        <v>240</v>
      </c>
      <c r="B718" s="40">
        <v>45958</v>
      </c>
      <c r="C718" t="s">
        <v>1210</v>
      </c>
      <c r="D718" t="s">
        <v>1210</v>
      </c>
      <c r="E718" s="65">
        <v>199223160</v>
      </c>
      <c r="F718" t="s">
        <v>104</v>
      </c>
      <c r="G718">
        <v>6</v>
      </c>
      <c r="I718" s="40">
        <v>46140</v>
      </c>
    </row>
    <row r="719" spans="1:9">
      <c r="A719" t="s">
        <v>240</v>
      </c>
      <c r="B719" s="40">
        <v>45958</v>
      </c>
      <c r="C719" t="s">
        <v>1333</v>
      </c>
      <c r="D719" t="s">
        <v>1333</v>
      </c>
      <c r="E719" s="65">
        <v>583662600</v>
      </c>
      <c r="F719" t="s">
        <v>104</v>
      </c>
      <c r="G719">
        <v>6</v>
      </c>
      <c r="I719" s="40">
        <v>46140</v>
      </c>
    </row>
    <row r="720" spans="1:9">
      <c r="A720" t="s">
        <v>240</v>
      </c>
      <c r="B720" s="40">
        <v>45958</v>
      </c>
      <c r="C720" t="s">
        <v>1119</v>
      </c>
      <c r="D720" t="s">
        <v>1119</v>
      </c>
      <c r="E720" s="65">
        <v>389108400</v>
      </c>
      <c r="F720" t="s">
        <v>104</v>
      </c>
      <c r="G720">
        <v>6</v>
      </c>
      <c r="I720" s="40">
        <v>46140</v>
      </c>
    </row>
    <row r="721" spans="1:10">
      <c r="A721" t="s">
        <v>240</v>
      </c>
      <c r="B721" s="40">
        <v>45958</v>
      </c>
      <c r="C721" t="s">
        <v>2792</v>
      </c>
      <c r="D721" t="s">
        <v>2792</v>
      </c>
      <c r="E721" s="65">
        <v>233465040</v>
      </c>
      <c r="F721" t="s">
        <v>104</v>
      </c>
      <c r="G721">
        <v>6</v>
      </c>
      <c r="I721" s="40">
        <v>46140</v>
      </c>
    </row>
    <row r="722" spans="1:10">
      <c r="A722" t="s">
        <v>240</v>
      </c>
      <c r="B722" s="40">
        <v>45958</v>
      </c>
      <c r="C722" t="s">
        <v>1334</v>
      </c>
      <c r="D722" t="s">
        <v>1334</v>
      </c>
      <c r="E722" s="65">
        <v>466930080</v>
      </c>
      <c r="F722" t="s">
        <v>104</v>
      </c>
      <c r="G722">
        <v>6</v>
      </c>
      <c r="I722" s="40">
        <v>46140</v>
      </c>
    </row>
    <row r="723" spans="1:10">
      <c r="A723" t="s">
        <v>240</v>
      </c>
      <c r="B723" s="40">
        <v>45958</v>
      </c>
      <c r="C723" t="s">
        <v>2584</v>
      </c>
      <c r="D723" t="s">
        <v>2584</v>
      </c>
      <c r="E723" s="65">
        <v>311286720</v>
      </c>
      <c r="F723" t="s">
        <v>104</v>
      </c>
      <c r="G723">
        <v>6</v>
      </c>
      <c r="I723" s="40">
        <v>46140</v>
      </c>
    </row>
    <row r="724" spans="1:10">
      <c r="A724" t="s">
        <v>240</v>
      </c>
      <c r="B724" s="40">
        <v>45958</v>
      </c>
      <c r="C724" t="s">
        <v>1205</v>
      </c>
      <c r="D724" t="s">
        <v>1205</v>
      </c>
      <c r="E724" s="65">
        <v>343147260</v>
      </c>
      <c r="F724" t="s">
        <v>104</v>
      </c>
      <c r="G724">
        <v>6</v>
      </c>
      <c r="I724" s="40">
        <v>46140</v>
      </c>
    </row>
    <row r="725" spans="1:10">
      <c r="A725" t="s">
        <v>240</v>
      </c>
      <c r="B725" s="40">
        <v>45958</v>
      </c>
      <c r="C725" t="s">
        <v>1092</v>
      </c>
      <c r="D725" t="s">
        <v>1092</v>
      </c>
      <c r="E725" s="65">
        <v>233465040</v>
      </c>
      <c r="F725" t="s">
        <v>104</v>
      </c>
      <c r="G725">
        <v>6</v>
      </c>
      <c r="I725" s="40">
        <v>46140</v>
      </c>
    </row>
    <row r="726" spans="1:10">
      <c r="A726" t="s">
        <v>450</v>
      </c>
      <c r="B726" s="40">
        <v>45958</v>
      </c>
      <c r="C726" t="s">
        <v>1129</v>
      </c>
      <c r="D726" t="s">
        <v>1129</v>
      </c>
      <c r="E726" s="65">
        <v>233451539.99999997</v>
      </c>
      <c r="F726" t="s">
        <v>104</v>
      </c>
      <c r="G726">
        <v>6</v>
      </c>
      <c r="I726" s="40">
        <v>46140</v>
      </c>
    </row>
    <row r="727" spans="1:10">
      <c r="A727" t="s">
        <v>450</v>
      </c>
      <c r="B727" s="40">
        <v>45958</v>
      </c>
      <c r="C727" t="s">
        <v>2478</v>
      </c>
      <c r="D727" t="s">
        <v>2478</v>
      </c>
      <c r="E727" s="65">
        <v>155634360</v>
      </c>
      <c r="F727" t="s">
        <v>104</v>
      </c>
      <c r="G727">
        <v>6</v>
      </c>
      <c r="I727" s="40">
        <v>46140</v>
      </c>
    </row>
    <row r="728" spans="1:10">
      <c r="A728" t="s">
        <v>450</v>
      </c>
      <c r="B728" s="40">
        <v>45958</v>
      </c>
      <c r="C728" t="s">
        <v>1094</v>
      </c>
      <c r="D728" t="s">
        <v>1094</v>
      </c>
      <c r="E728" s="65">
        <v>155634360</v>
      </c>
      <c r="F728" t="s">
        <v>104</v>
      </c>
      <c r="G728">
        <v>6</v>
      </c>
      <c r="I728" s="40">
        <v>46140</v>
      </c>
      <c r="J728" t="s">
        <v>2488</v>
      </c>
    </row>
    <row r="729" spans="1:10">
      <c r="A729" t="s">
        <v>450</v>
      </c>
      <c r="B729" s="40">
        <v>45958</v>
      </c>
      <c r="C729" t="s">
        <v>1219</v>
      </c>
      <c r="D729" t="s">
        <v>1219</v>
      </c>
      <c r="E729" s="65">
        <v>77817180</v>
      </c>
      <c r="F729" t="s">
        <v>104</v>
      </c>
      <c r="G729">
        <v>6</v>
      </c>
      <c r="I729" s="40">
        <v>46140</v>
      </c>
    </row>
    <row r="730" spans="1:10">
      <c r="A730" t="s">
        <v>450</v>
      </c>
      <c r="B730" s="40">
        <v>45958</v>
      </c>
      <c r="C730" t="s">
        <v>1128</v>
      </c>
      <c r="D730" t="s">
        <v>1128</v>
      </c>
      <c r="E730" s="65">
        <v>233451539.99999997</v>
      </c>
      <c r="F730" t="s">
        <v>104</v>
      </c>
      <c r="G730">
        <v>6</v>
      </c>
      <c r="I730" s="40">
        <v>46140</v>
      </c>
      <c r="J730" t="s">
        <v>2793</v>
      </c>
    </row>
    <row r="731" spans="1:10">
      <c r="A731" t="s">
        <v>450</v>
      </c>
      <c r="B731" s="40">
        <v>45958</v>
      </c>
      <c r="C731" t="s">
        <v>1130</v>
      </c>
      <c r="D731" t="s">
        <v>1130</v>
      </c>
      <c r="E731" s="65">
        <v>155634360</v>
      </c>
      <c r="F731" t="s">
        <v>104</v>
      </c>
      <c r="G731">
        <v>6</v>
      </c>
      <c r="I731" s="40">
        <v>46140</v>
      </c>
      <c r="J731" t="s">
        <v>2794</v>
      </c>
    </row>
    <row r="732" spans="1:10">
      <c r="A732" t="s">
        <v>450</v>
      </c>
      <c r="B732" s="40">
        <v>45958</v>
      </c>
      <c r="C732" t="s">
        <v>1127</v>
      </c>
      <c r="D732" t="s">
        <v>1127</v>
      </c>
      <c r="E732" s="65">
        <v>233451539.99999997</v>
      </c>
      <c r="F732" t="s">
        <v>104</v>
      </c>
      <c r="G732">
        <v>6</v>
      </c>
      <c r="I732" s="40">
        <v>46140</v>
      </c>
      <c r="J732" t="s">
        <v>2468</v>
      </c>
    </row>
    <row r="733" spans="1:10">
      <c r="A733" t="s">
        <v>450</v>
      </c>
      <c r="B733" s="40">
        <v>45958</v>
      </c>
      <c r="C733" t="s">
        <v>1069</v>
      </c>
      <c r="D733" t="s">
        <v>1069</v>
      </c>
      <c r="E733" s="65">
        <v>155634360</v>
      </c>
      <c r="F733" t="s">
        <v>104</v>
      </c>
      <c r="G733">
        <v>6</v>
      </c>
      <c r="I733" s="40">
        <v>46140</v>
      </c>
    </row>
    <row r="734" spans="1:10">
      <c r="A734" t="s">
        <v>450</v>
      </c>
      <c r="B734" s="40">
        <v>45958</v>
      </c>
      <c r="C734" t="s">
        <v>1071</v>
      </c>
      <c r="D734" t="s">
        <v>1071</v>
      </c>
      <c r="E734" s="65">
        <v>77817180</v>
      </c>
      <c r="F734" t="s">
        <v>104</v>
      </c>
      <c r="G734">
        <v>6</v>
      </c>
      <c r="I734" s="40">
        <v>46140</v>
      </c>
    </row>
    <row r="735" spans="1:10">
      <c r="A735" t="s">
        <v>450</v>
      </c>
      <c r="B735" s="40">
        <v>45958</v>
      </c>
      <c r="C735" t="s">
        <v>2795</v>
      </c>
      <c r="D735" t="s">
        <v>2795</v>
      </c>
      <c r="E735" s="65">
        <v>155634360</v>
      </c>
      <c r="F735" t="s">
        <v>104</v>
      </c>
      <c r="G735">
        <v>6</v>
      </c>
      <c r="I735" s="40">
        <v>46140</v>
      </c>
    </row>
    <row r="736" spans="1:10">
      <c r="A736" t="s">
        <v>450</v>
      </c>
      <c r="B736" s="40">
        <v>45958</v>
      </c>
      <c r="C736" t="s">
        <v>2624</v>
      </c>
      <c r="D736" t="s">
        <v>2624</v>
      </c>
      <c r="E736" s="65">
        <v>77817180</v>
      </c>
      <c r="F736" t="s">
        <v>104</v>
      </c>
      <c r="G736">
        <v>6</v>
      </c>
      <c r="I736" s="40">
        <v>46140</v>
      </c>
    </row>
    <row r="737" spans="1:10">
      <c r="A737" t="s">
        <v>450</v>
      </c>
      <c r="B737" s="40">
        <v>45958</v>
      </c>
      <c r="C737" t="s">
        <v>1209</v>
      </c>
      <c r="D737" t="s">
        <v>1209</v>
      </c>
      <c r="E737" s="65">
        <v>77817180</v>
      </c>
      <c r="F737" t="s">
        <v>104</v>
      </c>
      <c r="G737">
        <v>6</v>
      </c>
      <c r="I737" s="40">
        <v>46140</v>
      </c>
      <c r="J737" t="s">
        <v>2405</v>
      </c>
    </row>
    <row r="738" spans="1:10">
      <c r="A738" t="s">
        <v>450</v>
      </c>
      <c r="B738" s="40">
        <v>45958</v>
      </c>
      <c r="C738" t="s">
        <v>2381</v>
      </c>
      <c r="D738" t="s">
        <v>2381</v>
      </c>
      <c r="E738" s="65">
        <v>77817180</v>
      </c>
      <c r="F738" t="s">
        <v>104</v>
      </c>
      <c r="G738">
        <v>6</v>
      </c>
      <c r="I738" s="40">
        <v>46140</v>
      </c>
      <c r="J738" t="s">
        <v>2382</v>
      </c>
    </row>
    <row r="739" spans="1:10">
      <c r="A739" t="s">
        <v>450</v>
      </c>
      <c r="B739" s="40">
        <v>45958</v>
      </c>
      <c r="C739" t="s">
        <v>2796</v>
      </c>
      <c r="D739" t="s">
        <v>2796</v>
      </c>
      <c r="E739" s="65">
        <v>155634360</v>
      </c>
      <c r="F739" t="s">
        <v>104</v>
      </c>
      <c r="G739">
        <v>6</v>
      </c>
      <c r="I739" s="40">
        <v>46140</v>
      </c>
    </row>
    <row r="740" spans="1:10">
      <c r="A740" t="s">
        <v>450</v>
      </c>
      <c r="B740" s="40">
        <v>45958</v>
      </c>
      <c r="C740" t="s">
        <v>2797</v>
      </c>
      <c r="D740" t="s">
        <v>2797</v>
      </c>
      <c r="E740" s="65">
        <v>155634360</v>
      </c>
      <c r="F740" t="s">
        <v>104</v>
      </c>
      <c r="G740">
        <v>6</v>
      </c>
      <c r="I740" s="40">
        <v>46140</v>
      </c>
    </row>
    <row r="741" spans="1:10">
      <c r="A741" t="s">
        <v>450</v>
      </c>
      <c r="B741" s="40">
        <v>45958</v>
      </c>
      <c r="C741" t="s">
        <v>1411</v>
      </c>
      <c r="D741" t="s">
        <v>1411</v>
      </c>
      <c r="E741" s="65">
        <v>77817180</v>
      </c>
      <c r="F741" t="s">
        <v>104</v>
      </c>
      <c r="G741">
        <v>6</v>
      </c>
      <c r="I741" s="40">
        <v>46140</v>
      </c>
    </row>
    <row r="742" spans="1:10">
      <c r="A742" t="s">
        <v>394</v>
      </c>
      <c r="B742" s="40">
        <v>45952</v>
      </c>
      <c r="C742" t="s">
        <v>1375</v>
      </c>
      <c r="D742" t="s">
        <v>1375</v>
      </c>
      <c r="E742" s="65">
        <v>99618100</v>
      </c>
      <c r="F742" t="s">
        <v>104</v>
      </c>
      <c r="G742">
        <v>6</v>
      </c>
      <c r="I742" s="40">
        <v>46134</v>
      </c>
    </row>
    <row r="743" spans="1:10">
      <c r="A743" t="s">
        <v>394</v>
      </c>
      <c r="B743" s="40">
        <v>45952</v>
      </c>
      <c r="C743" t="s">
        <v>1182</v>
      </c>
      <c r="D743" t="s">
        <v>1182</v>
      </c>
      <c r="E743" s="65">
        <v>65716900</v>
      </c>
      <c r="F743" t="s">
        <v>104</v>
      </c>
      <c r="G743">
        <v>6</v>
      </c>
      <c r="I743" s="40">
        <v>46134</v>
      </c>
    </row>
    <row r="744" spans="1:10">
      <c r="A744" t="s">
        <v>394</v>
      </c>
      <c r="B744" s="40">
        <v>45952</v>
      </c>
      <c r="C744" t="s">
        <v>1373</v>
      </c>
      <c r="D744" t="s">
        <v>1373</v>
      </c>
      <c r="E744" s="65">
        <v>116740700</v>
      </c>
      <c r="F744" t="s">
        <v>104</v>
      </c>
      <c r="G744">
        <v>6</v>
      </c>
      <c r="I744" s="40">
        <v>46134</v>
      </c>
    </row>
    <row r="745" spans="1:10">
      <c r="A745" t="s">
        <v>394</v>
      </c>
      <c r="B745" s="40">
        <v>45952</v>
      </c>
      <c r="C745" t="s">
        <v>1374</v>
      </c>
      <c r="D745" t="s">
        <v>1374</v>
      </c>
      <c r="E745" s="65">
        <v>100164200</v>
      </c>
      <c r="F745" t="s">
        <v>104</v>
      </c>
      <c r="G745">
        <v>6</v>
      </c>
      <c r="I745" s="40">
        <v>46134</v>
      </c>
    </row>
    <row r="746" spans="1:10">
      <c r="A746" t="s">
        <v>394</v>
      </c>
      <c r="B746" s="40">
        <v>45952</v>
      </c>
      <c r="C746" t="s">
        <v>1104</v>
      </c>
      <c r="D746" t="s">
        <v>1104</v>
      </c>
      <c r="E746" s="65">
        <v>39998600</v>
      </c>
      <c r="F746" t="s">
        <v>104</v>
      </c>
      <c r="G746">
        <v>6</v>
      </c>
      <c r="I746" s="40">
        <v>46134</v>
      </c>
    </row>
    <row r="747" spans="1:10">
      <c r="A747" t="s">
        <v>394</v>
      </c>
      <c r="B747" s="40">
        <v>45952</v>
      </c>
      <c r="C747" t="s">
        <v>2056</v>
      </c>
      <c r="D747" t="s">
        <v>2056</v>
      </c>
      <c r="E747" s="65">
        <v>56033300</v>
      </c>
      <c r="F747" t="s">
        <v>104</v>
      </c>
      <c r="G747">
        <v>6</v>
      </c>
      <c r="I747" s="40">
        <v>46134</v>
      </c>
    </row>
    <row r="748" spans="1:10">
      <c r="A748" t="s">
        <v>394</v>
      </c>
      <c r="B748" s="40">
        <v>45952</v>
      </c>
      <c r="C748" t="s">
        <v>2798</v>
      </c>
      <c r="D748" t="s">
        <v>2798</v>
      </c>
      <c r="E748" s="65">
        <v>77000100</v>
      </c>
      <c r="F748" t="s">
        <v>104</v>
      </c>
      <c r="G748">
        <v>6</v>
      </c>
      <c r="I748" s="40">
        <v>46134</v>
      </c>
    </row>
    <row r="749" spans="1:10">
      <c r="A749" t="s">
        <v>394</v>
      </c>
      <c r="B749" s="40">
        <v>45952</v>
      </c>
      <c r="C749" t="s">
        <v>1597</v>
      </c>
      <c r="D749" t="s">
        <v>1597</v>
      </c>
      <c r="E749" s="65">
        <v>31127700</v>
      </c>
      <c r="F749" t="s">
        <v>104</v>
      </c>
      <c r="G749">
        <v>6</v>
      </c>
      <c r="I749" s="40">
        <v>46134</v>
      </c>
    </row>
    <row r="750" spans="1:10">
      <c r="A750" t="s">
        <v>394</v>
      </c>
      <c r="B750" s="40">
        <v>45952</v>
      </c>
      <c r="C750" t="s">
        <v>1372</v>
      </c>
      <c r="D750" t="s">
        <v>1372</v>
      </c>
      <c r="E750" s="65">
        <v>538914700</v>
      </c>
      <c r="F750" t="s">
        <v>104</v>
      </c>
      <c r="G750">
        <v>6</v>
      </c>
      <c r="I750" s="40">
        <v>46134</v>
      </c>
    </row>
    <row r="751" spans="1:10">
      <c r="A751" t="s">
        <v>394</v>
      </c>
      <c r="B751" s="40">
        <v>45952</v>
      </c>
      <c r="C751" t="s">
        <v>1329</v>
      </c>
      <c r="D751" t="s">
        <v>1329</v>
      </c>
      <c r="E751" s="65">
        <v>124523700</v>
      </c>
      <c r="F751" t="s">
        <v>104</v>
      </c>
      <c r="G751">
        <v>6</v>
      </c>
      <c r="I751" s="40">
        <v>46134</v>
      </c>
    </row>
    <row r="752" spans="1:10">
      <c r="A752" t="s">
        <v>689</v>
      </c>
      <c r="B752" s="40">
        <v>45951</v>
      </c>
      <c r="C752" t="s">
        <v>1069</v>
      </c>
      <c r="D752" t="s">
        <v>1069</v>
      </c>
      <c r="E752" s="65">
        <v>77824980</v>
      </c>
      <c r="F752" t="s">
        <v>104</v>
      </c>
      <c r="G752">
        <v>6</v>
      </c>
      <c r="I752" s="40">
        <v>46133</v>
      </c>
    </row>
    <row r="753" spans="1:10">
      <c r="A753" t="s">
        <v>689</v>
      </c>
      <c r="B753" s="40">
        <v>45951</v>
      </c>
      <c r="C753" t="s">
        <v>1175</v>
      </c>
      <c r="D753" t="s">
        <v>1175</v>
      </c>
      <c r="E753" s="65">
        <v>77824980</v>
      </c>
      <c r="F753" t="s">
        <v>104</v>
      </c>
      <c r="G753">
        <v>6</v>
      </c>
      <c r="I753" s="40">
        <v>46133</v>
      </c>
    </row>
    <row r="754" spans="1:10">
      <c r="A754" t="s">
        <v>689</v>
      </c>
      <c r="B754" s="40">
        <v>45951</v>
      </c>
      <c r="C754" t="s">
        <v>1394</v>
      </c>
      <c r="D754" t="s">
        <v>1394</v>
      </c>
      <c r="E754" s="65">
        <v>77824980</v>
      </c>
      <c r="F754" t="s">
        <v>104</v>
      </c>
      <c r="G754">
        <v>6</v>
      </c>
      <c r="I754" s="40">
        <v>46133</v>
      </c>
    </row>
    <row r="755" spans="1:10">
      <c r="A755" t="s">
        <v>689</v>
      </c>
      <c r="B755" s="40">
        <v>45951</v>
      </c>
      <c r="C755" t="s">
        <v>1496</v>
      </c>
      <c r="D755" t="s">
        <v>1496</v>
      </c>
      <c r="E755" s="65">
        <v>77824980</v>
      </c>
      <c r="F755" t="s">
        <v>104</v>
      </c>
      <c r="G755">
        <v>6</v>
      </c>
      <c r="I755" s="40">
        <v>46133</v>
      </c>
    </row>
    <row r="756" spans="1:10">
      <c r="A756" t="s">
        <v>689</v>
      </c>
      <c r="B756" s="40">
        <v>45951</v>
      </c>
      <c r="C756" t="s">
        <v>2765</v>
      </c>
      <c r="D756" t="s">
        <v>2765</v>
      </c>
      <c r="E756" s="65">
        <v>77824980</v>
      </c>
      <c r="F756" t="s">
        <v>104</v>
      </c>
      <c r="G756">
        <v>6</v>
      </c>
      <c r="I756" s="40">
        <v>46133</v>
      </c>
    </row>
    <row r="757" spans="1:10">
      <c r="A757" t="s">
        <v>689</v>
      </c>
      <c r="B757" s="40">
        <v>45951</v>
      </c>
      <c r="C757" t="s">
        <v>1464</v>
      </c>
      <c r="D757" t="s">
        <v>1464</v>
      </c>
      <c r="E757" s="65">
        <v>77824980</v>
      </c>
      <c r="F757" t="s">
        <v>104</v>
      </c>
      <c r="G757">
        <v>6</v>
      </c>
      <c r="I757" s="40">
        <v>46133</v>
      </c>
    </row>
    <row r="758" spans="1:10">
      <c r="A758" t="s">
        <v>689</v>
      </c>
      <c r="B758" s="40">
        <v>45951</v>
      </c>
      <c r="C758" t="s">
        <v>2799</v>
      </c>
      <c r="D758" t="s">
        <v>2799</v>
      </c>
      <c r="E758" s="65">
        <v>77824980</v>
      </c>
      <c r="F758" t="s">
        <v>104</v>
      </c>
      <c r="G758">
        <v>6</v>
      </c>
      <c r="I758" s="40">
        <v>46133</v>
      </c>
    </row>
    <row r="759" spans="1:10">
      <c r="A759" t="s">
        <v>689</v>
      </c>
      <c r="B759" s="40">
        <v>45951</v>
      </c>
      <c r="C759" t="s">
        <v>1323</v>
      </c>
      <c r="D759" t="s">
        <v>1323</v>
      </c>
      <c r="E759" s="65">
        <v>77824980</v>
      </c>
      <c r="F759" t="s">
        <v>104</v>
      </c>
      <c r="G759">
        <v>6</v>
      </c>
      <c r="I759" s="40">
        <v>46133</v>
      </c>
    </row>
    <row r="760" spans="1:10">
      <c r="A760" t="s">
        <v>689</v>
      </c>
      <c r="B760" s="40">
        <v>45951</v>
      </c>
      <c r="C760" t="s">
        <v>1073</v>
      </c>
      <c r="D760" t="s">
        <v>1073</v>
      </c>
      <c r="E760" s="65">
        <v>77824980</v>
      </c>
      <c r="F760" t="s">
        <v>104</v>
      </c>
      <c r="G760">
        <v>6</v>
      </c>
      <c r="I760" s="40">
        <v>46133</v>
      </c>
    </row>
    <row r="761" spans="1:10">
      <c r="A761" t="s">
        <v>689</v>
      </c>
      <c r="B761" s="40">
        <v>45951</v>
      </c>
      <c r="C761" t="s">
        <v>1070</v>
      </c>
      <c r="D761" t="s">
        <v>1070</v>
      </c>
      <c r="E761" s="65">
        <v>77824980</v>
      </c>
      <c r="F761" t="s">
        <v>104</v>
      </c>
      <c r="G761">
        <v>6</v>
      </c>
      <c r="I761" s="40">
        <v>46133</v>
      </c>
    </row>
    <row r="762" spans="1:10">
      <c r="A762" t="s">
        <v>689</v>
      </c>
      <c r="B762" s="40">
        <v>45951</v>
      </c>
      <c r="C762" t="s">
        <v>1071</v>
      </c>
      <c r="D762" t="s">
        <v>1071</v>
      </c>
      <c r="E762" s="65">
        <v>77824980</v>
      </c>
      <c r="F762" t="s">
        <v>104</v>
      </c>
      <c r="G762">
        <v>6</v>
      </c>
      <c r="I762" s="40">
        <v>46133</v>
      </c>
    </row>
    <row r="763" spans="1:10">
      <c r="A763" t="s">
        <v>689</v>
      </c>
      <c r="B763" s="40">
        <v>45951</v>
      </c>
      <c r="C763" t="s">
        <v>1072</v>
      </c>
      <c r="D763" t="s">
        <v>1072</v>
      </c>
      <c r="E763" s="65">
        <v>77824980</v>
      </c>
      <c r="F763" t="s">
        <v>104</v>
      </c>
      <c r="G763">
        <v>6</v>
      </c>
      <c r="I763" s="40">
        <v>46133</v>
      </c>
    </row>
    <row r="764" spans="1:10">
      <c r="A764" t="s">
        <v>689</v>
      </c>
      <c r="B764" s="40">
        <v>45951</v>
      </c>
      <c r="C764" t="s">
        <v>2800</v>
      </c>
      <c r="D764" t="s">
        <v>2800</v>
      </c>
      <c r="E764" s="65">
        <v>77824980</v>
      </c>
      <c r="F764" t="s">
        <v>104</v>
      </c>
      <c r="G764">
        <v>6</v>
      </c>
      <c r="I764" s="40">
        <v>46133</v>
      </c>
    </row>
    <row r="765" spans="1:10">
      <c r="A765" t="s">
        <v>862</v>
      </c>
      <c r="B765" s="40">
        <v>45950</v>
      </c>
      <c r="C765" t="s">
        <v>1075</v>
      </c>
      <c r="D765" t="s">
        <v>1075</v>
      </c>
      <c r="E765" s="65">
        <v>171218880</v>
      </c>
      <c r="F765" t="s">
        <v>104</v>
      </c>
      <c r="G765">
        <v>6</v>
      </c>
      <c r="I765" s="40">
        <v>46132</v>
      </c>
      <c r="J765" t="s">
        <v>2506</v>
      </c>
    </row>
    <row r="766" spans="1:10">
      <c r="A766" t="s">
        <v>1026</v>
      </c>
      <c r="B766" s="40">
        <v>45945</v>
      </c>
      <c r="C766" t="s">
        <v>1888</v>
      </c>
      <c r="D766" t="s">
        <v>1888</v>
      </c>
      <c r="E766" s="65">
        <v>76594800</v>
      </c>
      <c r="F766" t="s">
        <v>104</v>
      </c>
      <c r="G766">
        <v>6</v>
      </c>
      <c r="I766" s="40">
        <v>46127</v>
      </c>
    </row>
    <row r="767" spans="1:10">
      <c r="A767" t="s">
        <v>318</v>
      </c>
      <c r="B767" s="40">
        <v>45930</v>
      </c>
      <c r="C767" t="s">
        <v>1092</v>
      </c>
      <c r="D767" t="s">
        <v>1092</v>
      </c>
      <c r="E767" s="65">
        <v>233777145</v>
      </c>
      <c r="F767" t="s">
        <v>104</v>
      </c>
      <c r="G767">
        <v>6</v>
      </c>
      <c r="I767" s="40">
        <v>46111</v>
      </c>
      <c r="J767" t="s">
        <v>2801</v>
      </c>
    </row>
    <row r="768" spans="1:10">
      <c r="A768" t="s">
        <v>318</v>
      </c>
      <c r="B768" s="40">
        <v>45930</v>
      </c>
      <c r="C768" t="s">
        <v>2802</v>
      </c>
      <c r="D768" t="s">
        <v>2802</v>
      </c>
      <c r="E768" s="65">
        <v>233777145</v>
      </c>
      <c r="F768" t="s">
        <v>104</v>
      </c>
      <c r="G768">
        <v>6</v>
      </c>
      <c r="I768" s="40">
        <v>46111</v>
      </c>
    </row>
    <row r="769" spans="1:9">
      <c r="A769" t="s">
        <v>318</v>
      </c>
      <c r="B769" s="40">
        <v>45930</v>
      </c>
      <c r="C769" t="s">
        <v>2803</v>
      </c>
      <c r="D769" t="s">
        <v>2803</v>
      </c>
      <c r="E769" s="65">
        <v>428917167</v>
      </c>
      <c r="F769" t="s">
        <v>104</v>
      </c>
      <c r="G769">
        <v>6</v>
      </c>
      <c r="I769" s="40">
        <v>46111</v>
      </c>
    </row>
    <row r="770" spans="1:9">
      <c r="A770" t="s">
        <v>318</v>
      </c>
      <c r="B770" s="40">
        <v>45930</v>
      </c>
      <c r="C770" t="s">
        <v>1908</v>
      </c>
      <c r="D770" t="s">
        <v>1908</v>
      </c>
      <c r="E770" s="65">
        <v>467561449</v>
      </c>
      <c r="F770" t="s">
        <v>104</v>
      </c>
      <c r="G770">
        <v>6</v>
      </c>
      <c r="I770" s="40">
        <v>46111</v>
      </c>
    </row>
    <row r="771" spans="1:9">
      <c r="A771" t="s">
        <v>318</v>
      </c>
      <c r="B771" s="40">
        <v>45930</v>
      </c>
      <c r="C771" t="s">
        <v>1119</v>
      </c>
      <c r="D771" t="s">
        <v>1119</v>
      </c>
      <c r="E771" s="65">
        <v>389628575</v>
      </c>
      <c r="F771" t="s">
        <v>104</v>
      </c>
      <c r="G771">
        <v>6</v>
      </c>
      <c r="I771" s="40">
        <v>46111</v>
      </c>
    </row>
    <row r="772" spans="1:9">
      <c r="A772" t="s">
        <v>318</v>
      </c>
      <c r="B772" s="40">
        <v>45930</v>
      </c>
      <c r="C772" t="s">
        <v>2804</v>
      </c>
      <c r="D772" t="s">
        <v>2804</v>
      </c>
      <c r="E772" s="65">
        <v>311702860</v>
      </c>
      <c r="F772" t="s">
        <v>104</v>
      </c>
      <c r="G772">
        <v>6</v>
      </c>
      <c r="I772" s="40">
        <v>46111</v>
      </c>
    </row>
    <row r="773" spans="1:9">
      <c r="A773" t="s">
        <v>318</v>
      </c>
      <c r="B773" s="40">
        <v>45930</v>
      </c>
      <c r="C773" t="s">
        <v>2805</v>
      </c>
      <c r="D773" t="s">
        <v>2805</v>
      </c>
      <c r="E773" s="65">
        <v>311702860</v>
      </c>
      <c r="F773" t="s">
        <v>104</v>
      </c>
      <c r="G773">
        <v>6</v>
      </c>
      <c r="I773" s="40">
        <v>46111</v>
      </c>
    </row>
    <row r="774" spans="1:9">
      <c r="A774" t="s">
        <v>318</v>
      </c>
      <c r="B774" s="40">
        <v>45930</v>
      </c>
      <c r="C774" t="s">
        <v>2787</v>
      </c>
      <c r="D774" t="s">
        <v>2787</v>
      </c>
      <c r="E774" s="65">
        <v>366254440</v>
      </c>
      <c r="F774" t="s">
        <v>104</v>
      </c>
      <c r="G774">
        <v>6</v>
      </c>
      <c r="I774" s="40">
        <v>46111</v>
      </c>
    </row>
    <row r="775" spans="1:9">
      <c r="A775" t="s">
        <v>318</v>
      </c>
      <c r="B775" s="40">
        <v>45930</v>
      </c>
      <c r="C775" t="s">
        <v>1323</v>
      </c>
      <c r="D775" t="s">
        <v>1323</v>
      </c>
      <c r="E775" s="65">
        <v>194495712</v>
      </c>
      <c r="F775" t="s">
        <v>104</v>
      </c>
      <c r="G775">
        <v>6</v>
      </c>
      <c r="I775" s="40">
        <v>46111</v>
      </c>
    </row>
    <row r="776" spans="1:9">
      <c r="A776" t="s">
        <v>318</v>
      </c>
      <c r="B776" s="40">
        <v>45930</v>
      </c>
      <c r="C776" t="s">
        <v>2622</v>
      </c>
      <c r="D776" t="s">
        <v>2622</v>
      </c>
      <c r="E776" s="65">
        <v>155851430</v>
      </c>
      <c r="F776" t="s">
        <v>104</v>
      </c>
      <c r="G776">
        <v>6</v>
      </c>
      <c r="I776" s="40">
        <v>46111</v>
      </c>
    </row>
    <row r="777" spans="1:9">
      <c r="A777" t="s">
        <v>318</v>
      </c>
      <c r="B777" s="40">
        <v>45930</v>
      </c>
      <c r="C777" t="s">
        <v>1219</v>
      </c>
      <c r="D777" t="s">
        <v>1219</v>
      </c>
      <c r="E777" s="65">
        <v>77925715</v>
      </c>
      <c r="F777" t="s">
        <v>104</v>
      </c>
      <c r="G777">
        <v>6</v>
      </c>
      <c r="I777" s="40">
        <v>46111</v>
      </c>
    </row>
    <row r="778" spans="1:9">
      <c r="A778" t="s">
        <v>318</v>
      </c>
      <c r="B778" s="40">
        <v>45930</v>
      </c>
      <c r="C778" t="s">
        <v>2579</v>
      </c>
      <c r="D778" t="s">
        <v>2579</v>
      </c>
      <c r="E778" s="65">
        <v>233777145</v>
      </c>
      <c r="F778" t="s">
        <v>104</v>
      </c>
      <c r="G778">
        <v>6</v>
      </c>
      <c r="I778" s="40">
        <v>46111</v>
      </c>
    </row>
    <row r="779" spans="1:9">
      <c r="A779" t="s">
        <v>318</v>
      </c>
      <c r="B779" s="40">
        <v>45930</v>
      </c>
      <c r="C779" t="s">
        <v>2498</v>
      </c>
      <c r="D779" t="s">
        <v>2498</v>
      </c>
      <c r="E779" s="65">
        <v>233777145</v>
      </c>
      <c r="F779" t="s">
        <v>104</v>
      </c>
      <c r="G779">
        <v>6</v>
      </c>
      <c r="I779" s="40">
        <v>46111</v>
      </c>
    </row>
    <row r="780" spans="1:9">
      <c r="A780" t="s">
        <v>318</v>
      </c>
      <c r="B780" s="40">
        <v>45930</v>
      </c>
      <c r="C780" t="s">
        <v>2733</v>
      </c>
      <c r="D780" t="s">
        <v>2733</v>
      </c>
      <c r="E780" s="65">
        <v>233777145</v>
      </c>
      <c r="F780" t="s">
        <v>104</v>
      </c>
      <c r="G780">
        <v>6</v>
      </c>
      <c r="I780" s="40">
        <v>46111</v>
      </c>
    </row>
    <row r="781" spans="1:9">
      <c r="A781" t="s">
        <v>318</v>
      </c>
      <c r="B781" s="40">
        <v>45930</v>
      </c>
      <c r="C781" t="s">
        <v>2584</v>
      </c>
      <c r="D781" t="s">
        <v>2584</v>
      </c>
      <c r="E781" s="65">
        <v>389628575</v>
      </c>
      <c r="F781" t="s">
        <v>104</v>
      </c>
      <c r="G781">
        <v>6</v>
      </c>
      <c r="I781" s="40">
        <v>46111</v>
      </c>
    </row>
    <row r="782" spans="1:9">
      <c r="A782" t="s">
        <v>318</v>
      </c>
      <c r="B782" s="40">
        <v>45930</v>
      </c>
      <c r="C782" t="s">
        <v>1113</v>
      </c>
      <c r="D782" t="s">
        <v>1113</v>
      </c>
      <c r="E782" s="65">
        <v>1168900043</v>
      </c>
      <c r="F782" t="s">
        <v>104</v>
      </c>
      <c r="G782">
        <v>6</v>
      </c>
      <c r="I782" s="40">
        <v>46111</v>
      </c>
    </row>
    <row r="783" spans="1:9">
      <c r="A783" t="s">
        <v>318</v>
      </c>
      <c r="B783" s="40">
        <v>45930</v>
      </c>
      <c r="C783" t="s">
        <v>1110</v>
      </c>
      <c r="D783" t="s">
        <v>1110</v>
      </c>
      <c r="E783" s="65">
        <v>1168900043</v>
      </c>
      <c r="F783" t="s">
        <v>104</v>
      </c>
      <c r="G783">
        <v>6</v>
      </c>
      <c r="I783" s="40">
        <v>46111</v>
      </c>
    </row>
    <row r="784" spans="1:9">
      <c r="A784" t="s">
        <v>318</v>
      </c>
      <c r="B784" s="40">
        <v>45930</v>
      </c>
      <c r="C784" t="s">
        <v>1175</v>
      </c>
      <c r="D784" t="s">
        <v>1175</v>
      </c>
      <c r="E784" s="65">
        <v>413009869</v>
      </c>
      <c r="F784" t="s">
        <v>104</v>
      </c>
      <c r="G784">
        <v>6</v>
      </c>
      <c r="I784" s="40">
        <v>46111</v>
      </c>
    </row>
    <row r="785" spans="1:10">
      <c r="A785" t="s">
        <v>318</v>
      </c>
      <c r="B785" s="40">
        <v>45930</v>
      </c>
      <c r="C785" t="s">
        <v>1206</v>
      </c>
      <c r="D785" t="s">
        <v>1206</v>
      </c>
      <c r="E785" s="65">
        <v>623412879</v>
      </c>
      <c r="F785" t="s">
        <v>104</v>
      </c>
      <c r="G785">
        <v>6</v>
      </c>
      <c r="I785" s="40">
        <v>46111</v>
      </c>
    </row>
    <row r="786" spans="1:10">
      <c r="A786" t="s">
        <v>318</v>
      </c>
      <c r="B786" s="40">
        <v>45930</v>
      </c>
      <c r="C786" t="s">
        <v>1164</v>
      </c>
      <c r="D786" t="s">
        <v>1164</v>
      </c>
      <c r="E786" s="65">
        <v>389628575</v>
      </c>
      <c r="F786" t="s">
        <v>104</v>
      </c>
      <c r="G786">
        <v>6</v>
      </c>
      <c r="I786" s="40">
        <v>46111</v>
      </c>
      <c r="J786" t="s">
        <v>2806</v>
      </c>
    </row>
    <row r="787" spans="1:10">
      <c r="A787" t="s">
        <v>318</v>
      </c>
      <c r="B787" s="40">
        <v>45930</v>
      </c>
      <c r="C787" t="s">
        <v>1209</v>
      </c>
      <c r="D787" t="s">
        <v>1209</v>
      </c>
      <c r="E787" s="65">
        <v>467561449</v>
      </c>
      <c r="F787" t="s">
        <v>104</v>
      </c>
      <c r="G787">
        <v>6</v>
      </c>
      <c r="I787" s="40">
        <v>46111</v>
      </c>
    </row>
    <row r="788" spans="1:10">
      <c r="A788" t="s">
        <v>318</v>
      </c>
      <c r="B788" s="40">
        <v>45930</v>
      </c>
      <c r="C788" t="s">
        <v>2056</v>
      </c>
      <c r="D788" t="s">
        <v>2056</v>
      </c>
      <c r="E788" s="65">
        <v>389628575</v>
      </c>
      <c r="F788" t="s">
        <v>104</v>
      </c>
      <c r="G788">
        <v>6</v>
      </c>
      <c r="I788" s="40">
        <v>46111</v>
      </c>
      <c r="J788" t="s">
        <v>2449</v>
      </c>
    </row>
    <row r="789" spans="1:10">
      <c r="A789" t="s">
        <v>318</v>
      </c>
      <c r="B789" s="40">
        <v>45930</v>
      </c>
      <c r="C789" t="s">
        <v>2807</v>
      </c>
      <c r="D789" t="s">
        <v>2807</v>
      </c>
      <c r="E789" s="65">
        <v>389628575</v>
      </c>
      <c r="F789" t="s">
        <v>104</v>
      </c>
      <c r="G789">
        <v>6</v>
      </c>
      <c r="I789" s="40">
        <v>46111</v>
      </c>
      <c r="J789" t="s">
        <v>2808</v>
      </c>
    </row>
    <row r="790" spans="1:10">
      <c r="A790" t="s">
        <v>318</v>
      </c>
      <c r="B790" s="40">
        <v>45930</v>
      </c>
      <c r="C790" t="s">
        <v>1205</v>
      </c>
      <c r="D790" t="s">
        <v>1205</v>
      </c>
      <c r="E790" s="65">
        <v>935122898</v>
      </c>
      <c r="F790" t="s">
        <v>104</v>
      </c>
      <c r="G790">
        <v>6</v>
      </c>
      <c r="I790" s="40">
        <v>46111</v>
      </c>
    </row>
    <row r="791" spans="1:10">
      <c r="A791" t="s">
        <v>318</v>
      </c>
      <c r="B791" s="40">
        <v>45930</v>
      </c>
      <c r="C791" t="s">
        <v>2809</v>
      </c>
      <c r="D791" t="s">
        <v>2809</v>
      </c>
      <c r="E791" s="65">
        <v>233777145</v>
      </c>
      <c r="F791" t="s">
        <v>104</v>
      </c>
      <c r="G791">
        <v>6</v>
      </c>
      <c r="I791" s="40">
        <v>46111</v>
      </c>
      <c r="J791" t="s">
        <v>2810</v>
      </c>
    </row>
    <row r="792" spans="1:10">
      <c r="A792" t="s">
        <v>318</v>
      </c>
      <c r="B792" s="40">
        <v>45930</v>
      </c>
      <c r="C792" t="s">
        <v>2811</v>
      </c>
      <c r="D792" t="s">
        <v>2811</v>
      </c>
      <c r="E792" s="65">
        <v>389628575</v>
      </c>
      <c r="F792" t="s">
        <v>104</v>
      </c>
      <c r="G792">
        <v>6</v>
      </c>
      <c r="I792" s="40">
        <v>46111</v>
      </c>
      <c r="J792" t="s">
        <v>2812</v>
      </c>
    </row>
    <row r="793" spans="1:10">
      <c r="A793" t="s">
        <v>318</v>
      </c>
      <c r="B793" s="40">
        <v>45930</v>
      </c>
      <c r="C793" t="s">
        <v>1225</v>
      </c>
      <c r="D793" t="s">
        <v>1225</v>
      </c>
      <c r="E793" s="65">
        <v>935122898</v>
      </c>
      <c r="F793" t="s">
        <v>104</v>
      </c>
      <c r="G793">
        <v>6</v>
      </c>
      <c r="I793" s="40">
        <v>46111</v>
      </c>
      <c r="J793" t="s">
        <v>2586</v>
      </c>
    </row>
    <row r="794" spans="1:10">
      <c r="A794" t="s">
        <v>318</v>
      </c>
      <c r="B794" s="40">
        <v>45930</v>
      </c>
      <c r="C794" t="s">
        <v>1282</v>
      </c>
      <c r="D794" t="s">
        <v>1282</v>
      </c>
      <c r="E794" s="65">
        <v>233777145</v>
      </c>
      <c r="F794" t="s">
        <v>104</v>
      </c>
      <c r="G794">
        <v>6</v>
      </c>
      <c r="I794" s="40">
        <v>46111</v>
      </c>
      <c r="J794" t="s">
        <v>2813</v>
      </c>
    </row>
    <row r="795" spans="1:10">
      <c r="A795" t="s">
        <v>318</v>
      </c>
      <c r="B795" s="40">
        <v>45930</v>
      </c>
      <c r="C795" t="s">
        <v>2814</v>
      </c>
      <c r="D795" t="s">
        <v>2814</v>
      </c>
      <c r="E795" s="65">
        <v>467561449</v>
      </c>
      <c r="F795" t="s">
        <v>104</v>
      </c>
      <c r="G795">
        <v>6</v>
      </c>
      <c r="I795" s="40">
        <v>46111</v>
      </c>
      <c r="J795" t="s">
        <v>2475</v>
      </c>
    </row>
    <row r="796" spans="1:10">
      <c r="A796" t="s">
        <v>550</v>
      </c>
      <c r="B796" s="40">
        <v>45930</v>
      </c>
      <c r="C796" t="s">
        <v>2047</v>
      </c>
      <c r="D796" t="s">
        <v>2047</v>
      </c>
      <c r="E796" s="65">
        <v>218982793.80000001</v>
      </c>
      <c r="F796" t="s">
        <v>104</v>
      </c>
    </row>
    <row r="797" spans="1:10">
      <c r="A797" t="s">
        <v>550</v>
      </c>
      <c r="B797" s="40">
        <v>45930</v>
      </c>
      <c r="C797" t="s">
        <v>2048</v>
      </c>
      <c r="D797" t="s">
        <v>2048</v>
      </c>
      <c r="E797" s="65">
        <v>206909430.80000001</v>
      </c>
      <c r="F797" t="s">
        <v>104</v>
      </c>
    </row>
    <row r="798" spans="1:10">
      <c r="A798" t="s">
        <v>550</v>
      </c>
      <c r="B798" s="40">
        <v>45930</v>
      </c>
      <c r="C798" t="s">
        <v>2049</v>
      </c>
      <c r="D798" t="s">
        <v>2049</v>
      </c>
      <c r="E798" s="65">
        <v>38898515</v>
      </c>
      <c r="F798" t="s">
        <v>104</v>
      </c>
      <c r="G798">
        <v>6</v>
      </c>
      <c r="I798" s="40">
        <v>46112</v>
      </c>
    </row>
    <row r="799" spans="1:10">
      <c r="A799" t="s">
        <v>229</v>
      </c>
      <c r="B799" s="40">
        <v>45925</v>
      </c>
      <c r="C799" t="s">
        <v>2624</v>
      </c>
      <c r="D799" t="s">
        <v>2624</v>
      </c>
      <c r="E799" s="65">
        <v>257057700</v>
      </c>
      <c r="F799" t="s">
        <v>104</v>
      </c>
      <c r="G799">
        <v>6</v>
      </c>
      <c r="I799" s="40">
        <v>46106</v>
      </c>
      <c r="J799" t="s">
        <v>2625</v>
      </c>
    </row>
    <row r="800" spans="1:10">
      <c r="A800" t="s">
        <v>229</v>
      </c>
      <c r="B800" s="40">
        <v>45925</v>
      </c>
      <c r="C800" t="s">
        <v>2815</v>
      </c>
      <c r="D800" t="s">
        <v>2815</v>
      </c>
      <c r="E800" s="65">
        <v>155791800</v>
      </c>
      <c r="F800" t="s">
        <v>104</v>
      </c>
      <c r="G800">
        <v>6</v>
      </c>
      <c r="I800" s="40">
        <v>46106</v>
      </c>
      <c r="J800" t="s">
        <v>2816</v>
      </c>
    </row>
    <row r="801" spans="1:10">
      <c r="A801" t="s">
        <v>229</v>
      </c>
      <c r="B801" s="40">
        <v>45925</v>
      </c>
      <c r="C801" t="s">
        <v>1972</v>
      </c>
      <c r="D801" t="s">
        <v>1972</v>
      </c>
      <c r="E801" s="65">
        <v>225898725</v>
      </c>
      <c r="F801" t="s">
        <v>104</v>
      </c>
      <c r="G801">
        <v>6</v>
      </c>
      <c r="I801" s="40">
        <v>46106</v>
      </c>
      <c r="J801" t="s">
        <v>1590</v>
      </c>
    </row>
    <row r="802" spans="1:10">
      <c r="A802" t="s">
        <v>229</v>
      </c>
      <c r="B802" s="40">
        <v>45925</v>
      </c>
      <c r="C802" t="s">
        <v>2780</v>
      </c>
      <c r="D802" t="s">
        <v>2780</v>
      </c>
      <c r="E802" s="65">
        <v>155791800</v>
      </c>
      <c r="F802" t="s">
        <v>104</v>
      </c>
      <c r="G802">
        <v>6</v>
      </c>
      <c r="I802" s="40">
        <v>46106</v>
      </c>
      <c r="J802" t="s">
        <v>2781</v>
      </c>
    </row>
    <row r="803" spans="1:10">
      <c r="A803" t="s">
        <v>229</v>
      </c>
      <c r="B803" s="40">
        <v>45925</v>
      </c>
      <c r="C803" t="s">
        <v>1302</v>
      </c>
      <c r="D803" t="s">
        <v>1302</v>
      </c>
      <c r="E803" s="65">
        <v>155791800</v>
      </c>
      <c r="F803" t="s">
        <v>104</v>
      </c>
      <c r="G803">
        <v>6</v>
      </c>
      <c r="I803" s="40">
        <v>46106</v>
      </c>
      <c r="J803" t="s">
        <v>2565</v>
      </c>
    </row>
    <row r="804" spans="1:10">
      <c r="A804" t="s">
        <v>229</v>
      </c>
      <c r="B804" s="40">
        <v>45925</v>
      </c>
      <c r="C804" t="s">
        <v>2047</v>
      </c>
      <c r="D804" t="s">
        <v>2047</v>
      </c>
      <c r="E804" s="65">
        <v>311583600</v>
      </c>
      <c r="F804" t="s">
        <v>104</v>
      </c>
      <c r="G804">
        <v>6</v>
      </c>
      <c r="I804" s="40">
        <v>46106</v>
      </c>
      <c r="J804" t="s">
        <v>2817</v>
      </c>
    </row>
    <row r="805" spans="1:10">
      <c r="A805" t="s">
        <v>229</v>
      </c>
      <c r="B805" s="40">
        <v>45925</v>
      </c>
      <c r="C805" t="s">
        <v>1662</v>
      </c>
      <c r="D805" t="s">
        <v>1662</v>
      </c>
      <c r="E805" s="65">
        <v>319375650</v>
      </c>
      <c r="F805" t="s">
        <v>104</v>
      </c>
      <c r="G805">
        <v>6</v>
      </c>
      <c r="I805" s="40">
        <v>46106</v>
      </c>
      <c r="J805" t="s">
        <v>2816</v>
      </c>
    </row>
    <row r="806" spans="1:10">
      <c r="A806" t="s">
        <v>229</v>
      </c>
      <c r="B806" s="40">
        <v>45925</v>
      </c>
      <c r="C806" t="s">
        <v>1661</v>
      </c>
      <c r="D806" t="s">
        <v>1661</v>
      </c>
      <c r="E806" s="65">
        <v>319375650</v>
      </c>
      <c r="F806" t="s">
        <v>104</v>
      </c>
      <c r="G806">
        <v>6</v>
      </c>
      <c r="I806" s="40">
        <v>46106</v>
      </c>
      <c r="J806" t="s">
        <v>2818</v>
      </c>
    </row>
    <row r="807" spans="1:10">
      <c r="A807" t="s">
        <v>229</v>
      </c>
      <c r="B807" s="40">
        <v>45925</v>
      </c>
      <c r="C807" t="s">
        <v>1323</v>
      </c>
      <c r="D807" t="s">
        <v>1323</v>
      </c>
      <c r="E807" s="65">
        <v>38947950</v>
      </c>
      <c r="F807" t="s">
        <v>104</v>
      </c>
      <c r="G807">
        <v>6</v>
      </c>
      <c r="I807" s="40">
        <v>46106</v>
      </c>
      <c r="J807" t="s">
        <v>2425</v>
      </c>
    </row>
    <row r="808" spans="1:10">
      <c r="A808" t="s">
        <v>229</v>
      </c>
      <c r="B808" s="40">
        <v>45925</v>
      </c>
      <c r="C808" t="s">
        <v>1113</v>
      </c>
      <c r="D808" t="s">
        <v>1113</v>
      </c>
      <c r="E808" s="65">
        <v>467378475</v>
      </c>
      <c r="F808" t="s">
        <v>104</v>
      </c>
      <c r="G808">
        <v>6</v>
      </c>
      <c r="I808" s="40">
        <v>46106</v>
      </c>
    </row>
    <row r="809" spans="1:10">
      <c r="A809" t="s">
        <v>229</v>
      </c>
      <c r="B809" s="40">
        <v>45925</v>
      </c>
      <c r="C809" t="s">
        <v>1291</v>
      </c>
      <c r="D809" t="s">
        <v>1291</v>
      </c>
      <c r="E809" s="65">
        <v>1479997500</v>
      </c>
      <c r="F809" t="s">
        <v>104</v>
      </c>
      <c r="G809">
        <v>6</v>
      </c>
      <c r="I809" s="40">
        <v>46106</v>
      </c>
      <c r="J809" t="s">
        <v>1155</v>
      </c>
    </row>
    <row r="810" spans="1:10">
      <c r="A810" t="s">
        <v>229</v>
      </c>
      <c r="B810" s="40">
        <v>45925</v>
      </c>
      <c r="C810" t="s">
        <v>1660</v>
      </c>
      <c r="D810" t="s">
        <v>1660</v>
      </c>
      <c r="E810" s="65">
        <v>428430525</v>
      </c>
      <c r="F810" t="s">
        <v>104</v>
      </c>
      <c r="G810">
        <v>6</v>
      </c>
      <c r="I810" s="40">
        <v>46106</v>
      </c>
    </row>
    <row r="811" spans="1:10">
      <c r="A811" t="s">
        <v>229</v>
      </c>
      <c r="B811" s="40">
        <v>45925</v>
      </c>
      <c r="C811" t="s">
        <v>2497</v>
      </c>
      <c r="D811" t="s">
        <v>2497</v>
      </c>
      <c r="E811" s="65">
        <v>257057700</v>
      </c>
      <c r="F811" t="s">
        <v>104</v>
      </c>
      <c r="G811">
        <v>6</v>
      </c>
      <c r="I811" s="40">
        <v>46106</v>
      </c>
      <c r="J811" t="s">
        <v>2506</v>
      </c>
    </row>
    <row r="812" spans="1:10">
      <c r="A812" t="s">
        <v>647</v>
      </c>
      <c r="B812" s="40">
        <v>45923</v>
      </c>
      <c r="C812" t="s">
        <v>1152</v>
      </c>
      <c r="D812" t="s">
        <v>1152</v>
      </c>
      <c r="E812" s="65">
        <v>38982000</v>
      </c>
      <c r="F812" t="s">
        <v>104</v>
      </c>
      <c r="G812">
        <v>6</v>
      </c>
      <c r="I812" s="40">
        <v>46104</v>
      </c>
      <c r="J812" t="s">
        <v>2819</v>
      </c>
    </row>
    <row r="813" spans="1:10">
      <c r="A813" t="s">
        <v>647</v>
      </c>
      <c r="B813" s="40">
        <v>45923</v>
      </c>
      <c r="C813" t="s">
        <v>1127</v>
      </c>
      <c r="D813" t="s">
        <v>1127</v>
      </c>
      <c r="E813" s="65">
        <v>38982000</v>
      </c>
      <c r="F813" t="s">
        <v>104</v>
      </c>
      <c r="G813">
        <v>6</v>
      </c>
      <c r="I813" s="40">
        <v>46104</v>
      </c>
      <c r="J813" t="s">
        <v>2468</v>
      </c>
    </row>
    <row r="814" spans="1:10">
      <c r="A814" t="s">
        <v>647</v>
      </c>
      <c r="B814" s="40">
        <v>45923</v>
      </c>
      <c r="C814" t="s">
        <v>1153</v>
      </c>
      <c r="D814" t="s">
        <v>1153</v>
      </c>
      <c r="E814" s="65">
        <v>38982000</v>
      </c>
      <c r="F814" t="s">
        <v>104</v>
      </c>
      <c r="G814">
        <v>6</v>
      </c>
      <c r="I814" s="40">
        <v>46104</v>
      </c>
      <c r="J814" t="s">
        <v>2820</v>
      </c>
    </row>
    <row r="815" spans="1:10">
      <c r="A815" t="s">
        <v>968</v>
      </c>
      <c r="B815" s="40">
        <v>45919</v>
      </c>
      <c r="C815" t="s">
        <v>1886</v>
      </c>
      <c r="D815" t="s">
        <v>1886</v>
      </c>
      <c r="E815" s="65">
        <v>70810392</v>
      </c>
      <c r="F815" t="s">
        <v>104</v>
      </c>
      <c r="G815">
        <v>6</v>
      </c>
      <c r="I815" s="40">
        <v>46100</v>
      </c>
    </row>
    <row r="816" spans="1:10">
      <c r="A816" t="s">
        <v>968</v>
      </c>
      <c r="B816" s="40">
        <v>45919</v>
      </c>
      <c r="C816" t="s">
        <v>1842</v>
      </c>
      <c r="D816" t="s">
        <v>1842</v>
      </c>
      <c r="E816" s="65">
        <v>15590194</v>
      </c>
      <c r="F816" t="s">
        <v>104</v>
      </c>
      <c r="G816">
        <v>6</v>
      </c>
      <c r="I816" s="40">
        <v>46100</v>
      </c>
      <c r="J816" t="s">
        <v>1887</v>
      </c>
    </row>
    <row r="817" spans="1:10">
      <c r="A817" t="s">
        <v>968</v>
      </c>
      <c r="B817" s="40">
        <v>45919</v>
      </c>
      <c r="C817" t="s">
        <v>1884</v>
      </c>
      <c r="D817" t="s">
        <v>1884</v>
      </c>
      <c r="E817" s="65">
        <v>89654830</v>
      </c>
      <c r="F817" t="s">
        <v>104</v>
      </c>
      <c r="G817">
        <v>6</v>
      </c>
      <c r="I817" s="40">
        <v>46100</v>
      </c>
      <c r="J817" t="s">
        <v>2744</v>
      </c>
    </row>
    <row r="818" spans="1:10">
      <c r="A818" t="s">
        <v>968</v>
      </c>
      <c r="B818" s="40">
        <v>45919</v>
      </c>
      <c r="C818" t="s">
        <v>2821</v>
      </c>
      <c r="D818" t="s">
        <v>2821</v>
      </c>
      <c r="E818" s="65">
        <v>35878244</v>
      </c>
      <c r="F818" t="s">
        <v>104</v>
      </c>
      <c r="G818">
        <v>6</v>
      </c>
      <c r="I818" s="40">
        <v>46100</v>
      </c>
    </row>
    <row r="819" spans="1:10">
      <c r="A819" t="s">
        <v>968</v>
      </c>
      <c r="B819" s="40">
        <v>45919</v>
      </c>
      <c r="C819" t="s">
        <v>2822</v>
      </c>
      <c r="D819" t="s">
        <v>2822</v>
      </c>
      <c r="E819" s="65">
        <v>29859116</v>
      </c>
      <c r="F819" t="s">
        <v>104</v>
      </c>
      <c r="G819">
        <v>6</v>
      </c>
      <c r="I819" s="40">
        <v>46100</v>
      </c>
      <c r="J819" t="s">
        <v>2823</v>
      </c>
    </row>
    <row r="820" spans="1:10">
      <c r="A820" t="s">
        <v>968</v>
      </c>
      <c r="B820" s="40">
        <v>45919</v>
      </c>
      <c r="C820" t="s">
        <v>1119</v>
      </c>
      <c r="D820" t="s">
        <v>1119</v>
      </c>
      <c r="E820" s="65">
        <v>77959126</v>
      </c>
      <c r="F820" t="s">
        <v>104</v>
      </c>
      <c r="G820">
        <v>6</v>
      </c>
      <c r="I820" s="40">
        <v>46100</v>
      </c>
      <c r="J820" t="s">
        <v>2391</v>
      </c>
    </row>
    <row r="821" spans="1:10">
      <c r="A821" t="s">
        <v>968</v>
      </c>
      <c r="B821" s="40">
        <v>45919</v>
      </c>
      <c r="C821" t="s">
        <v>1841</v>
      </c>
      <c r="D821" t="s">
        <v>1841</v>
      </c>
      <c r="E821" s="65">
        <v>15590194</v>
      </c>
      <c r="F821" t="s">
        <v>104</v>
      </c>
      <c r="G821">
        <v>6</v>
      </c>
      <c r="I821" s="40">
        <v>46100</v>
      </c>
      <c r="J821" t="s">
        <v>2808</v>
      </c>
    </row>
    <row r="822" spans="1:10">
      <c r="A822" t="s">
        <v>968</v>
      </c>
      <c r="B822" s="40">
        <v>45919</v>
      </c>
      <c r="C822" t="s">
        <v>2747</v>
      </c>
      <c r="D822" t="s">
        <v>2747</v>
      </c>
      <c r="E822" s="65">
        <v>7793058</v>
      </c>
      <c r="F822" t="s">
        <v>104</v>
      </c>
      <c r="G822">
        <v>6</v>
      </c>
      <c r="I822" s="40">
        <v>46100</v>
      </c>
      <c r="J822" t="s">
        <v>2744</v>
      </c>
    </row>
    <row r="823" spans="1:10">
      <c r="A823" t="s">
        <v>968</v>
      </c>
      <c r="B823" s="40">
        <v>45919</v>
      </c>
      <c r="C823" t="s">
        <v>2105</v>
      </c>
      <c r="D823" t="s">
        <v>2105</v>
      </c>
      <c r="E823" s="65">
        <v>62368932</v>
      </c>
      <c r="F823" t="s">
        <v>104</v>
      </c>
      <c r="G823">
        <v>6</v>
      </c>
      <c r="I823" s="40">
        <v>46100</v>
      </c>
    </row>
    <row r="824" spans="1:10">
      <c r="A824" t="s">
        <v>968</v>
      </c>
      <c r="B824" s="40">
        <v>45919</v>
      </c>
      <c r="C824" t="s">
        <v>2824</v>
      </c>
      <c r="D824" t="s">
        <v>2824</v>
      </c>
      <c r="E824" s="65">
        <v>4824274</v>
      </c>
      <c r="F824" t="s">
        <v>104</v>
      </c>
      <c r="G824">
        <v>6</v>
      </c>
      <c r="I824" s="40">
        <v>46100</v>
      </c>
      <c r="J824" t="s">
        <v>2691</v>
      </c>
    </row>
    <row r="825" spans="1:10">
      <c r="A825" t="s">
        <v>968</v>
      </c>
      <c r="B825" s="40">
        <v>45919</v>
      </c>
      <c r="C825" t="s">
        <v>2825</v>
      </c>
      <c r="D825" t="s">
        <v>2825</v>
      </c>
      <c r="E825" s="65">
        <v>16838062</v>
      </c>
      <c r="F825" t="s">
        <v>104</v>
      </c>
      <c r="G825">
        <v>6</v>
      </c>
      <c r="I825" s="40">
        <v>46100</v>
      </c>
      <c r="J825" t="s">
        <v>2823</v>
      </c>
    </row>
    <row r="826" spans="1:10">
      <c r="A826" t="s">
        <v>968</v>
      </c>
      <c r="B826" s="40">
        <v>45919</v>
      </c>
      <c r="C826" t="s">
        <v>2826</v>
      </c>
      <c r="D826" t="s">
        <v>2826</v>
      </c>
      <c r="E826" s="65">
        <v>22767474</v>
      </c>
      <c r="F826" t="s">
        <v>104</v>
      </c>
      <c r="G826">
        <v>6</v>
      </c>
      <c r="I826" s="40">
        <v>46100</v>
      </c>
    </row>
    <row r="827" spans="1:10">
      <c r="A827" t="s">
        <v>968</v>
      </c>
      <c r="B827" s="40">
        <v>45919</v>
      </c>
      <c r="C827" t="s">
        <v>1887</v>
      </c>
      <c r="D827" t="s">
        <v>1887</v>
      </c>
      <c r="E827" s="65">
        <v>62368932</v>
      </c>
      <c r="F827" t="s">
        <v>104</v>
      </c>
      <c r="G827">
        <v>6</v>
      </c>
      <c r="I827" s="40">
        <v>46100</v>
      </c>
    </row>
    <row r="828" spans="1:10">
      <c r="A828" t="s">
        <v>968</v>
      </c>
      <c r="B828" s="40">
        <v>45919</v>
      </c>
      <c r="C828" t="s">
        <v>2827</v>
      </c>
      <c r="D828" t="s">
        <v>2827</v>
      </c>
      <c r="E828" s="65">
        <v>7148734</v>
      </c>
      <c r="F828" t="s">
        <v>104</v>
      </c>
      <c r="G828">
        <v>6</v>
      </c>
      <c r="I828" s="40">
        <v>46100</v>
      </c>
    </row>
    <row r="829" spans="1:10">
      <c r="A829" t="s">
        <v>968</v>
      </c>
      <c r="B829" s="40">
        <v>45919</v>
      </c>
      <c r="C829" t="s">
        <v>1885</v>
      </c>
      <c r="D829" t="s">
        <v>1885</v>
      </c>
      <c r="E829" s="65">
        <v>77959126</v>
      </c>
      <c r="F829" t="s">
        <v>104</v>
      </c>
      <c r="G829">
        <v>6</v>
      </c>
      <c r="I829" s="40">
        <v>46100</v>
      </c>
      <c r="J829" t="s">
        <v>2626</v>
      </c>
    </row>
    <row r="830" spans="1:10">
      <c r="A830" t="s">
        <v>968</v>
      </c>
      <c r="B830" s="40">
        <v>45919</v>
      </c>
      <c r="C830" t="s">
        <v>2828</v>
      </c>
      <c r="D830" t="s">
        <v>2828</v>
      </c>
      <c r="E830" s="65">
        <v>31261948</v>
      </c>
      <c r="F830" t="s">
        <v>104</v>
      </c>
      <c r="G830">
        <v>6</v>
      </c>
      <c r="I830" s="40">
        <v>46100</v>
      </c>
      <c r="J830" t="s">
        <v>2823</v>
      </c>
    </row>
    <row r="831" spans="1:10">
      <c r="A831" t="s">
        <v>968</v>
      </c>
      <c r="B831" s="40">
        <v>45919</v>
      </c>
      <c r="C831" t="s">
        <v>2829</v>
      </c>
      <c r="D831" t="s">
        <v>2829</v>
      </c>
      <c r="E831" s="65">
        <v>49841316</v>
      </c>
      <c r="F831" t="s">
        <v>104</v>
      </c>
      <c r="G831">
        <v>6</v>
      </c>
      <c r="I831" s="40">
        <v>46100</v>
      </c>
      <c r="J831" t="s">
        <v>2691</v>
      </c>
    </row>
    <row r="832" spans="1:10">
      <c r="A832" t="s">
        <v>968</v>
      </c>
      <c r="B832" s="40">
        <v>45919</v>
      </c>
      <c r="C832" t="s">
        <v>2008</v>
      </c>
      <c r="D832" t="s">
        <v>2008</v>
      </c>
      <c r="E832" s="65">
        <v>62275138</v>
      </c>
      <c r="F832" t="s">
        <v>104</v>
      </c>
      <c r="G832">
        <v>6</v>
      </c>
      <c r="I832" s="40">
        <v>46100</v>
      </c>
      <c r="J832" t="s">
        <v>2691</v>
      </c>
    </row>
    <row r="833" spans="1:10">
      <c r="A833" t="s">
        <v>968</v>
      </c>
      <c r="B833" s="40">
        <v>45919</v>
      </c>
      <c r="C833" t="s">
        <v>1919</v>
      </c>
      <c r="D833" t="s">
        <v>1919</v>
      </c>
      <c r="E833" s="65">
        <v>38802170</v>
      </c>
      <c r="F833" t="s">
        <v>104</v>
      </c>
      <c r="G833">
        <v>6</v>
      </c>
      <c r="I833" s="40">
        <v>46100</v>
      </c>
    </row>
    <row r="834" spans="1:10">
      <c r="A834" t="s">
        <v>517</v>
      </c>
      <c r="B834" s="40">
        <v>45916</v>
      </c>
      <c r="C834" t="s">
        <v>1394</v>
      </c>
      <c r="D834" t="s">
        <v>1394</v>
      </c>
      <c r="E834" s="65">
        <v>233845920</v>
      </c>
      <c r="F834" t="s">
        <v>104</v>
      </c>
      <c r="G834">
        <v>6</v>
      </c>
      <c r="I834" s="40">
        <v>46097</v>
      </c>
    </row>
    <row r="835" spans="1:10">
      <c r="A835" t="s">
        <v>517</v>
      </c>
      <c r="B835" s="40">
        <v>45916</v>
      </c>
      <c r="C835" t="s">
        <v>2830</v>
      </c>
      <c r="D835" t="s">
        <v>2830</v>
      </c>
      <c r="E835" s="65">
        <v>77948640</v>
      </c>
      <c r="F835" t="s">
        <v>104</v>
      </c>
      <c r="G835">
        <v>6</v>
      </c>
      <c r="I835" s="40">
        <v>46097</v>
      </c>
    </row>
    <row r="836" spans="1:10">
      <c r="A836" t="s">
        <v>517</v>
      </c>
      <c r="B836" s="40">
        <v>45916</v>
      </c>
      <c r="C836" t="s">
        <v>2182</v>
      </c>
      <c r="D836" t="s">
        <v>2182</v>
      </c>
      <c r="E836" s="65">
        <v>155897280</v>
      </c>
      <c r="F836" t="s">
        <v>104</v>
      </c>
      <c r="G836">
        <v>6</v>
      </c>
      <c r="I836" s="40">
        <v>46097</v>
      </c>
    </row>
    <row r="837" spans="1:10">
      <c r="A837" t="s">
        <v>517</v>
      </c>
      <c r="B837" s="40">
        <v>45916</v>
      </c>
      <c r="C837" t="s">
        <v>2183</v>
      </c>
      <c r="D837" t="s">
        <v>2183</v>
      </c>
      <c r="E837" s="65">
        <v>77948640</v>
      </c>
      <c r="F837" t="s">
        <v>104</v>
      </c>
      <c r="G837">
        <v>6</v>
      </c>
      <c r="I837" s="40">
        <v>46097</v>
      </c>
    </row>
    <row r="838" spans="1:10">
      <c r="A838" t="s">
        <v>517</v>
      </c>
      <c r="B838" s="40">
        <v>45916</v>
      </c>
      <c r="C838" t="s">
        <v>1113</v>
      </c>
      <c r="D838" t="s">
        <v>1113</v>
      </c>
      <c r="E838" s="65">
        <v>389743200</v>
      </c>
      <c r="F838" t="s">
        <v>104</v>
      </c>
      <c r="G838">
        <v>6</v>
      </c>
      <c r="I838" s="40">
        <v>46097</v>
      </c>
    </row>
    <row r="839" spans="1:10">
      <c r="A839" t="s">
        <v>517</v>
      </c>
      <c r="B839" s="40">
        <v>45916</v>
      </c>
      <c r="C839" t="s">
        <v>1209</v>
      </c>
      <c r="D839" t="s">
        <v>1209</v>
      </c>
      <c r="E839" s="65">
        <v>218256192</v>
      </c>
      <c r="F839" t="s">
        <v>104</v>
      </c>
      <c r="G839">
        <v>6</v>
      </c>
      <c r="I839" s="40">
        <v>46097</v>
      </c>
    </row>
    <row r="840" spans="1:10">
      <c r="A840" t="s">
        <v>870</v>
      </c>
      <c r="B840" s="40">
        <v>45909</v>
      </c>
      <c r="C840" t="s">
        <v>1292</v>
      </c>
      <c r="D840" t="s">
        <v>1292</v>
      </c>
      <c r="E840" s="65">
        <v>18750600</v>
      </c>
      <c r="F840" t="s">
        <v>104</v>
      </c>
      <c r="G840">
        <v>6</v>
      </c>
      <c r="I840" s="40">
        <v>46090</v>
      </c>
      <c r="J840" t="s">
        <v>2498</v>
      </c>
    </row>
    <row r="841" spans="1:10">
      <c r="A841" t="s">
        <v>870</v>
      </c>
      <c r="B841" s="40">
        <v>45909</v>
      </c>
      <c r="C841" t="s">
        <v>1075</v>
      </c>
      <c r="D841" t="s">
        <v>1075</v>
      </c>
      <c r="E841" s="65">
        <v>21874050</v>
      </c>
      <c r="F841" t="s">
        <v>104</v>
      </c>
      <c r="G841">
        <v>6</v>
      </c>
      <c r="I841" s="40">
        <v>46090</v>
      </c>
      <c r="J841" t="s">
        <v>2540</v>
      </c>
    </row>
    <row r="842" spans="1:10">
      <c r="A842" t="s">
        <v>870</v>
      </c>
      <c r="B842" s="40">
        <v>45909</v>
      </c>
      <c r="C842" t="s">
        <v>1365</v>
      </c>
      <c r="D842" t="s">
        <v>1365</v>
      </c>
      <c r="E842" s="65">
        <v>19998000</v>
      </c>
      <c r="F842" t="s">
        <v>104</v>
      </c>
      <c r="G842">
        <v>6</v>
      </c>
      <c r="I842" s="40">
        <v>46090</v>
      </c>
      <c r="J842" t="s">
        <v>2831</v>
      </c>
    </row>
    <row r="843" spans="1:10">
      <c r="A843" t="s">
        <v>870</v>
      </c>
      <c r="B843" s="40">
        <v>45909</v>
      </c>
      <c r="C843" t="s">
        <v>1364</v>
      </c>
      <c r="D843" t="s">
        <v>1364</v>
      </c>
      <c r="E843" s="65">
        <v>39060450</v>
      </c>
      <c r="F843" t="s">
        <v>104</v>
      </c>
      <c r="G843">
        <v>6</v>
      </c>
      <c r="I843" s="40">
        <v>46090</v>
      </c>
      <c r="J843" t="s">
        <v>2832</v>
      </c>
    </row>
    <row r="844" spans="1:10">
      <c r="A844" t="s">
        <v>277</v>
      </c>
      <c r="B844" s="40">
        <v>45902</v>
      </c>
      <c r="C844" t="s">
        <v>1731</v>
      </c>
      <c r="D844" t="s">
        <v>1731</v>
      </c>
      <c r="E844" s="65">
        <v>207897248.00000003</v>
      </c>
      <c r="F844" t="s">
        <v>104</v>
      </c>
      <c r="G844">
        <v>6</v>
      </c>
      <c r="I844" s="40">
        <v>46083</v>
      </c>
      <c r="J844" t="s">
        <v>2738</v>
      </c>
    </row>
    <row r="845" spans="1:10">
      <c r="A845" t="s">
        <v>277</v>
      </c>
      <c r="B845" s="40">
        <v>45902</v>
      </c>
      <c r="C845" t="s">
        <v>1430</v>
      </c>
      <c r="D845" t="s">
        <v>1430</v>
      </c>
      <c r="E845" s="65">
        <v>391915160.00000006</v>
      </c>
      <c r="F845" t="s">
        <v>104</v>
      </c>
      <c r="G845">
        <v>6</v>
      </c>
      <c r="I845" s="40">
        <v>46083</v>
      </c>
      <c r="J845" t="s">
        <v>2506</v>
      </c>
    </row>
    <row r="846" spans="1:10">
      <c r="A846" t="s">
        <v>277</v>
      </c>
      <c r="B846" s="40">
        <v>45902</v>
      </c>
      <c r="C846" t="s">
        <v>1302</v>
      </c>
      <c r="D846" t="s">
        <v>1302</v>
      </c>
      <c r="E846" s="65">
        <v>117574548.00000001</v>
      </c>
      <c r="F846" t="s">
        <v>104</v>
      </c>
      <c r="G846">
        <v>6</v>
      </c>
      <c r="I846" s="40">
        <v>46083</v>
      </c>
      <c r="J846" t="s">
        <v>2506</v>
      </c>
    </row>
    <row r="847" spans="1:10">
      <c r="A847" t="s">
        <v>277</v>
      </c>
      <c r="B847" s="40">
        <v>45902</v>
      </c>
      <c r="C847" t="s">
        <v>1733</v>
      </c>
      <c r="D847" t="s">
        <v>1733</v>
      </c>
      <c r="E847" s="65">
        <v>99997768.000000015</v>
      </c>
      <c r="F847" t="s">
        <v>104</v>
      </c>
      <c r="G847">
        <v>6</v>
      </c>
      <c r="I847" s="40">
        <v>46083</v>
      </c>
      <c r="J847" t="s">
        <v>2703</v>
      </c>
    </row>
    <row r="848" spans="1:10">
      <c r="A848" t="s">
        <v>277</v>
      </c>
      <c r="B848" s="40">
        <v>45902</v>
      </c>
      <c r="C848" t="s">
        <v>1732</v>
      </c>
      <c r="D848" t="s">
        <v>1732</v>
      </c>
      <c r="E848" s="65">
        <v>156766064.00000003</v>
      </c>
      <c r="F848" t="s">
        <v>104</v>
      </c>
      <c r="G848">
        <v>6</v>
      </c>
      <c r="I848" s="40">
        <v>46083</v>
      </c>
      <c r="J848" t="s">
        <v>2833</v>
      </c>
    </row>
    <row r="849" spans="1:10">
      <c r="A849" t="s">
        <v>1038</v>
      </c>
      <c r="B849" s="40">
        <v>45897</v>
      </c>
      <c r="C849" t="s">
        <v>1887</v>
      </c>
      <c r="D849" t="s">
        <v>1887</v>
      </c>
      <c r="E849" s="65">
        <v>26518128</v>
      </c>
      <c r="F849" t="s">
        <v>104</v>
      </c>
      <c r="G849">
        <v>6</v>
      </c>
      <c r="I849" s="40">
        <v>46081</v>
      </c>
    </row>
    <row r="850" spans="1:10">
      <c r="A850" t="s">
        <v>1038</v>
      </c>
      <c r="B850" s="40">
        <v>45897</v>
      </c>
      <c r="C850" t="s">
        <v>2056</v>
      </c>
      <c r="D850" t="s">
        <v>2056</v>
      </c>
      <c r="E850" s="65">
        <v>50236368</v>
      </c>
      <c r="F850" t="s">
        <v>104</v>
      </c>
      <c r="G850">
        <v>6</v>
      </c>
      <c r="I850" s="40">
        <v>46081</v>
      </c>
      <c r="J850" t="s">
        <v>1375</v>
      </c>
    </row>
    <row r="851" spans="1:10">
      <c r="A851" t="s">
        <v>1038</v>
      </c>
      <c r="B851" s="40">
        <v>45897</v>
      </c>
      <c r="C851" t="s">
        <v>1842</v>
      </c>
      <c r="D851" t="s">
        <v>1842</v>
      </c>
      <c r="E851" s="65">
        <v>23478000</v>
      </c>
      <c r="F851" t="s">
        <v>104</v>
      </c>
      <c r="G851">
        <v>6</v>
      </c>
      <c r="I851" s="40">
        <v>46081</v>
      </c>
      <c r="J851" t="s">
        <v>1887</v>
      </c>
    </row>
    <row r="852" spans="1:10">
      <c r="A852" t="s">
        <v>1038</v>
      </c>
      <c r="B852" s="40">
        <v>45897</v>
      </c>
      <c r="C852" t="s">
        <v>1375</v>
      </c>
      <c r="D852" t="s">
        <v>1375</v>
      </c>
      <c r="E852" s="65">
        <v>67507440</v>
      </c>
      <c r="F852" t="s">
        <v>104</v>
      </c>
      <c r="G852">
        <v>6</v>
      </c>
      <c r="I852" s="40">
        <v>46081</v>
      </c>
      <c r="J852" t="s">
        <v>2449</v>
      </c>
    </row>
    <row r="853" spans="1:10">
      <c r="A853" t="s">
        <v>1038</v>
      </c>
      <c r="B853" s="40">
        <v>45897</v>
      </c>
      <c r="C853" t="s">
        <v>2055</v>
      </c>
      <c r="D853" t="s">
        <v>2055</v>
      </c>
      <c r="E853" s="65">
        <v>99996624</v>
      </c>
      <c r="F853" t="s">
        <v>104</v>
      </c>
      <c r="G853">
        <v>6</v>
      </c>
      <c r="I853" s="40">
        <v>46081</v>
      </c>
      <c r="J853" t="s">
        <v>2834</v>
      </c>
    </row>
    <row r="854" spans="1:10">
      <c r="A854" t="s">
        <v>1038</v>
      </c>
      <c r="B854" s="40">
        <v>45897</v>
      </c>
      <c r="C854" t="s">
        <v>2054</v>
      </c>
      <c r="D854" t="s">
        <v>2054</v>
      </c>
      <c r="E854" s="65">
        <v>299998608</v>
      </c>
      <c r="F854" t="s">
        <v>104</v>
      </c>
      <c r="G854">
        <v>6</v>
      </c>
      <c r="I854" s="40">
        <v>46081</v>
      </c>
      <c r="J854" t="s">
        <v>2835</v>
      </c>
    </row>
    <row r="855" spans="1:10">
      <c r="A855" t="s">
        <v>1038</v>
      </c>
      <c r="B855" s="40">
        <v>45897</v>
      </c>
      <c r="C855" t="s">
        <v>2057</v>
      </c>
      <c r="D855" t="s">
        <v>2057</v>
      </c>
      <c r="E855" s="65">
        <v>31820880</v>
      </c>
      <c r="F855" t="s">
        <v>104</v>
      </c>
      <c r="G855">
        <v>6</v>
      </c>
      <c r="I855" s="40">
        <v>46081</v>
      </c>
      <c r="J855" t="s">
        <v>2836</v>
      </c>
    </row>
    <row r="856" spans="1:10">
      <c r="A856" t="s">
        <v>424</v>
      </c>
      <c r="B856" s="40">
        <v>45895</v>
      </c>
      <c r="C856" t="s">
        <v>1556</v>
      </c>
      <c r="D856" t="s">
        <v>1556</v>
      </c>
      <c r="E856" s="65">
        <v>238740285</v>
      </c>
      <c r="F856" t="s">
        <v>104</v>
      </c>
      <c r="G856">
        <v>12</v>
      </c>
      <c r="I856" s="40">
        <v>46260</v>
      </c>
      <c r="J856" t="s">
        <v>2837</v>
      </c>
    </row>
    <row r="857" spans="1:10">
      <c r="A857" t="s">
        <v>585</v>
      </c>
      <c r="B857" s="40">
        <v>45889</v>
      </c>
      <c r="C857" t="s">
        <v>1144</v>
      </c>
      <c r="D857" t="s">
        <v>1144</v>
      </c>
      <c r="E857" s="65">
        <v>117747079.99999999</v>
      </c>
      <c r="F857" t="s">
        <v>104</v>
      </c>
      <c r="G857">
        <v>6</v>
      </c>
      <c r="I857" s="40">
        <v>46073</v>
      </c>
      <c r="J857" t="s">
        <v>2388</v>
      </c>
    </row>
    <row r="858" spans="1:10">
      <c r="A858" t="s">
        <v>585</v>
      </c>
      <c r="B858" s="40">
        <v>45889</v>
      </c>
      <c r="C858" t="s">
        <v>1143</v>
      </c>
      <c r="D858" t="s">
        <v>1143</v>
      </c>
      <c r="E858" s="65">
        <v>392493120</v>
      </c>
      <c r="F858" t="s">
        <v>104</v>
      </c>
      <c r="G858">
        <v>6</v>
      </c>
      <c r="I858" s="40">
        <v>46073</v>
      </c>
      <c r="J858" t="s">
        <v>2838</v>
      </c>
    </row>
    <row r="859" spans="1:10">
      <c r="A859" t="s">
        <v>585</v>
      </c>
      <c r="B859" s="40">
        <v>45889</v>
      </c>
      <c r="C859" t="s">
        <v>1147</v>
      </c>
      <c r="D859" t="s">
        <v>1147</v>
      </c>
      <c r="E859" s="65">
        <v>49998960</v>
      </c>
      <c r="F859" t="s">
        <v>104</v>
      </c>
      <c r="G859">
        <v>6</v>
      </c>
      <c r="I859" s="40">
        <v>46073</v>
      </c>
    </row>
    <row r="860" spans="1:10">
      <c r="A860" t="s">
        <v>585</v>
      </c>
      <c r="B860" s="40">
        <v>45889</v>
      </c>
      <c r="C860" t="s">
        <v>1145</v>
      </c>
      <c r="D860" t="s">
        <v>1145</v>
      </c>
      <c r="E860" s="65">
        <v>99997920</v>
      </c>
      <c r="F860" t="s">
        <v>104</v>
      </c>
      <c r="G860">
        <v>6</v>
      </c>
      <c r="I860" s="40">
        <v>46073</v>
      </c>
      <c r="J860" t="s">
        <v>2445</v>
      </c>
    </row>
    <row r="861" spans="1:10">
      <c r="A861" t="s">
        <v>585</v>
      </c>
      <c r="B861" s="40">
        <v>45889</v>
      </c>
      <c r="C861" t="s">
        <v>1146</v>
      </c>
      <c r="D861" t="s">
        <v>1146</v>
      </c>
      <c r="E861" s="65">
        <v>79997480</v>
      </c>
      <c r="F861" t="s">
        <v>104</v>
      </c>
      <c r="G861">
        <v>6</v>
      </c>
      <c r="I861" s="40">
        <v>46073</v>
      </c>
      <c r="J861" t="s">
        <v>2719</v>
      </c>
    </row>
    <row r="862" spans="1:10">
      <c r="A862" t="s">
        <v>998</v>
      </c>
      <c r="B862" s="40">
        <v>45884</v>
      </c>
      <c r="C862" t="s">
        <v>2123</v>
      </c>
      <c r="D862" t="s">
        <v>2123</v>
      </c>
      <c r="E862" s="65">
        <v>7845600</v>
      </c>
      <c r="F862" t="s">
        <v>104</v>
      </c>
      <c r="G862">
        <v>9</v>
      </c>
      <c r="I862" s="40">
        <v>46157</v>
      </c>
    </row>
    <row r="863" spans="1:10">
      <c r="A863" t="s">
        <v>998</v>
      </c>
      <c r="B863" s="40">
        <v>45884</v>
      </c>
      <c r="C863" t="s">
        <v>2122</v>
      </c>
      <c r="D863" t="s">
        <v>2122</v>
      </c>
      <c r="E863" s="65">
        <v>7845600</v>
      </c>
      <c r="F863" t="s">
        <v>104</v>
      </c>
      <c r="G863">
        <v>9</v>
      </c>
      <c r="I863" s="40">
        <v>46157</v>
      </c>
    </row>
    <row r="864" spans="1:10">
      <c r="A864" t="s">
        <v>998</v>
      </c>
      <c r="B864" s="40">
        <v>45884</v>
      </c>
      <c r="C864" t="s">
        <v>2121</v>
      </c>
      <c r="D864" t="s">
        <v>2121</v>
      </c>
      <c r="E864" s="65">
        <v>15694936</v>
      </c>
      <c r="F864" t="s">
        <v>104</v>
      </c>
      <c r="G864">
        <v>9</v>
      </c>
      <c r="I864" s="40">
        <v>46157</v>
      </c>
      <c r="J864" t="s">
        <v>1950</v>
      </c>
    </row>
    <row r="865" spans="1:10">
      <c r="A865" t="s">
        <v>998</v>
      </c>
      <c r="B865" s="40">
        <v>45884</v>
      </c>
      <c r="C865" t="s">
        <v>2124</v>
      </c>
      <c r="D865" t="s">
        <v>2124</v>
      </c>
      <c r="E865" s="65">
        <v>7845600</v>
      </c>
      <c r="F865" t="s">
        <v>104</v>
      </c>
      <c r="G865">
        <v>9</v>
      </c>
      <c r="I865" s="40">
        <v>46157</v>
      </c>
    </row>
    <row r="866" spans="1:10">
      <c r="A866" t="s">
        <v>998</v>
      </c>
      <c r="B866" s="40">
        <v>45884</v>
      </c>
      <c r="C866" t="s">
        <v>2120</v>
      </c>
      <c r="D866" t="s">
        <v>2120</v>
      </c>
      <c r="E866" s="65">
        <v>39242944</v>
      </c>
      <c r="F866" t="s">
        <v>104</v>
      </c>
      <c r="G866">
        <v>9</v>
      </c>
      <c r="I866" s="40">
        <v>46157</v>
      </c>
      <c r="J866" t="s">
        <v>2839</v>
      </c>
    </row>
    <row r="867" spans="1:10">
      <c r="A867" t="s">
        <v>980</v>
      </c>
      <c r="B867" s="40">
        <v>45880</v>
      </c>
      <c r="C867" t="s">
        <v>1997</v>
      </c>
      <c r="D867" t="s">
        <v>1997</v>
      </c>
      <c r="E867" s="65">
        <v>101014740</v>
      </c>
      <c r="F867" t="s">
        <v>104</v>
      </c>
      <c r="G867">
        <v>6</v>
      </c>
      <c r="I867" s="40">
        <v>46064</v>
      </c>
    </row>
    <row r="868" spans="1:10">
      <c r="A868" t="s">
        <v>1004</v>
      </c>
      <c r="B868" s="40">
        <v>45863</v>
      </c>
      <c r="C868" t="s">
        <v>2840</v>
      </c>
      <c r="D868" t="s">
        <v>2840</v>
      </c>
      <c r="E868" s="65">
        <v>7847000</v>
      </c>
      <c r="F868" t="s">
        <v>104</v>
      </c>
      <c r="G868">
        <v>6</v>
      </c>
      <c r="I868" s="40">
        <v>46047</v>
      </c>
    </row>
    <row r="869" spans="1:10">
      <c r="A869" t="s">
        <v>1004</v>
      </c>
      <c r="B869" s="40">
        <v>45863</v>
      </c>
      <c r="C869" t="s">
        <v>2841</v>
      </c>
      <c r="D869" t="s">
        <v>2841</v>
      </c>
      <c r="E869" s="65">
        <v>7847000</v>
      </c>
      <c r="F869" t="s">
        <v>104</v>
      </c>
      <c r="G869">
        <v>6</v>
      </c>
      <c r="I869" s="40">
        <v>46047</v>
      </c>
    </row>
    <row r="870" spans="1:10">
      <c r="A870" t="s">
        <v>1004</v>
      </c>
      <c r="B870" s="40">
        <v>45863</v>
      </c>
      <c r="C870" t="s">
        <v>2826</v>
      </c>
      <c r="D870" t="s">
        <v>2826</v>
      </c>
      <c r="E870" s="65">
        <v>29435000</v>
      </c>
      <c r="F870" t="s">
        <v>104</v>
      </c>
      <c r="G870">
        <v>6</v>
      </c>
      <c r="I870" s="40">
        <v>46047</v>
      </c>
    </row>
    <row r="871" spans="1:10">
      <c r="A871" t="s">
        <v>1004</v>
      </c>
      <c r="B871" s="40">
        <v>45863</v>
      </c>
      <c r="C871" t="s">
        <v>2842</v>
      </c>
      <c r="D871" t="s">
        <v>2842</v>
      </c>
      <c r="E871" s="65">
        <v>31398500</v>
      </c>
      <c r="F871" t="s">
        <v>104</v>
      </c>
      <c r="G871">
        <v>6</v>
      </c>
      <c r="I871" s="40">
        <v>46047</v>
      </c>
    </row>
    <row r="872" spans="1:10">
      <c r="A872" t="s">
        <v>1004</v>
      </c>
      <c r="B872" s="40">
        <v>45863</v>
      </c>
      <c r="C872" t="s">
        <v>1919</v>
      </c>
      <c r="D872" t="s">
        <v>1919</v>
      </c>
      <c r="E872" s="65">
        <v>49059500</v>
      </c>
      <c r="F872" t="s">
        <v>104</v>
      </c>
      <c r="G872">
        <v>6</v>
      </c>
      <c r="I872" s="40">
        <v>46047</v>
      </c>
    </row>
    <row r="873" spans="1:10">
      <c r="A873" t="s">
        <v>1004</v>
      </c>
      <c r="B873" s="40">
        <v>45863</v>
      </c>
      <c r="C873" t="s">
        <v>2843</v>
      </c>
      <c r="D873" t="s">
        <v>2843</v>
      </c>
      <c r="E873" s="65">
        <v>39245500</v>
      </c>
      <c r="F873" t="s">
        <v>104</v>
      </c>
      <c r="G873">
        <v>6</v>
      </c>
      <c r="I873" s="40">
        <v>46047</v>
      </c>
    </row>
    <row r="874" spans="1:10">
      <c r="A874" t="s">
        <v>1004</v>
      </c>
      <c r="B874" s="40">
        <v>45863</v>
      </c>
      <c r="C874" t="s">
        <v>2095</v>
      </c>
      <c r="D874" t="s">
        <v>2095</v>
      </c>
      <c r="E874" s="65">
        <v>31398500</v>
      </c>
      <c r="F874" t="s">
        <v>104</v>
      </c>
      <c r="G874">
        <v>6</v>
      </c>
      <c r="I874" s="40">
        <v>46047</v>
      </c>
    </row>
    <row r="875" spans="1:10">
      <c r="A875" t="s">
        <v>1004</v>
      </c>
      <c r="B875" s="40">
        <v>45863</v>
      </c>
      <c r="C875" t="s">
        <v>2844</v>
      </c>
      <c r="D875" t="s">
        <v>2844</v>
      </c>
      <c r="E875" s="65">
        <v>23940000</v>
      </c>
      <c r="F875" t="s">
        <v>104</v>
      </c>
      <c r="G875">
        <v>6</v>
      </c>
      <c r="I875" s="40">
        <v>46047</v>
      </c>
    </row>
    <row r="876" spans="1:10">
      <c r="A876" t="s">
        <v>1004</v>
      </c>
      <c r="B876" s="40">
        <v>45863</v>
      </c>
      <c r="C876" t="s">
        <v>2845</v>
      </c>
      <c r="D876" t="s">
        <v>2845</v>
      </c>
      <c r="E876" s="65">
        <v>15305500</v>
      </c>
      <c r="F876" t="s">
        <v>104</v>
      </c>
      <c r="G876">
        <v>6</v>
      </c>
      <c r="I876" s="40">
        <v>46047</v>
      </c>
    </row>
    <row r="877" spans="1:10">
      <c r="A877" t="s">
        <v>1004</v>
      </c>
      <c r="B877" s="40">
        <v>45863</v>
      </c>
      <c r="C877" t="s">
        <v>1840</v>
      </c>
      <c r="D877" t="s">
        <v>1840</v>
      </c>
      <c r="E877" s="65">
        <v>48275500</v>
      </c>
      <c r="F877" t="s">
        <v>104</v>
      </c>
      <c r="G877">
        <v>6</v>
      </c>
      <c r="I877" s="40">
        <v>46047</v>
      </c>
    </row>
    <row r="878" spans="1:10">
      <c r="A878" t="s">
        <v>1004</v>
      </c>
      <c r="B878" s="40">
        <v>45863</v>
      </c>
      <c r="C878" t="s">
        <v>2747</v>
      </c>
      <c r="D878" t="s">
        <v>2747</v>
      </c>
      <c r="E878" s="65">
        <v>4315500</v>
      </c>
      <c r="F878" t="s">
        <v>104</v>
      </c>
      <c r="G878">
        <v>6</v>
      </c>
      <c r="I878" s="40">
        <v>46047</v>
      </c>
    </row>
    <row r="879" spans="1:10">
      <c r="A879" t="s">
        <v>1004</v>
      </c>
      <c r="B879" s="40">
        <v>45863</v>
      </c>
      <c r="C879" t="s">
        <v>1175</v>
      </c>
      <c r="D879" t="s">
        <v>1175</v>
      </c>
      <c r="E879" s="65">
        <v>15697500</v>
      </c>
      <c r="F879" t="s">
        <v>104</v>
      </c>
      <c r="G879">
        <v>6</v>
      </c>
      <c r="I879" s="40">
        <v>46047</v>
      </c>
    </row>
    <row r="880" spans="1:10">
      <c r="A880" t="s">
        <v>1004</v>
      </c>
      <c r="B880" s="40">
        <v>45863</v>
      </c>
      <c r="C880" t="s">
        <v>2020</v>
      </c>
      <c r="D880" t="s">
        <v>2020</v>
      </c>
      <c r="E880" s="65">
        <v>62797000</v>
      </c>
      <c r="F880" t="s">
        <v>104</v>
      </c>
      <c r="G880">
        <v>6</v>
      </c>
      <c r="I880" s="40">
        <v>46047</v>
      </c>
    </row>
    <row r="881" spans="1:10">
      <c r="A881" t="s">
        <v>1004</v>
      </c>
      <c r="B881" s="40">
        <v>45863</v>
      </c>
      <c r="C881" t="s">
        <v>2846</v>
      </c>
      <c r="D881" t="s">
        <v>2846</v>
      </c>
      <c r="E881" s="65">
        <v>31398500</v>
      </c>
      <c r="F881" t="s">
        <v>104</v>
      </c>
      <c r="G881">
        <v>6</v>
      </c>
      <c r="I881" s="40">
        <v>46047</v>
      </c>
    </row>
    <row r="882" spans="1:10">
      <c r="A882" t="s">
        <v>1004</v>
      </c>
      <c r="B882" s="40">
        <v>45863</v>
      </c>
      <c r="C882" t="s">
        <v>1274</v>
      </c>
      <c r="D882" t="s">
        <v>1274</v>
      </c>
      <c r="E882" s="65">
        <v>62797000</v>
      </c>
      <c r="F882" t="s">
        <v>104</v>
      </c>
      <c r="G882">
        <v>6</v>
      </c>
      <c r="I882" s="40">
        <v>46047</v>
      </c>
    </row>
    <row r="883" spans="1:10">
      <c r="A883" t="s">
        <v>1004</v>
      </c>
      <c r="B883" s="40">
        <v>45863</v>
      </c>
      <c r="C883" t="s">
        <v>1884</v>
      </c>
      <c r="D883" t="s">
        <v>1884</v>
      </c>
      <c r="E883" s="65">
        <v>74179000</v>
      </c>
      <c r="F883" t="s">
        <v>104</v>
      </c>
      <c r="G883">
        <v>6</v>
      </c>
      <c r="I883" s="40">
        <v>46047</v>
      </c>
    </row>
    <row r="884" spans="1:10">
      <c r="A884" t="s">
        <v>1004</v>
      </c>
      <c r="B884" s="40">
        <v>45863</v>
      </c>
      <c r="C884" t="s">
        <v>2450</v>
      </c>
      <c r="D884" t="s">
        <v>2450</v>
      </c>
      <c r="E884" s="65">
        <v>6671000</v>
      </c>
      <c r="F884" t="s">
        <v>104</v>
      </c>
      <c r="G884">
        <v>6</v>
      </c>
      <c r="I884" s="40">
        <v>46047</v>
      </c>
    </row>
    <row r="885" spans="1:10">
      <c r="A885" t="s">
        <v>819</v>
      </c>
      <c r="B885" s="40">
        <v>45847</v>
      </c>
      <c r="C885" t="s">
        <v>1072</v>
      </c>
      <c r="D885" t="s">
        <v>1072</v>
      </c>
      <c r="E885" s="65">
        <v>62792550</v>
      </c>
      <c r="F885" t="s">
        <v>104</v>
      </c>
      <c r="G885">
        <v>6</v>
      </c>
      <c r="I885" s="40">
        <v>46031</v>
      </c>
    </row>
    <row r="886" spans="1:10">
      <c r="A886" t="s">
        <v>819</v>
      </c>
      <c r="B886" s="40">
        <v>45847</v>
      </c>
      <c r="C886" t="s">
        <v>1211</v>
      </c>
      <c r="D886" t="s">
        <v>1211</v>
      </c>
      <c r="E886" s="65">
        <v>78493700</v>
      </c>
      <c r="F886" t="s">
        <v>104</v>
      </c>
      <c r="G886">
        <v>6</v>
      </c>
      <c r="I886" s="40">
        <v>46031</v>
      </c>
      <c r="J886" t="s">
        <v>2498</v>
      </c>
    </row>
    <row r="887" spans="1:10">
      <c r="A887" t="s">
        <v>819</v>
      </c>
      <c r="B887" s="40">
        <v>45847</v>
      </c>
      <c r="C887" t="s">
        <v>1210</v>
      </c>
      <c r="D887" t="s">
        <v>1210</v>
      </c>
      <c r="E887" s="65">
        <v>117740550</v>
      </c>
      <c r="F887" t="s">
        <v>104</v>
      </c>
      <c r="G887">
        <v>6</v>
      </c>
      <c r="I887" s="40">
        <v>46031</v>
      </c>
      <c r="J887" t="s">
        <v>2438</v>
      </c>
    </row>
    <row r="888" spans="1:10">
      <c r="A888" t="s">
        <v>819</v>
      </c>
      <c r="B888" s="40">
        <v>45847</v>
      </c>
      <c r="C888" t="s">
        <v>1209</v>
      </c>
      <c r="D888" t="s">
        <v>1209</v>
      </c>
      <c r="E888" s="65">
        <v>196246300</v>
      </c>
      <c r="F888" t="s">
        <v>104</v>
      </c>
      <c r="G888">
        <v>6</v>
      </c>
      <c r="I888" s="40">
        <v>46031</v>
      </c>
      <c r="J888" t="s">
        <v>2405</v>
      </c>
    </row>
    <row r="889" spans="1:10">
      <c r="A889" t="s">
        <v>819</v>
      </c>
      <c r="B889" s="40">
        <v>45847</v>
      </c>
      <c r="C889" t="s">
        <v>2847</v>
      </c>
      <c r="D889" t="s">
        <v>2847</v>
      </c>
      <c r="E889" s="65">
        <v>62792550</v>
      </c>
      <c r="F889" t="s">
        <v>104</v>
      </c>
      <c r="G889">
        <v>6</v>
      </c>
      <c r="I889" s="40">
        <v>46031</v>
      </c>
      <c r="J889" t="s">
        <v>2848</v>
      </c>
    </row>
    <row r="890" spans="1:10">
      <c r="A890" t="s">
        <v>819</v>
      </c>
      <c r="B890" s="40">
        <v>45847</v>
      </c>
      <c r="C890" t="s">
        <v>2849</v>
      </c>
      <c r="D890" t="s">
        <v>2849</v>
      </c>
      <c r="E890" s="65">
        <v>62792550</v>
      </c>
      <c r="F890" t="s">
        <v>104</v>
      </c>
      <c r="G890">
        <v>6</v>
      </c>
      <c r="I890" s="40">
        <v>46031</v>
      </c>
    </row>
    <row r="891" spans="1:10">
      <c r="A891" t="s">
        <v>819</v>
      </c>
      <c r="B891" s="40">
        <v>45847</v>
      </c>
      <c r="C891" t="s">
        <v>2850</v>
      </c>
      <c r="D891" t="s">
        <v>2850</v>
      </c>
      <c r="E891" s="65">
        <v>62792550</v>
      </c>
      <c r="F891" t="s">
        <v>104</v>
      </c>
      <c r="G891">
        <v>6</v>
      </c>
      <c r="I891" s="40">
        <v>46031</v>
      </c>
      <c r="J891" t="s">
        <v>2779</v>
      </c>
    </row>
    <row r="892" spans="1:10">
      <c r="A892" t="s">
        <v>819</v>
      </c>
      <c r="B892" s="40">
        <v>45847</v>
      </c>
      <c r="C892" t="s">
        <v>1069</v>
      </c>
      <c r="D892" t="s">
        <v>1069</v>
      </c>
      <c r="E892" s="65">
        <v>78493700</v>
      </c>
      <c r="F892" t="s">
        <v>104</v>
      </c>
      <c r="G892">
        <v>6</v>
      </c>
      <c r="I892" s="40">
        <v>46031</v>
      </c>
    </row>
    <row r="893" spans="1:10">
      <c r="A893" t="s">
        <v>819</v>
      </c>
      <c r="B893" s="40">
        <v>45847</v>
      </c>
      <c r="C893" t="s">
        <v>1212</v>
      </c>
      <c r="D893" t="s">
        <v>1212</v>
      </c>
      <c r="E893" s="65">
        <v>78493700</v>
      </c>
      <c r="F893" t="s">
        <v>104</v>
      </c>
      <c r="G893">
        <v>6</v>
      </c>
      <c r="I893" s="40">
        <v>46031</v>
      </c>
      <c r="J893" t="s">
        <v>2851</v>
      </c>
    </row>
    <row r="894" spans="1:10">
      <c r="A894" t="s">
        <v>819</v>
      </c>
      <c r="B894" s="40">
        <v>45847</v>
      </c>
      <c r="C894" t="s">
        <v>1834</v>
      </c>
      <c r="D894" t="s">
        <v>1834</v>
      </c>
      <c r="E894" s="65">
        <v>78493700</v>
      </c>
      <c r="F894" t="s">
        <v>104</v>
      </c>
      <c r="G894">
        <v>6</v>
      </c>
      <c r="I894" s="40">
        <v>46031</v>
      </c>
      <c r="J894" t="s">
        <v>2084</v>
      </c>
    </row>
    <row r="895" spans="1:10">
      <c r="A895" t="s">
        <v>499</v>
      </c>
      <c r="B895" s="40">
        <v>45847</v>
      </c>
      <c r="C895" t="s">
        <v>1219</v>
      </c>
      <c r="D895" t="s">
        <v>1219</v>
      </c>
      <c r="E895" s="65">
        <v>196244160</v>
      </c>
      <c r="F895" t="s">
        <v>104</v>
      </c>
      <c r="G895">
        <v>6</v>
      </c>
      <c r="I895" s="40">
        <v>46031</v>
      </c>
    </row>
    <row r="896" spans="1:10">
      <c r="A896" t="s">
        <v>499</v>
      </c>
      <c r="B896" s="40">
        <v>45847</v>
      </c>
      <c r="C896" t="s">
        <v>1325</v>
      </c>
      <c r="D896" t="s">
        <v>1325</v>
      </c>
      <c r="E896" s="65">
        <v>117744480</v>
      </c>
      <c r="F896" t="s">
        <v>104</v>
      </c>
      <c r="G896">
        <v>6</v>
      </c>
      <c r="I896" s="40">
        <v>46031</v>
      </c>
    </row>
    <row r="897" spans="1:10">
      <c r="A897" t="s">
        <v>499</v>
      </c>
      <c r="B897" s="40">
        <v>45847</v>
      </c>
      <c r="C897" t="s">
        <v>2036</v>
      </c>
      <c r="D897" t="s">
        <v>2036</v>
      </c>
      <c r="E897" s="65">
        <v>324240000</v>
      </c>
      <c r="F897" t="s">
        <v>104</v>
      </c>
      <c r="G897">
        <v>6</v>
      </c>
      <c r="I897" s="40">
        <v>46031</v>
      </c>
      <c r="J897" t="s">
        <v>2852</v>
      </c>
    </row>
    <row r="898" spans="1:10">
      <c r="A898" t="s">
        <v>499</v>
      </c>
      <c r="B898" s="40">
        <v>45847</v>
      </c>
      <c r="C898" t="s">
        <v>2037</v>
      </c>
      <c r="D898" t="s">
        <v>2037</v>
      </c>
      <c r="E898" s="65">
        <v>78496320</v>
      </c>
      <c r="F898" t="s">
        <v>104</v>
      </c>
      <c r="G898">
        <v>6</v>
      </c>
      <c r="I898" s="40">
        <v>46031</v>
      </c>
    </row>
    <row r="899" spans="1:10">
      <c r="A899" t="s">
        <v>635</v>
      </c>
      <c r="B899" s="40">
        <v>45847</v>
      </c>
      <c r="C899" t="s">
        <v>1349</v>
      </c>
      <c r="D899" t="s">
        <v>1349</v>
      </c>
      <c r="E899" s="65">
        <v>129490575</v>
      </c>
      <c r="F899" t="s">
        <v>104</v>
      </c>
      <c r="G899">
        <v>6</v>
      </c>
      <c r="I899" s="40">
        <v>46031</v>
      </c>
      <c r="J899" t="s">
        <v>2492</v>
      </c>
    </row>
    <row r="900" spans="1:10">
      <c r="A900" t="s">
        <v>253</v>
      </c>
      <c r="B900" s="40">
        <v>45847</v>
      </c>
      <c r="C900" t="s">
        <v>2853</v>
      </c>
      <c r="D900" t="s">
        <v>2853</v>
      </c>
      <c r="E900" s="65">
        <v>78497604</v>
      </c>
      <c r="F900" t="s">
        <v>104</v>
      </c>
      <c r="G900">
        <v>6</v>
      </c>
      <c r="I900" s="40">
        <v>46031</v>
      </c>
      <c r="J900" t="s">
        <v>2854</v>
      </c>
    </row>
    <row r="901" spans="1:10">
      <c r="A901" t="s">
        <v>253</v>
      </c>
      <c r="B901" s="40">
        <v>45847</v>
      </c>
      <c r="C901" t="s">
        <v>1358</v>
      </c>
      <c r="D901" t="s">
        <v>1358</v>
      </c>
      <c r="E901" s="65">
        <v>78497604</v>
      </c>
      <c r="F901" t="s">
        <v>104</v>
      </c>
      <c r="G901">
        <v>6</v>
      </c>
      <c r="I901" s="40">
        <v>46031</v>
      </c>
    </row>
    <row r="902" spans="1:10">
      <c r="A902" t="s">
        <v>253</v>
      </c>
      <c r="B902" s="40">
        <v>45847</v>
      </c>
      <c r="C902" t="s">
        <v>1092</v>
      </c>
      <c r="D902" t="s">
        <v>1092</v>
      </c>
      <c r="E902" s="65">
        <v>196249464</v>
      </c>
      <c r="F902" t="s">
        <v>104</v>
      </c>
      <c r="G902">
        <v>6</v>
      </c>
      <c r="I902" s="40">
        <v>46031</v>
      </c>
    </row>
    <row r="903" spans="1:10">
      <c r="A903" t="s">
        <v>253</v>
      </c>
      <c r="B903" s="40">
        <v>45847</v>
      </c>
      <c r="C903" t="s">
        <v>2051</v>
      </c>
      <c r="D903" t="s">
        <v>2051</v>
      </c>
      <c r="E903" s="65">
        <v>47097108</v>
      </c>
      <c r="F903" t="s">
        <v>104</v>
      </c>
      <c r="G903">
        <v>6</v>
      </c>
      <c r="I903" s="40">
        <v>46031</v>
      </c>
    </row>
    <row r="904" spans="1:10">
      <c r="A904" t="s">
        <v>253</v>
      </c>
      <c r="B904" s="40">
        <v>45847</v>
      </c>
      <c r="C904" t="s">
        <v>1410</v>
      </c>
      <c r="D904" t="s">
        <v>1410</v>
      </c>
      <c r="E904" s="65">
        <v>156998844</v>
      </c>
      <c r="F904" t="s">
        <v>104</v>
      </c>
      <c r="G904">
        <v>6</v>
      </c>
      <c r="I904" s="40">
        <v>46031</v>
      </c>
    </row>
    <row r="905" spans="1:10">
      <c r="A905" t="s">
        <v>253</v>
      </c>
      <c r="B905" s="40">
        <v>45847</v>
      </c>
      <c r="C905" t="s">
        <v>1284</v>
      </c>
      <c r="D905" t="s">
        <v>1284</v>
      </c>
      <c r="E905" s="65">
        <v>117748224</v>
      </c>
      <c r="F905" t="s">
        <v>104</v>
      </c>
      <c r="G905">
        <v>6</v>
      </c>
      <c r="I905" s="40">
        <v>46031</v>
      </c>
      <c r="J905" t="s">
        <v>2855</v>
      </c>
    </row>
    <row r="906" spans="1:10">
      <c r="A906" t="s">
        <v>253</v>
      </c>
      <c r="B906" s="40">
        <v>45847</v>
      </c>
      <c r="C906" t="s">
        <v>1411</v>
      </c>
      <c r="D906" t="s">
        <v>1411</v>
      </c>
      <c r="E906" s="65">
        <v>117748224</v>
      </c>
      <c r="F906" t="s">
        <v>104</v>
      </c>
      <c r="G906">
        <v>6</v>
      </c>
      <c r="I906" s="40">
        <v>46031</v>
      </c>
    </row>
    <row r="907" spans="1:10">
      <c r="A907" t="s">
        <v>253</v>
      </c>
      <c r="B907" s="40">
        <v>45847</v>
      </c>
      <c r="C907" t="s">
        <v>1335</v>
      </c>
      <c r="D907" t="s">
        <v>1335</v>
      </c>
      <c r="E907" s="65">
        <v>235500084</v>
      </c>
      <c r="F907" t="s">
        <v>104</v>
      </c>
      <c r="G907">
        <v>6</v>
      </c>
      <c r="I907" s="40">
        <v>46031</v>
      </c>
    </row>
    <row r="908" spans="1:10">
      <c r="A908" t="s">
        <v>253</v>
      </c>
      <c r="B908" s="40">
        <v>45847</v>
      </c>
      <c r="C908" t="s">
        <v>1359</v>
      </c>
      <c r="D908" t="s">
        <v>1359</v>
      </c>
      <c r="E908" s="65">
        <v>78497604</v>
      </c>
      <c r="F908" t="s">
        <v>104</v>
      </c>
      <c r="G908">
        <v>6</v>
      </c>
      <c r="I908" s="40">
        <v>46031</v>
      </c>
    </row>
    <row r="909" spans="1:10">
      <c r="A909" t="s">
        <v>253</v>
      </c>
      <c r="B909" s="40">
        <v>45847</v>
      </c>
      <c r="C909" t="s">
        <v>1119</v>
      </c>
      <c r="D909" t="s">
        <v>1119</v>
      </c>
      <c r="E909" s="65">
        <v>392502564</v>
      </c>
      <c r="F909" t="s">
        <v>104</v>
      </c>
      <c r="G909">
        <v>6</v>
      </c>
      <c r="I909" s="40">
        <v>46031</v>
      </c>
    </row>
    <row r="910" spans="1:10">
      <c r="A910" t="s">
        <v>299</v>
      </c>
      <c r="B910" s="40">
        <v>45845</v>
      </c>
      <c r="C910" t="s">
        <v>1087</v>
      </c>
      <c r="D910" t="s">
        <v>1087</v>
      </c>
      <c r="E910" s="65">
        <v>1169997200</v>
      </c>
      <c r="F910" t="s">
        <v>104</v>
      </c>
      <c r="G910">
        <v>6</v>
      </c>
      <c r="I910" s="40">
        <v>46029</v>
      </c>
      <c r="J910" t="s">
        <v>2856</v>
      </c>
    </row>
    <row r="911" spans="1:10">
      <c r="A911" t="s">
        <v>299</v>
      </c>
      <c r="B911" s="40">
        <v>45845</v>
      </c>
      <c r="C911" t="s">
        <v>1088</v>
      </c>
      <c r="D911" t="s">
        <v>1088</v>
      </c>
      <c r="E911" s="65">
        <v>779999400</v>
      </c>
      <c r="F911" t="s">
        <v>104</v>
      </c>
      <c r="G911">
        <v>6</v>
      </c>
      <c r="I911" s="40">
        <v>46029</v>
      </c>
      <c r="J911" t="s">
        <v>2857</v>
      </c>
    </row>
    <row r="912" spans="1:10">
      <c r="A912" t="s">
        <v>322</v>
      </c>
      <c r="B912" s="40">
        <v>45842</v>
      </c>
      <c r="C912" t="s">
        <v>1323</v>
      </c>
      <c r="D912" t="s">
        <v>1323</v>
      </c>
      <c r="E912" s="65">
        <v>156984000</v>
      </c>
      <c r="F912" t="s">
        <v>104</v>
      </c>
      <c r="G912">
        <v>6</v>
      </c>
      <c r="I912" s="40">
        <v>46026</v>
      </c>
      <c r="J912" t="s">
        <v>2425</v>
      </c>
    </row>
    <row r="913" spans="1:10">
      <c r="A913" t="s">
        <v>322</v>
      </c>
      <c r="B913" s="40">
        <v>45842</v>
      </c>
      <c r="C913" t="s">
        <v>1635</v>
      </c>
      <c r="D913" t="s">
        <v>1635</v>
      </c>
      <c r="E913" s="65">
        <v>156984000</v>
      </c>
      <c r="F913" t="s">
        <v>104</v>
      </c>
      <c r="G913">
        <v>6</v>
      </c>
      <c r="I913" s="40">
        <v>46026</v>
      </c>
    </row>
    <row r="914" spans="1:10">
      <c r="A914" t="s">
        <v>322</v>
      </c>
      <c r="B914" s="40">
        <v>45842</v>
      </c>
      <c r="C914" t="s">
        <v>2849</v>
      </c>
      <c r="D914" t="s">
        <v>2849</v>
      </c>
      <c r="E914" s="65">
        <v>78492000</v>
      </c>
      <c r="F914" t="s">
        <v>104</v>
      </c>
      <c r="G914">
        <v>6</v>
      </c>
      <c r="I914" s="40">
        <v>46026</v>
      </c>
      <c r="J914" t="s">
        <v>1410</v>
      </c>
    </row>
    <row r="915" spans="1:10">
      <c r="A915" t="s">
        <v>322</v>
      </c>
      <c r="B915" s="40">
        <v>45842</v>
      </c>
      <c r="C915" t="s">
        <v>1637</v>
      </c>
      <c r="D915" t="s">
        <v>1637</v>
      </c>
      <c r="E915" s="65">
        <v>78492000</v>
      </c>
      <c r="F915" t="s">
        <v>104</v>
      </c>
      <c r="G915">
        <v>6</v>
      </c>
      <c r="I915" s="40">
        <v>46026</v>
      </c>
      <c r="J915" t="s">
        <v>2858</v>
      </c>
    </row>
    <row r="916" spans="1:10">
      <c r="A916" t="s">
        <v>322</v>
      </c>
      <c r="B916" s="40">
        <v>45842</v>
      </c>
      <c r="C916" t="s">
        <v>1636</v>
      </c>
      <c r="D916" t="s">
        <v>1636</v>
      </c>
      <c r="E916" s="65">
        <v>156984000</v>
      </c>
      <c r="F916" t="s">
        <v>104</v>
      </c>
      <c r="G916">
        <v>6</v>
      </c>
      <c r="I916" s="40">
        <v>46026</v>
      </c>
    </row>
    <row r="917" spans="1:10">
      <c r="A917" t="s">
        <v>322</v>
      </c>
      <c r="B917" s="40">
        <v>45842</v>
      </c>
      <c r="C917" t="s">
        <v>1638</v>
      </c>
      <c r="D917" t="s">
        <v>1638</v>
      </c>
      <c r="E917" s="65">
        <v>78492000</v>
      </c>
      <c r="F917" t="s">
        <v>104</v>
      </c>
      <c r="G917">
        <v>6</v>
      </c>
      <c r="I917" s="40">
        <v>46026</v>
      </c>
      <c r="J917" t="s">
        <v>2859</v>
      </c>
    </row>
    <row r="918" spans="1:10">
      <c r="A918" t="s">
        <v>1010</v>
      </c>
      <c r="B918" s="40">
        <v>45841</v>
      </c>
      <c r="C918" t="s">
        <v>1905</v>
      </c>
      <c r="D918" t="s">
        <v>1905</v>
      </c>
      <c r="E918" s="65">
        <v>156994400</v>
      </c>
      <c r="F918" t="s">
        <v>104</v>
      </c>
      <c r="J918" t="s">
        <v>2685</v>
      </c>
    </row>
    <row r="919" spans="1:10">
      <c r="A919" t="s">
        <v>1010</v>
      </c>
      <c r="B919" s="40">
        <v>45841</v>
      </c>
      <c r="C919" t="s">
        <v>1271</v>
      </c>
      <c r="D919" t="s">
        <v>1271</v>
      </c>
      <c r="E919" s="65">
        <v>21977600</v>
      </c>
      <c r="F919" t="s">
        <v>104</v>
      </c>
      <c r="G919">
        <v>6</v>
      </c>
      <c r="I919" s="40">
        <v>46025</v>
      </c>
      <c r="J919" t="s">
        <v>2860</v>
      </c>
    </row>
    <row r="920" spans="1:10">
      <c r="A920" t="s">
        <v>850</v>
      </c>
      <c r="B920" s="40">
        <v>45838</v>
      </c>
      <c r="C920" t="s">
        <v>1187</v>
      </c>
      <c r="D920" t="s">
        <v>1187</v>
      </c>
      <c r="E920" s="65">
        <v>39244500</v>
      </c>
      <c r="F920" t="s">
        <v>104</v>
      </c>
      <c r="G920">
        <v>6</v>
      </c>
      <c r="I920" s="40">
        <v>46021</v>
      </c>
    </row>
    <row r="921" spans="1:10">
      <c r="A921" t="s">
        <v>850</v>
      </c>
      <c r="B921" s="40">
        <v>45838</v>
      </c>
      <c r="C921" t="s">
        <v>1188</v>
      </c>
      <c r="D921" t="s">
        <v>1188</v>
      </c>
      <c r="E921" s="65">
        <v>39244500</v>
      </c>
      <c r="F921" t="s">
        <v>104</v>
      </c>
      <c r="G921">
        <v>6</v>
      </c>
      <c r="I921" s="40">
        <v>46021</v>
      </c>
      <c r="J921" t="s">
        <v>1188</v>
      </c>
    </row>
    <row r="922" spans="1:10">
      <c r="A922" t="s">
        <v>727</v>
      </c>
      <c r="B922" s="40">
        <v>45838</v>
      </c>
      <c r="C922" t="s">
        <v>2577</v>
      </c>
      <c r="D922" t="s">
        <v>2577</v>
      </c>
      <c r="E922" s="65">
        <v>23541040</v>
      </c>
      <c r="F922" t="s">
        <v>104</v>
      </c>
      <c r="G922">
        <v>6</v>
      </c>
      <c r="I922" s="40">
        <v>46021</v>
      </c>
      <c r="J922" t="s">
        <v>2578</v>
      </c>
    </row>
    <row r="923" spans="1:10">
      <c r="A923" t="s">
        <v>727</v>
      </c>
      <c r="B923" s="40">
        <v>45838</v>
      </c>
      <c r="C923" t="s">
        <v>1211</v>
      </c>
      <c r="D923" t="s">
        <v>1211</v>
      </c>
      <c r="E923" s="65">
        <v>23541040</v>
      </c>
      <c r="F923" t="s">
        <v>104</v>
      </c>
      <c r="G923">
        <v>6</v>
      </c>
      <c r="I923" s="40">
        <v>46021</v>
      </c>
      <c r="J923" t="s">
        <v>2498</v>
      </c>
    </row>
    <row r="924" spans="1:10">
      <c r="A924" t="s">
        <v>727</v>
      </c>
      <c r="B924" s="40">
        <v>45838</v>
      </c>
      <c r="C924" t="s">
        <v>1346</v>
      </c>
      <c r="D924" t="s">
        <v>1346</v>
      </c>
      <c r="E924" s="65">
        <v>27466400</v>
      </c>
      <c r="F924" t="s">
        <v>104</v>
      </c>
      <c r="G924">
        <v>6</v>
      </c>
      <c r="I924" s="40">
        <v>46021</v>
      </c>
    </row>
    <row r="925" spans="1:10">
      <c r="A925" t="s">
        <v>727</v>
      </c>
      <c r="B925" s="40">
        <v>45838</v>
      </c>
      <c r="C925" t="s">
        <v>1345</v>
      </c>
      <c r="D925" t="s">
        <v>1345</v>
      </c>
      <c r="E925" s="65">
        <v>27466400</v>
      </c>
      <c r="F925" t="s">
        <v>104</v>
      </c>
      <c r="G925">
        <v>6</v>
      </c>
      <c r="I925" s="40">
        <v>46021</v>
      </c>
    </row>
    <row r="926" spans="1:10">
      <c r="A926" t="s">
        <v>727</v>
      </c>
      <c r="B926" s="40">
        <v>45838</v>
      </c>
      <c r="C926" t="s">
        <v>1344</v>
      </c>
      <c r="D926" t="s">
        <v>1344</v>
      </c>
      <c r="E926" s="65">
        <v>27466400</v>
      </c>
      <c r="F926" t="s">
        <v>104</v>
      </c>
      <c r="G926">
        <v>6</v>
      </c>
      <c r="I926" s="40">
        <v>46021</v>
      </c>
      <c r="J926" t="s">
        <v>2861</v>
      </c>
    </row>
    <row r="927" spans="1:10">
      <c r="A927" t="s">
        <v>727</v>
      </c>
      <c r="B927" s="40">
        <v>45838</v>
      </c>
      <c r="C927" t="s">
        <v>1119</v>
      </c>
      <c r="D927" t="s">
        <v>1119</v>
      </c>
      <c r="E927" s="65">
        <v>62783520</v>
      </c>
      <c r="F927" t="s">
        <v>104</v>
      </c>
      <c r="G927">
        <v>6</v>
      </c>
      <c r="I927" s="40">
        <v>46021</v>
      </c>
      <c r="J927" t="s">
        <v>2391</v>
      </c>
    </row>
    <row r="928" spans="1:10">
      <c r="A928" t="s">
        <v>727</v>
      </c>
      <c r="B928" s="40">
        <v>45838</v>
      </c>
      <c r="C928" t="s">
        <v>2056</v>
      </c>
      <c r="D928" t="s">
        <v>2056</v>
      </c>
      <c r="E928" s="65">
        <v>23541040</v>
      </c>
      <c r="F928" t="s">
        <v>104</v>
      </c>
      <c r="G928">
        <v>6</v>
      </c>
      <c r="I928" s="40">
        <v>46021</v>
      </c>
    </row>
    <row r="929" spans="1:10">
      <c r="A929" t="s">
        <v>727</v>
      </c>
      <c r="B929" s="40">
        <v>45838</v>
      </c>
      <c r="C929" t="s">
        <v>2381</v>
      </c>
      <c r="D929" t="s">
        <v>2381</v>
      </c>
      <c r="E929" s="65">
        <v>23541040</v>
      </c>
      <c r="F929" t="s">
        <v>104</v>
      </c>
      <c r="G929">
        <v>6</v>
      </c>
      <c r="I929" s="40">
        <v>46021</v>
      </c>
      <c r="J929" t="s">
        <v>2382</v>
      </c>
    </row>
    <row r="930" spans="1:10">
      <c r="A930" t="s">
        <v>727</v>
      </c>
      <c r="B930" s="40">
        <v>45838</v>
      </c>
      <c r="C930" t="s">
        <v>1347</v>
      </c>
      <c r="D930" t="s">
        <v>1347</v>
      </c>
      <c r="E930" s="65">
        <v>23541040</v>
      </c>
      <c r="F930" t="s">
        <v>104</v>
      </c>
      <c r="G930">
        <v>6</v>
      </c>
      <c r="I930" s="40">
        <v>46021</v>
      </c>
    </row>
    <row r="931" spans="1:10">
      <c r="A931" t="s">
        <v>727</v>
      </c>
      <c r="B931" s="40">
        <v>45838</v>
      </c>
      <c r="C931" t="s">
        <v>2765</v>
      </c>
      <c r="D931" t="s">
        <v>2765</v>
      </c>
      <c r="E931" s="65">
        <v>23541040</v>
      </c>
      <c r="F931" t="s">
        <v>104</v>
      </c>
      <c r="G931">
        <v>6</v>
      </c>
      <c r="I931" s="40">
        <v>46021</v>
      </c>
      <c r="J931" t="s">
        <v>2766</v>
      </c>
    </row>
    <row r="932" spans="1:10">
      <c r="A932" t="s">
        <v>727</v>
      </c>
      <c r="B932" s="40">
        <v>45838</v>
      </c>
      <c r="C932" t="s">
        <v>1571</v>
      </c>
      <c r="D932" t="s">
        <v>1571</v>
      </c>
      <c r="E932" s="65">
        <v>23541040</v>
      </c>
      <c r="F932" t="s">
        <v>104</v>
      </c>
      <c r="G932">
        <v>6</v>
      </c>
      <c r="I932" s="40">
        <v>46021</v>
      </c>
      <c r="J932" t="s">
        <v>2667</v>
      </c>
    </row>
    <row r="933" spans="1:10">
      <c r="A933" t="s">
        <v>672</v>
      </c>
      <c r="B933" s="40">
        <v>45838</v>
      </c>
      <c r="C933" t="s">
        <v>1232</v>
      </c>
      <c r="D933" t="s">
        <v>1232</v>
      </c>
      <c r="E933" s="65">
        <v>43259100</v>
      </c>
      <c r="F933" t="s">
        <v>104</v>
      </c>
      <c r="G933">
        <v>12</v>
      </c>
      <c r="I933" s="40">
        <v>46203</v>
      </c>
      <c r="J933" t="s">
        <v>2862</v>
      </c>
    </row>
    <row r="934" spans="1:10">
      <c r="A934" t="s">
        <v>672</v>
      </c>
      <c r="B934" s="40">
        <v>45838</v>
      </c>
      <c r="C934" t="s">
        <v>2071</v>
      </c>
      <c r="D934" t="s">
        <v>2071</v>
      </c>
      <c r="E934" s="65">
        <v>29999700</v>
      </c>
      <c r="F934" t="s">
        <v>104</v>
      </c>
      <c r="G934">
        <v>12</v>
      </c>
      <c r="I934" s="40">
        <v>46203</v>
      </c>
      <c r="J934" t="s">
        <v>2863</v>
      </c>
    </row>
    <row r="935" spans="1:10">
      <c r="A935" t="s">
        <v>672</v>
      </c>
      <c r="B935" s="40">
        <v>45838</v>
      </c>
      <c r="C935" t="s">
        <v>2072</v>
      </c>
      <c r="D935" t="s">
        <v>2072</v>
      </c>
      <c r="E935" s="65">
        <v>21627500</v>
      </c>
      <c r="F935" t="s">
        <v>104</v>
      </c>
      <c r="G935">
        <v>12</v>
      </c>
      <c r="I935" s="40">
        <v>46203</v>
      </c>
      <c r="J935" t="s">
        <v>2864</v>
      </c>
    </row>
    <row r="936" spans="1:10">
      <c r="A936" t="s">
        <v>745</v>
      </c>
      <c r="B936" s="40">
        <v>45834</v>
      </c>
      <c r="C936" t="s">
        <v>1830</v>
      </c>
      <c r="D936" t="s">
        <v>1830</v>
      </c>
      <c r="E936" s="65">
        <v>101990000</v>
      </c>
      <c r="F936" t="s">
        <v>104</v>
      </c>
      <c r="G936">
        <v>6</v>
      </c>
      <c r="I936" s="40">
        <v>46017</v>
      </c>
    </row>
    <row r="937" spans="1:10">
      <c r="A937" t="s">
        <v>745</v>
      </c>
      <c r="B937" s="40">
        <v>45834</v>
      </c>
      <c r="C937" t="s">
        <v>1833</v>
      </c>
      <c r="D937" t="s">
        <v>1833</v>
      </c>
      <c r="E937" s="65">
        <v>47086480</v>
      </c>
      <c r="F937" t="s">
        <v>104</v>
      </c>
      <c r="G937">
        <v>6</v>
      </c>
      <c r="I937" s="40">
        <v>46017</v>
      </c>
    </row>
    <row r="938" spans="1:10">
      <c r="A938" t="s">
        <v>745</v>
      </c>
      <c r="B938" s="40">
        <v>45834</v>
      </c>
      <c r="C938" t="s">
        <v>2865</v>
      </c>
      <c r="D938" t="s">
        <v>2865</v>
      </c>
      <c r="E938" s="65">
        <v>7846650</v>
      </c>
      <c r="F938" t="s">
        <v>104</v>
      </c>
      <c r="G938">
        <v>6</v>
      </c>
      <c r="I938" s="40">
        <v>46017</v>
      </c>
    </row>
    <row r="939" spans="1:10">
      <c r="A939" t="s">
        <v>745</v>
      </c>
      <c r="B939" s="40">
        <v>45834</v>
      </c>
      <c r="C939" t="s">
        <v>1832</v>
      </c>
      <c r="D939" t="s">
        <v>1832</v>
      </c>
      <c r="E939" s="65">
        <v>49998130</v>
      </c>
      <c r="F939" t="s">
        <v>104</v>
      </c>
      <c r="G939">
        <v>6</v>
      </c>
      <c r="I939" s="40">
        <v>46017</v>
      </c>
    </row>
    <row r="940" spans="1:10">
      <c r="A940" t="s">
        <v>745</v>
      </c>
      <c r="B940" s="40">
        <v>45834</v>
      </c>
      <c r="C940" t="s">
        <v>1834</v>
      </c>
      <c r="D940" t="s">
        <v>1834</v>
      </c>
      <c r="E940" s="65">
        <v>31389890</v>
      </c>
      <c r="F940" t="s">
        <v>104</v>
      </c>
      <c r="G940">
        <v>6</v>
      </c>
      <c r="I940" s="40">
        <v>46017</v>
      </c>
    </row>
    <row r="941" spans="1:10">
      <c r="A941" t="s">
        <v>745</v>
      </c>
      <c r="B941" s="40">
        <v>45834</v>
      </c>
      <c r="C941" t="s">
        <v>1831</v>
      </c>
      <c r="D941" t="s">
        <v>1831</v>
      </c>
      <c r="E941" s="65">
        <v>54936420</v>
      </c>
      <c r="F941" t="s">
        <v>104</v>
      </c>
      <c r="G941">
        <v>6</v>
      </c>
      <c r="I941" s="40">
        <v>46017</v>
      </c>
    </row>
    <row r="942" spans="1:10">
      <c r="A942" t="s">
        <v>745</v>
      </c>
      <c r="B942" s="40">
        <v>45834</v>
      </c>
      <c r="C942" t="s">
        <v>2866</v>
      </c>
      <c r="D942" t="s">
        <v>2866</v>
      </c>
      <c r="E942" s="65">
        <v>31389890</v>
      </c>
      <c r="F942" t="s">
        <v>104</v>
      </c>
      <c r="G942">
        <v>6</v>
      </c>
      <c r="I942" s="40">
        <v>46017</v>
      </c>
    </row>
    <row r="943" spans="1:10">
      <c r="A943" t="s">
        <v>399</v>
      </c>
      <c r="B943" s="40">
        <v>45834</v>
      </c>
      <c r="C943" t="s">
        <v>1583</v>
      </c>
      <c r="D943" t="s">
        <v>1583</v>
      </c>
      <c r="E943" s="65">
        <v>109999200</v>
      </c>
      <c r="F943" t="s">
        <v>104</v>
      </c>
      <c r="G943">
        <v>6</v>
      </c>
      <c r="I943" s="40">
        <v>46017</v>
      </c>
      <c r="J943" t="s">
        <v>2867</v>
      </c>
    </row>
    <row r="944" spans="1:10">
      <c r="A944" t="s">
        <v>399</v>
      </c>
      <c r="B944" s="40">
        <v>45834</v>
      </c>
      <c r="C944" t="s">
        <v>1375</v>
      </c>
      <c r="D944" t="s">
        <v>1375</v>
      </c>
      <c r="E944" s="65">
        <v>19999200</v>
      </c>
      <c r="F944" t="s">
        <v>104</v>
      </c>
      <c r="G944">
        <v>6</v>
      </c>
      <c r="I944" s="40">
        <v>46017</v>
      </c>
      <c r="J944" t="s">
        <v>2449</v>
      </c>
    </row>
    <row r="945" spans="1:10">
      <c r="A945" t="s">
        <v>399</v>
      </c>
      <c r="B945" s="40">
        <v>45834</v>
      </c>
      <c r="C945" t="s">
        <v>2868</v>
      </c>
      <c r="D945" t="s">
        <v>2868</v>
      </c>
      <c r="E945" s="65">
        <v>30000000</v>
      </c>
      <c r="F945" t="s">
        <v>104</v>
      </c>
      <c r="G945">
        <v>6</v>
      </c>
      <c r="I945" s="40">
        <v>46017</v>
      </c>
      <c r="J945" t="s">
        <v>2869</v>
      </c>
    </row>
    <row r="946" spans="1:10">
      <c r="A946" t="s">
        <v>399</v>
      </c>
      <c r="B946" s="40">
        <v>45834</v>
      </c>
      <c r="C946" t="s">
        <v>2870</v>
      </c>
      <c r="D946" t="s">
        <v>2870</v>
      </c>
      <c r="E946" s="65">
        <v>32464800</v>
      </c>
      <c r="F946" t="s">
        <v>104</v>
      </c>
      <c r="G946">
        <v>6</v>
      </c>
      <c r="I946" s="40">
        <v>46017</v>
      </c>
    </row>
    <row r="947" spans="1:10">
      <c r="A947" t="s">
        <v>399</v>
      </c>
      <c r="B947" s="40">
        <v>45834</v>
      </c>
      <c r="C947" t="s">
        <v>1506</v>
      </c>
      <c r="D947" t="s">
        <v>1506</v>
      </c>
      <c r="E947" s="65">
        <v>39242400</v>
      </c>
      <c r="F947" t="s">
        <v>104</v>
      </c>
      <c r="G947">
        <v>6</v>
      </c>
      <c r="I947" s="40">
        <v>46017</v>
      </c>
      <c r="J947" t="s">
        <v>2871</v>
      </c>
    </row>
    <row r="948" spans="1:10">
      <c r="A948" t="s">
        <v>399</v>
      </c>
      <c r="B948" s="40">
        <v>45834</v>
      </c>
      <c r="C948" t="s">
        <v>1300</v>
      </c>
      <c r="D948" t="s">
        <v>1300</v>
      </c>
      <c r="E948" s="65">
        <v>78487200</v>
      </c>
      <c r="F948" t="s">
        <v>104</v>
      </c>
      <c r="G948">
        <v>6</v>
      </c>
      <c r="I948" s="40">
        <v>46017</v>
      </c>
    </row>
    <row r="949" spans="1:10">
      <c r="A949" t="s">
        <v>399</v>
      </c>
      <c r="B949" s="40">
        <v>45834</v>
      </c>
      <c r="C949" t="s">
        <v>1582</v>
      </c>
      <c r="D949" t="s">
        <v>1582</v>
      </c>
      <c r="E949" s="65">
        <v>216115200</v>
      </c>
      <c r="F949" t="s">
        <v>104</v>
      </c>
      <c r="G949">
        <v>6</v>
      </c>
      <c r="I949" s="40">
        <v>46017</v>
      </c>
      <c r="J949" t="s">
        <v>2872</v>
      </c>
    </row>
    <row r="950" spans="1:10">
      <c r="A950" t="s">
        <v>399</v>
      </c>
      <c r="B950" s="40">
        <v>45834</v>
      </c>
      <c r="C950" t="s">
        <v>1584</v>
      </c>
      <c r="D950" t="s">
        <v>1584</v>
      </c>
      <c r="E950" s="65">
        <v>47092800</v>
      </c>
      <c r="F950" t="s">
        <v>104</v>
      </c>
      <c r="G950">
        <v>6</v>
      </c>
      <c r="I950" s="40">
        <v>46017</v>
      </c>
      <c r="J950" t="s">
        <v>2873</v>
      </c>
    </row>
    <row r="951" spans="1:10">
      <c r="A951" t="s">
        <v>605</v>
      </c>
      <c r="B951" s="40">
        <v>45833</v>
      </c>
      <c r="C951" t="s">
        <v>1789</v>
      </c>
      <c r="D951" t="s">
        <v>1789</v>
      </c>
      <c r="E951" s="65">
        <v>42922880</v>
      </c>
      <c r="F951" t="s">
        <v>104</v>
      </c>
      <c r="G951">
        <v>60</v>
      </c>
      <c r="I951" s="40">
        <v>47659</v>
      </c>
      <c r="J951" t="s">
        <v>2874</v>
      </c>
    </row>
    <row r="952" spans="1:10">
      <c r="A952" t="s">
        <v>605</v>
      </c>
      <c r="B952" s="40">
        <v>45833</v>
      </c>
      <c r="C952" t="s">
        <v>1790</v>
      </c>
      <c r="D952" t="s">
        <v>1790</v>
      </c>
      <c r="E952" s="65">
        <v>32192160</v>
      </c>
      <c r="F952" t="s">
        <v>104</v>
      </c>
      <c r="G952">
        <v>36</v>
      </c>
      <c r="I952" s="40">
        <v>46929</v>
      </c>
      <c r="J952" t="s">
        <v>2875</v>
      </c>
    </row>
    <row r="953" spans="1:10">
      <c r="A953" t="s">
        <v>605</v>
      </c>
      <c r="B953" s="40">
        <v>45833</v>
      </c>
      <c r="C953" t="s">
        <v>1791</v>
      </c>
      <c r="D953" t="s">
        <v>1791</v>
      </c>
      <c r="E953" s="65">
        <v>10730720</v>
      </c>
      <c r="F953" t="s">
        <v>104</v>
      </c>
      <c r="G953">
        <v>36</v>
      </c>
      <c r="I953" s="40">
        <v>46929</v>
      </c>
      <c r="J953" t="s">
        <v>2876</v>
      </c>
    </row>
    <row r="954" spans="1:10">
      <c r="A954" t="s">
        <v>344</v>
      </c>
      <c r="B954" s="40">
        <v>45833</v>
      </c>
      <c r="C954" t="s">
        <v>1973</v>
      </c>
      <c r="D954" t="s">
        <v>1973</v>
      </c>
      <c r="E954" s="65">
        <v>122779350</v>
      </c>
      <c r="F954" t="s">
        <v>104</v>
      </c>
      <c r="G954">
        <v>6</v>
      </c>
      <c r="I954" s="40">
        <v>46016</v>
      </c>
      <c r="J954" t="s">
        <v>2877</v>
      </c>
    </row>
    <row r="955" spans="1:10">
      <c r="A955" t="s">
        <v>344</v>
      </c>
      <c r="B955" s="40">
        <v>45833</v>
      </c>
      <c r="C955" t="s">
        <v>1144</v>
      </c>
      <c r="D955" t="s">
        <v>1144</v>
      </c>
      <c r="E955" s="65">
        <v>272685492</v>
      </c>
      <c r="F955" t="s">
        <v>104</v>
      </c>
      <c r="G955">
        <v>6</v>
      </c>
      <c r="I955" s="40">
        <v>46016</v>
      </c>
      <c r="J955" t="s">
        <v>2388</v>
      </c>
    </row>
    <row r="956" spans="1:10">
      <c r="A956" t="s">
        <v>344</v>
      </c>
      <c r="B956" s="40">
        <v>45833</v>
      </c>
      <c r="C956" t="s">
        <v>1411</v>
      </c>
      <c r="D956" t="s">
        <v>1411</v>
      </c>
      <c r="E956" s="65">
        <v>251111556</v>
      </c>
      <c r="F956" t="s">
        <v>104</v>
      </c>
      <c r="G956">
        <v>6</v>
      </c>
      <c r="I956" s="40">
        <v>46016</v>
      </c>
      <c r="J956" t="s">
        <v>2878</v>
      </c>
    </row>
    <row r="957" spans="1:10">
      <c r="A957" t="s">
        <v>344</v>
      </c>
      <c r="B957" s="40">
        <v>45833</v>
      </c>
      <c r="C957" t="s">
        <v>1972</v>
      </c>
      <c r="D957" t="s">
        <v>1972</v>
      </c>
      <c r="E957" s="65">
        <v>163813446</v>
      </c>
      <c r="F957" t="s">
        <v>104</v>
      </c>
      <c r="G957">
        <v>6</v>
      </c>
      <c r="I957" s="40">
        <v>46016</v>
      </c>
      <c r="J957" t="s">
        <v>1590</v>
      </c>
    </row>
    <row r="958" spans="1:10">
      <c r="A958" t="s">
        <v>344</v>
      </c>
      <c r="B958" s="40">
        <v>45833</v>
      </c>
      <c r="C958" t="s">
        <v>1974</v>
      </c>
      <c r="D958" t="s">
        <v>1974</v>
      </c>
      <c r="E958" s="65">
        <v>99997542</v>
      </c>
      <c r="F958" t="s">
        <v>104</v>
      </c>
      <c r="G958">
        <v>6</v>
      </c>
      <c r="I958" s="40">
        <v>46016</v>
      </c>
    </row>
    <row r="959" spans="1:10">
      <c r="A959" t="s">
        <v>344</v>
      </c>
      <c r="B959" s="40">
        <v>45833</v>
      </c>
      <c r="C959" t="s">
        <v>2879</v>
      </c>
      <c r="D959" t="s">
        <v>2879</v>
      </c>
      <c r="E959" s="65">
        <v>39234870</v>
      </c>
      <c r="F959" t="s">
        <v>104</v>
      </c>
      <c r="G959">
        <v>6</v>
      </c>
      <c r="I959" s="40">
        <v>46016</v>
      </c>
      <c r="J959" t="s">
        <v>2880</v>
      </c>
    </row>
    <row r="960" spans="1:10">
      <c r="A960" t="s">
        <v>282</v>
      </c>
      <c r="B960" s="40">
        <v>45831</v>
      </c>
      <c r="C960" t="s">
        <v>1114</v>
      </c>
      <c r="D960" t="s">
        <v>1114</v>
      </c>
      <c r="E960" s="65">
        <v>156894414</v>
      </c>
      <c r="F960" t="s">
        <v>104</v>
      </c>
      <c r="G960">
        <v>6</v>
      </c>
      <c r="I960" s="40">
        <v>46014</v>
      </c>
      <c r="J960" t="s">
        <v>2881</v>
      </c>
    </row>
    <row r="961" spans="1:10">
      <c r="A961" t="s">
        <v>282</v>
      </c>
      <c r="B961" s="40">
        <v>45831</v>
      </c>
      <c r="C961" t="s">
        <v>1302</v>
      </c>
      <c r="D961" t="s">
        <v>1302</v>
      </c>
      <c r="E961" s="65">
        <v>156894414</v>
      </c>
      <c r="F961" t="s">
        <v>104</v>
      </c>
      <c r="G961">
        <v>6</v>
      </c>
      <c r="I961" s="40">
        <v>46014</v>
      </c>
      <c r="J961" t="s">
        <v>2565</v>
      </c>
    </row>
    <row r="962" spans="1:10">
      <c r="A962" t="s">
        <v>282</v>
      </c>
      <c r="B962" s="40">
        <v>45831</v>
      </c>
      <c r="C962" t="s">
        <v>1110</v>
      </c>
      <c r="D962" t="s">
        <v>1110</v>
      </c>
      <c r="E962" s="65">
        <v>706031622</v>
      </c>
      <c r="F962" t="s">
        <v>104</v>
      </c>
      <c r="G962">
        <v>6</v>
      </c>
      <c r="I962" s="40">
        <v>46014</v>
      </c>
    </row>
    <row r="963" spans="1:10">
      <c r="A963" t="s">
        <v>282</v>
      </c>
      <c r="B963" s="40">
        <v>45831</v>
      </c>
      <c r="C963" t="s">
        <v>1069</v>
      </c>
      <c r="D963" t="s">
        <v>1069</v>
      </c>
      <c r="E963" s="65">
        <v>156894414</v>
      </c>
      <c r="F963" t="s">
        <v>104</v>
      </c>
      <c r="G963">
        <v>6</v>
      </c>
      <c r="I963" s="40">
        <v>46014</v>
      </c>
      <c r="J963" t="s">
        <v>2882</v>
      </c>
    </row>
    <row r="964" spans="1:10">
      <c r="A964" t="s">
        <v>282</v>
      </c>
      <c r="B964" s="40">
        <v>45831</v>
      </c>
      <c r="C964" t="s">
        <v>1358</v>
      </c>
      <c r="D964" t="s">
        <v>1358</v>
      </c>
      <c r="E964" s="65">
        <v>235343874</v>
      </c>
      <c r="F964" t="s">
        <v>104</v>
      </c>
      <c r="G964">
        <v>6</v>
      </c>
      <c r="I964" s="40">
        <v>46014</v>
      </c>
      <c r="J964" t="s">
        <v>2399</v>
      </c>
    </row>
    <row r="965" spans="1:10">
      <c r="A965" t="s">
        <v>282</v>
      </c>
      <c r="B965" s="40">
        <v>45831</v>
      </c>
      <c r="C965" t="s">
        <v>2577</v>
      </c>
      <c r="D965" t="s">
        <v>2577</v>
      </c>
      <c r="E965" s="65">
        <v>156894414</v>
      </c>
      <c r="F965" t="s">
        <v>104</v>
      </c>
      <c r="G965">
        <v>6</v>
      </c>
      <c r="I965" s="40">
        <v>46014</v>
      </c>
      <c r="J965" t="s">
        <v>2578</v>
      </c>
    </row>
    <row r="966" spans="1:10">
      <c r="A966" t="s">
        <v>282</v>
      </c>
      <c r="B966" s="40">
        <v>45831</v>
      </c>
      <c r="C966" t="s">
        <v>2624</v>
      </c>
      <c r="D966" t="s">
        <v>2624</v>
      </c>
      <c r="E966" s="65">
        <v>156894414</v>
      </c>
      <c r="F966" t="s">
        <v>104</v>
      </c>
      <c r="G966">
        <v>6</v>
      </c>
      <c r="I966" s="40">
        <v>46014</v>
      </c>
      <c r="J966" t="s">
        <v>2625</v>
      </c>
    </row>
    <row r="967" spans="1:10">
      <c r="A967" t="s">
        <v>282</v>
      </c>
      <c r="B967" s="40">
        <v>45831</v>
      </c>
      <c r="C967" t="s">
        <v>1211</v>
      </c>
      <c r="D967" t="s">
        <v>1211</v>
      </c>
      <c r="E967" s="65">
        <v>156894414</v>
      </c>
      <c r="F967" t="s">
        <v>104</v>
      </c>
      <c r="G967">
        <v>6</v>
      </c>
      <c r="I967" s="40">
        <v>46014</v>
      </c>
      <c r="J967" t="s">
        <v>2498</v>
      </c>
    </row>
    <row r="968" spans="1:10">
      <c r="A968" t="s">
        <v>282</v>
      </c>
      <c r="B968" s="40">
        <v>45831</v>
      </c>
      <c r="C968" t="s">
        <v>1209</v>
      </c>
      <c r="D968" t="s">
        <v>1209</v>
      </c>
      <c r="E968" s="65">
        <v>156894414</v>
      </c>
      <c r="F968" t="s">
        <v>104</v>
      </c>
      <c r="G968">
        <v>6</v>
      </c>
      <c r="I968" s="40">
        <v>46014</v>
      </c>
      <c r="J968" t="s">
        <v>2405</v>
      </c>
    </row>
    <row r="969" spans="1:10">
      <c r="A969" t="s">
        <v>282</v>
      </c>
      <c r="B969" s="40">
        <v>45831</v>
      </c>
      <c r="C969" t="s">
        <v>1315</v>
      </c>
      <c r="D969" t="s">
        <v>1315</v>
      </c>
      <c r="E969" s="65">
        <v>156894414</v>
      </c>
      <c r="F969" t="s">
        <v>104</v>
      </c>
      <c r="G969">
        <v>6</v>
      </c>
      <c r="I969" s="40">
        <v>46014</v>
      </c>
      <c r="J969" t="s">
        <v>2425</v>
      </c>
    </row>
    <row r="970" spans="1:10">
      <c r="A970" t="s">
        <v>282</v>
      </c>
      <c r="B970" s="40">
        <v>45831</v>
      </c>
      <c r="C970" t="s">
        <v>1323</v>
      </c>
      <c r="D970" t="s">
        <v>1323</v>
      </c>
      <c r="E970" s="65">
        <v>156894414</v>
      </c>
      <c r="F970" t="s">
        <v>104</v>
      </c>
      <c r="G970">
        <v>6</v>
      </c>
      <c r="I970" s="40">
        <v>46014</v>
      </c>
      <c r="J970" t="s">
        <v>2425</v>
      </c>
    </row>
    <row r="971" spans="1:10">
      <c r="A971" t="s">
        <v>282</v>
      </c>
      <c r="B971" s="40">
        <v>45831</v>
      </c>
      <c r="C971" t="s">
        <v>1178</v>
      </c>
      <c r="D971" t="s">
        <v>1178</v>
      </c>
      <c r="E971" s="65">
        <v>156894414</v>
      </c>
      <c r="F971" t="s">
        <v>104</v>
      </c>
      <c r="G971">
        <v>6</v>
      </c>
      <c r="I971" s="40">
        <v>46014</v>
      </c>
      <c r="J971" t="s">
        <v>2388</v>
      </c>
    </row>
    <row r="972" spans="1:10">
      <c r="A972" t="s">
        <v>282</v>
      </c>
      <c r="B972" s="40">
        <v>45831</v>
      </c>
      <c r="C972" t="s">
        <v>1094</v>
      </c>
      <c r="D972" t="s">
        <v>1094</v>
      </c>
      <c r="E972" s="65">
        <v>156894414</v>
      </c>
      <c r="F972" t="s">
        <v>104</v>
      </c>
      <c r="G972">
        <v>6</v>
      </c>
      <c r="I972" s="40">
        <v>46014</v>
      </c>
      <c r="J972" t="s">
        <v>2488</v>
      </c>
    </row>
    <row r="973" spans="1:10">
      <c r="A973" t="s">
        <v>282</v>
      </c>
      <c r="B973" s="40">
        <v>45831</v>
      </c>
      <c r="C973" t="s">
        <v>2381</v>
      </c>
      <c r="D973" t="s">
        <v>2381</v>
      </c>
      <c r="E973" s="65">
        <v>156894414</v>
      </c>
      <c r="F973" t="s">
        <v>104</v>
      </c>
      <c r="G973">
        <v>6</v>
      </c>
      <c r="I973" s="40">
        <v>46014</v>
      </c>
      <c r="J973" t="s">
        <v>2382</v>
      </c>
    </row>
    <row r="974" spans="1:10">
      <c r="A974" t="s">
        <v>282</v>
      </c>
      <c r="B974" s="40">
        <v>45831</v>
      </c>
      <c r="C974" t="s">
        <v>1357</v>
      </c>
      <c r="D974" t="s">
        <v>1357</v>
      </c>
      <c r="E974" s="65">
        <v>1113964308</v>
      </c>
      <c r="F974" t="s">
        <v>104</v>
      </c>
      <c r="G974">
        <v>6</v>
      </c>
      <c r="I974" s="40">
        <v>46014</v>
      </c>
      <c r="J974" t="s">
        <v>2586</v>
      </c>
    </row>
    <row r="975" spans="1:10">
      <c r="A975" t="s">
        <v>282</v>
      </c>
      <c r="B975" s="40">
        <v>45831</v>
      </c>
      <c r="C975" t="s">
        <v>1360</v>
      </c>
      <c r="D975" t="s">
        <v>1360</v>
      </c>
      <c r="E975" s="65">
        <v>235343874</v>
      </c>
      <c r="F975" t="s">
        <v>104</v>
      </c>
      <c r="G975">
        <v>6</v>
      </c>
      <c r="I975" s="40">
        <v>46014</v>
      </c>
      <c r="J975" t="s">
        <v>2883</v>
      </c>
    </row>
    <row r="976" spans="1:10">
      <c r="A976" t="s">
        <v>282</v>
      </c>
      <c r="B976" s="40">
        <v>45831</v>
      </c>
      <c r="C976" t="s">
        <v>1359</v>
      </c>
      <c r="D976" t="s">
        <v>1359</v>
      </c>
      <c r="E976" s="65">
        <v>235343874</v>
      </c>
      <c r="F976" t="s">
        <v>104</v>
      </c>
      <c r="G976">
        <v>6</v>
      </c>
      <c r="I976" s="40">
        <v>46014</v>
      </c>
      <c r="J976" t="s">
        <v>2884</v>
      </c>
    </row>
    <row r="977" spans="1:10">
      <c r="A977" t="s">
        <v>622</v>
      </c>
      <c r="B977" s="40">
        <v>45831</v>
      </c>
      <c r="C977" t="s">
        <v>1347</v>
      </c>
      <c r="D977" t="s">
        <v>1347</v>
      </c>
      <c r="E977" s="65">
        <v>149041116</v>
      </c>
      <c r="F977" t="s">
        <v>104</v>
      </c>
      <c r="G977">
        <v>6</v>
      </c>
      <c r="I977" s="40">
        <v>46015</v>
      </c>
      <c r="J977" t="s">
        <v>2540</v>
      </c>
    </row>
    <row r="978" spans="1:10">
      <c r="A978" t="s">
        <v>1014</v>
      </c>
      <c r="B978" s="40">
        <v>45831</v>
      </c>
      <c r="C978" t="s">
        <v>1987</v>
      </c>
      <c r="D978" t="s">
        <v>1987</v>
      </c>
      <c r="E978" s="65">
        <v>75487575</v>
      </c>
      <c r="F978" t="s">
        <v>104</v>
      </c>
      <c r="G978">
        <v>6</v>
      </c>
      <c r="I978" s="40">
        <v>46014</v>
      </c>
    </row>
    <row r="979" spans="1:10">
      <c r="A979" t="s">
        <v>1014</v>
      </c>
      <c r="B979" s="40">
        <v>45831</v>
      </c>
      <c r="C979" t="s">
        <v>1991</v>
      </c>
      <c r="D979" t="s">
        <v>1991</v>
      </c>
      <c r="E979" s="65">
        <v>9895375</v>
      </c>
      <c r="F979" t="s">
        <v>104</v>
      </c>
      <c r="G979">
        <v>6</v>
      </c>
      <c r="I979" s="40">
        <v>46014</v>
      </c>
    </row>
    <row r="980" spans="1:10">
      <c r="A980" t="s">
        <v>1014</v>
      </c>
      <c r="B980" s="40">
        <v>45831</v>
      </c>
      <c r="C980" t="s">
        <v>1988</v>
      </c>
      <c r="D980" t="s">
        <v>1988</v>
      </c>
      <c r="E980" s="65">
        <v>21592300</v>
      </c>
      <c r="F980" t="s">
        <v>104</v>
      </c>
      <c r="G980">
        <v>6</v>
      </c>
      <c r="I980" s="40">
        <v>46014</v>
      </c>
    </row>
    <row r="981" spans="1:10">
      <c r="A981" t="s">
        <v>1014</v>
      </c>
      <c r="B981" s="40">
        <v>45831</v>
      </c>
      <c r="C981" t="s">
        <v>1989</v>
      </c>
      <c r="D981" t="s">
        <v>1989</v>
      </c>
      <c r="E981" s="65">
        <v>10802725</v>
      </c>
      <c r="F981" t="s">
        <v>104</v>
      </c>
      <c r="G981">
        <v>6</v>
      </c>
      <c r="I981" s="40">
        <v>46014</v>
      </c>
    </row>
    <row r="982" spans="1:10">
      <c r="A982" t="s">
        <v>1014</v>
      </c>
      <c r="B982" s="40">
        <v>45831</v>
      </c>
      <c r="C982" t="s">
        <v>1990</v>
      </c>
      <c r="D982" t="s">
        <v>1990</v>
      </c>
      <c r="E982" s="65">
        <v>10750125</v>
      </c>
      <c r="F982" t="s">
        <v>104</v>
      </c>
      <c r="G982">
        <v>6</v>
      </c>
      <c r="I982" s="40">
        <v>46014</v>
      </c>
    </row>
    <row r="983" spans="1:10">
      <c r="A983" t="s">
        <v>279</v>
      </c>
      <c r="B983" s="40">
        <v>45827</v>
      </c>
      <c r="C983" t="s">
        <v>1113</v>
      </c>
      <c r="D983" t="s">
        <v>1113</v>
      </c>
      <c r="E983" s="65">
        <v>2745550500</v>
      </c>
      <c r="F983" t="s">
        <v>104</v>
      </c>
      <c r="G983">
        <v>6</v>
      </c>
      <c r="I983" s="40">
        <v>46010</v>
      </c>
      <c r="J983" t="s">
        <v>2885</v>
      </c>
    </row>
    <row r="984" spans="1:10">
      <c r="A984" t="s">
        <v>279</v>
      </c>
      <c r="B984" s="40">
        <v>45827</v>
      </c>
      <c r="C984" t="s">
        <v>2886</v>
      </c>
      <c r="D984" t="s">
        <v>2886</v>
      </c>
      <c r="E984" s="65">
        <v>78444300</v>
      </c>
      <c r="F984" t="s">
        <v>104</v>
      </c>
      <c r="G984">
        <v>6</v>
      </c>
      <c r="I984" s="40">
        <v>46010</v>
      </c>
      <c r="J984" t="s">
        <v>2887</v>
      </c>
    </row>
    <row r="985" spans="1:10">
      <c r="A985" t="s">
        <v>279</v>
      </c>
      <c r="B985" s="40">
        <v>45827</v>
      </c>
      <c r="C985" t="s">
        <v>2600</v>
      </c>
      <c r="D985" t="s">
        <v>2600</v>
      </c>
      <c r="E985" s="65">
        <v>117666449.99999999</v>
      </c>
      <c r="F985" t="s">
        <v>104</v>
      </c>
      <c r="G985">
        <v>6</v>
      </c>
      <c r="I985" s="40">
        <v>46010</v>
      </c>
      <c r="J985" t="s">
        <v>2601</v>
      </c>
    </row>
    <row r="986" spans="1:10">
      <c r="A986" t="s">
        <v>279</v>
      </c>
      <c r="B986" s="40">
        <v>45827</v>
      </c>
      <c r="C986" t="s">
        <v>1110</v>
      </c>
      <c r="D986" t="s">
        <v>1110</v>
      </c>
      <c r="E986" s="65">
        <v>470669429.99999994</v>
      </c>
      <c r="F986" t="s">
        <v>104</v>
      </c>
      <c r="G986">
        <v>6</v>
      </c>
      <c r="I986" s="40">
        <v>46010</v>
      </c>
    </row>
    <row r="987" spans="1:10">
      <c r="A987" t="s">
        <v>279</v>
      </c>
      <c r="B987" s="40">
        <v>45827</v>
      </c>
      <c r="C987" t="s">
        <v>1312</v>
      </c>
      <c r="D987" t="s">
        <v>1312</v>
      </c>
      <c r="E987" s="65">
        <v>235332899.99999997</v>
      </c>
      <c r="F987" t="s">
        <v>104</v>
      </c>
      <c r="G987">
        <v>6</v>
      </c>
      <c r="I987" s="40">
        <v>46010</v>
      </c>
      <c r="J987" t="s">
        <v>2620</v>
      </c>
    </row>
    <row r="988" spans="1:10">
      <c r="A988" t="s">
        <v>279</v>
      </c>
      <c r="B988" s="40">
        <v>45827</v>
      </c>
      <c r="C988" t="s">
        <v>1311</v>
      </c>
      <c r="D988" t="s">
        <v>1311</v>
      </c>
      <c r="E988" s="65">
        <v>392221499.99999994</v>
      </c>
      <c r="F988" t="s">
        <v>104</v>
      </c>
      <c r="G988">
        <v>6</v>
      </c>
      <c r="I988" s="40">
        <v>46010</v>
      </c>
      <c r="J988" t="s">
        <v>2888</v>
      </c>
    </row>
    <row r="989" spans="1:10">
      <c r="A989" t="s">
        <v>279</v>
      </c>
      <c r="B989" s="40">
        <v>45827</v>
      </c>
      <c r="C989" t="s">
        <v>1310</v>
      </c>
      <c r="D989" t="s">
        <v>1310</v>
      </c>
      <c r="E989" s="65">
        <v>392221499.99999994</v>
      </c>
      <c r="F989" t="s">
        <v>104</v>
      </c>
      <c r="G989">
        <v>6</v>
      </c>
      <c r="I989" s="40">
        <v>46010</v>
      </c>
    </row>
    <row r="990" spans="1:10">
      <c r="A990" t="s">
        <v>279</v>
      </c>
      <c r="B990" s="40">
        <v>45827</v>
      </c>
      <c r="C990" t="s">
        <v>1119</v>
      </c>
      <c r="D990" t="s">
        <v>1119</v>
      </c>
      <c r="E990" s="65">
        <v>235332899.99999997</v>
      </c>
      <c r="F990" t="s">
        <v>104</v>
      </c>
      <c r="G990">
        <v>6</v>
      </c>
      <c r="I990" s="40">
        <v>46010</v>
      </c>
      <c r="J990" t="s">
        <v>2403</v>
      </c>
    </row>
    <row r="991" spans="1:10">
      <c r="A991" t="s">
        <v>799</v>
      </c>
      <c r="B991" s="40">
        <v>45818</v>
      </c>
      <c r="C991" t="s">
        <v>1271</v>
      </c>
      <c r="D991" t="s">
        <v>1271</v>
      </c>
      <c r="E991" s="65">
        <v>9899820</v>
      </c>
      <c r="F991" t="s">
        <v>104</v>
      </c>
      <c r="G991">
        <v>6</v>
      </c>
      <c r="I991" s="40">
        <v>46001</v>
      </c>
      <c r="J991" t="s">
        <v>2860</v>
      </c>
    </row>
    <row r="992" spans="1:10">
      <c r="A992" t="s">
        <v>799</v>
      </c>
      <c r="B992" s="40">
        <v>45818</v>
      </c>
      <c r="C992" t="s">
        <v>1270</v>
      </c>
      <c r="D992" t="s">
        <v>1270</v>
      </c>
      <c r="E992" s="65">
        <v>49499100</v>
      </c>
      <c r="F992" t="s">
        <v>104</v>
      </c>
      <c r="G992">
        <v>6</v>
      </c>
      <c r="I992" s="40">
        <v>46001</v>
      </c>
      <c r="J992" t="s">
        <v>2889</v>
      </c>
    </row>
    <row r="993" spans="1:10">
      <c r="A993" t="s">
        <v>846</v>
      </c>
      <c r="B993" s="40">
        <v>45818</v>
      </c>
      <c r="C993" t="s">
        <v>1484</v>
      </c>
      <c r="D993" t="s">
        <v>1484</v>
      </c>
      <c r="E993" s="65">
        <v>10000000</v>
      </c>
      <c r="F993" t="s">
        <v>104</v>
      </c>
      <c r="G993">
        <v>6</v>
      </c>
      <c r="I993" s="40">
        <v>46001</v>
      </c>
      <c r="J993" t="s">
        <v>2890</v>
      </c>
    </row>
    <row r="994" spans="1:10">
      <c r="A994" t="s">
        <v>846</v>
      </c>
      <c r="B994" s="40">
        <v>45818</v>
      </c>
      <c r="C994" t="s">
        <v>2891</v>
      </c>
      <c r="D994" t="s">
        <v>2891</v>
      </c>
      <c r="E994" s="65">
        <v>3300000</v>
      </c>
      <c r="F994" t="s">
        <v>104</v>
      </c>
      <c r="G994">
        <v>6</v>
      </c>
      <c r="I994" s="40">
        <v>46001</v>
      </c>
    </row>
    <row r="995" spans="1:10">
      <c r="A995" t="s">
        <v>846</v>
      </c>
      <c r="B995" s="40">
        <v>45818</v>
      </c>
      <c r="C995" t="s">
        <v>1481</v>
      </c>
      <c r="D995" t="s">
        <v>1481</v>
      </c>
      <c r="E995" s="65">
        <v>30000000</v>
      </c>
      <c r="F995" t="s">
        <v>104</v>
      </c>
      <c r="G995">
        <v>6</v>
      </c>
      <c r="I995" s="40">
        <v>46001</v>
      </c>
      <c r="J995" t="s">
        <v>2892</v>
      </c>
    </row>
    <row r="996" spans="1:10">
      <c r="A996" t="s">
        <v>846</v>
      </c>
      <c r="B996" s="40">
        <v>45818</v>
      </c>
      <c r="C996" t="s">
        <v>1483</v>
      </c>
      <c r="D996" t="s">
        <v>1483</v>
      </c>
      <c r="E996" s="65">
        <v>10000000</v>
      </c>
      <c r="F996" t="s">
        <v>104</v>
      </c>
      <c r="G996">
        <v>6</v>
      </c>
      <c r="I996" s="40">
        <v>46001</v>
      </c>
      <c r="J996" t="s">
        <v>2893</v>
      </c>
    </row>
    <row r="997" spans="1:10">
      <c r="A997" t="s">
        <v>846</v>
      </c>
      <c r="B997" s="40">
        <v>45818</v>
      </c>
      <c r="C997" t="s">
        <v>1485</v>
      </c>
      <c r="D997" t="s">
        <v>1485</v>
      </c>
      <c r="E997" s="65">
        <v>5000000</v>
      </c>
      <c r="F997" t="s">
        <v>104</v>
      </c>
      <c r="G997">
        <v>6</v>
      </c>
      <c r="I997" s="40">
        <v>46001</v>
      </c>
    </row>
    <row r="998" spans="1:10">
      <c r="A998" t="s">
        <v>846</v>
      </c>
      <c r="B998" s="40">
        <v>45818</v>
      </c>
      <c r="C998" t="s">
        <v>1482</v>
      </c>
      <c r="D998" t="s">
        <v>1482</v>
      </c>
      <c r="E998" s="65">
        <v>20000000</v>
      </c>
      <c r="F998" t="s">
        <v>104</v>
      </c>
      <c r="G998">
        <v>6</v>
      </c>
      <c r="I998" s="40">
        <v>46001</v>
      </c>
    </row>
    <row r="999" spans="1:10">
      <c r="A999" t="s">
        <v>846</v>
      </c>
      <c r="B999" s="40">
        <v>45818</v>
      </c>
      <c r="C999" t="s">
        <v>2894</v>
      </c>
      <c r="D999" t="s">
        <v>2894</v>
      </c>
      <c r="E999" s="65">
        <v>2000000</v>
      </c>
      <c r="F999" t="s">
        <v>104</v>
      </c>
      <c r="G999">
        <v>6</v>
      </c>
      <c r="I999" s="40">
        <v>46001</v>
      </c>
    </row>
    <row r="1000" spans="1:10">
      <c r="A1000" t="s">
        <v>531</v>
      </c>
      <c r="B1000" s="40">
        <v>45807</v>
      </c>
      <c r="C1000" t="s">
        <v>1924</v>
      </c>
      <c r="D1000" t="s">
        <v>1924</v>
      </c>
      <c r="E1000" s="65">
        <v>38354144</v>
      </c>
      <c r="F1000" t="s">
        <v>104</v>
      </c>
      <c r="G1000">
        <v>6</v>
      </c>
      <c r="I1000" s="40">
        <v>45991</v>
      </c>
      <c r="J1000" t="s">
        <v>2895</v>
      </c>
    </row>
    <row r="1001" spans="1:10">
      <c r="A1001" t="s">
        <v>531</v>
      </c>
      <c r="B1001" s="40">
        <v>45807</v>
      </c>
      <c r="C1001" t="s">
        <v>1925</v>
      </c>
      <c r="D1001" t="s">
        <v>1925</v>
      </c>
      <c r="E1001" s="65">
        <v>10701152</v>
      </c>
      <c r="F1001" t="s">
        <v>104</v>
      </c>
      <c r="G1001">
        <v>6</v>
      </c>
      <c r="I1001" s="40">
        <v>45991</v>
      </c>
      <c r="J1001" t="s">
        <v>2896</v>
      </c>
    </row>
    <row r="1002" spans="1:10">
      <c r="A1002" t="s">
        <v>1002</v>
      </c>
      <c r="B1002" s="40">
        <v>45804</v>
      </c>
      <c r="C1002" t="s">
        <v>2013</v>
      </c>
      <c r="D1002" t="s">
        <v>2013</v>
      </c>
      <c r="E1002" s="65">
        <v>149518200</v>
      </c>
      <c r="F1002" t="s">
        <v>104</v>
      </c>
      <c r="J1002" t="s">
        <v>2897</v>
      </c>
    </row>
    <row r="1003" spans="1:10">
      <c r="A1003" t="s">
        <v>371</v>
      </c>
      <c r="B1003" s="40">
        <v>45804</v>
      </c>
      <c r="C1003" t="s">
        <v>1541</v>
      </c>
      <c r="D1003" t="s">
        <v>1541</v>
      </c>
      <c r="E1003" s="65">
        <v>23316480</v>
      </c>
      <c r="F1003" t="s">
        <v>104</v>
      </c>
      <c r="G1003">
        <v>6</v>
      </c>
      <c r="I1003" s="40">
        <v>45988</v>
      </c>
      <c r="J1003" t="s">
        <v>2898</v>
      </c>
    </row>
    <row r="1004" spans="1:10">
      <c r="A1004" t="s">
        <v>371</v>
      </c>
      <c r="B1004" s="40">
        <v>45804</v>
      </c>
      <c r="C1004" t="s">
        <v>1539</v>
      </c>
      <c r="D1004" t="s">
        <v>1539</v>
      </c>
      <c r="E1004" s="65">
        <v>77721600</v>
      </c>
      <c r="F1004" t="s">
        <v>104</v>
      </c>
      <c r="G1004">
        <v>6</v>
      </c>
      <c r="I1004" s="40">
        <v>45988</v>
      </c>
    </row>
    <row r="1005" spans="1:10">
      <c r="A1005" t="s">
        <v>371</v>
      </c>
      <c r="B1005" s="40">
        <v>45804</v>
      </c>
      <c r="C1005" t="s">
        <v>1540</v>
      </c>
      <c r="D1005" t="s">
        <v>1540</v>
      </c>
      <c r="E1005" s="65">
        <v>54405120</v>
      </c>
      <c r="F1005" t="s">
        <v>104</v>
      </c>
      <c r="G1005">
        <v>6</v>
      </c>
      <c r="I1005" s="40">
        <v>45988</v>
      </c>
      <c r="J1005" t="s">
        <v>2899</v>
      </c>
    </row>
    <row r="1006" spans="1:10">
      <c r="A1006" t="s">
        <v>285</v>
      </c>
      <c r="B1006" s="40">
        <v>45800</v>
      </c>
      <c r="C1006" t="s">
        <v>2549</v>
      </c>
      <c r="D1006" t="s">
        <v>2549</v>
      </c>
      <c r="E1006" s="65">
        <v>232495899.99999997</v>
      </c>
      <c r="F1006" t="s">
        <v>104</v>
      </c>
      <c r="G1006">
        <v>6</v>
      </c>
      <c r="I1006" s="40">
        <v>45984</v>
      </c>
    </row>
    <row r="1007" spans="1:10">
      <c r="A1007" t="s">
        <v>285</v>
      </c>
      <c r="B1007" s="40">
        <v>45800</v>
      </c>
      <c r="C1007" t="s">
        <v>1116</v>
      </c>
      <c r="D1007" t="s">
        <v>1116</v>
      </c>
      <c r="E1007" s="65">
        <v>581248560</v>
      </c>
      <c r="F1007" t="s">
        <v>104</v>
      </c>
      <c r="G1007">
        <v>6</v>
      </c>
      <c r="I1007" s="40">
        <v>45984</v>
      </c>
      <c r="J1007" t="s">
        <v>2900</v>
      </c>
    </row>
    <row r="1008" spans="1:10">
      <c r="A1008" t="s">
        <v>285</v>
      </c>
      <c r="B1008" s="40">
        <v>45800</v>
      </c>
      <c r="C1008" t="s">
        <v>1110</v>
      </c>
      <c r="D1008" t="s">
        <v>1110</v>
      </c>
      <c r="E1008" s="65">
        <v>2076992739.9999998</v>
      </c>
      <c r="F1008" t="s">
        <v>104</v>
      </c>
      <c r="G1008">
        <v>6</v>
      </c>
      <c r="I1008" s="40">
        <v>45984</v>
      </c>
    </row>
    <row r="1009" spans="1:10">
      <c r="A1009" t="s">
        <v>285</v>
      </c>
      <c r="B1009" s="40">
        <v>45800</v>
      </c>
      <c r="C1009" t="s">
        <v>1119</v>
      </c>
      <c r="D1009" t="s">
        <v>1119</v>
      </c>
      <c r="E1009" s="65">
        <v>464991799.99999994</v>
      </c>
      <c r="F1009" t="s">
        <v>104</v>
      </c>
      <c r="G1009">
        <v>6</v>
      </c>
      <c r="I1009" s="40">
        <v>45984</v>
      </c>
      <c r="J1009" t="s">
        <v>2403</v>
      </c>
    </row>
    <row r="1010" spans="1:10">
      <c r="A1010" t="s">
        <v>285</v>
      </c>
      <c r="B1010" s="40">
        <v>45800</v>
      </c>
      <c r="C1010" t="s">
        <v>1263</v>
      </c>
      <c r="D1010" t="s">
        <v>1263</v>
      </c>
      <c r="E1010" s="65">
        <v>309997470</v>
      </c>
      <c r="F1010" t="s">
        <v>104</v>
      </c>
      <c r="G1010">
        <v>6</v>
      </c>
      <c r="I1010" s="40">
        <v>45984</v>
      </c>
      <c r="J1010" t="s">
        <v>2599</v>
      </c>
    </row>
    <row r="1011" spans="1:10">
      <c r="A1011" t="s">
        <v>285</v>
      </c>
      <c r="B1011" s="40">
        <v>45800</v>
      </c>
      <c r="C1011" t="s">
        <v>1264</v>
      </c>
      <c r="D1011" t="s">
        <v>1264</v>
      </c>
      <c r="E1011" s="65">
        <v>309997470</v>
      </c>
      <c r="F1011" t="s">
        <v>104</v>
      </c>
      <c r="G1011">
        <v>6</v>
      </c>
      <c r="I1011" s="40">
        <v>45984</v>
      </c>
      <c r="J1011" t="s">
        <v>2901</v>
      </c>
    </row>
    <row r="1012" spans="1:10">
      <c r="A1012" t="s">
        <v>285</v>
      </c>
      <c r="B1012" s="40">
        <v>45800</v>
      </c>
      <c r="C1012" t="s">
        <v>1092</v>
      </c>
      <c r="D1012" t="s">
        <v>1092</v>
      </c>
      <c r="E1012" s="65">
        <v>154994330</v>
      </c>
      <c r="F1012" t="s">
        <v>104</v>
      </c>
      <c r="G1012">
        <v>6</v>
      </c>
      <c r="I1012" s="40">
        <v>45984</v>
      </c>
    </row>
    <row r="1013" spans="1:10">
      <c r="A1013" t="s">
        <v>931</v>
      </c>
      <c r="B1013" s="40">
        <v>45800</v>
      </c>
      <c r="C1013" t="s">
        <v>1870</v>
      </c>
      <c r="D1013" t="s">
        <v>1870</v>
      </c>
      <c r="E1013" s="65">
        <v>387926360</v>
      </c>
      <c r="F1013" t="s">
        <v>104</v>
      </c>
      <c r="J1013" t="s">
        <v>2902</v>
      </c>
    </row>
    <row r="1014" spans="1:10">
      <c r="A1014" t="s">
        <v>931</v>
      </c>
      <c r="B1014" s="40">
        <v>45800</v>
      </c>
      <c r="C1014" t="s">
        <v>1871</v>
      </c>
      <c r="D1014" t="s">
        <v>1871</v>
      </c>
      <c r="E1014" s="65">
        <v>61446760</v>
      </c>
      <c r="F1014" t="s">
        <v>104</v>
      </c>
      <c r="J1014" t="s">
        <v>2903</v>
      </c>
    </row>
    <row r="1015" spans="1:10">
      <c r="A1015" t="s">
        <v>221</v>
      </c>
      <c r="B1015" s="40">
        <v>45797</v>
      </c>
      <c r="C1015" t="s">
        <v>1335</v>
      </c>
      <c r="D1015" t="s">
        <v>1335</v>
      </c>
      <c r="E1015" s="65">
        <v>387556800</v>
      </c>
      <c r="F1015" t="s">
        <v>104</v>
      </c>
      <c r="G1015">
        <v>6</v>
      </c>
      <c r="I1015" s="40">
        <v>45981</v>
      </c>
      <c r="J1015" t="s">
        <v>2904</v>
      </c>
    </row>
    <row r="1016" spans="1:10">
      <c r="A1016" t="s">
        <v>221</v>
      </c>
      <c r="B1016" s="40">
        <v>45797</v>
      </c>
      <c r="C1016" t="s">
        <v>2905</v>
      </c>
      <c r="D1016" t="s">
        <v>2905</v>
      </c>
      <c r="E1016" s="65">
        <v>387556800</v>
      </c>
      <c r="F1016" t="s">
        <v>104</v>
      </c>
      <c r="G1016">
        <v>6</v>
      </c>
      <c r="I1016" s="40">
        <v>45981</v>
      </c>
      <c r="J1016" t="s">
        <v>2906</v>
      </c>
    </row>
    <row r="1017" spans="1:10">
      <c r="A1017" t="s">
        <v>221</v>
      </c>
      <c r="B1017" s="40">
        <v>45797</v>
      </c>
      <c r="C1017" t="s">
        <v>2405</v>
      </c>
      <c r="D1017" t="s">
        <v>2405</v>
      </c>
      <c r="E1017" s="65">
        <v>387556800</v>
      </c>
      <c r="F1017" t="s">
        <v>104</v>
      </c>
      <c r="G1017">
        <v>6</v>
      </c>
      <c r="I1017" s="40">
        <v>45981</v>
      </c>
      <c r="J1017" t="s">
        <v>2405</v>
      </c>
    </row>
    <row r="1018" spans="1:10">
      <c r="A1018" t="s">
        <v>221</v>
      </c>
      <c r="B1018" s="40">
        <v>45797</v>
      </c>
      <c r="C1018" t="s">
        <v>1302</v>
      </c>
      <c r="D1018" t="s">
        <v>1302</v>
      </c>
      <c r="E1018" s="65">
        <v>387556800</v>
      </c>
      <c r="F1018" t="s">
        <v>104</v>
      </c>
      <c r="G1018">
        <v>6</v>
      </c>
      <c r="I1018" s="40">
        <v>45981</v>
      </c>
      <c r="J1018" t="s">
        <v>2565</v>
      </c>
    </row>
    <row r="1019" spans="1:10">
      <c r="A1019" t="s">
        <v>221</v>
      </c>
      <c r="B1019" s="40">
        <v>45797</v>
      </c>
      <c r="C1019" t="s">
        <v>1162</v>
      </c>
      <c r="D1019" t="s">
        <v>1162</v>
      </c>
      <c r="E1019" s="65">
        <v>387556800</v>
      </c>
      <c r="F1019" t="s">
        <v>104</v>
      </c>
      <c r="G1019">
        <v>6</v>
      </c>
      <c r="I1019" s="40">
        <v>45981</v>
      </c>
      <c r="J1019" t="s">
        <v>2907</v>
      </c>
    </row>
    <row r="1020" spans="1:10">
      <c r="A1020" t="s">
        <v>221</v>
      </c>
      <c r="B1020" s="40">
        <v>45797</v>
      </c>
      <c r="C1020" t="s">
        <v>2908</v>
      </c>
      <c r="D1020" t="s">
        <v>2908</v>
      </c>
      <c r="E1020" s="65">
        <v>232544600</v>
      </c>
      <c r="F1020" t="s">
        <v>104</v>
      </c>
      <c r="G1020">
        <v>6</v>
      </c>
      <c r="I1020" s="40">
        <v>45981</v>
      </c>
      <c r="J1020" t="s">
        <v>2909</v>
      </c>
    </row>
    <row r="1021" spans="1:10">
      <c r="A1021" t="s">
        <v>221</v>
      </c>
      <c r="B1021" s="40">
        <v>45797</v>
      </c>
      <c r="C1021" t="s">
        <v>1477</v>
      </c>
      <c r="D1021" t="s">
        <v>1477</v>
      </c>
      <c r="E1021" s="65">
        <v>3875778400</v>
      </c>
      <c r="F1021" t="s">
        <v>104</v>
      </c>
      <c r="G1021">
        <v>6</v>
      </c>
      <c r="I1021" s="40">
        <v>45981</v>
      </c>
      <c r="J1021" t="s">
        <v>2910</v>
      </c>
    </row>
    <row r="1022" spans="1:10">
      <c r="A1022" t="s">
        <v>221</v>
      </c>
      <c r="B1022" s="40">
        <v>45797</v>
      </c>
      <c r="C1022" t="s">
        <v>2911</v>
      </c>
      <c r="D1022" t="s">
        <v>2911</v>
      </c>
      <c r="E1022" s="65">
        <v>542595300</v>
      </c>
      <c r="F1022" t="s">
        <v>104</v>
      </c>
      <c r="G1022">
        <v>6</v>
      </c>
      <c r="I1022" s="40">
        <v>45981</v>
      </c>
      <c r="J1022" t="s">
        <v>2912</v>
      </c>
    </row>
    <row r="1023" spans="1:10">
      <c r="A1023" t="s">
        <v>221</v>
      </c>
      <c r="B1023" s="40">
        <v>45797</v>
      </c>
      <c r="C1023" t="s">
        <v>2913</v>
      </c>
      <c r="D1023" t="s">
        <v>2913</v>
      </c>
      <c r="E1023" s="65">
        <v>410832300</v>
      </c>
      <c r="F1023" t="s">
        <v>104</v>
      </c>
      <c r="G1023">
        <v>6</v>
      </c>
      <c r="I1023" s="40">
        <v>45981</v>
      </c>
      <c r="J1023" t="s">
        <v>2914</v>
      </c>
    </row>
    <row r="1024" spans="1:10">
      <c r="A1024" t="s">
        <v>221</v>
      </c>
      <c r="B1024" s="40">
        <v>45797</v>
      </c>
      <c r="C1024" t="s">
        <v>2915</v>
      </c>
      <c r="D1024" t="s">
        <v>2915</v>
      </c>
      <c r="E1024" s="65">
        <v>620101400</v>
      </c>
      <c r="F1024" t="s">
        <v>104</v>
      </c>
      <c r="G1024">
        <v>6</v>
      </c>
      <c r="I1024" s="40">
        <v>45981</v>
      </c>
      <c r="J1024" t="s">
        <v>2916</v>
      </c>
    </row>
    <row r="1025" spans="1:10">
      <c r="A1025" t="s">
        <v>221</v>
      </c>
      <c r="B1025" s="40">
        <v>45797</v>
      </c>
      <c r="C1025" t="s">
        <v>1329</v>
      </c>
      <c r="D1025" t="s">
        <v>1329</v>
      </c>
      <c r="E1025" s="65">
        <v>387556800</v>
      </c>
      <c r="F1025" t="s">
        <v>104</v>
      </c>
      <c r="G1025">
        <v>6</v>
      </c>
      <c r="I1025" s="40">
        <v>45981</v>
      </c>
    </row>
    <row r="1026" spans="1:10">
      <c r="A1026" t="s">
        <v>221</v>
      </c>
      <c r="B1026" s="40">
        <v>45797</v>
      </c>
      <c r="C1026" t="s">
        <v>1264</v>
      </c>
      <c r="D1026" t="s">
        <v>1264</v>
      </c>
      <c r="E1026" s="65">
        <v>1550306100</v>
      </c>
      <c r="F1026" t="s">
        <v>104</v>
      </c>
      <c r="G1026">
        <v>6</v>
      </c>
      <c r="I1026" s="40">
        <v>45981</v>
      </c>
      <c r="J1026" t="s">
        <v>1113</v>
      </c>
    </row>
    <row r="1027" spans="1:10">
      <c r="A1027" t="s">
        <v>221</v>
      </c>
      <c r="B1027" s="40">
        <v>45797</v>
      </c>
      <c r="C1027" t="s">
        <v>1175</v>
      </c>
      <c r="D1027" t="s">
        <v>1175</v>
      </c>
      <c r="E1027" s="65">
        <v>620101400</v>
      </c>
      <c r="F1027" t="s">
        <v>104</v>
      </c>
      <c r="G1027">
        <v>6</v>
      </c>
      <c r="I1027" s="40">
        <v>45981</v>
      </c>
      <c r="J1027" t="s">
        <v>2720</v>
      </c>
    </row>
    <row r="1028" spans="1:10">
      <c r="A1028" t="s">
        <v>221</v>
      </c>
      <c r="B1028" s="40">
        <v>45797</v>
      </c>
      <c r="C1028" t="s">
        <v>1478</v>
      </c>
      <c r="D1028" t="s">
        <v>1478</v>
      </c>
      <c r="E1028" s="65">
        <v>930178400</v>
      </c>
      <c r="F1028" t="s">
        <v>104</v>
      </c>
      <c r="G1028">
        <v>6</v>
      </c>
      <c r="I1028" s="40">
        <v>45981</v>
      </c>
    </row>
    <row r="1029" spans="1:10">
      <c r="A1029" t="s">
        <v>221</v>
      </c>
      <c r="B1029" s="40">
        <v>45797</v>
      </c>
      <c r="C1029" t="s">
        <v>1476</v>
      </c>
      <c r="D1029" t="s">
        <v>1476</v>
      </c>
      <c r="E1029" s="65">
        <v>3875778400</v>
      </c>
      <c r="F1029" t="s">
        <v>104</v>
      </c>
      <c r="G1029">
        <v>6</v>
      </c>
      <c r="I1029" s="40">
        <v>45981</v>
      </c>
    </row>
    <row r="1030" spans="1:10">
      <c r="A1030" t="s">
        <v>221</v>
      </c>
      <c r="B1030" s="40">
        <v>45797</v>
      </c>
      <c r="C1030" t="s">
        <v>1479</v>
      </c>
      <c r="D1030" t="s">
        <v>1479</v>
      </c>
      <c r="E1030" s="65">
        <v>852646000</v>
      </c>
      <c r="F1030" t="s">
        <v>104</v>
      </c>
      <c r="G1030">
        <v>6</v>
      </c>
      <c r="I1030" s="40">
        <v>45981</v>
      </c>
      <c r="J1030" t="s">
        <v>2917</v>
      </c>
    </row>
    <row r="1031" spans="1:10">
      <c r="A1031" t="s">
        <v>221</v>
      </c>
      <c r="B1031" s="40">
        <v>45797</v>
      </c>
      <c r="C1031" t="s">
        <v>2918</v>
      </c>
      <c r="D1031" t="s">
        <v>2918</v>
      </c>
      <c r="E1031" s="65">
        <v>465089200</v>
      </c>
      <c r="F1031" t="s">
        <v>104</v>
      </c>
      <c r="G1031">
        <v>6</v>
      </c>
      <c r="I1031" s="40">
        <v>45981</v>
      </c>
    </row>
    <row r="1032" spans="1:10">
      <c r="A1032" t="s">
        <v>221</v>
      </c>
      <c r="B1032" s="40">
        <v>45797</v>
      </c>
      <c r="C1032" t="s">
        <v>1323</v>
      </c>
      <c r="D1032" t="s">
        <v>1323</v>
      </c>
      <c r="E1032" s="65">
        <v>387556800</v>
      </c>
      <c r="F1032" t="s">
        <v>104</v>
      </c>
      <c r="G1032">
        <v>6</v>
      </c>
      <c r="I1032" s="40">
        <v>45981</v>
      </c>
      <c r="J1032" t="s">
        <v>2907</v>
      </c>
    </row>
    <row r="1033" spans="1:10">
      <c r="A1033" t="s">
        <v>221</v>
      </c>
      <c r="B1033" s="40">
        <v>45797</v>
      </c>
      <c r="C1033" t="s">
        <v>1210</v>
      </c>
      <c r="D1033" t="s">
        <v>1210</v>
      </c>
      <c r="E1033" s="65">
        <v>775139900</v>
      </c>
      <c r="F1033" t="s">
        <v>104</v>
      </c>
      <c r="G1033">
        <v>6</v>
      </c>
      <c r="I1033" s="40">
        <v>45981</v>
      </c>
      <c r="J1033" t="s">
        <v>2919</v>
      </c>
    </row>
    <row r="1034" spans="1:10">
      <c r="A1034" t="s">
        <v>221</v>
      </c>
      <c r="B1034" s="40">
        <v>45797</v>
      </c>
      <c r="C1034" t="s">
        <v>1119</v>
      </c>
      <c r="D1034" t="s">
        <v>1119</v>
      </c>
      <c r="E1034" s="65">
        <v>775139900</v>
      </c>
      <c r="F1034" t="s">
        <v>104</v>
      </c>
      <c r="G1034">
        <v>6</v>
      </c>
      <c r="I1034" s="40">
        <v>45981</v>
      </c>
      <c r="J1034" t="s">
        <v>2403</v>
      </c>
    </row>
    <row r="1035" spans="1:10">
      <c r="A1035" t="s">
        <v>221</v>
      </c>
      <c r="B1035" s="40">
        <v>45797</v>
      </c>
      <c r="C1035" t="s">
        <v>1394</v>
      </c>
      <c r="D1035" t="s">
        <v>1394</v>
      </c>
      <c r="E1035" s="65">
        <v>775139900</v>
      </c>
      <c r="F1035" t="s">
        <v>104</v>
      </c>
      <c r="G1035">
        <v>6</v>
      </c>
      <c r="I1035" s="40">
        <v>45981</v>
      </c>
      <c r="J1035" t="s">
        <v>2673</v>
      </c>
    </row>
    <row r="1036" spans="1:10">
      <c r="A1036" t="s">
        <v>221</v>
      </c>
      <c r="B1036" s="40">
        <v>45797</v>
      </c>
      <c r="C1036" t="s">
        <v>1092</v>
      </c>
      <c r="D1036" t="s">
        <v>1092</v>
      </c>
      <c r="E1036" s="65">
        <v>581361500</v>
      </c>
      <c r="F1036" t="s">
        <v>104</v>
      </c>
      <c r="G1036">
        <v>6</v>
      </c>
      <c r="I1036" s="40">
        <v>45981</v>
      </c>
      <c r="J1036" t="s">
        <v>2801</v>
      </c>
    </row>
    <row r="1037" spans="1:10">
      <c r="A1037" t="s">
        <v>221</v>
      </c>
      <c r="B1037" s="40">
        <v>45797</v>
      </c>
      <c r="C1037" t="s">
        <v>1932</v>
      </c>
      <c r="D1037" t="s">
        <v>1932</v>
      </c>
      <c r="E1037" s="65">
        <v>775139900</v>
      </c>
      <c r="F1037" t="s">
        <v>104</v>
      </c>
      <c r="G1037">
        <v>6</v>
      </c>
      <c r="I1037" s="40">
        <v>45981</v>
      </c>
      <c r="J1037" t="s">
        <v>2620</v>
      </c>
    </row>
    <row r="1038" spans="1:10">
      <c r="A1038" t="s">
        <v>436</v>
      </c>
      <c r="B1038" s="40">
        <v>45793</v>
      </c>
      <c r="C1038" t="s">
        <v>1296</v>
      </c>
      <c r="D1038" t="s">
        <v>1296</v>
      </c>
      <c r="E1038" s="65">
        <v>43554144</v>
      </c>
      <c r="F1038" t="s">
        <v>104</v>
      </c>
      <c r="G1038">
        <v>6</v>
      </c>
      <c r="I1038" s="40">
        <v>45977</v>
      </c>
      <c r="J1038" t="s">
        <v>2920</v>
      </c>
    </row>
    <row r="1039" spans="1:10">
      <c r="A1039" t="s">
        <v>436</v>
      </c>
      <c r="B1039" s="40">
        <v>45793</v>
      </c>
      <c r="C1039" t="s">
        <v>2921</v>
      </c>
      <c r="D1039" t="s">
        <v>2921</v>
      </c>
      <c r="E1039" s="65">
        <v>34549388</v>
      </c>
      <c r="F1039" t="s">
        <v>104</v>
      </c>
      <c r="G1039">
        <v>6</v>
      </c>
      <c r="I1039" s="40">
        <v>45977</v>
      </c>
      <c r="J1039" t="s">
        <v>2922</v>
      </c>
    </row>
    <row r="1040" spans="1:10">
      <c r="A1040" t="s">
        <v>436</v>
      </c>
      <c r="B1040" s="40">
        <v>45793</v>
      </c>
      <c r="C1040" t="s">
        <v>1618</v>
      </c>
      <c r="D1040" t="s">
        <v>1618</v>
      </c>
      <c r="E1040" s="65">
        <v>89826108</v>
      </c>
      <c r="F1040" t="s">
        <v>104</v>
      </c>
      <c r="G1040">
        <v>6</v>
      </c>
      <c r="I1040" s="40">
        <v>45977</v>
      </c>
      <c r="J1040" t="s">
        <v>2923</v>
      </c>
    </row>
    <row r="1041" spans="1:10">
      <c r="A1041" t="s">
        <v>436</v>
      </c>
      <c r="B1041" s="40">
        <v>45793</v>
      </c>
      <c r="C1041" t="s">
        <v>1616</v>
      </c>
      <c r="D1041" t="s">
        <v>1616</v>
      </c>
      <c r="E1041" s="65">
        <v>241845716</v>
      </c>
      <c r="F1041" t="s">
        <v>104</v>
      </c>
      <c r="G1041">
        <v>6</v>
      </c>
      <c r="I1041" s="40">
        <v>45977</v>
      </c>
      <c r="J1041" t="s">
        <v>2924</v>
      </c>
    </row>
    <row r="1042" spans="1:10">
      <c r="A1042" t="s">
        <v>436</v>
      </c>
      <c r="B1042" s="40">
        <v>45793</v>
      </c>
      <c r="C1042" t="s">
        <v>2925</v>
      </c>
      <c r="D1042" t="s">
        <v>2925</v>
      </c>
      <c r="E1042" s="65">
        <v>20727332</v>
      </c>
      <c r="F1042" t="s">
        <v>104</v>
      </c>
      <c r="G1042">
        <v>6</v>
      </c>
      <c r="I1042" s="40">
        <v>45977</v>
      </c>
      <c r="J1042" t="s">
        <v>2926</v>
      </c>
    </row>
    <row r="1043" spans="1:10">
      <c r="A1043" t="s">
        <v>436</v>
      </c>
      <c r="B1043" s="40">
        <v>45793</v>
      </c>
      <c r="C1043" t="s">
        <v>2927</v>
      </c>
      <c r="D1043" t="s">
        <v>2927</v>
      </c>
      <c r="E1043" s="65">
        <v>34549388</v>
      </c>
      <c r="F1043" t="s">
        <v>104</v>
      </c>
      <c r="G1043">
        <v>6</v>
      </c>
      <c r="I1043" s="40">
        <v>45977</v>
      </c>
      <c r="J1043" t="s">
        <v>2928</v>
      </c>
    </row>
    <row r="1044" spans="1:10">
      <c r="A1044" t="s">
        <v>436</v>
      </c>
      <c r="B1044" s="40">
        <v>45793</v>
      </c>
      <c r="C1044" t="s">
        <v>1619</v>
      </c>
      <c r="D1044" t="s">
        <v>1619</v>
      </c>
      <c r="E1044" s="65">
        <v>49481580</v>
      </c>
      <c r="F1044" t="s">
        <v>104</v>
      </c>
      <c r="G1044">
        <v>6</v>
      </c>
      <c r="I1044" s="40">
        <v>45977</v>
      </c>
      <c r="J1044" t="s">
        <v>2929</v>
      </c>
    </row>
    <row r="1045" spans="1:10">
      <c r="A1045" t="s">
        <v>436</v>
      </c>
      <c r="B1045" s="40">
        <v>45793</v>
      </c>
      <c r="C1045" t="s">
        <v>1617</v>
      </c>
      <c r="D1045" t="s">
        <v>1617</v>
      </c>
      <c r="E1045" s="65">
        <v>90734924</v>
      </c>
      <c r="F1045" t="s">
        <v>104</v>
      </c>
      <c r="G1045">
        <v>6</v>
      </c>
      <c r="I1045" s="40">
        <v>45977</v>
      </c>
      <c r="J1045" t="s">
        <v>2930</v>
      </c>
    </row>
    <row r="1046" spans="1:10">
      <c r="A1046" t="s">
        <v>440</v>
      </c>
      <c r="B1046" s="40">
        <v>45785</v>
      </c>
      <c r="C1046" t="s">
        <v>1296</v>
      </c>
      <c r="D1046" t="s">
        <v>1296</v>
      </c>
      <c r="E1046" s="65">
        <v>21328776</v>
      </c>
      <c r="F1046" t="s">
        <v>104</v>
      </c>
      <c r="G1046">
        <v>6</v>
      </c>
      <c r="I1046" s="40">
        <v>45969</v>
      </c>
    </row>
    <row r="1047" spans="1:10">
      <c r="A1047" t="s">
        <v>440</v>
      </c>
      <c r="B1047" s="40">
        <v>45785</v>
      </c>
      <c r="C1047" t="s">
        <v>1295</v>
      </c>
      <c r="D1047" t="s">
        <v>1295</v>
      </c>
      <c r="E1047" s="65">
        <v>49499049.600000001</v>
      </c>
      <c r="F1047" t="s">
        <v>104</v>
      </c>
      <c r="G1047">
        <v>6</v>
      </c>
      <c r="I1047" s="40">
        <v>45969</v>
      </c>
    </row>
    <row r="1048" spans="1:10">
      <c r="A1048" t="s">
        <v>301</v>
      </c>
      <c r="B1048" s="40">
        <v>45785</v>
      </c>
      <c r="C1048" t="s">
        <v>1891</v>
      </c>
      <c r="D1048" t="s">
        <v>1891</v>
      </c>
      <c r="E1048" s="65">
        <v>106122865</v>
      </c>
      <c r="F1048" t="s">
        <v>104</v>
      </c>
      <c r="G1048">
        <v>6</v>
      </c>
      <c r="I1048" s="40">
        <v>45969</v>
      </c>
      <c r="J1048" t="s">
        <v>2931</v>
      </c>
    </row>
    <row r="1049" spans="1:10">
      <c r="A1049" t="s">
        <v>301</v>
      </c>
      <c r="B1049" s="40">
        <v>45785</v>
      </c>
      <c r="C1049" t="s">
        <v>1890</v>
      </c>
      <c r="D1049" t="s">
        <v>1890</v>
      </c>
      <c r="E1049" s="65">
        <v>383106400</v>
      </c>
      <c r="F1049" t="s">
        <v>104</v>
      </c>
      <c r="G1049">
        <v>6</v>
      </c>
      <c r="I1049" s="40">
        <v>45969</v>
      </c>
      <c r="J1049" t="s">
        <v>2932</v>
      </c>
    </row>
    <row r="1050" spans="1:10">
      <c r="A1050" t="s">
        <v>791</v>
      </c>
      <c r="B1050" s="40">
        <v>45784</v>
      </c>
      <c r="C1050" t="s">
        <v>2030</v>
      </c>
      <c r="D1050" t="s">
        <v>2030</v>
      </c>
      <c r="E1050" s="65">
        <v>38113200</v>
      </c>
      <c r="F1050" t="s">
        <v>104</v>
      </c>
      <c r="G1050">
        <v>9</v>
      </c>
      <c r="I1050" s="40">
        <v>46060</v>
      </c>
      <c r="J1050" t="s">
        <v>2630</v>
      </c>
    </row>
    <row r="1051" spans="1:10">
      <c r="A1051" t="s">
        <v>791</v>
      </c>
      <c r="B1051" s="40">
        <v>45784</v>
      </c>
      <c r="C1051" t="s">
        <v>2031</v>
      </c>
      <c r="D1051" t="s">
        <v>2031</v>
      </c>
      <c r="E1051" s="65">
        <v>24998400</v>
      </c>
      <c r="F1051" t="s">
        <v>104</v>
      </c>
      <c r="G1051">
        <v>9</v>
      </c>
      <c r="I1051" s="40">
        <v>46060</v>
      </c>
    </row>
    <row r="1052" spans="1:10">
      <c r="A1052" t="s">
        <v>525</v>
      </c>
      <c r="B1052" s="40">
        <v>45762</v>
      </c>
      <c r="C1052" t="s">
        <v>2933</v>
      </c>
      <c r="D1052" t="s">
        <v>2933</v>
      </c>
      <c r="E1052" s="65">
        <v>15542779.999999998</v>
      </c>
      <c r="F1052" t="s">
        <v>104</v>
      </c>
      <c r="G1052">
        <v>6</v>
      </c>
      <c r="I1052" s="40">
        <v>45945</v>
      </c>
    </row>
    <row r="1053" spans="1:10">
      <c r="A1053" t="s">
        <v>525</v>
      </c>
      <c r="B1053" s="40">
        <v>45762</v>
      </c>
      <c r="C1053" t="s">
        <v>2450</v>
      </c>
      <c r="D1053" t="s">
        <v>2450</v>
      </c>
      <c r="E1053" s="65">
        <v>4975960</v>
      </c>
      <c r="F1053" t="s">
        <v>104</v>
      </c>
      <c r="G1053">
        <v>6</v>
      </c>
      <c r="I1053" s="40">
        <v>45945</v>
      </c>
    </row>
    <row r="1054" spans="1:10">
      <c r="A1054" t="s">
        <v>525</v>
      </c>
      <c r="B1054" s="40">
        <v>45762</v>
      </c>
      <c r="C1054" t="s">
        <v>1840</v>
      </c>
      <c r="D1054" t="s">
        <v>1840</v>
      </c>
      <c r="E1054" s="65">
        <v>57223540</v>
      </c>
      <c r="F1054" t="s">
        <v>104</v>
      </c>
      <c r="G1054">
        <v>6</v>
      </c>
      <c r="I1054" s="40">
        <v>45945</v>
      </c>
    </row>
    <row r="1055" spans="1:10">
      <c r="A1055" t="s">
        <v>525</v>
      </c>
      <c r="B1055" s="40">
        <v>45762</v>
      </c>
      <c r="C1055" t="s">
        <v>1887</v>
      </c>
      <c r="D1055" t="s">
        <v>1887</v>
      </c>
      <c r="E1055" s="65">
        <v>37158880</v>
      </c>
      <c r="F1055" t="s">
        <v>104</v>
      </c>
      <c r="G1055">
        <v>6</v>
      </c>
      <c r="I1055" s="40">
        <v>45945</v>
      </c>
    </row>
    <row r="1056" spans="1:10">
      <c r="A1056" t="s">
        <v>525</v>
      </c>
      <c r="B1056" s="40">
        <v>45762</v>
      </c>
      <c r="C1056" t="s">
        <v>1839</v>
      </c>
      <c r="D1056" t="s">
        <v>1839</v>
      </c>
      <c r="E1056" s="65">
        <v>77751740</v>
      </c>
      <c r="F1056" t="s">
        <v>104</v>
      </c>
    </row>
    <row r="1057" spans="1:9">
      <c r="A1057" t="s">
        <v>525</v>
      </c>
      <c r="B1057" s="40">
        <v>45762</v>
      </c>
      <c r="C1057" t="s">
        <v>2934</v>
      </c>
      <c r="D1057" t="s">
        <v>2934</v>
      </c>
      <c r="E1057" s="65">
        <v>11654720</v>
      </c>
      <c r="F1057" t="s">
        <v>104</v>
      </c>
      <c r="G1057">
        <v>6</v>
      </c>
      <c r="I1057" s="40">
        <v>45945</v>
      </c>
    </row>
    <row r="1058" spans="1:9">
      <c r="A1058" t="s">
        <v>525</v>
      </c>
      <c r="B1058" s="40">
        <v>45762</v>
      </c>
      <c r="C1058" t="s">
        <v>1091</v>
      </c>
      <c r="D1058" t="s">
        <v>1091</v>
      </c>
      <c r="E1058" s="65">
        <v>38871140</v>
      </c>
      <c r="F1058" t="s">
        <v>104</v>
      </c>
      <c r="G1058">
        <v>6</v>
      </c>
      <c r="I1058" s="40">
        <v>45945</v>
      </c>
    </row>
    <row r="1059" spans="1:9">
      <c r="A1059" t="s">
        <v>525</v>
      </c>
      <c r="B1059" s="40">
        <v>45762</v>
      </c>
      <c r="C1059" t="s">
        <v>1842</v>
      </c>
      <c r="D1059" t="s">
        <v>1842</v>
      </c>
      <c r="E1059" s="65">
        <v>40592860</v>
      </c>
      <c r="F1059" t="s">
        <v>104</v>
      </c>
      <c r="G1059">
        <v>6</v>
      </c>
      <c r="I1059" s="40">
        <v>45945</v>
      </c>
    </row>
    <row r="1060" spans="1:9">
      <c r="A1060" t="s">
        <v>525</v>
      </c>
      <c r="B1060" s="40">
        <v>45762</v>
      </c>
      <c r="C1060" t="s">
        <v>2688</v>
      </c>
      <c r="D1060" t="s">
        <v>2688</v>
      </c>
      <c r="E1060" s="65">
        <v>19430840</v>
      </c>
      <c r="F1060" t="s">
        <v>104</v>
      </c>
      <c r="G1060">
        <v>6</v>
      </c>
      <c r="I1060" s="40">
        <v>45945</v>
      </c>
    </row>
    <row r="1061" spans="1:9">
      <c r="A1061" t="s">
        <v>525</v>
      </c>
      <c r="B1061" s="40">
        <v>45762</v>
      </c>
      <c r="C1061" t="s">
        <v>1841</v>
      </c>
      <c r="D1061" t="s">
        <v>1841</v>
      </c>
      <c r="E1061" s="65">
        <v>46647260</v>
      </c>
      <c r="F1061" t="s">
        <v>104</v>
      </c>
      <c r="G1061">
        <v>6</v>
      </c>
      <c r="I1061" s="40">
        <v>45945</v>
      </c>
    </row>
    <row r="1062" spans="1:9">
      <c r="A1062" t="s">
        <v>525</v>
      </c>
      <c r="B1062" s="40">
        <v>45762</v>
      </c>
      <c r="C1062" t="s">
        <v>1452</v>
      </c>
      <c r="D1062" t="s">
        <v>1452</v>
      </c>
      <c r="E1062" s="65">
        <v>38871140</v>
      </c>
      <c r="F1062" t="s">
        <v>104</v>
      </c>
      <c r="G1062">
        <v>6</v>
      </c>
      <c r="I1062" s="40">
        <v>45945</v>
      </c>
    </row>
    <row r="1063" spans="1:9">
      <c r="A1063" t="s">
        <v>525</v>
      </c>
      <c r="B1063" s="40">
        <v>45762</v>
      </c>
      <c r="C1063" t="s">
        <v>2822</v>
      </c>
      <c r="D1063" t="s">
        <v>2822</v>
      </c>
      <c r="E1063" s="65">
        <v>24879800</v>
      </c>
      <c r="F1063" t="s">
        <v>104</v>
      </c>
      <c r="G1063">
        <v>6</v>
      </c>
      <c r="I1063" s="40">
        <v>45945</v>
      </c>
    </row>
    <row r="1064" spans="1:9">
      <c r="A1064" t="s">
        <v>525</v>
      </c>
      <c r="B1064" s="40">
        <v>45762</v>
      </c>
      <c r="C1064" t="s">
        <v>2825</v>
      </c>
      <c r="D1064" t="s">
        <v>2825</v>
      </c>
      <c r="E1064" s="65">
        <v>13991340</v>
      </c>
      <c r="F1064" t="s">
        <v>104</v>
      </c>
      <c r="G1064">
        <v>6</v>
      </c>
      <c r="I1064" s="40">
        <v>45945</v>
      </c>
    </row>
    <row r="1065" spans="1:9">
      <c r="A1065" t="s">
        <v>525</v>
      </c>
      <c r="B1065" s="40">
        <v>45762</v>
      </c>
      <c r="C1065" t="s">
        <v>2935</v>
      </c>
      <c r="D1065" t="s">
        <v>2935</v>
      </c>
      <c r="E1065" s="65">
        <v>38871140</v>
      </c>
      <c r="F1065" t="s">
        <v>104</v>
      </c>
      <c r="G1065">
        <v>6</v>
      </c>
      <c r="I1065" s="40">
        <v>45945</v>
      </c>
    </row>
    <row r="1066" spans="1:9">
      <c r="A1066" t="s">
        <v>525</v>
      </c>
      <c r="B1066" s="40">
        <v>45762</v>
      </c>
      <c r="C1066" t="s">
        <v>1843</v>
      </c>
      <c r="D1066" t="s">
        <v>1843</v>
      </c>
      <c r="E1066" s="65">
        <v>38871140</v>
      </c>
      <c r="F1066" t="s">
        <v>104</v>
      </c>
      <c r="G1066">
        <v>6</v>
      </c>
      <c r="I1066" s="40">
        <v>45945</v>
      </c>
    </row>
    <row r="1067" spans="1:9">
      <c r="A1067" t="s">
        <v>432</v>
      </c>
      <c r="B1067" s="40">
        <v>45761</v>
      </c>
      <c r="C1067" t="s">
        <v>1098</v>
      </c>
      <c r="D1067" t="s">
        <v>1098</v>
      </c>
      <c r="E1067" s="65">
        <v>214544475</v>
      </c>
      <c r="F1067" t="s">
        <v>104</v>
      </c>
      <c r="G1067">
        <v>6</v>
      </c>
      <c r="I1067" s="40">
        <v>45944</v>
      </c>
    </row>
    <row r="1068" spans="1:9">
      <c r="A1068" t="s">
        <v>432</v>
      </c>
      <c r="B1068" s="40">
        <v>45761</v>
      </c>
      <c r="C1068" t="s">
        <v>1099</v>
      </c>
      <c r="D1068" t="s">
        <v>1099</v>
      </c>
      <c r="E1068" s="65">
        <v>104963667</v>
      </c>
      <c r="F1068" t="s">
        <v>104</v>
      </c>
      <c r="G1068">
        <v>6</v>
      </c>
      <c r="I1068" s="40">
        <v>45944</v>
      </c>
    </row>
    <row r="1069" spans="1:9">
      <c r="A1069" t="s">
        <v>432</v>
      </c>
      <c r="B1069" s="40">
        <v>45761</v>
      </c>
      <c r="C1069" t="s">
        <v>1097</v>
      </c>
      <c r="D1069" t="s">
        <v>1097</v>
      </c>
      <c r="E1069" s="65">
        <v>301498563</v>
      </c>
      <c r="F1069" t="s">
        <v>104</v>
      </c>
      <c r="G1069">
        <v>6</v>
      </c>
      <c r="I1069" s="40">
        <v>45944</v>
      </c>
    </row>
    <row r="1070" spans="1:9">
      <c r="A1070" t="s">
        <v>564</v>
      </c>
      <c r="B1070" s="40">
        <v>45747</v>
      </c>
      <c r="C1070" t="s">
        <v>1664</v>
      </c>
      <c r="D1070" t="s">
        <v>1664</v>
      </c>
      <c r="E1070" s="65">
        <v>38610000</v>
      </c>
      <c r="F1070" t="s">
        <v>104</v>
      </c>
      <c r="G1070">
        <v>6</v>
      </c>
      <c r="I1070" s="40">
        <v>45931</v>
      </c>
    </row>
    <row r="1071" spans="1:9">
      <c r="A1071" t="s">
        <v>411</v>
      </c>
      <c r="B1071" s="40">
        <v>45741</v>
      </c>
      <c r="C1071" t="s">
        <v>1796</v>
      </c>
      <c r="D1071" t="s">
        <v>1796</v>
      </c>
      <c r="E1071" s="65">
        <v>77672000</v>
      </c>
      <c r="F1071" t="s">
        <v>104</v>
      </c>
      <c r="G1071">
        <v>6</v>
      </c>
      <c r="I1071" s="40">
        <v>45925</v>
      </c>
    </row>
    <row r="1072" spans="1:9">
      <c r="A1072" t="s">
        <v>411</v>
      </c>
      <c r="B1072" s="40">
        <v>45741</v>
      </c>
      <c r="C1072" t="s">
        <v>1495</v>
      </c>
      <c r="D1072" t="s">
        <v>1495</v>
      </c>
      <c r="E1072" s="65">
        <v>388389260</v>
      </c>
      <c r="F1072" t="s">
        <v>104</v>
      </c>
      <c r="G1072">
        <v>6</v>
      </c>
      <c r="I1072" s="40">
        <v>45925</v>
      </c>
    </row>
    <row r="1073" spans="1:10">
      <c r="A1073" t="s">
        <v>411</v>
      </c>
      <c r="B1073" s="40">
        <v>45741</v>
      </c>
      <c r="C1073" t="s">
        <v>1795</v>
      </c>
      <c r="D1073" t="s">
        <v>1795</v>
      </c>
      <c r="E1073" s="65">
        <v>79999500</v>
      </c>
      <c r="F1073" t="s">
        <v>104</v>
      </c>
      <c r="G1073">
        <v>6</v>
      </c>
      <c r="I1073" s="40">
        <v>45925</v>
      </c>
      <c r="J1073" t="s">
        <v>2936</v>
      </c>
    </row>
    <row r="1074" spans="1:10">
      <c r="A1074" t="s">
        <v>411</v>
      </c>
      <c r="B1074" s="40">
        <v>45741</v>
      </c>
      <c r="C1074" t="s">
        <v>1794</v>
      </c>
      <c r="D1074" t="s">
        <v>1794</v>
      </c>
      <c r="E1074" s="65">
        <v>388564820</v>
      </c>
      <c r="F1074" t="s">
        <v>104</v>
      </c>
      <c r="G1074">
        <v>6</v>
      </c>
      <c r="I1074" s="40">
        <v>45925</v>
      </c>
    </row>
    <row r="1075" spans="1:10">
      <c r="A1075" t="s">
        <v>1036</v>
      </c>
      <c r="B1075" s="40">
        <v>45737</v>
      </c>
      <c r="C1075" t="s">
        <v>2110</v>
      </c>
      <c r="D1075" t="s">
        <v>2110</v>
      </c>
      <c r="E1075" s="65">
        <v>70912160</v>
      </c>
      <c r="F1075" t="s">
        <v>104</v>
      </c>
      <c r="G1075">
        <v>12</v>
      </c>
      <c r="I1075" s="40">
        <v>46102</v>
      </c>
      <c r="J1075" t="s">
        <v>2937</v>
      </c>
    </row>
    <row r="1076" spans="1:10">
      <c r="A1076" t="s">
        <v>1036</v>
      </c>
      <c r="B1076" s="40">
        <v>45737</v>
      </c>
      <c r="C1076" t="s">
        <v>1134</v>
      </c>
      <c r="D1076" t="s">
        <v>1134</v>
      </c>
      <c r="E1076" s="65">
        <v>28359360</v>
      </c>
      <c r="F1076" t="s">
        <v>104</v>
      </c>
      <c r="G1076">
        <v>6</v>
      </c>
      <c r="I1076" s="40">
        <v>45921</v>
      </c>
      <c r="J1076" t="s">
        <v>2938</v>
      </c>
    </row>
    <row r="1077" spans="1:10">
      <c r="A1077" t="s">
        <v>1036</v>
      </c>
      <c r="B1077" s="40">
        <v>45737</v>
      </c>
      <c r="C1077" t="s">
        <v>1135</v>
      </c>
      <c r="D1077" t="s">
        <v>1135</v>
      </c>
      <c r="E1077" s="65">
        <v>126364960</v>
      </c>
      <c r="F1077" t="s">
        <v>104</v>
      </c>
      <c r="G1077">
        <v>6</v>
      </c>
      <c r="I1077" s="40">
        <v>45921</v>
      </c>
      <c r="J1077" t="s">
        <v>1983</v>
      </c>
    </row>
    <row r="1078" spans="1:10">
      <c r="A1078" t="s">
        <v>1036</v>
      </c>
      <c r="B1078" s="40">
        <v>45737</v>
      </c>
      <c r="C1078" t="s">
        <v>2024</v>
      </c>
      <c r="D1078" t="s">
        <v>2024</v>
      </c>
      <c r="E1078" s="65">
        <v>212729600</v>
      </c>
      <c r="F1078" t="s">
        <v>104</v>
      </c>
      <c r="G1078">
        <v>6</v>
      </c>
      <c r="I1078" s="40">
        <v>45921</v>
      </c>
      <c r="J1078" t="s">
        <v>2939</v>
      </c>
    </row>
    <row r="1079" spans="1:10">
      <c r="A1079" t="s">
        <v>1036</v>
      </c>
      <c r="B1079" s="40">
        <v>45737</v>
      </c>
      <c r="C1079" t="s">
        <v>1915</v>
      </c>
      <c r="D1079" t="s">
        <v>1915</v>
      </c>
      <c r="E1079" s="65">
        <v>70912160</v>
      </c>
      <c r="F1079" t="s">
        <v>104</v>
      </c>
      <c r="G1079">
        <v>6</v>
      </c>
      <c r="I1079" s="40">
        <v>45921</v>
      </c>
      <c r="J1079" t="s">
        <v>2396</v>
      </c>
    </row>
    <row r="1080" spans="1:10">
      <c r="A1080" t="s">
        <v>364</v>
      </c>
      <c r="B1080" s="40">
        <v>45726</v>
      </c>
      <c r="C1080" t="s">
        <v>1330</v>
      </c>
      <c r="D1080" t="s">
        <v>1330</v>
      </c>
      <c r="E1080" s="65">
        <v>311079048</v>
      </c>
      <c r="F1080" t="s">
        <v>104</v>
      </c>
      <c r="G1080">
        <v>6</v>
      </c>
      <c r="I1080" s="40">
        <v>45910</v>
      </c>
      <c r="J1080" t="s">
        <v>2940</v>
      </c>
    </row>
    <row r="1081" spans="1:10">
      <c r="A1081" t="s">
        <v>364</v>
      </c>
      <c r="B1081" s="40">
        <v>45726</v>
      </c>
      <c r="C1081" t="s">
        <v>1282</v>
      </c>
      <c r="D1081" t="s">
        <v>1282</v>
      </c>
      <c r="E1081" s="65">
        <v>433790728</v>
      </c>
      <c r="F1081" t="s">
        <v>104</v>
      </c>
      <c r="G1081">
        <v>6</v>
      </c>
      <c r="I1081" s="40">
        <v>45910</v>
      </c>
      <c r="J1081" t="s">
        <v>2813</v>
      </c>
    </row>
    <row r="1082" spans="1:10">
      <c r="A1082" t="s">
        <v>295</v>
      </c>
      <c r="B1082" s="40">
        <v>45719</v>
      </c>
      <c r="C1082" t="s">
        <v>1467</v>
      </c>
      <c r="D1082" t="s">
        <v>1467</v>
      </c>
      <c r="E1082" s="65">
        <v>233664750</v>
      </c>
      <c r="F1082" t="s">
        <v>104</v>
      </c>
      <c r="G1082">
        <v>6</v>
      </c>
      <c r="I1082" s="40">
        <v>45903</v>
      </c>
      <c r="J1082" t="s">
        <v>1113</v>
      </c>
    </row>
    <row r="1083" spans="1:10">
      <c r="A1083" t="s">
        <v>295</v>
      </c>
      <c r="B1083" s="40">
        <v>45719</v>
      </c>
      <c r="C1083" t="s">
        <v>1465</v>
      </c>
      <c r="D1083" t="s">
        <v>1465</v>
      </c>
      <c r="E1083" s="65">
        <v>467329500</v>
      </c>
      <c r="F1083" t="s">
        <v>104</v>
      </c>
      <c r="G1083">
        <v>6</v>
      </c>
      <c r="I1083" s="40">
        <v>45903</v>
      </c>
      <c r="J1083" t="s">
        <v>2941</v>
      </c>
    </row>
    <row r="1084" spans="1:10">
      <c r="A1084" t="s">
        <v>295</v>
      </c>
      <c r="B1084" s="40">
        <v>45719</v>
      </c>
      <c r="C1084" t="s">
        <v>1464</v>
      </c>
      <c r="D1084" t="s">
        <v>1464</v>
      </c>
      <c r="E1084" s="65">
        <v>467329500</v>
      </c>
      <c r="F1084" t="s">
        <v>104</v>
      </c>
      <c r="G1084">
        <v>6</v>
      </c>
      <c r="I1084" s="40">
        <v>45903</v>
      </c>
      <c r="J1084" t="s">
        <v>2942</v>
      </c>
    </row>
    <row r="1085" spans="1:10">
      <c r="A1085" t="s">
        <v>295</v>
      </c>
      <c r="B1085" s="40">
        <v>45719</v>
      </c>
      <c r="C1085" t="s">
        <v>1466</v>
      </c>
      <c r="D1085" t="s">
        <v>1466</v>
      </c>
      <c r="E1085" s="65">
        <v>311546250</v>
      </c>
      <c r="F1085" t="s">
        <v>104</v>
      </c>
      <c r="G1085">
        <v>6</v>
      </c>
      <c r="I1085" s="40">
        <v>45903</v>
      </c>
      <c r="J1085" t="s">
        <v>2620</v>
      </c>
    </row>
    <row r="1086" spans="1:10">
      <c r="A1086" t="s">
        <v>295</v>
      </c>
      <c r="B1086" s="40">
        <v>45719</v>
      </c>
      <c r="C1086" t="s">
        <v>1468</v>
      </c>
      <c r="D1086" t="s">
        <v>1468</v>
      </c>
      <c r="E1086" s="65">
        <v>77881500</v>
      </c>
      <c r="F1086" t="s">
        <v>104</v>
      </c>
      <c r="G1086">
        <v>6</v>
      </c>
      <c r="I1086" s="40">
        <v>45903</v>
      </c>
    </row>
    <row r="1087" spans="1:10">
      <c r="A1087" t="s">
        <v>360</v>
      </c>
      <c r="B1087" s="40">
        <v>45700</v>
      </c>
      <c r="C1087" t="s">
        <v>1501</v>
      </c>
      <c r="D1087" t="s">
        <v>1501</v>
      </c>
      <c r="E1087" s="65">
        <v>116850664</v>
      </c>
      <c r="F1087" t="s">
        <v>104</v>
      </c>
      <c r="G1087">
        <v>6</v>
      </c>
      <c r="I1087" s="40">
        <v>45881</v>
      </c>
      <c r="J1087" t="s">
        <v>2943</v>
      </c>
    </row>
    <row r="1088" spans="1:10">
      <c r="A1088" t="s">
        <v>360</v>
      </c>
      <c r="B1088" s="40">
        <v>45700</v>
      </c>
      <c r="C1088" t="s">
        <v>2944</v>
      </c>
      <c r="D1088" t="s">
        <v>2944</v>
      </c>
      <c r="E1088" s="65">
        <v>58423344</v>
      </c>
      <c r="F1088" t="s">
        <v>104</v>
      </c>
      <c r="G1088">
        <v>6</v>
      </c>
      <c r="I1088" s="40">
        <v>45881</v>
      </c>
      <c r="J1088" t="s">
        <v>2945</v>
      </c>
    </row>
    <row r="1089" spans="1:10">
      <c r="A1089" t="s">
        <v>360</v>
      </c>
      <c r="B1089" s="40">
        <v>45700</v>
      </c>
      <c r="C1089" t="s">
        <v>1214</v>
      </c>
      <c r="D1089" t="s">
        <v>1214</v>
      </c>
      <c r="E1089" s="65">
        <v>62319824</v>
      </c>
      <c r="F1089" t="s">
        <v>104</v>
      </c>
      <c r="G1089">
        <v>6</v>
      </c>
      <c r="I1089" s="40">
        <v>45881</v>
      </c>
    </row>
    <row r="1090" spans="1:10">
      <c r="A1090" t="s">
        <v>360</v>
      </c>
      <c r="B1090" s="40">
        <v>45700</v>
      </c>
      <c r="C1090" t="s">
        <v>1468</v>
      </c>
      <c r="D1090" t="s">
        <v>1468</v>
      </c>
      <c r="E1090" s="65">
        <v>62319824</v>
      </c>
      <c r="F1090" t="s">
        <v>104</v>
      </c>
      <c r="G1090">
        <v>6</v>
      </c>
      <c r="I1090" s="40">
        <v>45881</v>
      </c>
    </row>
    <row r="1091" spans="1:10">
      <c r="A1091" t="s">
        <v>360</v>
      </c>
      <c r="B1091" s="40">
        <v>45700</v>
      </c>
      <c r="C1091" t="s">
        <v>1502</v>
      </c>
      <c r="D1091" t="s">
        <v>1502</v>
      </c>
      <c r="E1091" s="65">
        <v>58423344</v>
      </c>
      <c r="F1091" t="s">
        <v>104</v>
      </c>
      <c r="G1091">
        <v>6</v>
      </c>
      <c r="I1091" s="40">
        <v>45881</v>
      </c>
      <c r="J1091" t="s">
        <v>2945</v>
      </c>
    </row>
    <row r="1092" spans="1:10">
      <c r="A1092" t="s">
        <v>360</v>
      </c>
      <c r="B1092" s="40">
        <v>45700</v>
      </c>
      <c r="C1092" t="s">
        <v>1274</v>
      </c>
      <c r="D1092" t="s">
        <v>1274</v>
      </c>
      <c r="E1092" s="65">
        <v>194756408</v>
      </c>
      <c r="F1092" t="s">
        <v>104</v>
      </c>
      <c r="G1092">
        <v>6</v>
      </c>
      <c r="I1092" s="40">
        <v>45881</v>
      </c>
    </row>
    <row r="1093" spans="1:10">
      <c r="A1093" t="s">
        <v>919</v>
      </c>
      <c r="B1093" s="40">
        <v>45672</v>
      </c>
      <c r="C1093" t="s">
        <v>1351</v>
      </c>
      <c r="D1093" t="s">
        <v>1351</v>
      </c>
      <c r="E1093" s="65">
        <v>148501680</v>
      </c>
      <c r="F1093" t="s">
        <v>104</v>
      </c>
      <c r="G1093">
        <v>6</v>
      </c>
      <c r="I1093" s="40">
        <v>45854</v>
      </c>
      <c r="J1093" t="s">
        <v>2946</v>
      </c>
    </row>
    <row r="1094" spans="1:10">
      <c r="A1094" t="s">
        <v>641</v>
      </c>
      <c r="B1094" s="40">
        <v>45667</v>
      </c>
      <c r="C1094" t="s">
        <v>1842</v>
      </c>
      <c r="D1094" t="s">
        <v>1842</v>
      </c>
      <c r="E1094" s="65">
        <v>23301135</v>
      </c>
      <c r="F1094" t="s">
        <v>104</v>
      </c>
      <c r="G1094">
        <v>6</v>
      </c>
      <c r="I1094" s="40">
        <v>45848</v>
      </c>
    </row>
    <row r="1095" spans="1:10">
      <c r="A1095" t="s">
        <v>641</v>
      </c>
      <c r="B1095" s="40">
        <v>45667</v>
      </c>
      <c r="C1095" t="s">
        <v>1887</v>
      </c>
      <c r="D1095" t="s">
        <v>1887</v>
      </c>
      <c r="E1095" s="65">
        <v>54369315</v>
      </c>
      <c r="F1095" t="s">
        <v>104</v>
      </c>
      <c r="G1095">
        <v>6</v>
      </c>
      <c r="I1095" s="40">
        <v>45848</v>
      </c>
    </row>
    <row r="1096" spans="1:10">
      <c r="A1096" t="s">
        <v>641</v>
      </c>
      <c r="B1096" s="40">
        <v>45667</v>
      </c>
      <c r="C1096" t="s">
        <v>1323</v>
      </c>
      <c r="D1096" t="s">
        <v>1323</v>
      </c>
      <c r="E1096" s="65">
        <v>155377110</v>
      </c>
      <c r="F1096" t="s">
        <v>104</v>
      </c>
      <c r="G1096">
        <v>6</v>
      </c>
      <c r="I1096" s="40">
        <v>45848</v>
      </c>
    </row>
    <row r="1097" spans="1:10">
      <c r="A1097" t="s">
        <v>641</v>
      </c>
      <c r="B1097" s="40">
        <v>45667</v>
      </c>
      <c r="C1097" t="s">
        <v>1119</v>
      </c>
      <c r="D1097" t="s">
        <v>1119</v>
      </c>
      <c r="E1097" s="65">
        <v>155377110</v>
      </c>
      <c r="F1097" t="s">
        <v>104</v>
      </c>
      <c r="G1097">
        <v>6</v>
      </c>
      <c r="I1097" s="40">
        <v>45848</v>
      </c>
    </row>
    <row r="1098" spans="1:10">
      <c r="A1098" t="s">
        <v>483</v>
      </c>
      <c r="B1098" s="40">
        <v>45666</v>
      </c>
      <c r="C1098" t="s">
        <v>2947</v>
      </c>
      <c r="D1098" t="s">
        <v>2947</v>
      </c>
      <c r="E1098" s="65">
        <v>20268000</v>
      </c>
      <c r="F1098" t="s">
        <v>104</v>
      </c>
      <c r="G1098">
        <v>6</v>
      </c>
      <c r="I1098" s="40">
        <v>45847</v>
      </c>
    </row>
    <row r="1099" spans="1:10">
      <c r="A1099" t="s">
        <v>483</v>
      </c>
      <c r="B1099" s="40">
        <v>45666</v>
      </c>
      <c r="C1099" t="s">
        <v>1588</v>
      </c>
      <c r="D1099" t="s">
        <v>1588</v>
      </c>
      <c r="E1099" s="65">
        <v>61053000</v>
      </c>
      <c r="F1099" t="s">
        <v>104</v>
      </c>
      <c r="G1099">
        <v>6</v>
      </c>
      <c r="I1099" s="40">
        <v>45847</v>
      </c>
    </row>
    <row r="1100" spans="1:10">
      <c r="A1100" t="s">
        <v>483</v>
      </c>
      <c r="B1100" s="40">
        <v>45666</v>
      </c>
      <c r="C1100" t="s">
        <v>1587</v>
      </c>
      <c r="D1100" t="s">
        <v>1587</v>
      </c>
      <c r="E1100" s="65">
        <v>70026000</v>
      </c>
      <c r="F1100" t="s">
        <v>104</v>
      </c>
      <c r="G1100">
        <v>6</v>
      </c>
      <c r="I1100" s="40">
        <v>45847</v>
      </c>
    </row>
    <row r="1101" spans="1:10">
      <c r="A1101" t="s">
        <v>483</v>
      </c>
      <c r="B1101" s="40">
        <v>45666</v>
      </c>
      <c r="C1101" t="s">
        <v>1590</v>
      </c>
      <c r="D1101" t="s">
        <v>1590</v>
      </c>
      <c r="E1101" s="65">
        <v>52629000</v>
      </c>
      <c r="F1101" t="s">
        <v>104</v>
      </c>
      <c r="G1101">
        <v>6</v>
      </c>
      <c r="I1101" s="40">
        <v>45847</v>
      </c>
    </row>
    <row r="1102" spans="1:10">
      <c r="A1102" t="s">
        <v>483</v>
      </c>
      <c r="B1102" s="40">
        <v>45666</v>
      </c>
      <c r="C1102" t="s">
        <v>1589</v>
      </c>
      <c r="D1102" t="s">
        <v>1589</v>
      </c>
      <c r="E1102" s="65">
        <v>53025000</v>
      </c>
      <c r="F1102" t="s">
        <v>104</v>
      </c>
      <c r="G1102">
        <v>6</v>
      </c>
      <c r="I1102" s="40">
        <v>45847</v>
      </c>
      <c r="J1102" t="s">
        <v>2948</v>
      </c>
    </row>
    <row r="1103" spans="1:10">
      <c r="A1103" t="s">
        <v>483</v>
      </c>
      <c r="B1103" s="40">
        <v>45666</v>
      </c>
      <c r="C1103" t="s">
        <v>1591</v>
      </c>
      <c r="D1103" t="s">
        <v>1591</v>
      </c>
      <c r="E1103" s="65">
        <v>47109000</v>
      </c>
      <c r="F1103" t="s">
        <v>104</v>
      </c>
      <c r="G1103">
        <v>6</v>
      </c>
      <c r="I1103" s="40">
        <v>45847</v>
      </c>
      <c r="J1103" t="s">
        <v>2949</v>
      </c>
    </row>
    <row r="1104" spans="1:10">
      <c r="A1104" t="s">
        <v>773</v>
      </c>
      <c r="B1104" s="40">
        <v>45666</v>
      </c>
      <c r="C1104" t="s">
        <v>1715</v>
      </c>
      <c r="D1104" t="s">
        <v>1715</v>
      </c>
      <c r="E1104" s="65">
        <v>77687400</v>
      </c>
      <c r="F1104" t="s">
        <v>104</v>
      </c>
      <c r="G1104">
        <v>6</v>
      </c>
      <c r="I1104" s="40">
        <v>45847</v>
      </c>
      <c r="J1104" t="s">
        <v>2950</v>
      </c>
    </row>
    <row r="1105" spans="1:10">
      <c r="A1105" t="s">
        <v>970</v>
      </c>
      <c r="B1105" s="40">
        <v>45665</v>
      </c>
      <c r="C1105" t="s">
        <v>1897</v>
      </c>
      <c r="D1105" t="s">
        <v>1897</v>
      </c>
      <c r="E1105" s="65">
        <v>38878280</v>
      </c>
      <c r="F1105" t="s">
        <v>104</v>
      </c>
      <c r="G1105">
        <v>6</v>
      </c>
      <c r="I1105" s="40">
        <v>45846</v>
      </c>
    </row>
    <row r="1106" spans="1:10">
      <c r="A1106" t="s">
        <v>970</v>
      </c>
      <c r="B1106" s="40">
        <v>45665</v>
      </c>
      <c r="C1106" t="s">
        <v>1896</v>
      </c>
      <c r="D1106" t="s">
        <v>1896</v>
      </c>
      <c r="E1106" s="65">
        <v>77756560</v>
      </c>
      <c r="F1106" t="s">
        <v>104</v>
      </c>
      <c r="G1106">
        <v>6</v>
      </c>
      <c r="I1106" s="40">
        <v>45846</v>
      </c>
    </row>
    <row r="1107" spans="1:10">
      <c r="A1107" t="s">
        <v>970</v>
      </c>
      <c r="B1107" s="40">
        <v>45665</v>
      </c>
      <c r="C1107" t="s">
        <v>1898</v>
      </c>
      <c r="D1107" t="s">
        <v>1898</v>
      </c>
      <c r="E1107" s="65">
        <v>31101980.000000004</v>
      </c>
      <c r="F1107" t="s">
        <v>104</v>
      </c>
      <c r="G1107">
        <v>6</v>
      </c>
      <c r="I1107" s="40">
        <v>45846</v>
      </c>
    </row>
    <row r="1108" spans="1:10">
      <c r="A1108" t="s">
        <v>970</v>
      </c>
      <c r="B1108" s="40">
        <v>45665</v>
      </c>
      <c r="C1108" t="s">
        <v>1895</v>
      </c>
      <c r="D1108" t="s">
        <v>1895</v>
      </c>
      <c r="E1108" s="65">
        <v>227090500</v>
      </c>
      <c r="F1108" t="s">
        <v>104</v>
      </c>
      <c r="G1108">
        <v>6</v>
      </c>
      <c r="I1108" s="40">
        <v>45846</v>
      </c>
    </row>
    <row r="1109" spans="1:10">
      <c r="A1109" t="s">
        <v>749</v>
      </c>
      <c r="B1109" s="40">
        <v>45656</v>
      </c>
      <c r="C1109" t="s">
        <v>2146</v>
      </c>
      <c r="D1109" t="s">
        <v>2146</v>
      </c>
      <c r="E1109" s="65">
        <v>61996500</v>
      </c>
      <c r="F1109" t="s">
        <v>104</v>
      </c>
      <c r="G1109">
        <v>6</v>
      </c>
      <c r="I1109" s="40">
        <v>45838</v>
      </c>
      <c r="J1109" t="s">
        <v>2951</v>
      </c>
    </row>
    <row r="1110" spans="1:10">
      <c r="A1110" t="s">
        <v>749</v>
      </c>
      <c r="B1110" s="40">
        <v>45656</v>
      </c>
      <c r="C1110" t="s">
        <v>2015</v>
      </c>
      <c r="D1110" t="s">
        <v>2015</v>
      </c>
      <c r="E1110" s="65">
        <v>62240760</v>
      </c>
      <c r="F1110" t="s">
        <v>104</v>
      </c>
      <c r="G1110">
        <v>6</v>
      </c>
      <c r="I1110" s="40">
        <v>45838</v>
      </c>
      <c r="J1110" t="s">
        <v>2952</v>
      </c>
    </row>
    <row r="1111" spans="1:10">
      <c r="A1111" t="s">
        <v>749</v>
      </c>
      <c r="B1111" s="40">
        <v>45656</v>
      </c>
      <c r="C1111" t="s">
        <v>2147</v>
      </c>
      <c r="D1111" t="s">
        <v>2147</v>
      </c>
      <c r="E1111" s="65">
        <v>27998820</v>
      </c>
      <c r="F1111" t="s">
        <v>104</v>
      </c>
      <c r="G1111">
        <v>6</v>
      </c>
      <c r="I1111" s="40">
        <v>45838</v>
      </c>
      <c r="J1111" t="s">
        <v>2953</v>
      </c>
    </row>
    <row r="1112" spans="1:10">
      <c r="A1112" t="s">
        <v>749</v>
      </c>
      <c r="B1112" s="40">
        <v>45656</v>
      </c>
      <c r="C1112" t="s">
        <v>2144</v>
      </c>
      <c r="D1112" t="s">
        <v>2144</v>
      </c>
      <c r="E1112" s="65">
        <v>62240760</v>
      </c>
      <c r="F1112" t="s">
        <v>104</v>
      </c>
      <c r="G1112">
        <v>6</v>
      </c>
      <c r="I1112" s="40">
        <v>45838</v>
      </c>
      <c r="J1112" t="s">
        <v>2954</v>
      </c>
    </row>
    <row r="1113" spans="1:10">
      <c r="A1113" t="s">
        <v>749</v>
      </c>
      <c r="B1113" s="40">
        <v>45656</v>
      </c>
      <c r="C1113" t="s">
        <v>2145</v>
      </c>
      <c r="D1113" t="s">
        <v>2145</v>
      </c>
      <c r="E1113" s="65">
        <v>62240760</v>
      </c>
      <c r="F1113" t="s">
        <v>104</v>
      </c>
      <c r="G1113">
        <v>6</v>
      </c>
      <c r="I1113" s="40">
        <v>45838</v>
      </c>
      <c r="J1113" t="s">
        <v>2955</v>
      </c>
    </row>
    <row r="1114" spans="1:10">
      <c r="A1114" t="s">
        <v>735</v>
      </c>
      <c r="B1114" s="40">
        <v>45656</v>
      </c>
      <c r="C1114" t="s">
        <v>1098</v>
      </c>
      <c r="D1114" t="s">
        <v>1098</v>
      </c>
      <c r="E1114" s="65">
        <v>96178276</v>
      </c>
      <c r="F1114" t="s">
        <v>104</v>
      </c>
      <c r="G1114">
        <v>6</v>
      </c>
      <c r="I1114" s="40">
        <v>45838</v>
      </c>
    </row>
    <row r="1115" spans="1:10">
      <c r="A1115" t="s">
        <v>735</v>
      </c>
      <c r="B1115" s="40">
        <v>45656</v>
      </c>
      <c r="C1115" t="s">
        <v>2027</v>
      </c>
      <c r="D1115" t="s">
        <v>2027</v>
      </c>
      <c r="E1115" s="65">
        <v>388592206</v>
      </c>
      <c r="F1115" t="s">
        <v>104</v>
      </c>
      <c r="G1115">
        <v>6</v>
      </c>
      <c r="I1115" s="40">
        <v>45838</v>
      </c>
      <c r="J1115" t="s">
        <v>2956</v>
      </c>
    </row>
    <row r="1116" spans="1:10">
      <c r="A1116" t="s">
        <v>735</v>
      </c>
      <c r="B1116" s="40">
        <v>45656</v>
      </c>
      <c r="C1116" t="s">
        <v>1099</v>
      </c>
      <c r="D1116" t="s">
        <v>1099</v>
      </c>
      <c r="E1116" s="65">
        <v>194294560</v>
      </c>
      <c r="F1116" t="s">
        <v>104</v>
      </c>
      <c r="G1116">
        <v>6</v>
      </c>
      <c r="I1116" s="40">
        <v>45838</v>
      </c>
    </row>
    <row r="1117" spans="1:10">
      <c r="A1117" t="s">
        <v>735</v>
      </c>
      <c r="B1117" s="40">
        <v>45656</v>
      </c>
      <c r="C1117" t="s">
        <v>2028</v>
      </c>
      <c r="D1117" t="s">
        <v>2028</v>
      </c>
      <c r="E1117" s="65">
        <v>96178276</v>
      </c>
      <c r="F1117" t="s">
        <v>104</v>
      </c>
      <c r="G1117">
        <v>6</v>
      </c>
      <c r="I1117" s="40">
        <v>45838</v>
      </c>
      <c r="J1117" t="s">
        <v>2957</v>
      </c>
    </row>
    <row r="1118" spans="1:10">
      <c r="A1118" t="s">
        <v>588</v>
      </c>
      <c r="B1118" s="40">
        <v>45656</v>
      </c>
      <c r="C1118" t="s">
        <v>2015</v>
      </c>
      <c r="D1118" t="s">
        <v>2015</v>
      </c>
      <c r="E1118" s="65">
        <v>99894600</v>
      </c>
      <c r="F1118" t="s">
        <v>104</v>
      </c>
      <c r="G1118">
        <v>6</v>
      </c>
      <c r="I1118" s="40">
        <v>45839</v>
      </c>
      <c r="J1118" t="s">
        <v>2952</v>
      </c>
    </row>
    <row r="1119" spans="1:10">
      <c r="A1119" t="s">
        <v>785</v>
      </c>
      <c r="B1119" s="40">
        <v>45653</v>
      </c>
      <c r="C1119" t="s">
        <v>2074</v>
      </c>
      <c r="D1119" t="s">
        <v>2074</v>
      </c>
      <c r="E1119" s="65">
        <v>528577600</v>
      </c>
      <c r="F1119" t="s">
        <v>104</v>
      </c>
      <c r="G1119">
        <v>9</v>
      </c>
      <c r="I1119" s="40">
        <v>45927</v>
      </c>
      <c r="J1119" t="s">
        <v>2958</v>
      </c>
    </row>
    <row r="1120" spans="1:10">
      <c r="A1120" t="s">
        <v>785</v>
      </c>
      <c r="B1120" s="40">
        <v>45653</v>
      </c>
      <c r="C1120" t="s">
        <v>2075</v>
      </c>
      <c r="D1120" t="s">
        <v>2075</v>
      </c>
      <c r="E1120" s="65">
        <v>11658600</v>
      </c>
      <c r="F1120" t="s">
        <v>104</v>
      </c>
      <c r="G1120">
        <v>6</v>
      </c>
      <c r="I1120" s="40">
        <v>45836</v>
      </c>
      <c r="J1120" t="s">
        <v>2959</v>
      </c>
    </row>
    <row r="1121" spans="1:10">
      <c r="A1121" t="s">
        <v>892</v>
      </c>
      <c r="B1121" s="40">
        <v>45645</v>
      </c>
      <c r="C1121" t="s">
        <v>1626</v>
      </c>
      <c r="D1121" t="s">
        <v>1626</v>
      </c>
      <c r="E1121" s="65">
        <v>19998000</v>
      </c>
      <c r="F1121" t="s">
        <v>104</v>
      </c>
      <c r="G1121">
        <v>6</v>
      </c>
      <c r="I1121" s="40">
        <v>45827</v>
      </c>
      <c r="J1121" t="s">
        <v>2960</v>
      </c>
    </row>
    <row r="1122" spans="1:10">
      <c r="A1122" t="s">
        <v>892</v>
      </c>
      <c r="B1122" s="40">
        <v>45645</v>
      </c>
      <c r="C1122" t="s">
        <v>1627</v>
      </c>
      <c r="D1122" t="s">
        <v>1627</v>
      </c>
      <c r="E1122" s="65">
        <v>4998000</v>
      </c>
      <c r="F1122" t="s">
        <v>104</v>
      </c>
      <c r="G1122">
        <v>6</v>
      </c>
      <c r="I1122" s="40">
        <v>45827</v>
      </c>
      <c r="J1122" t="s">
        <v>2961</v>
      </c>
    </row>
    <row r="1123" spans="1:10">
      <c r="A1123" t="s">
        <v>892</v>
      </c>
      <c r="B1123" s="40">
        <v>45645</v>
      </c>
      <c r="C1123" t="s">
        <v>1628</v>
      </c>
      <c r="D1123" t="s">
        <v>1628</v>
      </c>
      <c r="E1123" s="65">
        <v>3000000</v>
      </c>
      <c r="F1123" t="s">
        <v>104</v>
      </c>
      <c r="G1123">
        <v>6</v>
      </c>
      <c r="I1123" s="40">
        <v>45827</v>
      </c>
    </row>
    <row r="1124" spans="1:10">
      <c r="A1124" t="s">
        <v>463</v>
      </c>
      <c r="B1124" s="40">
        <v>45636</v>
      </c>
      <c r="C1124" t="s">
        <v>1504</v>
      </c>
      <c r="D1124" t="s">
        <v>1504</v>
      </c>
      <c r="E1124" s="65">
        <v>272389880</v>
      </c>
      <c r="F1124" t="s">
        <v>104</v>
      </c>
      <c r="G1124">
        <v>6</v>
      </c>
      <c r="I1124" s="40">
        <v>45818</v>
      </c>
      <c r="J1124" t="s">
        <v>2962</v>
      </c>
    </row>
    <row r="1125" spans="1:10">
      <c r="A1125" t="s">
        <v>463</v>
      </c>
      <c r="B1125" s="40">
        <v>45636</v>
      </c>
      <c r="C1125" t="s">
        <v>1505</v>
      </c>
      <c r="D1125" t="s">
        <v>1505</v>
      </c>
      <c r="E1125" s="65">
        <v>155651360</v>
      </c>
      <c r="F1125" t="s">
        <v>104</v>
      </c>
      <c r="G1125">
        <v>6</v>
      </c>
      <c r="I1125" s="40">
        <v>45818</v>
      </c>
      <c r="J1125" t="s">
        <v>2677</v>
      </c>
    </row>
    <row r="1126" spans="1:10">
      <c r="A1126" t="s">
        <v>463</v>
      </c>
      <c r="B1126" s="40">
        <v>45636</v>
      </c>
      <c r="C1126" t="s">
        <v>1506</v>
      </c>
      <c r="D1126" t="s">
        <v>1506</v>
      </c>
      <c r="E1126" s="65">
        <v>116738520</v>
      </c>
      <c r="F1126" t="s">
        <v>104</v>
      </c>
      <c r="G1126">
        <v>6</v>
      </c>
      <c r="I1126" s="40">
        <v>45818</v>
      </c>
      <c r="J1126" t="s">
        <v>2963</v>
      </c>
    </row>
    <row r="1127" spans="1:10">
      <c r="A1127" t="s">
        <v>463</v>
      </c>
      <c r="B1127" s="40">
        <v>45636</v>
      </c>
      <c r="C1127" t="s">
        <v>1238</v>
      </c>
      <c r="D1127" t="s">
        <v>1238</v>
      </c>
      <c r="E1127" s="65">
        <v>77825680</v>
      </c>
      <c r="F1127" t="s">
        <v>104</v>
      </c>
      <c r="G1127">
        <v>6</v>
      </c>
      <c r="I1127" s="40">
        <v>45818</v>
      </c>
      <c r="J1127" t="s">
        <v>2398</v>
      </c>
    </row>
    <row r="1128" spans="1:10">
      <c r="A1128" t="s">
        <v>463</v>
      </c>
      <c r="B1128" s="40">
        <v>45636</v>
      </c>
      <c r="C1128" t="s">
        <v>1507</v>
      </c>
      <c r="D1128" t="s">
        <v>1507</v>
      </c>
      <c r="E1128" s="65">
        <v>77825680</v>
      </c>
      <c r="F1128" t="s">
        <v>104</v>
      </c>
      <c r="G1128">
        <v>6</v>
      </c>
      <c r="I1128" s="40">
        <v>45818</v>
      </c>
      <c r="J1128" t="s">
        <v>2964</v>
      </c>
    </row>
    <row r="1129" spans="1:10">
      <c r="A1129" t="s">
        <v>463</v>
      </c>
      <c r="B1129" s="40">
        <v>45636</v>
      </c>
      <c r="C1129" t="s">
        <v>1211</v>
      </c>
      <c r="D1129" t="s">
        <v>1211</v>
      </c>
      <c r="E1129" s="65">
        <v>77825680</v>
      </c>
      <c r="F1129" t="s">
        <v>104</v>
      </c>
      <c r="G1129">
        <v>6</v>
      </c>
      <c r="I1129" s="40">
        <v>45818</v>
      </c>
      <c r="J1129" t="s">
        <v>2965</v>
      </c>
    </row>
    <row r="1130" spans="1:10">
      <c r="A1130" t="s">
        <v>637</v>
      </c>
      <c r="B1130" s="40">
        <v>45632</v>
      </c>
      <c r="C1130" t="s">
        <v>2022</v>
      </c>
      <c r="D1130" t="s">
        <v>2022</v>
      </c>
      <c r="E1130" s="65">
        <v>320648160</v>
      </c>
      <c r="F1130" t="s">
        <v>104</v>
      </c>
      <c r="G1130">
        <v>6</v>
      </c>
      <c r="I1130" s="40">
        <v>45814</v>
      </c>
    </row>
    <row r="1131" spans="1:10">
      <c r="A1131" t="s">
        <v>538</v>
      </c>
      <c r="B1131" s="40">
        <v>45632</v>
      </c>
      <c r="C1131" t="s">
        <v>2112</v>
      </c>
      <c r="D1131" t="s">
        <v>2112</v>
      </c>
      <c r="E1131" s="65">
        <v>304063650</v>
      </c>
      <c r="F1131" t="s">
        <v>104</v>
      </c>
      <c r="G1131">
        <v>6</v>
      </c>
      <c r="I1131" s="40">
        <v>45814</v>
      </c>
      <c r="J1131" t="s">
        <v>2966</v>
      </c>
    </row>
    <row r="1132" spans="1:10">
      <c r="A1132" t="s">
        <v>297</v>
      </c>
      <c r="B1132" s="40">
        <v>45625</v>
      </c>
      <c r="C1132" t="s">
        <v>1613</v>
      </c>
      <c r="D1132" t="s">
        <v>1613</v>
      </c>
      <c r="E1132" s="65">
        <v>18069600</v>
      </c>
      <c r="F1132" t="s">
        <v>104</v>
      </c>
      <c r="G1132">
        <v>6</v>
      </c>
      <c r="I1132" s="40">
        <v>45806</v>
      </c>
      <c r="J1132" t="s">
        <v>2967</v>
      </c>
    </row>
    <row r="1133" spans="1:10">
      <c r="A1133" t="s">
        <v>297</v>
      </c>
      <c r="B1133" s="40">
        <v>45625</v>
      </c>
      <c r="C1133" t="s">
        <v>1612</v>
      </c>
      <c r="D1133" t="s">
        <v>1612</v>
      </c>
      <c r="E1133" s="65">
        <v>28708800</v>
      </c>
      <c r="F1133" t="s">
        <v>104</v>
      </c>
      <c r="G1133">
        <v>6</v>
      </c>
      <c r="I1133" s="40">
        <v>45806</v>
      </c>
      <c r="J1133" t="s">
        <v>2968</v>
      </c>
    </row>
    <row r="1134" spans="1:10">
      <c r="A1134" t="s">
        <v>297</v>
      </c>
      <c r="B1134" s="40">
        <v>45625</v>
      </c>
      <c r="C1134" t="s">
        <v>1609</v>
      </c>
      <c r="D1134" t="s">
        <v>1609</v>
      </c>
      <c r="E1134" s="65">
        <v>77683200</v>
      </c>
      <c r="F1134" t="s">
        <v>104</v>
      </c>
      <c r="G1134">
        <v>6</v>
      </c>
      <c r="I1134" s="40">
        <v>45806</v>
      </c>
      <c r="J1134" t="s">
        <v>1924</v>
      </c>
    </row>
    <row r="1135" spans="1:10">
      <c r="A1135" t="s">
        <v>297</v>
      </c>
      <c r="B1135" s="40">
        <v>45625</v>
      </c>
      <c r="C1135" t="s">
        <v>1610</v>
      </c>
      <c r="D1135" t="s">
        <v>1610</v>
      </c>
      <c r="E1135" s="65">
        <v>42787200</v>
      </c>
      <c r="F1135" t="s">
        <v>104</v>
      </c>
      <c r="G1135">
        <v>6</v>
      </c>
      <c r="I1135" s="40">
        <v>45806</v>
      </c>
      <c r="J1135" t="s">
        <v>2969</v>
      </c>
    </row>
    <row r="1136" spans="1:10">
      <c r="A1136" t="s">
        <v>297</v>
      </c>
      <c r="B1136" s="40">
        <v>45625</v>
      </c>
      <c r="C1136" t="s">
        <v>1611</v>
      </c>
      <c r="D1136" t="s">
        <v>1611</v>
      </c>
      <c r="E1136" s="65">
        <v>42511200</v>
      </c>
      <c r="F1136" t="s">
        <v>104</v>
      </c>
      <c r="G1136">
        <v>6</v>
      </c>
      <c r="I1136" s="40">
        <v>45806</v>
      </c>
      <c r="J1136" t="s">
        <v>2970</v>
      </c>
    </row>
    <row r="1137" spans="1:10">
      <c r="A1137" t="s">
        <v>575</v>
      </c>
      <c r="B1137" s="40">
        <v>45624</v>
      </c>
      <c r="C1137" t="s">
        <v>2971</v>
      </c>
      <c r="D1137" t="s">
        <v>2971</v>
      </c>
      <c r="E1137" s="65">
        <v>9598176</v>
      </c>
      <c r="F1137" t="s">
        <v>104</v>
      </c>
      <c r="G1137">
        <v>6</v>
      </c>
      <c r="I1137" s="40">
        <v>45805</v>
      </c>
      <c r="J1137" t="s">
        <v>2972</v>
      </c>
    </row>
    <row r="1138" spans="1:10">
      <c r="A1138" t="s">
        <v>575</v>
      </c>
      <c r="B1138" s="40">
        <v>45624</v>
      </c>
      <c r="C1138" t="s">
        <v>2973</v>
      </c>
      <c r="D1138" t="s">
        <v>2973</v>
      </c>
      <c r="E1138" s="65">
        <v>17005464</v>
      </c>
      <c r="F1138" t="s">
        <v>104</v>
      </c>
      <c r="G1138">
        <v>6</v>
      </c>
      <c r="I1138" s="40">
        <v>45805</v>
      </c>
    </row>
    <row r="1139" spans="1:10">
      <c r="A1139" t="s">
        <v>575</v>
      </c>
      <c r="B1139" s="40">
        <v>45624</v>
      </c>
      <c r="C1139" t="s">
        <v>1437</v>
      </c>
      <c r="D1139" t="s">
        <v>1437</v>
      </c>
      <c r="E1139" s="65">
        <v>154012968</v>
      </c>
      <c r="F1139" t="s">
        <v>104</v>
      </c>
      <c r="G1139">
        <v>6</v>
      </c>
      <c r="I1139" s="40">
        <v>45805</v>
      </c>
      <c r="J1139" t="s">
        <v>2974</v>
      </c>
    </row>
    <row r="1140" spans="1:10">
      <c r="A1140" t="s">
        <v>575</v>
      </c>
      <c r="B1140" s="40">
        <v>45624</v>
      </c>
      <c r="C1140" t="s">
        <v>1439</v>
      </c>
      <c r="D1140" t="s">
        <v>1439</v>
      </c>
      <c r="E1140" s="65">
        <v>31112100</v>
      </c>
      <c r="F1140" t="s">
        <v>104</v>
      </c>
      <c r="G1140">
        <v>6</v>
      </c>
      <c r="I1140" s="40">
        <v>45805</v>
      </c>
      <c r="J1140" t="s">
        <v>2975</v>
      </c>
    </row>
    <row r="1141" spans="1:10">
      <c r="A1141" t="s">
        <v>575</v>
      </c>
      <c r="B1141" s="40">
        <v>45624</v>
      </c>
      <c r="C1141" t="s">
        <v>1441</v>
      </c>
      <c r="D1141" t="s">
        <v>1441</v>
      </c>
      <c r="E1141" s="65">
        <v>18480960</v>
      </c>
      <c r="F1141" t="s">
        <v>104</v>
      </c>
      <c r="G1141">
        <v>6</v>
      </c>
      <c r="I1141" s="40">
        <v>45805</v>
      </c>
      <c r="J1141" t="s">
        <v>2380</v>
      </c>
    </row>
    <row r="1142" spans="1:10">
      <c r="A1142" t="s">
        <v>575</v>
      </c>
      <c r="B1142" s="40">
        <v>45624</v>
      </c>
      <c r="C1142" t="s">
        <v>1438</v>
      </c>
      <c r="D1142" t="s">
        <v>1438</v>
      </c>
      <c r="E1142" s="65">
        <v>31112100</v>
      </c>
      <c r="F1142" t="s">
        <v>104</v>
      </c>
      <c r="G1142">
        <v>6</v>
      </c>
      <c r="I1142" s="40">
        <v>45805</v>
      </c>
      <c r="J1142" t="s">
        <v>2976</v>
      </c>
    </row>
    <row r="1143" spans="1:10">
      <c r="A1143" t="s">
        <v>575</v>
      </c>
      <c r="B1143" s="40">
        <v>45624</v>
      </c>
      <c r="C1143" t="s">
        <v>1440</v>
      </c>
      <c r="D1143" t="s">
        <v>1440</v>
      </c>
      <c r="E1143" s="65">
        <v>18667260</v>
      </c>
      <c r="F1143" t="s">
        <v>104</v>
      </c>
      <c r="G1143">
        <v>6</v>
      </c>
      <c r="I1143" s="40">
        <v>45805</v>
      </c>
      <c r="J1143" t="s">
        <v>2977</v>
      </c>
    </row>
    <row r="1144" spans="1:10">
      <c r="A1144" t="s">
        <v>226</v>
      </c>
      <c r="B1144" s="40">
        <v>45623</v>
      </c>
      <c r="C1144" t="s">
        <v>1519</v>
      </c>
      <c r="D1144" t="s">
        <v>1519</v>
      </c>
      <c r="E1144" s="65">
        <v>194309499.99999997</v>
      </c>
      <c r="F1144" t="s">
        <v>104</v>
      </c>
      <c r="G1144">
        <v>6</v>
      </c>
      <c r="I1144" s="40">
        <v>45804</v>
      </c>
      <c r="J1144" t="s">
        <v>2978</v>
      </c>
    </row>
    <row r="1145" spans="1:10">
      <c r="A1145" t="s">
        <v>226</v>
      </c>
      <c r="B1145" s="40">
        <v>45623</v>
      </c>
      <c r="C1145" t="s">
        <v>1394</v>
      </c>
      <c r="D1145" t="s">
        <v>1394</v>
      </c>
      <c r="E1145" s="65">
        <v>194309499.99999997</v>
      </c>
      <c r="F1145" t="s">
        <v>104</v>
      </c>
      <c r="G1145">
        <v>6</v>
      </c>
      <c r="I1145" s="40">
        <v>45804</v>
      </c>
      <c r="J1145" t="s">
        <v>2673</v>
      </c>
    </row>
    <row r="1146" spans="1:10">
      <c r="A1146" t="s">
        <v>226</v>
      </c>
      <c r="B1146" s="40">
        <v>45623</v>
      </c>
      <c r="C1146" t="s">
        <v>1411</v>
      </c>
      <c r="D1146" t="s">
        <v>1411</v>
      </c>
      <c r="E1146" s="65">
        <v>155447600</v>
      </c>
      <c r="F1146" t="s">
        <v>104</v>
      </c>
      <c r="G1146">
        <v>6</v>
      </c>
      <c r="I1146" s="40">
        <v>45804</v>
      </c>
      <c r="J1146" t="s">
        <v>2979</v>
      </c>
    </row>
    <row r="1147" spans="1:10">
      <c r="A1147" t="s">
        <v>226</v>
      </c>
      <c r="B1147" s="40">
        <v>45623</v>
      </c>
      <c r="C1147" t="s">
        <v>2475</v>
      </c>
      <c r="D1147" t="s">
        <v>2475</v>
      </c>
      <c r="E1147" s="65">
        <v>155447600</v>
      </c>
      <c r="F1147" t="s">
        <v>104</v>
      </c>
      <c r="G1147">
        <v>6</v>
      </c>
      <c r="I1147" s="40">
        <v>45804</v>
      </c>
    </row>
    <row r="1148" spans="1:10">
      <c r="A1148" t="s">
        <v>226</v>
      </c>
      <c r="B1148" s="40">
        <v>45623</v>
      </c>
      <c r="C1148" t="s">
        <v>1114</v>
      </c>
      <c r="D1148" t="s">
        <v>1114</v>
      </c>
      <c r="E1148" s="65">
        <v>155447600</v>
      </c>
      <c r="F1148" t="s">
        <v>104</v>
      </c>
      <c r="G1148">
        <v>6</v>
      </c>
      <c r="I1148" s="40">
        <v>45804</v>
      </c>
      <c r="J1148" t="s">
        <v>2585</v>
      </c>
    </row>
    <row r="1149" spans="1:10">
      <c r="A1149" t="s">
        <v>226</v>
      </c>
      <c r="B1149" s="40">
        <v>45623</v>
      </c>
      <c r="C1149" t="s">
        <v>1094</v>
      </c>
      <c r="D1149" t="s">
        <v>1094</v>
      </c>
      <c r="E1149" s="65">
        <v>153890380</v>
      </c>
      <c r="F1149" t="s">
        <v>104</v>
      </c>
      <c r="G1149">
        <v>6</v>
      </c>
      <c r="I1149" s="40">
        <v>45804</v>
      </c>
      <c r="J1149" t="s">
        <v>2488</v>
      </c>
    </row>
    <row r="1150" spans="1:10">
      <c r="A1150" t="s">
        <v>226</v>
      </c>
      <c r="B1150" s="40">
        <v>45623</v>
      </c>
      <c r="C1150" t="s">
        <v>2066</v>
      </c>
      <c r="D1150" t="s">
        <v>2066</v>
      </c>
      <c r="E1150" s="65">
        <v>116585699.99999999</v>
      </c>
      <c r="F1150" t="s">
        <v>104</v>
      </c>
      <c r="G1150">
        <v>6</v>
      </c>
      <c r="I1150" s="40">
        <v>45804</v>
      </c>
      <c r="J1150" t="s">
        <v>2756</v>
      </c>
    </row>
    <row r="1151" spans="1:10">
      <c r="A1151" t="s">
        <v>226</v>
      </c>
      <c r="B1151" s="40">
        <v>45623</v>
      </c>
      <c r="C1151" t="s">
        <v>2980</v>
      </c>
      <c r="D1151" t="s">
        <v>2980</v>
      </c>
      <c r="E1151" s="65">
        <v>116585699.99999999</v>
      </c>
      <c r="F1151" t="s">
        <v>104</v>
      </c>
      <c r="G1151">
        <v>6</v>
      </c>
      <c r="I1151" s="40">
        <v>45804</v>
      </c>
    </row>
    <row r="1152" spans="1:10">
      <c r="A1152" t="s">
        <v>226</v>
      </c>
      <c r="B1152" s="40">
        <v>45623</v>
      </c>
      <c r="C1152" t="s">
        <v>1092</v>
      </c>
      <c r="D1152" t="s">
        <v>1092</v>
      </c>
      <c r="E1152" s="65">
        <v>194309499.99999997</v>
      </c>
      <c r="F1152" t="s">
        <v>104</v>
      </c>
      <c r="G1152">
        <v>6</v>
      </c>
      <c r="I1152" s="40">
        <v>45804</v>
      </c>
    </row>
    <row r="1153" spans="1:10">
      <c r="A1153" t="s">
        <v>226</v>
      </c>
      <c r="B1153" s="40">
        <v>45623</v>
      </c>
      <c r="C1153" t="s">
        <v>1358</v>
      </c>
      <c r="D1153" t="s">
        <v>1358</v>
      </c>
      <c r="E1153" s="65">
        <v>155447600</v>
      </c>
      <c r="F1153" t="s">
        <v>104</v>
      </c>
      <c r="G1153">
        <v>6</v>
      </c>
      <c r="I1153" s="40">
        <v>45804</v>
      </c>
      <c r="J1153" t="s">
        <v>2399</v>
      </c>
    </row>
    <row r="1154" spans="1:10">
      <c r="A1154" t="s">
        <v>355</v>
      </c>
      <c r="B1154" s="40">
        <v>45604</v>
      </c>
      <c r="C1154" t="s">
        <v>1689</v>
      </c>
      <c r="D1154" t="s">
        <v>1689</v>
      </c>
      <c r="E1154" s="65">
        <v>54405000</v>
      </c>
      <c r="F1154" t="s">
        <v>104</v>
      </c>
      <c r="G1154">
        <v>6</v>
      </c>
      <c r="I1154" s="40">
        <v>45785</v>
      </c>
    </row>
    <row r="1155" spans="1:10">
      <c r="A1155" t="s">
        <v>355</v>
      </c>
      <c r="B1155" s="40">
        <v>45604</v>
      </c>
      <c r="C1155" t="s">
        <v>1691</v>
      </c>
      <c r="D1155" t="s">
        <v>1691</v>
      </c>
      <c r="E1155" s="65">
        <v>24995880</v>
      </c>
      <c r="F1155" t="s">
        <v>104</v>
      </c>
      <c r="G1155">
        <v>6</v>
      </c>
      <c r="I1155" s="40">
        <v>45785</v>
      </c>
    </row>
    <row r="1156" spans="1:10">
      <c r="A1156" t="s">
        <v>355</v>
      </c>
      <c r="B1156" s="40">
        <v>45604</v>
      </c>
      <c r="C1156" t="s">
        <v>1690</v>
      </c>
      <c r="D1156" t="s">
        <v>1690</v>
      </c>
      <c r="E1156" s="65">
        <v>29998800</v>
      </c>
      <c r="F1156" t="s">
        <v>104</v>
      </c>
      <c r="G1156">
        <v>6</v>
      </c>
      <c r="I1156" s="40">
        <v>45785</v>
      </c>
    </row>
    <row r="1157" spans="1:10">
      <c r="A1157" t="s">
        <v>381</v>
      </c>
      <c r="B1157" s="40">
        <v>45597</v>
      </c>
      <c r="C1157" t="s">
        <v>1250</v>
      </c>
      <c r="D1157" t="s">
        <v>1250</v>
      </c>
      <c r="E1157" s="65">
        <v>69939760</v>
      </c>
      <c r="F1157" t="s">
        <v>104</v>
      </c>
      <c r="G1157">
        <v>6</v>
      </c>
      <c r="I1157" s="40">
        <v>45778</v>
      </c>
      <c r="J1157" t="s">
        <v>2981</v>
      </c>
    </row>
    <row r="1158" spans="1:10">
      <c r="A1158" t="s">
        <v>381</v>
      </c>
      <c r="B1158" s="40">
        <v>45597</v>
      </c>
      <c r="C1158" t="s">
        <v>1251</v>
      </c>
      <c r="D1158" t="s">
        <v>1251</v>
      </c>
      <c r="E1158" s="65">
        <v>62169139.999999993</v>
      </c>
      <c r="F1158" t="s">
        <v>104</v>
      </c>
      <c r="G1158">
        <v>6</v>
      </c>
      <c r="I1158" s="40">
        <v>45778</v>
      </c>
    </row>
    <row r="1159" spans="1:10">
      <c r="A1159" t="s">
        <v>381</v>
      </c>
      <c r="B1159" s="40">
        <v>45597</v>
      </c>
      <c r="C1159" t="s">
        <v>2982</v>
      </c>
      <c r="D1159" t="s">
        <v>2982</v>
      </c>
      <c r="E1159" s="65">
        <v>46623720</v>
      </c>
      <c r="F1159" t="s">
        <v>104</v>
      </c>
      <c r="G1159">
        <v>6</v>
      </c>
      <c r="I1159" s="40">
        <v>45778</v>
      </c>
      <c r="J1159" t="s">
        <v>2983</v>
      </c>
    </row>
    <row r="1160" spans="1:10">
      <c r="A1160" t="s">
        <v>381</v>
      </c>
      <c r="B1160" s="40">
        <v>45597</v>
      </c>
      <c r="C1160" t="s">
        <v>1247</v>
      </c>
      <c r="D1160" t="s">
        <v>1247</v>
      </c>
      <c r="E1160" s="65">
        <v>116567659.99999999</v>
      </c>
      <c r="F1160" t="s">
        <v>104</v>
      </c>
      <c r="G1160">
        <v>6</v>
      </c>
      <c r="I1160" s="40">
        <v>45778</v>
      </c>
      <c r="J1160" t="s">
        <v>2984</v>
      </c>
    </row>
    <row r="1161" spans="1:10">
      <c r="A1161" t="s">
        <v>381</v>
      </c>
      <c r="B1161" s="40">
        <v>45597</v>
      </c>
      <c r="C1161" t="s">
        <v>1249</v>
      </c>
      <c r="D1161" t="s">
        <v>1249</v>
      </c>
      <c r="E1161" s="65">
        <v>99989780</v>
      </c>
      <c r="F1161" t="s">
        <v>104</v>
      </c>
      <c r="G1161">
        <v>6</v>
      </c>
      <c r="I1161" s="40">
        <v>45778</v>
      </c>
      <c r="J1161" t="s">
        <v>2985</v>
      </c>
    </row>
    <row r="1162" spans="1:10">
      <c r="A1162" t="s">
        <v>381</v>
      </c>
      <c r="B1162" s="40">
        <v>45597</v>
      </c>
      <c r="C1162" t="s">
        <v>1248</v>
      </c>
      <c r="D1162" t="s">
        <v>1248</v>
      </c>
      <c r="E1162" s="65">
        <v>101022240</v>
      </c>
      <c r="F1162" t="s">
        <v>104</v>
      </c>
      <c r="G1162">
        <v>6</v>
      </c>
      <c r="I1162" s="40">
        <v>45778</v>
      </c>
    </row>
    <row r="1163" spans="1:10">
      <c r="A1163" t="s">
        <v>972</v>
      </c>
      <c r="B1163" s="40">
        <v>45596</v>
      </c>
      <c r="C1163" t="s">
        <v>2062</v>
      </c>
      <c r="D1163" t="s">
        <v>2062</v>
      </c>
      <c r="E1163" s="65">
        <v>15376000</v>
      </c>
      <c r="F1163" t="s">
        <v>104</v>
      </c>
      <c r="G1163">
        <v>6</v>
      </c>
      <c r="I1163" s="40">
        <v>45778</v>
      </c>
    </row>
    <row r="1164" spans="1:10">
      <c r="A1164" t="s">
        <v>972</v>
      </c>
      <c r="B1164" s="40">
        <v>45596</v>
      </c>
      <c r="C1164" t="s">
        <v>1984</v>
      </c>
      <c r="D1164" t="s">
        <v>1984</v>
      </c>
      <c r="E1164" s="65">
        <v>61555200</v>
      </c>
      <c r="F1164" t="s">
        <v>104</v>
      </c>
      <c r="G1164">
        <v>6</v>
      </c>
      <c r="I1164" s="40">
        <v>45778</v>
      </c>
    </row>
    <row r="1165" spans="1:10">
      <c r="A1165" t="s">
        <v>972</v>
      </c>
      <c r="B1165" s="40">
        <v>45596</v>
      </c>
      <c r="C1165" t="s">
        <v>2061</v>
      </c>
      <c r="D1165" t="s">
        <v>2061</v>
      </c>
      <c r="E1165" s="65">
        <v>23081600</v>
      </c>
      <c r="F1165" t="s">
        <v>104</v>
      </c>
      <c r="G1165">
        <v>6</v>
      </c>
      <c r="I1165" s="40">
        <v>45778</v>
      </c>
    </row>
    <row r="1166" spans="1:10">
      <c r="A1166" t="s">
        <v>972</v>
      </c>
      <c r="B1166" s="40">
        <v>45596</v>
      </c>
      <c r="C1166" t="s">
        <v>1905</v>
      </c>
      <c r="D1166" t="s">
        <v>1905</v>
      </c>
      <c r="E1166" s="65">
        <v>77721600</v>
      </c>
      <c r="F1166" t="s">
        <v>104</v>
      </c>
      <c r="G1166">
        <v>6</v>
      </c>
      <c r="I1166" s="40">
        <v>45778</v>
      </c>
    </row>
    <row r="1167" spans="1:10">
      <c r="A1167" t="s">
        <v>352</v>
      </c>
      <c r="B1167" s="40">
        <v>45595</v>
      </c>
      <c r="C1167" t="s">
        <v>1347</v>
      </c>
      <c r="D1167" t="s">
        <v>1347</v>
      </c>
      <c r="E1167" s="65">
        <v>110000000</v>
      </c>
      <c r="F1167" t="s">
        <v>104</v>
      </c>
      <c r="G1167">
        <v>6</v>
      </c>
      <c r="I1167" s="40">
        <v>45777</v>
      </c>
    </row>
    <row r="1168" spans="1:10">
      <c r="A1168" t="s">
        <v>542</v>
      </c>
      <c r="B1168" s="40">
        <v>45589</v>
      </c>
      <c r="C1168" t="s">
        <v>1836</v>
      </c>
      <c r="D1168" t="s">
        <v>1836</v>
      </c>
      <c r="E1168" s="65">
        <v>388330740</v>
      </c>
      <c r="F1168" t="s">
        <v>104</v>
      </c>
      <c r="G1168">
        <v>6</v>
      </c>
      <c r="I1168" s="40">
        <v>45771</v>
      </c>
    </row>
    <row r="1169" spans="1:10">
      <c r="A1169" t="s">
        <v>542</v>
      </c>
      <c r="B1169" s="40">
        <v>45589</v>
      </c>
      <c r="C1169" t="s">
        <v>1837</v>
      </c>
      <c r="D1169" t="s">
        <v>1837</v>
      </c>
      <c r="E1169" s="65">
        <v>76873734</v>
      </c>
      <c r="F1169" t="s">
        <v>104</v>
      </c>
      <c r="G1169">
        <v>6</v>
      </c>
      <c r="I1169" s="40">
        <v>45771</v>
      </c>
    </row>
    <row r="1170" spans="1:10">
      <c r="A1170" t="s">
        <v>542</v>
      </c>
      <c r="B1170" s="40">
        <v>45589</v>
      </c>
      <c r="C1170" t="s">
        <v>1291</v>
      </c>
      <c r="D1170" t="s">
        <v>1291</v>
      </c>
      <c r="E1170" s="65">
        <v>853082748</v>
      </c>
      <c r="F1170" t="s">
        <v>104</v>
      </c>
      <c r="G1170">
        <v>6</v>
      </c>
      <c r="I1170" s="40">
        <v>45771</v>
      </c>
    </row>
    <row r="1171" spans="1:10">
      <c r="A1171" t="s">
        <v>542</v>
      </c>
      <c r="B1171" s="40">
        <v>45589</v>
      </c>
      <c r="C1171" t="s">
        <v>1167</v>
      </c>
      <c r="D1171" t="s">
        <v>1167</v>
      </c>
      <c r="E1171" s="65">
        <v>388330740</v>
      </c>
      <c r="F1171" t="s">
        <v>104</v>
      </c>
      <c r="G1171">
        <v>6</v>
      </c>
      <c r="I1171" s="40">
        <v>45771</v>
      </c>
    </row>
    <row r="1172" spans="1:10">
      <c r="A1172" t="s">
        <v>331</v>
      </c>
      <c r="B1172" s="40">
        <v>45588</v>
      </c>
      <c r="C1172" t="s">
        <v>2986</v>
      </c>
      <c r="D1172" t="s">
        <v>2986</v>
      </c>
      <c r="E1172" s="65">
        <v>77641700</v>
      </c>
      <c r="F1172" t="s">
        <v>104</v>
      </c>
      <c r="G1172">
        <v>6</v>
      </c>
      <c r="I1172" s="40">
        <v>45770</v>
      </c>
    </row>
    <row r="1173" spans="1:10">
      <c r="A1173" t="s">
        <v>331</v>
      </c>
      <c r="B1173" s="40">
        <v>45588</v>
      </c>
      <c r="C1173" t="s">
        <v>1119</v>
      </c>
      <c r="D1173" t="s">
        <v>1119</v>
      </c>
      <c r="E1173" s="65">
        <v>854061600</v>
      </c>
      <c r="F1173" t="s">
        <v>104</v>
      </c>
      <c r="G1173">
        <v>6</v>
      </c>
      <c r="I1173" s="40">
        <v>45770</v>
      </c>
    </row>
    <row r="1174" spans="1:10">
      <c r="A1174" t="s">
        <v>331</v>
      </c>
      <c r="B1174" s="40">
        <v>45588</v>
      </c>
      <c r="C1174" t="s">
        <v>1277</v>
      </c>
      <c r="D1174" t="s">
        <v>1277</v>
      </c>
      <c r="E1174" s="65">
        <v>232925100</v>
      </c>
      <c r="F1174" t="s">
        <v>104</v>
      </c>
      <c r="G1174">
        <v>6</v>
      </c>
      <c r="I1174" s="40">
        <v>45770</v>
      </c>
    </row>
    <row r="1175" spans="1:10">
      <c r="A1175" t="s">
        <v>331</v>
      </c>
      <c r="B1175" s="40">
        <v>45588</v>
      </c>
      <c r="C1175" t="s">
        <v>1430</v>
      </c>
      <c r="D1175" t="s">
        <v>1430</v>
      </c>
      <c r="E1175" s="65">
        <v>232925100</v>
      </c>
      <c r="F1175" t="s">
        <v>104</v>
      </c>
      <c r="G1175">
        <v>6</v>
      </c>
      <c r="I1175" s="40">
        <v>45770</v>
      </c>
    </row>
    <row r="1176" spans="1:10">
      <c r="A1176" t="s">
        <v>331</v>
      </c>
      <c r="B1176" s="40">
        <v>45588</v>
      </c>
      <c r="C1176" t="s">
        <v>1092</v>
      </c>
      <c r="D1176" t="s">
        <v>1092</v>
      </c>
      <c r="E1176" s="65">
        <v>232925100</v>
      </c>
      <c r="F1176" t="s">
        <v>104</v>
      </c>
      <c r="G1176">
        <v>6</v>
      </c>
      <c r="I1176" s="40">
        <v>45770</v>
      </c>
    </row>
    <row r="1177" spans="1:10">
      <c r="A1177" t="s">
        <v>331</v>
      </c>
      <c r="B1177" s="40">
        <v>45588</v>
      </c>
      <c r="C1177" t="s">
        <v>2987</v>
      </c>
      <c r="D1177" t="s">
        <v>2987</v>
      </c>
      <c r="E1177" s="65">
        <v>77641700</v>
      </c>
      <c r="F1177" t="s">
        <v>104</v>
      </c>
      <c r="G1177">
        <v>6</v>
      </c>
      <c r="I1177" s="40">
        <v>45770</v>
      </c>
    </row>
    <row r="1178" spans="1:10">
      <c r="A1178" t="s">
        <v>331</v>
      </c>
      <c r="B1178" s="40">
        <v>45588</v>
      </c>
      <c r="C1178" t="s">
        <v>2067</v>
      </c>
      <c r="D1178" t="s">
        <v>2067</v>
      </c>
      <c r="E1178" s="65">
        <v>77641700</v>
      </c>
      <c r="F1178" t="s">
        <v>104</v>
      </c>
      <c r="G1178">
        <v>6</v>
      </c>
      <c r="I1178" s="40">
        <v>45770</v>
      </c>
    </row>
    <row r="1179" spans="1:10">
      <c r="A1179" t="s">
        <v>331</v>
      </c>
      <c r="B1179" s="40">
        <v>45588</v>
      </c>
      <c r="C1179" t="s">
        <v>2756</v>
      </c>
      <c r="D1179" t="s">
        <v>2756</v>
      </c>
      <c r="E1179" s="65">
        <v>77641700</v>
      </c>
      <c r="F1179" t="s">
        <v>104</v>
      </c>
      <c r="G1179">
        <v>6</v>
      </c>
      <c r="I1179" s="40">
        <v>45770</v>
      </c>
    </row>
    <row r="1180" spans="1:10">
      <c r="A1180" t="s">
        <v>331</v>
      </c>
      <c r="B1180" s="40">
        <v>45588</v>
      </c>
      <c r="C1180" t="s">
        <v>1429</v>
      </c>
      <c r="D1180" t="s">
        <v>1429</v>
      </c>
      <c r="E1180" s="65">
        <v>543491900</v>
      </c>
      <c r="F1180" t="s">
        <v>104</v>
      </c>
      <c r="G1180">
        <v>6</v>
      </c>
      <c r="I1180" s="40">
        <v>45770</v>
      </c>
    </row>
    <row r="1181" spans="1:10">
      <c r="A1181" t="s">
        <v>568</v>
      </c>
      <c r="B1181" s="40">
        <v>45581</v>
      </c>
      <c r="C1181" t="s">
        <v>1956</v>
      </c>
      <c r="D1181" t="s">
        <v>1956</v>
      </c>
      <c r="E1181" s="65">
        <v>175725000</v>
      </c>
      <c r="F1181" t="s">
        <v>104</v>
      </c>
    </row>
    <row r="1182" spans="1:10">
      <c r="A1182" t="s">
        <v>860</v>
      </c>
      <c r="B1182" s="40">
        <v>45574</v>
      </c>
      <c r="C1182" t="s">
        <v>1719</v>
      </c>
      <c r="D1182" t="s">
        <v>1719</v>
      </c>
      <c r="E1182" s="65">
        <v>9997350</v>
      </c>
      <c r="F1182" t="s">
        <v>104</v>
      </c>
      <c r="G1182">
        <v>12</v>
      </c>
      <c r="I1182" s="40">
        <v>45939</v>
      </c>
      <c r="J1182" t="s">
        <v>2988</v>
      </c>
    </row>
    <row r="1183" spans="1:10">
      <c r="A1183" t="s">
        <v>860</v>
      </c>
      <c r="B1183" s="40">
        <v>45574</v>
      </c>
      <c r="C1183" t="s">
        <v>1718</v>
      </c>
      <c r="D1183" t="s">
        <v>1718</v>
      </c>
      <c r="E1183" s="65">
        <v>9997350</v>
      </c>
      <c r="F1183" t="s">
        <v>104</v>
      </c>
      <c r="G1183">
        <v>12</v>
      </c>
      <c r="I1183" s="40">
        <v>45939</v>
      </c>
    </row>
    <row r="1184" spans="1:10">
      <c r="A1184" t="s">
        <v>860</v>
      </c>
      <c r="B1184" s="40">
        <v>45574</v>
      </c>
      <c r="C1184" t="s">
        <v>1717</v>
      </c>
      <c r="D1184" t="s">
        <v>1717</v>
      </c>
      <c r="E1184" s="65">
        <v>14997850</v>
      </c>
      <c r="F1184" t="s">
        <v>104</v>
      </c>
      <c r="G1184">
        <v>9</v>
      </c>
      <c r="I1184" s="40">
        <v>45847</v>
      </c>
      <c r="J1184" t="s">
        <v>2989</v>
      </c>
    </row>
    <row r="1185" spans="1:10">
      <c r="A1185" t="s">
        <v>540</v>
      </c>
      <c r="B1185" s="40">
        <v>45567</v>
      </c>
      <c r="C1185" t="s">
        <v>1650</v>
      </c>
      <c r="D1185" t="s">
        <v>1650</v>
      </c>
      <c r="E1185" s="65">
        <v>156588870</v>
      </c>
      <c r="F1185" t="s">
        <v>104</v>
      </c>
      <c r="G1185">
        <v>6</v>
      </c>
      <c r="I1185" s="40">
        <v>45750</v>
      </c>
      <c r="J1185" t="s">
        <v>2990</v>
      </c>
    </row>
    <row r="1186" spans="1:10">
      <c r="A1186" t="s">
        <v>540</v>
      </c>
      <c r="B1186" s="40">
        <v>45567</v>
      </c>
      <c r="C1186" t="s">
        <v>1649</v>
      </c>
      <c r="D1186" t="s">
        <v>1649</v>
      </c>
      <c r="E1186" s="65">
        <v>156588870</v>
      </c>
      <c r="F1186" t="s">
        <v>104</v>
      </c>
      <c r="G1186">
        <v>6</v>
      </c>
      <c r="I1186" s="40">
        <v>45750</v>
      </c>
    </row>
    <row r="1187" spans="1:10">
      <c r="A1187" t="s">
        <v>222</v>
      </c>
      <c r="B1187" s="40">
        <v>45552</v>
      </c>
      <c r="C1187" t="s">
        <v>2991</v>
      </c>
      <c r="D1187" t="s">
        <v>2991</v>
      </c>
      <c r="E1187" s="65">
        <v>116948680</v>
      </c>
      <c r="F1187" t="s">
        <v>104</v>
      </c>
      <c r="G1187">
        <v>6</v>
      </c>
      <c r="I1187" s="40">
        <v>45733</v>
      </c>
    </row>
    <row r="1188" spans="1:10">
      <c r="A1188" t="s">
        <v>222</v>
      </c>
      <c r="B1188" s="40">
        <v>45552</v>
      </c>
      <c r="C1188" t="s">
        <v>1300</v>
      </c>
      <c r="D1188" t="s">
        <v>1300</v>
      </c>
      <c r="E1188" s="65">
        <v>389836240</v>
      </c>
      <c r="F1188" t="s">
        <v>104</v>
      </c>
      <c r="G1188">
        <v>6</v>
      </c>
      <c r="I1188" s="40">
        <v>45733</v>
      </c>
      <c r="J1188" t="s">
        <v>2992</v>
      </c>
    </row>
    <row r="1189" spans="1:10">
      <c r="A1189" t="s">
        <v>222</v>
      </c>
      <c r="B1189" s="40">
        <v>45552</v>
      </c>
      <c r="C1189" t="s">
        <v>2993</v>
      </c>
      <c r="D1189" t="s">
        <v>2993</v>
      </c>
      <c r="E1189" s="65">
        <v>389836240</v>
      </c>
      <c r="F1189" t="s">
        <v>104</v>
      </c>
      <c r="G1189">
        <v>6</v>
      </c>
      <c r="I1189" s="40">
        <v>45733</v>
      </c>
      <c r="J1189" t="s">
        <v>2754</v>
      </c>
    </row>
    <row r="1190" spans="1:10">
      <c r="A1190" t="s">
        <v>222</v>
      </c>
      <c r="B1190" s="40">
        <v>45552</v>
      </c>
      <c r="C1190" t="s">
        <v>1682</v>
      </c>
      <c r="D1190" t="s">
        <v>1682</v>
      </c>
      <c r="E1190" s="65">
        <v>771890880</v>
      </c>
      <c r="F1190" t="s">
        <v>104</v>
      </c>
      <c r="G1190">
        <v>6</v>
      </c>
      <c r="I1190" s="40">
        <v>45733</v>
      </c>
      <c r="J1190" t="s">
        <v>2716</v>
      </c>
    </row>
    <row r="1191" spans="1:10">
      <c r="A1191" t="s">
        <v>222</v>
      </c>
      <c r="B1191" s="40">
        <v>45552</v>
      </c>
      <c r="C1191" t="s">
        <v>2994</v>
      </c>
      <c r="D1191" t="s">
        <v>2994</v>
      </c>
      <c r="E1191" s="65">
        <v>272887560</v>
      </c>
      <c r="F1191" t="s">
        <v>104</v>
      </c>
      <c r="G1191">
        <v>6</v>
      </c>
      <c r="I1191" s="40">
        <v>45733</v>
      </c>
    </row>
    <row r="1192" spans="1:10">
      <c r="A1192" t="s">
        <v>222</v>
      </c>
      <c r="B1192" s="40">
        <v>45552</v>
      </c>
      <c r="C1192" t="s">
        <v>2995</v>
      </c>
      <c r="D1192" t="s">
        <v>2995</v>
      </c>
      <c r="E1192" s="65">
        <v>389836240</v>
      </c>
      <c r="F1192" t="s">
        <v>104</v>
      </c>
      <c r="G1192">
        <v>6</v>
      </c>
      <c r="I1192" s="40">
        <v>45733</v>
      </c>
      <c r="J1192" t="s">
        <v>2962</v>
      </c>
    </row>
    <row r="1193" spans="1:10">
      <c r="A1193" t="s">
        <v>222</v>
      </c>
      <c r="B1193" s="40">
        <v>45552</v>
      </c>
      <c r="C1193" t="s">
        <v>2067</v>
      </c>
      <c r="D1193" t="s">
        <v>2067</v>
      </c>
      <c r="E1193" s="65">
        <v>233902840</v>
      </c>
      <c r="F1193" t="s">
        <v>104</v>
      </c>
      <c r="G1193">
        <v>6</v>
      </c>
      <c r="I1193" s="40">
        <v>45733</v>
      </c>
      <c r="J1193" t="s">
        <v>2758</v>
      </c>
    </row>
    <row r="1194" spans="1:10">
      <c r="A1194" t="s">
        <v>222</v>
      </c>
      <c r="B1194" s="40">
        <v>45552</v>
      </c>
      <c r="C1194" t="s">
        <v>2439</v>
      </c>
      <c r="D1194" t="s">
        <v>2439</v>
      </c>
      <c r="E1194" s="65">
        <v>389836240</v>
      </c>
      <c r="F1194" t="s">
        <v>104</v>
      </c>
      <c r="G1194">
        <v>6</v>
      </c>
      <c r="I1194" s="40">
        <v>45733</v>
      </c>
      <c r="J1194" t="s">
        <v>2996</v>
      </c>
    </row>
    <row r="1195" spans="1:10">
      <c r="A1195" t="s">
        <v>222</v>
      </c>
      <c r="B1195" s="40">
        <v>45552</v>
      </c>
      <c r="C1195" t="s">
        <v>1091</v>
      </c>
      <c r="D1195" t="s">
        <v>1091</v>
      </c>
      <c r="E1195" s="65">
        <v>296276200</v>
      </c>
      <c r="F1195" t="s">
        <v>104</v>
      </c>
      <c r="G1195">
        <v>6</v>
      </c>
      <c r="I1195" s="40">
        <v>45733</v>
      </c>
      <c r="J1195" t="s">
        <v>2421</v>
      </c>
    </row>
    <row r="1196" spans="1:10">
      <c r="A1196" t="s">
        <v>222</v>
      </c>
      <c r="B1196" s="40">
        <v>45552</v>
      </c>
      <c r="C1196" t="s">
        <v>2997</v>
      </c>
      <c r="D1196" t="s">
        <v>2997</v>
      </c>
      <c r="E1196" s="65">
        <v>233902840</v>
      </c>
      <c r="F1196" t="s">
        <v>104</v>
      </c>
      <c r="G1196">
        <v>6</v>
      </c>
      <c r="I1196" s="40">
        <v>45733</v>
      </c>
      <c r="J1196" t="s">
        <v>2998</v>
      </c>
    </row>
    <row r="1197" spans="1:10">
      <c r="A1197" t="s">
        <v>222</v>
      </c>
      <c r="B1197" s="40">
        <v>45552</v>
      </c>
      <c r="C1197" t="s">
        <v>1680</v>
      </c>
      <c r="D1197" t="s">
        <v>1680</v>
      </c>
      <c r="E1197" s="65">
        <v>2192449360</v>
      </c>
      <c r="F1197" t="s">
        <v>104</v>
      </c>
      <c r="G1197">
        <v>6</v>
      </c>
      <c r="I1197" s="40">
        <v>45733</v>
      </c>
      <c r="J1197" t="s">
        <v>2999</v>
      </c>
    </row>
    <row r="1198" spans="1:10">
      <c r="A1198" t="s">
        <v>222</v>
      </c>
      <c r="B1198" s="40">
        <v>45552</v>
      </c>
      <c r="C1198" t="s">
        <v>1681</v>
      </c>
      <c r="D1198" t="s">
        <v>1681</v>
      </c>
      <c r="E1198" s="65">
        <v>822000000</v>
      </c>
      <c r="F1198" t="s">
        <v>104</v>
      </c>
      <c r="G1198">
        <v>6</v>
      </c>
      <c r="I1198" s="40">
        <v>45733</v>
      </c>
      <c r="J1198" t="s">
        <v>3000</v>
      </c>
    </row>
    <row r="1199" spans="1:10">
      <c r="A1199" t="s">
        <v>222</v>
      </c>
      <c r="B1199" s="40">
        <v>45552</v>
      </c>
      <c r="C1199" t="s">
        <v>1302</v>
      </c>
      <c r="D1199" t="s">
        <v>1302</v>
      </c>
      <c r="E1199" s="65">
        <v>222203040</v>
      </c>
      <c r="F1199" t="s">
        <v>104</v>
      </c>
      <c r="G1199">
        <v>6</v>
      </c>
      <c r="I1199" s="40">
        <v>45733</v>
      </c>
      <c r="J1199" t="s">
        <v>2565</v>
      </c>
    </row>
    <row r="1200" spans="1:10">
      <c r="A1200" t="s">
        <v>222</v>
      </c>
      <c r="B1200" s="40">
        <v>45552</v>
      </c>
      <c r="C1200" t="s">
        <v>1577</v>
      </c>
      <c r="D1200" t="s">
        <v>1577</v>
      </c>
      <c r="E1200" s="65">
        <v>749998280</v>
      </c>
      <c r="F1200" t="s">
        <v>104</v>
      </c>
      <c r="G1200">
        <v>6</v>
      </c>
      <c r="I1200" s="40">
        <v>45733</v>
      </c>
      <c r="J1200" t="s">
        <v>2999</v>
      </c>
    </row>
    <row r="1201" spans="1:10">
      <c r="A1201" t="s">
        <v>222</v>
      </c>
      <c r="B1201" s="40">
        <v>45552</v>
      </c>
      <c r="C1201" t="s">
        <v>3001</v>
      </c>
      <c r="D1201" t="s">
        <v>3001</v>
      </c>
      <c r="E1201" s="65">
        <v>389995160</v>
      </c>
      <c r="F1201" t="s">
        <v>104</v>
      </c>
      <c r="G1201">
        <v>6</v>
      </c>
      <c r="I1201" s="40">
        <v>45733</v>
      </c>
      <c r="J1201" t="s">
        <v>3002</v>
      </c>
    </row>
    <row r="1202" spans="1:10">
      <c r="A1202" t="s">
        <v>222</v>
      </c>
      <c r="B1202" s="40">
        <v>45552</v>
      </c>
      <c r="C1202" t="s">
        <v>1119</v>
      </c>
      <c r="D1202" t="s">
        <v>1119</v>
      </c>
      <c r="E1202" s="65">
        <v>779677960</v>
      </c>
      <c r="F1202" t="s">
        <v>104</v>
      </c>
      <c r="G1202">
        <v>6</v>
      </c>
      <c r="I1202" s="40">
        <v>45733</v>
      </c>
      <c r="J1202" t="s">
        <v>2403</v>
      </c>
    </row>
    <row r="1203" spans="1:10">
      <c r="A1203" t="s">
        <v>222</v>
      </c>
      <c r="B1203" s="40">
        <v>45552</v>
      </c>
      <c r="C1203" t="s">
        <v>2497</v>
      </c>
      <c r="D1203" t="s">
        <v>2497</v>
      </c>
      <c r="E1203" s="65">
        <v>389836240</v>
      </c>
      <c r="F1203" t="s">
        <v>104</v>
      </c>
      <c r="G1203">
        <v>6</v>
      </c>
      <c r="I1203" s="40">
        <v>45733</v>
      </c>
      <c r="J1203" t="s">
        <v>3003</v>
      </c>
    </row>
    <row r="1204" spans="1:10">
      <c r="A1204" t="s">
        <v>222</v>
      </c>
      <c r="B1204" s="40">
        <v>45552</v>
      </c>
      <c r="C1204" t="s">
        <v>1312</v>
      </c>
      <c r="D1204" t="s">
        <v>1312</v>
      </c>
      <c r="E1204" s="65">
        <v>779677960</v>
      </c>
      <c r="F1204" t="s">
        <v>104</v>
      </c>
      <c r="G1204">
        <v>6</v>
      </c>
      <c r="I1204" s="40">
        <v>45733</v>
      </c>
      <c r="J1204" t="s">
        <v>2451</v>
      </c>
    </row>
    <row r="1205" spans="1:10">
      <c r="A1205" t="s">
        <v>1034</v>
      </c>
      <c r="B1205" s="40">
        <v>45524</v>
      </c>
      <c r="C1205" t="s">
        <v>1900</v>
      </c>
      <c r="D1205" t="s">
        <v>1900</v>
      </c>
      <c r="E1205" s="65">
        <v>205700000</v>
      </c>
      <c r="F1205" t="s">
        <v>104</v>
      </c>
      <c r="G1205">
        <v>6</v>
      </c>
      <c r="I1205" s="40">
        <v>45708</v>
      </c>
    </row>
    <row r="1206" spans="1:10">
      <c r="A1206" t="s">
        <v>866</v>
      </c>
      <c r="B1206" s="40">
        <v>45512</v>
      </c>
      <c r="C1206" t="s">
        <v>1807</v>
      </c>
      <c r="D1206" t="s">
        <v>1807</v>
      </c>
      <c r="E1206" s="65">
        <v>23293200</v>
      </c>
      <c r="F1206" t="s">
        <v>104</v>
      </c>
      <c r="G1206">
        <v>6</v>
      </c>
      <c r="I1206" s="40">
        <v>45696</v>
      </c>
      <c r="J1206" t="s">
        <v>2560</v>
      </c>
    </row>
    <row r="1207" spans="1:10">
      <c r="A1207" t="s">
        <v>866</v>
      </c>
      <c r="B1207" s="40">
        <v>45512</v>
      </c>
      <c r="C1207" t="s">
        <v>1806</v>
      </c>
      <c r="D1207" t="s">
        <v>1806</v>
      </c>
      <c r="E1207" s="65">
        <v>53177600</v>
      </c>
      <c r="F1207" t="s">
        <v>104</v>
      </c>
      <c r="G1207">
        <v>6</v>
      </c>
      <c r="I1207" s="40">
        <v>45696</v>
      </c>
      <c r="J1207" t="s">
        <v>3004</v>
      </c>
    </row>
    <row r="1208" spans="1:10">
      <c r="A1208" t="s">
        <v>743</v>
      </c>
      <c r="B1208" s="40">
        <v>45488</v>
      </c>
      <c r="C1208" t="s">
        <v>1320</v>
      </c>
      <c r="D1208" t="s">
        <v>1320</v>
      </c>
      <c r="E1208" s="65">
        <v>87998100</v>
      </c>
      <c r="F1208" t="s">
        <v>104</v>
      </c>
      <c r="G1208">
        <v>6</v>
      </c>
      <c r="I1208" s="40">
        <v>45672</v>
      </c>
    </row>
    <row r="1209" spans="1:10">
      <c r="A1209" t="s">
        <v>362</v>
      </c>
      <c r="B1209" s="40">
        <v>45485</v>
      </c>
      <c r="C1209" t="s">
        <v>1578</v>
      </c>
      <c r="D1209" t="s">
        <v>1578</v>
      </c>
      <c r="E1209" s="65">
        <v>39066500</v>
      </c>
      <c r="F1209" t="s">
        <v>104</v>
      </c>
      <c r="G1209">
        <v>6</v>
      </c>
      <c r="I1209" s="40">
        <v>45669</v>
      </c>
    </row>
    <row r="1210" spans="1:10">
      <c r="A1210" t="s">
        <v>362</v>
      </c>
      <c r="B1210" s="40">
        <v>45485</v>
      </c>
      <c r="C1210" t="s">
        <v>1576</v>
      </c>
      <c r="D1210" t="s">
        <v>1576</v>
      </c>
      <c r="E1210" s="65">
        <v>187176000</v>
      </c>
      <c r="F1210" t="s">
        <v>104</v>
      </c>
      <c r="G1210">
        <v>6</v>
      </c>
      <c r="I1210" s="40">
        <v>45669</v>
      </c>
    </row>
    <row r="1211" spans="1:10">
      <c r="A1211" t="s">
        <v>362</v>
      </c>
      <c r="B1211" s="40">
        <v>45485</v>
      </c>
      <c r="C1211" t="s">
        <v>1574</v>
      </c>
      <c r="D1211" t="s">
        <v>1574</v>
      </c>
      <c r="E1211" s="65">
        <v>234319250</v>
      </c>
      <c r="F1211" t="s">
        <v>104</v>
      </c>
      <c r="G1211">
        <v>6</v>
      </c>
      <c r="I1211" s="40">
        <v>45669</v>
      </c>
    </row>
    <row r="1212" spans="1:10">
      <c r="A1212" t="s">
        <v>362</v>
      </c>
      <c r="B1212" s="40">
        <v>45485</v>
      </c>
      <c r="C1212" t="s">
        <v>1575</v>
      </c>
      <c r="D1212" t="s">
        <v>1575</v>
      </c>
      <c r="E1212" s="65">
        <v>234319250</v>
      </c>
      <c r="F1212" t="s">
        <v>104</v>
      </c>
      <c r="G1212">
        <v>6</v>
      </c>
      <c r="I1212" s="40">
        <v>45669</v>
      </c>
    </row>
    <row r="1213" spans="1:10">
      <c r="A1213" t="s">
        <v>362</v>
      </c>
      <c r="B1213" s="40">
        <v>45485</v>
      </c>
      <c r="C1213" t="s">
        <v>1577</v>
      </c>
      <c r="D1213" t="s">
        <v>1577</v>
      </c>
      <c r="E1213" s="65">
        <v>156213750</v>
      </c>
      <c r="F1213" t="s">
        <v>104</v>
      </c>
      <c r="G1213">
        <v>6</v>
      </c>
      <c r="I1213" s="40">
        <v>45669</v>
      </c>
    </row>
    <row r="1214" spans="1:10">
      <c r="A1214" t="s">
        <v>755</v>
      </c>
      <c r="B1214" s="40">
        <v>45483</v>
      </c>
      <c r="C1214" t="s">
        <v>1741</v>
      </c>
      <c r="D1214" t="s">
        <v>1741</v>
      </c>
      <c r="E1214" s="65">
        <v>29998500</v>
      </c>
      <c r="F1214" t="s">
        <v>104</v>
      </c>
      <c r="G1214">
        <v>6</v>
      </c>
      <c r="I1214" s="40">
        <v>45667</v>
      </c>
      <c r="J1214" t="s">
        <v>2818</v>
      </c>
    </row>
    <row r="1215" spans="1:10">
      <c r="A1215" t="s">
        <v>755</v>
      </c>
      <c r="B1215" s="40">
        <v>45483</v>
      </c>
      <c r="C1215" t="s">
        <v>1742</v>
      </c>
      <c r="D1215" t="s">
        <v>1742</v>
      </c>
      <c r="E1215" s="65">
        <v>19999875</v>
      </c>
      <c r="F1215" t="s">
        <v>104</v>
      </c>
      <c r="G1215">
        <v>6</v>
      </c>
      <c r="I1215" s="40">
        <v>45667</v>
      </c>
      <c r="J1215" t="s">
        <v>3005</v>
      </c>
    </row>
    <row r="1216" spans="1:10">
      <c r="A1216" t="s">
        <v>755</v>
      </c>
      <c r="B1216" s="40">
        <v>45483</v>
      </c>
      <c r="C1216" t="s">
        <v>1743</v>
      </c>
      <c r="D1216" t="s">
        <v>1743</v>
      </c>
      <c r="E1216" s="65">
        <v>7798875</v>
      </c>
      <c r="F1216" t="s">
        <v>104</v>
      </c>
      <c r="G1216">
        <v>6</v>
      </c>
      <c r="I1216" s="40">
        <v>45667</v>
      </c>
      <c r="J1216" t="s">
        <v>3006</v>
      </c>
    </row>
    <row r="1217" spans="1:10">
      <c r="A1217" t="s">
        <v>651</v>
      </c>
      <c r="B1217" s="40">
        <v>45483</v>
      </c>
      <c r="C1217" t="s">
        <v>2170</v>
      </c>
      <c r="D1217" t="s">
        <v>2170</v>
      </c>
      <c r="E1217" s="65">
        <v>53241084</v>
      </c>
      <c r="F1217" t="s">
        <v>104</v>
      </c>
      <c r="G1217">
        <v>6</v>
      </c>
      <c r="I1217" s="40">
        <v>45667</v>
      </c>
    </row>
    <row r="1218" spans="1:10">
      <c r="A1218" t="s">
        <v>651</v>
      </c>
      <c r="B1218" s="40">
        <v>45483</v>
      </c>
      <c r="C1218" t="s">
        <v>2169</v>
      </c>
      <c r="D1218" t="s">
        <v>2169</v>
      </c>
      <c r="E1218" s="65">
        <v>213673122</v>
      </c>
      <c r="F1218" t="s">
        <v>104</v>
      </c>
      <c r="G1218">
        <v>6</v>
      </c>
      <c r="I1218" s="40">
        <v>45667</v>
      </c>
    </row>
    <row r="1219" spans="1:10">
      <c r="A1219" t="s">
        <v>492</v>
      </c>
      <c r="B1219" s="40">
        <v>45483</v>
      </c>
      <c r="C1219" t="s">
        <v>1874</v>
      </c>
      <c r="D1219" t="s">
        <v>1874</v>
      </c>
      <c r="E1219" s="65">
        <v>231969500</v>
      </c>
      <c r="F1219" t="s">
        <v>104</v>
      </c>
      <c r="G1219">
        <v>12</v>
      </c>
      <c r="I1219" s="40">
        <v>45848</v>
      </c>
    </row>
    <row r="1220" spans="1:10">
      <c r="A1220" t="s">
        <v>492</v>
      </c>
      <c r="B1220" s="40">
        <v>45483</v>
      </c>
      <c r="C1220" t="s">
        <v>1875</v>
      </c>
      <c r="D1220" t="s">
        <v>1875</v>
      </c>
      <c r="E1220" s="65">
        <v>154560000</v>
      </c>
      <c r="F1220" t="s">
        <v>104</v>
      </c>
      <c r="G1220">
        <v>12</v>
      </c>
      <c r="I1220" s="40">
        <v>45848</v>
      </c>
    </row>
    <row r="1221" spans="1:10">
      <c r="A1221" t="s">
        <v>492</v>
      </c>
      <c r="B1221" s="40">
        <v>45483</v>
      </c>
      <c r="C1221" t="s">
        <v>1873</v>
      </c>
      <c r="D1221" t="s">
        <v>1873</v>
      </c>
      <c r="E1221" s="65">
        <v>369656000</v>
      </c>
      <c r="F1221" t="s">
        <v>104</v>
      </c>
      <c r="G1221">
        <v>12</v>
      </c>
      <c r="I1221" s="40">
        <v>45848</v>
      </c>
    </row>
    <row r="1222" spans="1:10">
      <c r="A1222" t="s">
        <v>492</v>
      </c>
      <c r="B1222" s="40">
        <v>45483</v>
      </c>
      <c r="C1222" t="s">
        <v>1876</v>
      </c>
      <c r="D1222" t="s">
        <v>1876</v>
      </c>
      <c r="E1222" s="65">
        <v>53105500</v>
      </c>
      <c r="F1222" t="s">
        <v>104</v>
      </c>
      <c r="G1222">
        <v>12</v>
      </c>
      <c r="I1222" s="40">
        <v>45848</v>
      </c>
    </row>
    <row r="1223" spans="1:10">
      <c r="A1223" t="s">
        <v>683</v>
      </c>
      <c r="B1223" s="40">
        <v>45482</v>
      </c>
      <c r="C1223" t="s">
        <v>2017</v>
      </c>
      <c r="D1223" t="s">
        <v>2017</v>
      </c>
      <c r="E1223" s="65">
        <v>259999200</v>
      </c>
      <c r="F1223" t="s">
        <v>104</v>
      </c>
      <c r="G1223">
        <v>6</v>
      </c>
      <c r="I1223" s="40">
        <v>45666</v>
      </c>
    </row>
    <row r="1224" spans="1:10">
      <c r="A1224" t="s">
        <v>643</v>
      </c>
      <c r="B1224" s="40">
        <v>45476</v>
      </c>
      <c r="C1224" t="s">
        <v>1271</v>
      </c>
      <c r="D1224" t="s">
        <v>1271</v>
      </c>
      <c r="E1224" s="65">
        <v>9900000</v>
      </c>
      <c r="F1224" t="s">
        <v>104</v>
      </c>
      <c r="G1224">
        <v>6</v>
      </c>
      <c r="I1224" s="40">
        <v>45660</v>
      </c>
    </row>
    <row r="1225" spans="1:10">
      <c r="A1225" t="s">
        <v>643</v>
      </c>
      <c r="B1225" s="40">
        <v>45476</v>
      </c>
      <c r="C1225" t="s">
        <v>1726</v>
      </c>
      <c r="D1225" t="s">
        <v>1726</v>
      </c>
      <c r="E1225" s="65">
        <v>10977750</v>
      </c>
      <c r="F1225" t="s">
        <v>104</v>
      </c>
      <c r="G1225">
        <v>12</v>
      </c>
      <c r="I1225" s="40">
        <v>45841</v>
      </c>
    </row>
    <row r="1226" spans="1:10">
      <c r="A1226" t="s">
        <v>643</v>
      </c>
      <c r="B1226" s="40">
        <v>45476</v>
      </c>
      <c r="C1226" t="s">
        <v>1725</v>
      </c>
      <c r="D1226" t="s">
        <v>1725</v>
      </c>
      <c r="E1226" s="65">
        <v>32933250</v>
      </c>
      <c r="F1226" t="s">
        <v>104</v>
      </c>
      <c r="G1226">
        <v>12</v>
      </c>
      <c r="I1226" s="40">
        <v>45841</v>
      </c>
    </row>
    <row r="1227" spans="1:10">
      <c r="A1227" t="s">
        <v>809</v>
      </c>
      <c r="B1227" s="40">
        <v>45471</v>
      </c>
      <c r="C1227" t="s">
        <v>1137</v>
      </c>
      <c r="D1227" t="s">
        <v>1137</v>
      </c>
      <c r="E1227" s="65">
        <v>29998800</v>
      </c>
      <c r="F1227" t="s">
        <v>104</v>
      </c>
      <c r="G1227">
        <v>6</v>
      </c>
      <c r="I1227" s="40">
        <v>45654</v>
      </c>
      <c r="J1227" t="s">
        <v>2774</v>
      </c>
    </row>
    <row r="1228" spans="1:10">
      <c r="A1228" t="s">
        <v>809</v>
      </c>
      <c r="B1228" s="40">
        <v>45471</v>
      </c>
      <c r="C1228" t="s">
        <v>1135</v>
      </c>
      <c r="D1228" t="s">
        <v>1135</v>
      </c>
      <c r="E1228" s="65">
        <v>94354559</v>
      </c>
      <c r="F1228" t="s">
        <v>104</v>
      </c>
      <c r="G1228">
        <v>6</v>
      </c>
      <c r="I1228" s="40">
        <v>45654</v>
      </c>
      <c r="J1228" t="s">
        <v>1983</v>
      </c>
    </row>
    <row r="1229" spans="1:10">
      <c r="A1229" t="s">
        <v>809</v>
      </c>
      <c r="B1229" s="40">
        <v>45471</v>
      </c>
      <c r="C1229" t="s">
        <v>1136</v>
      </c>
      <c r="D1229" t="s">
        <v>1136</v>
      </c>
      <c r="E1229" s="65">
        <v>78117708.5</v>
      </c>
      <c r="F1229" t="s">
        <v>104</v>
      </c>
      <c r="G1229">
        <v>6</v>
      </c>
      <c r="I1229" s="40">
        <v>45654</v>
      </c>
      <c r="J1229" t="s">
        <v>3007</v>
      </c>
    </row>
    <row r="1230" spans="1:10">
      <c r="A1230" t="s">
        <v>809</v>
      </c>
      <c r="B1230" s="40">
        <v>45471</v>
      </c>
      <c r="C1230" t="s">
        <v>1134</v>
      </c>
      <c r="D1230" t="s">
        <v>1134</v>
      </c>
      <c r="E1230" s="65">
        <v>117178646</v>
      </c>
      <c r="F1230" t="s">
        <v>104</v>
      </c>
      <c r="G1230">
        <v>6</v>
      </c>
      <c r="I1230" s="40">
        <v>45654</v>
      </c>
      <c r="J1230" t="s">
        <v>2860</v>
      </c>
    </row>
    <row r="1231" spans="1:10">
      <c r="A1231" t="s">
        <v>446</v>
      </c>
      <c r="B1231" s="40">
        <v>45471</v>
      </c>
      <c r="C1231" t="s">
        <v>1570</v>
      </c>
      <c r="D1231" t="s">
        <v>1570</v>
      </c>
      <c r="E1231" s="65">
        <v>82024650</v>
      </c>
      <c r="F1231" t="s">
        <v>104</v>
      </c>
      <c r="G1231">
        <v>6</v>
      </c>
      <c r="I1231" s="40">
        <v>45654</v>
      </c>
    </row>
    <row r="1232" spans="1:10">
      <c r="A1232" t="s">
        <v>446</v>
      </c>
      <c r="B1232" s="40">
        <v>45471</v>
      </c>
      <c r="C1232" t="s">
        <v>1571</v>
      </c>
      <c r="D1232" t="s">
        <v>1571</v>
      </c>
      <c r="E1232" s="65">
        <v>82024650</v>
      </c>
      <c r="F1232" t="s">
        <v>104</v>
      </c>
      <c r="G1232">
        <v>6</v>
      </c>
      <c r="I1232" s="40">
        <v>45654</v>
      </c>
    </row>
    <row r="1233" spans="1:10">
      <c r="A1233" t="s">
        <v>446</v>
      </c>
      <c r="B1233" s="40">
        <v>45471</v>
      </c>
      <c r="C1233" t="s">
        <v>1274</v>
      </c>
      <c r="D1233" t="s">
        <v>1274</v>
      </c>
      <c r="E1233" s="65">
        <v>273415500</v>
      </c>
      <c r="F1233" t="s">
        <v>104</v>
      </c>
      <c r="G1233">
        <v>6</v>
      </c>
      <c r="I1233" s="40">
        <v>45654</v>
      </c>
      <c r="J1233" t="s">
        <v>1204</v>
      </c>
    </row>
    <row r="1234" spans="1:10">
      <c r="A1234" t="s">
        <v>925</v>
      </c>
      <c r="B1234" s="40">
        <v>45456</v>
      </c>
      <c r="C1234" t="s">
        <v>1862</v>
      </c>
      <c r="D1234" t="s">
        <v>1862</v>
      </c>
      <c r="E1234" s="65">
        <v>92785440</v>
      </c>
      <c r="F1234" t="s">
        <v>104</v>
      </c>
      <c r="G1234">
        <v>6</v>
      </c>
      <c r="I1234" s="40">
        <v>45639</v>
      </c>
    </row>
    <row r="1235" spans="1:10">
      <c r="A1235" t="s">
        <v>925</v>
      </c>
      <c r="B1235" s="40">
        <v>45456</v>
      </c>
      <c r="C1235" t="s">
        <v>3008</v>
      </c>
      <c r="D1235" t="s">
        <v>3008</v>
      </c>
      <c r="E1235" s="65">
        <v>19995360</v>
      </c>
      <c r="F1235" t="s">
        <v>104</v>
      </c>
      <c r="G1235">
        <v>6</v>
      </c>
      <c r="I1235" s="40">
        <v>45639</v>
      </c>
      <c r="J1235" t="s">
        <v>3009</v>
      </c>
    </row>
    <row r="1236" spans="1:10">
      <c r="A1236" t="s">
        <v>925</v>
      </c>
      <c r="B1236" s="40">
        <v>45456</v>
      </c>
      <c r="C1236" t="s">
        <v>1863</v>
      </c>
      <c r="D1236" t="s">
        <v>1863</v>
      </c>
      <c r="E1236" s="65">
        <v>77320320</v>
      </c>
      <c r="F1236" t="s">
        <v>104</v>
      </c>
      <c r="G1236">
        <v>6</v>
      </c>
      <c r="I1236" s="40">
        <v>45639</v>
      </c>
      <c r="J1236" t="s">
        <v>2685</v>
      </c>
    </row>
    <row r="1237" spans="1:10">
      <c r="A1237" t="s">
        <v>925</v>
      </c>
      <c r="B1237" s="40">
        <v>45456</v>
      </c>
      <c r="C1237" t="s">
        <v>3010</v>
      </c>
      <c r="D1237" t="s">
        <v>3010</v>
      </c>
      <c r="E1237" s="65">
        <v>7729920</v>
      </c>
      <c r="F1237" t="s">
        <v>104</v>
      </c>
      <c r="G1237">
        <v>6</v>
      </c>
      <c r="I1237" s="40">
        <v>45639</v>
      </c>
    </row>
    <row r="1238" spans="1:10">
      <c r="A1238" t="s">
        <v>925</v>
      </c>
      <c r="B1238" s="40">
        <v>45456</v>
      </c>
      <c r="C1238" t="s">
        <v>1866</v>
      </c>
      <c r="D1238" t="s">
        <v>1866</v>
      </c>
      <c r="E1238" s="65">
        <v>27260640</v>
      </c>
      <c r="F1238" t="s">
        <v>104</v>
      </c>
      <c r="G1238">
        <v>6</v>
      </c>
      <c r="I1238" s="40">
        <v>45639</v>
      </c>
    </row>
    <row r="1239" spans="1:10">
      <c r="A1239" t="s">
        <v>925</v>
      </c>
      <c r="B1239" s="40">
        <v>45456</v>
      </c>
      <c r="C1239" t="s">
        <v>1864</v>
      </c>
      <c r="D1239" t="s">
        <v>1864</v>
      </c>
      <c r="E1239" s="65">
        <v>61776000</v>
      </c>
      <c r="F1239" t="s">
        <v>104</v>
      </c>
      <c r="G1239">
        <v>6</v>
      </c>
      <c r="I1239" s="40">
        <v>45639</v>
      </c>
      <c r="J1239" t="s">
        <v>3011</v>
      </c>
    </row>
    <row r="1240" spans="1:10">
      <c r="A1240" t="s">
        <v>925</v>
      </c>
      <c r="B1240" s="40">
        <v>45456</v>
      </c>
      <c r="C1240" t="s">
        <v>1865</v>
      </c>
      <c r="D1240" t="s">
        <v>1865</v>
      </c>
      <c r="E1240" s="65">
        <v>39996000</v>
      </c>
      <c r="F1240" t="s">
        <v>104</v>
      </c>
      <c r="G1240">
        <v>6</v>
      </c>
      <c r="I1240" s="40">
        <v>45639</v>
      </c>
      <c r="J1240" t="s">
        <v>3012</v>
      </c>
    </row>
    <row r="1241" spans="1:10">
      <c r="A1241" t="s">
        <v>925</v>
      </c>
      <c r="B1241" s="40">
        <v>45456</v>
      </c>
      <c r="C1241" t="s">
        <v>3013</v>
      </c>
      <c r="D1241" t="s">
        <v>3013</v>
      </c>
      <c r="E1241" s="65">
        <v>10649760</v>
      </c>
      <c r="F1241" t="s">
        <v>104</v>
      </c>
      <c r="G1241">
        <v>6</v>
      </c>
      <c r="I1241" s="40">
        <v>45639</v>
      </c>
    </row>
    <row r="1242" spans="1:10">
      <c r="A1242" t="s">
        <v>633</v>
      </c>
      <c r="B1242" s="40">
        <v>45450</v>
      </c>
      <c r="C1242" t="s">
        <v>1140</v>
      </c>
      <c r="D1242" t="s">
        <v>1140</v>
      </c>
      <c r="E1242" s="65">
        <v>11998980</v>
      </c>
      <c r="F1242" t="s">
        <v>104</v>
      </c>
      <c r="G1242">
        <v>12</v>
      </c>
      <c r="I1242" s="40">
        <v>45815</v>
      </c>
      <c r="J1242" t="s">
        <v>3014</v>
      </c>
    </row>
    <row r="1243" spans="1:10">
      <c r="A1243" t="s">
        <v>633</v>
      </c>
      <c r="B1243" s="40">
        <v>45450</v>
      </c>
      <c r="C1243" t="s">
        <v>1139</v>
      </c>
      <c r="D1243" t="s">
        <v>1139</v>
      </c>
      <c r="E1243" s="65">
        <v>96029290</v>
      </c>
      <c r="F1243" t="s">
        <v>104</v>
      </c>
      <c r="G1243">
        <v>6</v>
      </c>
      <c r="I1243" s="40">
        <v>45633</v>
      </c>
      <c r="J1243" t="s">
        <v>2613</v>
      </c>
    </row>
    <row r="1244" spans="1:10">
      <c r="A1244" t="s">
        <v>633</v>
      </c>
      <c r="B1244" s="40">
        <v>45450</v>
      </c>
      <c r="C1244" t="s">
        <v>1141</v>
      </c>
      <c r="D1244" t="s">
        <v>1141</v>
      </c>
      <c r="E1244" s="65">
        <v>11998980</v>
      </c>
      <c r="F1244" t="s">
        <v>104</v>
      </c>
      <c r="G1244">
        <v>12</v>
      </c>
      <c r="I1244" s="40">
        <v>45815</v>
      </c>
      <c r="J1244" t="s">
        <v>3015</v>
      </c>
    </row>
    <row r="1245" spans="1:10">
      <c r="A1245" t="s">
        <v>598</v>
      </c>
      <c r="B1245" s="40">
        <v>45440</v>
      </c>
      <c r="C1245" t="s">
        <v>1271</v>
      </c>
      <c r="D1245" t="s">
        <v>1271</v>
      </c>
      <c r="E1245" s="65">
        <v>23265119.999999996</v>
      </c>
      <c r="F1245" t="s">
        <v>104</v>
      </c>
      <c r="G1245">
        <v>6</v>
      </c>
      <c r="I1245" s="40">
        <v>45624</v>
      </c>
      <c r="J1245" t="s">
        <v>2938</v>
      </c>
    </row>
    <row r="1246" spans="1:10">
      <c r="A1246" t="s">
        <v>598</v>
      </c>
      <c r="B1246" s="40">
        <v>45440</v>
      </c>
      <c r="C1246" t="s">
        <v>1597</v>
      </c>
      <c r="D1246" t="s">
        <v>1597</v>
      </c>
      <c r="E1246" s="65">
        <v>27077279.999999996</v>
      </c>
      <c r="F1246" t="s">
        <v>104</v>
      </c>
      <c r="G1246">
        <v>6</v>
      </c>
      <c r="I1246" s="40">
        <v>45624</v>
      </c>
    </row>
    <row r="1247" spans="1:10">
      <c r="A1247" t="s">
        <v>631</v>
      </c>
      <c r="B1247" s="40">
        <v>45439</v>
      </c>
      <c r="C1247" t="s">
        <v>1241</v>
      </c>
      <c r="D1247" t="s">
        <v>1241</v>
      </c>
      <c r="E1247" s="65">
        <v>78190000</v>
      </c>
      <c r="F1247" t="s">
        <v>104</v>
      </c>
      <c r="G1247">
        <v>6</v>
      </c>
      <c r="I1247" s="40">
        <v>45623</v>
      </c>
    </row>
    <row r="1248" spans="1:10">
      <c r="A1248" t="s">
        <v>1020</v>
      </c>
      <c r="B1248" s="40">
        <v>45436</v>
      </c>
      <c r="C1248" t="s">
        <v>1935</v>
      </c>
      <c r="D1248" t="s">
        <v>1935</v>
      </c>
      <c r="E1248" s="65">
        <v>41798700</v>
      </c>
      <c r="F1248" t="s">
        <v>104</v>
      </c>
      <c r="G1248">
        <v>6</v>
      </c>
      <c r="I1248" s="40">
        <v>45620</v>
      </c>
    </row>
    <row r="1249" spans="1:10">
      <c r="A1249" t="s">
        <v>709</v>
      </c>
      <c r="B1249" s="40">
        <v>45429</v>
      </c>
      <c r="C1249" t="s">
        <v>1775</v>
      </c>
      <c r="D1249" t="s">
        <v>1775</v>
      </c>
      <c r="E1249" s="65">
        <v>14998400</v>
      </c>
      <c r="F1249" t="s">
        <v>104</v>
      </c>
      <c r="G1249">
        <v>6</v>
      </c>
      <c r="I1249" s="40">
        <v>45613</v>
      </c>
    </row>
    <row r="1250" spans="1:10">
      <c r="A1250" t="s">
        <v>709</v>
      </c>
      <c r="B1250" s="40">
        <v>45429</v>
      </c>
      <c r="C1250" t="s">
        <v>1776</v>
      </c>
      <c r="D1250" t="s">
        <v>1776</v>
      </c>
      <c r="E1250" s="65">
        <v>10000000</v>
      </c>
      <c r="F1250" t="s">
        <v>104</v>
      </c>
      <c r="G1250">
        <v>6</v>
      </c>
      <c r="I1250" s="40">
        <v>45613</v>
      </c>
      <c r="J1250" t="s">
        <v>3016</v>
      </c>
    </row>
    <row r="1251" spans="1:10">
      <c r="A1251" t="s">
        <v>709</v>
      </c>
      <c r="B1251" s="40">
        <v>45429</v>
      </c>
      <c r="C1251" t="s">
        <v>1774</v>
      </c>
      <c r="D1251" t="s">
        <v>1774</v>
      </c>
      <c r="E1251" s="65">
        <v>16000000</v>
      </c>
      <c r="F1251" t="s">
        <v>104</v>
      </c>
      <c r="G1251">
        <v>6</v>
      </c>
      <c r="I1251" s="40">
        <v>45613</v>
      </c>
    </row>
    <row r="1252" spans="1:10">
      <c r="A1252" t="s">
        <v>709</v>
      </c>
      <c r="B1252" s="40">
        <v>45429</v>
      </c>
      <c r="C1252" t="s">
        <v>1777</v>
      </c>
      <c r="D1252" t="s">
        <v>1777</v>
      </c>
      <c r="E1252" s="65">
        <v>10000000</v>
      </c>
      <c r="F1252" t="s">
        <v>104</v>
      </c>
      <c r="G1252">
        <v>6</v>
      </c>
      <c r="I1252" s="40">
        <v>45613</v>
      </c>
      <c r="J1252" t="s">
        <v>3017</v>
      </c>
    </row>
    <row r="1253" spans="1:10">
      <c r="A1253" t="s">
        <v>709</v>
      </c>
      <c r="B1253" s="40">
        <v>45429</v>
      </c>
      <c r="C1253" t="s">
        <v>1448</v>
      </c>
      <c r="D1253" t="s">
        <v>1448</v>
      </c>
      <c r="E1253" s="65">
        <v>16000000</v>
      </c>
      <c r="F1253" t="s">
        <v>104</v>
      </c>
      <c r="G1253">
        <v>6</v>
      </c>
      <c r="I1253" s="40">
        <v>45613</v>
      </c>
      <c r="J1253" t="s">
        <v>2363</v>
      </c>
    </row>
    <row r="1254" spans="1:10">
      <c r="A1254" t="s">
        <v>592</v>
      </c>
      <c r="B1254" s="40">
        <v>45428</v>
      </c>
      <c r="C1254" t="s">
        <v>2135</v>
      </c>
      <c r="D1254" t="s">
        <v>2135</v>
      </c>
      <c r="E1254" s="65">
        <v>19846720</v>
      </c>
      <c r="F1254" t="s">
        <v>104</v>
      </c>
      <c r="G1254">
        <v>6</v>
      </c>
      <c r="I1254" s="40">
        <v>45612</v>
      </c>
    </row>
    <row r="1255" spans="1:10">
      <c r="A1255" t="s">
        <v>592</v>
      </c>
      <c r="B1255" s="40">
        <v>45428</v>
      </c>
      <c r="C1255" t="s">
        <v>2136</v>
      </c>
      <c r="D1255" t="s">
        <v>2136</v>
      </c>
      <c r="E1255" s="65">
        <v>19572040</v>
      </c>
      <c r="F1255" t="s">
        <v>104</v>
      </c>
      <c r="G1255">
        <v>6</v>
      </c>
      <c r="I1255" s="40">
        <v>45612</v>
      </c>
    </row>
    <row r="1256" spans="1:10">
      <c r="A1256" t="s">
        <v>777</v>
      </c>
      <c r="B1256" s="40">
        <v>45406</v>
      </c>
      <c r="C1256" t="s">
        <v>1825</v>
      </c>
      <c r="D1256" t="s">
        <v>1825</v>
      </c>
      <c r="E1256" s="65">
        <v>62639200</v>
      </c>
      <c r="F1256" t="s">
        <v>104</v>
      </c>
      <c r="G1256">
        <v>6</v>
      </c>
      <c r="I1256" s="40">
        <v>45589</v>
      </c>
    </row>
    <row r="1257" spans="1:10">
      <c r="A1257" t="s">
        <v>777</v>
      </c>
      <c r="B1257" s="40">
        <v>45406</v>
      </c>
      <c r="C1257" t="s">
        <v>1826</v>
      </c>
      <c r="D1257" t="s">
        <v>1826</v>
      </c>
      <c r="E1257" s="65">
        <v>32075800</v>
      </c>
      <c r="F1257" t="s">
        <v>104</v>
      </c>
      <c r="G1257">
        <v>6</v>
      </c>
      <c r="I1257" s="40">
        <v>45589</v>
      </c>
    </row>
    <row r="1258" spans="1:10">
      <c r="A1258" t="s">
        <v>629</v>
      </c>
      <c r="B1258" s="40">
        <v>45379</v>
      </c>
      <c r="C1258" t="s">
        <v>1954</v>
      </c>
      <c r="D1258" t="s">
        <v>1954</v>
      </c>
      <c r="E1258" s="65">
        <v>182391230</v>
      </c>
      <c r="F1258" t="s">
        <v>104</v>
      </c>
      <c r="G1258">
        <v>6</v>
      </c>
      <c r="I1258" s="40">
        <v>45563</v>
      </c>
    </row>
    <row r="1259" spans="1:10">
      <c r="A1259" t="s">
        <v>629</v>
      </c>
      <c r="B1259" s="40">
        <v>45379</v>
      </c>
      <c r="C1259" t="s">
        <v>1953</v>
      </c>
      <c r="D1259" t="s">
        <v>1953</v>
      </c>
      <c r="E1259" s="65">
        <v>182391230</v>
      </c>
      <c r="F1259" t="s">
        <v>104</v>
      </c>
      <c r="G1259">
        <v>6</v>
      </c>
      <c r="I1259" s="40">
        <v>45563</v>
      </c>
    </row>
    <row r="1260" spans="1:10">
      <c r="A1260" t="s">
        <v>848</v>
      </c>
      <c r="B1260" s="40">
        <v>45377</v>
      </c>
      <c r="C1260" t="s">
        <v>1227</v>
      </c>
      <c r="D1260" t="s">
        <v>1227</v>
      </c>
      <c r="E1260" s="65">
        <v>69999800</v>
      </c>
      <c r="F1260" t="s">
        <v>104</v>
      </c>
      <c r="G1260">
        <v>6</v>
      </c>
      <c r="I1260" s="40">
        <v>45561</v>
      </c>
    </row>
    <row r="1261" spans="1:10">
      <c r="A1261" t="s">
        <v>413</v>
      </c>
      <c r="B1261" s="40">
        <v>45372</v>
      </c>
      <c r="C1261" t="s">
        <v>1757</v>
      </c>
      <c r="D1261" t="s">
        <v>1757</v>
      </c>
      <c r="E1261" s="65">
        <v>163599840</v>
      </c>
      <c r="F1261" t="s">
        <v>104</v>
      </c>
      <c r="G1261">
        <v>12</v>
      </c>
      <c r="I1261" s="40">
        <v>45737</v>
      </c>
    </row>
    <row r="1262" spans="1:10">
      <c r="A1262" t="s">
        <v>413</v>
      </c>
      <c r="B1262" s="40">
        <v>45372</v>
      </c>
      <c r="C1262" t="s">
        <v>1075</v>
      </c>
      <c r="D1262" t="s">
        <v>1075</v>
      </c>
      <c r="E1262" s="65">
        <v>156553680</v>
      </c>
      <c r="F1262" t="s">
        <v>104</v>
      </c>
      <c r="G1262">
        <v>6</v>
      </c>
      <c r="I1262" s="40">
        <v>45556</v>
      </c>
    </row>
    <row r="1263" spans="1:10">
      <c r="A1263" t="s">
        <v>413</v>
      </c>
      <c r="B1263" s="40">
        <v>45372</v>
      </c>
      <c r="C1263" t="s">
        <v>1758</v>
      </c>
      <c r="D1263" t="s">
        <v>1758</v>
      </c>
      <c r="E1263" s="65">
        <v>78274800</v>
      </c>
      <c r="F1263" t="s">
        <v>104</v>
      </c>
      <c r="G1263">
        <v>6</v>
      </c>
      <c r="I1263" s="40">
        <v>45556</v>
      </c>
    </row>
    <row r="1264" spans="1:10">
      <c r="A1264" t="s">
        <v>413</v>
      </c>
      <c r="B1264" s="40">
        <v>45372</v>
      </c>
      <c r="C1264" t="s">
        <v>1759</v>
      </c>
      <c r="D1264" t="s">
        <v>1759</v>
      </c>
      <c r="E1264" s="65">
        <v>19996080</v>
      </c>
      <c r="F1264" t="s">
        <v>104</v>
      </c>
      <c r="G1264">
        <v>12</v>
      </c>
      <c r="I1264" s="40">
        <v>45737</v>
      </c>
    </row>
    <row r="1265" spans="1:10">
      <c r="A1265" t="s">
        <v>994</v>
      </c>
      <c r="B1265" s="40">
        <v>45371</v>
      </c>
      <c r="C1265" t="s">
        <v>1851</v>
      </c>
      <c r="D1265" t="s">
        <v>1851</v>
      </c>
      <c r="E1265" s="65">
        <v>39140640</v>
      </c>
      <c r="F1265" t="s">
        <v>104</v>
      </c>
      <c r="G1265">
        <v>6</v>
      </c>
      <c r="I1265" s="40">
        <v>45555</v>
      </c>
    </row>
    <row r="1266" spans="1:10">
      <c r="A1266" t="s">
        <v>994</v>
      </c>
      <c r="B1266" s="40">
        <v>45371</v>
      </c>
      <c r="C1266" t="s">
        <v>1850</v>
      </c>
      <c r="D1266" t="s">
        <v>1850</v>
      </c>
      <c r="E1266" s="65">
        <v>117421920</v>
      </c>
      <c r="F1266" t="s">
        <v>104</v>
      </c>
      <c r="G1266">
        <v>6</v>
      </c>
      <c r="I1266" s="40">
        <v>45555</v>
      </c>
    </row>
    <row r="1267" spans="1:10">
      <c r="A1267" t="s">
        <v>994</v>
      </c>
      <c r="B1267" s="40">
        <v>45371</v>
      </c>
      <c r="C1267" t="s">
        <v>1852</v>
      </c>
      <c r="D1267" t="s">
        <v>1852</v>
      </c>
      <c r="E1267" s="65">
        <v>39140640</v>
      </c>
      <c r="F1267" t="s">
        <v>104</v>
      </c>
      <c r="G1267">
        <v>6</v>
      </c>
      <c r="I1267" s="40">
        <v>45555</v>
      </c>
    </row>
    <row r="1268" spans="1:10">
      <c r="A1268" t="s">
        <v>618</v>
      </c>
      <c r="B1268" s="40">
        <v>45296</v>
      </c>
      <c r="C1268" t="s">
        <v>1857</v>
      </c>
      <c r="D1268" t="s">
        <v>1857</v>
      </c>
      <c r="E1268" s="65">
        <v>781138000</v>
      </c>
      <c r="F1268" t="s">
        <v>104</v>
      </c>
      <c r="G1268">
        <v>6</v>
      </c>
      <c r="I1268" s="40">
        <v>45478</v>
      </c>
    </row>
    <row r="1269" spans="1:10">
      <c r="A1269" t="s">
        <v>624</v>
      </c>
      <c r="B1269" s="40">
        <v>45289</v>
      </c>
      <c r="C1269" t="s">
        <v>2092</v>
      </c>
      <c r="D1269" t="s">
        <v>2092</v>
      </c>
      <c r="E1269" s="65">
        <v>542322000</v>
      </c>
      <c r="F1269" t="s">
        <v>104</v>
      </c>
      <c r="G1269">
        <v>6</v>
      </c>
      <c r="I1269" s="40">
        <v>45472</v>
      </c>
    </row>
    <row r="1270" spans="1:10">
      <c r="A1270" t="s">
        <v>828</v>
      </c>
      <c r="B1270" s="40">
        <v>45282</v>
      </c>
      <c r="C1270" t="s">
        <v>1652</v>
      </c>
      <c r="D1270" t="s">
        <v>1652</v>
      </c>
      <c r="E1270" s="65">
        <v>108900000.00000001</v>
      </c>
      <c r="F1270" t="s">
        <v>104</v>
      </c>
      <c r="G1270">
        <v>12</v>
      </c>
      <c r="I1270" s="40">
        <v>45648</v>
      </c>
    </row>
    <row r="1271" spans="1:10">
      <c r="A1271" t="s">
        <v>1024</v>
      </c>
      <c r="B1271" s="40">
        <v>45282</v>
      </c>
      <c r="C1271" t="s">
        <v>2059</v>
      </c>
      <c r="D1271" t="s">
        <v>2059</v>
      </c>
      <c r="E1271" s="65">
        <v>109106250</v>
      </c>
      <c r="F1271" t="s">
        <v>104</v>
      </c>
      <c r="G1271">
        <v>12</v>
      </c>
      <c r="I1271" s="40">
        <v>45648</v>
      </c>
      <c r="J1271" t="s">
        <v>3018</v>
      </c>
    </row>
    <row r="1272" spans="1:10">
      <c r="A1272" t="s">
        <v>507</v>
      </c>
      <c r="B1272" s="40">
        <v>45282</v>
      </c>
      <c r="C1272" t="s">
        <v>1415</v>
      </c>
      <c r="D1272" t="s">
        <v>1415</v>
      </c>
      <c r="E1272" s="65">
        <v>14997600</v>
      </c>
      <c r="F1272" t="s">
        <v>104</v>
      </c>
      <c r="G1272">
        <v>6</v>
      </c>
      <c r="I1272" s="40">
        <v>45465</v>
      </c>
    </row>
    <row r="1273" spans="1:10">
      <c r="A1273" t="s">
        <v>507</v>
      </c>
      <c r="B1273" s="40">
        <v>45282</v>
      </c>
      <c r="C1273" t="s">
        <v>1413</v>
      </c>
      <c r="D1273" t="s">
        <v>1413</v>
      </c>
      <c r="E1273" s="65">
        <v>19998000</v>
      </c>
      <c r="F1273" t="s">
        <v>104</v>
      </c>
      <c r="G1273">
        <v>6</v>
      </c>
      <c r="I1273" s="40">
        <v>45465</v>
      </c>
    </row>
    <row r="1274" spans="1:10">
      <c r="A1274" t="s">
        <v>507</v>
      </c>
      <c r="B1274" s="40">
        <v>45282</v>
      </c>
      <c r="C1274" t="s">
        <v>1414</v>
      </c>
      <c r="D1274" t="s">
        <v>1414</v>
      </c>
      <c r="E1274" s="65">
        <v>14997600</v>
      </c>
      <c r="F1274" t="s">
        <v>104</v>
      </c>
      <c r="G1274">
        <v>6</v>
      </c>
      <c r="I1274" s="40">
        <v>45465</v>
      </c>
    </row>
    <row r="1275" spans="1:10">
      <c r="A1275" t="s">
        <v>767</v>
      </c>
      <c r="B1275" s="40">
        <v>45282</v>
      </c>
      <c r="C1275" t="s">
        <v>1685</v>
      </c>
      <c r="D1275" t="s">
        <v>1685</v>
      </c>
      <c r="E1275" s="65">
        <v>23441560</v>
      </c>
      <c r="F1275" t="s">
        <v>104</v>
      </c>
      <c r="G1275">
        <v>6</v>
      </c>
      <c r="I1275" s="40">
        <v>45465</v>
      </c>
    </row>
    <row r="1276" spans="1:10">
      <c r="A1276" t="s">
        <v>767</v>
      </c>
      <c r="B1276" s="40">
        <v>45282</v>
      </c>
      <c r="C1276" t="s">
        <v>1687</v>
      </c>
      <c r="D1276" t="s">
        <v>1687</v>
      </c>
      <c r="E1276" s="65">
        <v>9998080</v>
      </c>
      <c r="F1276" t="s">
        <v>104</v>
      </c>
      <c r="G1276">
        <v>6</v>
      </c>
      <c r="I1276" s="40">
        <v>45465</v>
      </c>
      <c r="J1276" t="s">
        <v>3019</v>
      </c>
    </row>
    <row r="1277" spans="1:10">
      <c r="A1277" t="s">
        <v>767</v>
      </c>
      <c r="B1277" s="40">
        <v>45282</v>
      </c>
      <c r="C1277" t="s">
        <v>1686</v>
      </c>
      <c r="D1277" t="s">
        <v>1686</v>
      </c>
      <c r="E1277" s="65">
        <v>19998300</v>
      </c>
      <c r="F1277" t="s">
        <v>104</v>
      </c>
      <c r="G1277">
        <v>6</v>
      </c>
      <c r="I1277" s="40">
        <v>45465</v>
      </c>
    </row>
    <row r="1278" spans="1:10">
      <c r="A1278" t="s">
        <v>767</v>
      </c>
      <c r="B1278" s="40">
        <v>45282</v>
      </c>
      <c r="C1278" t="s">
        <v>1075</v>
      </c>
      <c r="D1278" t="s">
        <v>1075</v>
      </c>
      <c r="E1278" s="65">
        <v>23441560</v>
      </c>
      <c r="F1278" t="s">
        <v>104</v>
      </c>
      <c r="G1278">
        <v>6</v>
      </c>
      <c r="I1278" s="40">
        <v>45465</v>
      </c>
    </row>
    <row r="1279" spans="1:10">
      <c r="A1279" t="s">
        <v>767</v>
      </c>
      <c r="B1279" s="40">
        <v>45282</v>
      </c>
      <c r="C1279" t="s">
        <v>1684</v>
      </c>
      <c r="D1279" t="s">
        <v>1684</v>
      </c>
      <c r="E1279" s="65">
        <v>39069980</v>
      </c>
      <c r="F1279" t="s">
        <v>104</v>
      </c>
      <c r="G1279">
        <v>6</v>
      </c>
      <c r="I1279" s="40">
        <v>45465</v>
      </c>
      <c r="J1279" t="s">
        <v>3020</v>
      </c>
    </row>
    <row r="1280" spans="1:10">
      <c r="A1280" t="s">
        <v>596</v>
      </c>
      <c r="B1280" s="40">
        <v>45280</v>
      </c>
      <c r="C1280" t="s">
        <v>1983</v>
      </c>
      <c r="D1280" t="s">
        <v>1983</v>
      </c>
      <c r="E1280" s="65">
        <v>154704805</v>
      </c>
      <c r="F1280" t="s">
        <v>104</v>
      </c>
      <c r="G1280">
        <v>6</v>
      </c>
      <c r="I1280" s="40">
        <v>45463</v>
      </c>
    </row>
    <row r="1281" spans="1:10">
      <c r="A1281" t="s">
        <v>596</v>
      </c>
      <c r="B1281" s="40">
        <v>45280</v>
      </c>
      <c r="C1281" t="s">
        <v>1982</v>
      </c>
      <c r="D1281" t="s">
        <v>1982</v>
      </c>
      <c r="E1281" s="65">
        <v>231625800</v>
      </c>
      <c r="F1281" t="s">
        <v>104</v>
      </c>
      <c r="G1281">
        <v>6</v>
      </c>
      <c r="I1281" s="40">
        <v>45463</v>
      </c>
      <c r="J1281" t="s">
        <v>3021</v>
      </c>
    </row>
    <row r="1282" spans="1:10">
      <c r="A1282" t="s">
        <v>596</v>
      </c>
      <c r="B1282" s="40">
        <v>45280</v>
      </c>
      <c r="C1282" t="s">
        <v>1984</v>
      </c>
      <c r="D1282" t="s">
        <v>1984</v>
      </c>
      <c r="E1282" s="65">
        <v>78130715</v>
      </c>
      <c r="F1282" t="s">
        <v>104</v>
      </c>
      <c r="G1282">
        <v>6</v>
      </c>
      <c r="I1282" s="40">
        <v>45463</v>
      </c>
    </row>
    <row r="1283" spans="1:10">
      <c r="A1283" t="s">
        <v>596</v>
      </c>
      <c r="B1283" s="40">
        <v>45280</v>
      </c>
      <c r="C1283" t="s">
        <v>1985</v>
      </c>
      <c r="D1283" t="s">
        <v>1985</v>
      </c>
      <c r="E1283" s="65">
        <v>54692390</v>
      </c>
      <c r="F1283" t="s">
        <v>104</v>
      </c>
      <c r="G1283">
        <v>6</v>
      </c>
      <c r="I1283" s="40">
        <v>45463</v>
      </c>
    </row>
    <row r="1284" spans="1:10">
      <c r="A1284" t="s">
        <v>485</v>
      </c>
      <c r="B1284" s="40">
        <v>45280</v>
      </c>
      <c r="C1284" t="s">
        <v>1765</v>
      </c>
      <c r="D1284" t="s">
        <v>1765</v>
      </c>
      <c r="E1284" s="65">
        <v>39136800</v>
      </c>
      <c r="F1284" t="s">
        <v>104</v>
      </c>
      <c r="G1284">
        <v>6</v>
      </c>
      <c r="I1284" s="40">
        <v>45463</v>
      </c>
      <c r="J1284" t="s">
        <v>3022</v>
      </c>
    </row>
    <row r="1285" spans="1:10">
      <c r="A1285" t="s">
        <v>485</v>
      </c>
      <c r="B1285" s="40">
        <v>45280</v>
      </c>
      <c r="C1285" t="s">
        <v>1763</v>
      </c>
      <c r="D1285" t="s">
        <v>1763</v>
      </c>
      <c r="E1285" s="65">
        <v>39136800</v>
      </c>
      <c r="F1285" t="s">
        <v>104</v>
      </c>
      <c r="G1285">
        <v>6</v>
      </c>
      <c r="I1285" s="40">
        <v>45463</v>
      </c>
      <c r="J1285" t="s">
        <v>2532</v>
      </c>
    </row>
    <row r="1286" spans="1:10">
      <c r="A1286" t="s">
        <v>485</v>
      </c>
      <c r="B1286" s="40">
        <v>45280</v>
      </c>
      <c r="C1286" t="s">
        <v>1764</v>
      </c>
      <c r="D1286" t="s">
        <v>1764</v>
      </c>
      <c r="E1286" s="65">
        <v>39136800</v>
      </c>
      <c r="F1286" t="s">
        <v>104</v>
      </c>
      <c r="G1286">
        <v>6</v>
      </c>
      <c r="I1286" s="40">
        <v>45463</v>
      </c>
    </row>
    <row r="1287" spans="1:10">
      <c r="A1287" t="s">
        <v>485</v>
      </c>
      <c r="B1287" s="40">
        <v>45280</v>
      </c>
      <c r="C1287" t="s">
        <v>1766</v>
      </c>
      <c r="D1287" t="s">
        <v>1766</v>
      </c>
      <c r="E1287" s="65">
        <v>28668000</v>
      </c>
      <c r="F1287" t="s">
        <v>104</v>
      </c>
      <c r="G1287">
        <v>6</v>
      </c>
      <c r="I1287" s="40">
        <v>45463</v>
      </c>
    </row>
    <row r="1288" spans="1:10">
      <c r="A1288" t="s">
        <v>511</v>
      </c>
      <c r="B1288" s="40">
        <v>45272</v>
      </c>
      <c r="C1288" t="s">
        <v>1489</v>
      </c>
      <c r="D1288" t="s">
        <v>1489</v>
      </c>
      <c r="E1288" s="65">
        <v>23388640</v>
      </c>
      <c r="F1288" t="s">
        <v>104</v>
      </c>
      <c r="G1288">
        <v>12</v>
      </c>
      <c r="I1288" s="40">
        <v>45638</v>
      </c>
    </row>
    <row r="1289" spans="1:10">
      <c r="A1289" t="s">
        <v>511</v>
      </c>
      <c r="B1289" s="40">
        <v>45272</v>
      </c>
      <c r="C1289" t="s">
        <v>1487</v>
      </c>
      <c r="D1289" t="s">
        <v>1487</v>
      </c>
      <c r="E1289" s="65">
        <v>38897000</v>
      </c>
      <c r="F1289" t="s">
        <v>104</v>
      </c>
      <c r="G1289">
        <v>12</v>
      </c>
      <c r="I1289" s="40">
        <v>45638</v>
      </c>
    </row>
    <row r="1290" spans="1:10">
      <c r="A1290" t="s">
        <v>511</v>
      </c>
      <c r="B1290" s="40">
        <v>45272</v>
      </c>
      <c r="C1290" t="s">
        <v>1490</v>
      </c>
      <c r="D1290" t="s">
        <v>1490</v>
      </c>
      <c r="E1290" s="65">
        <v>15589839.999999998</v>
      </c>
      <c r="F1290" t="s">
        <v>104</v>
      </c>
      <c r="G1290">
        <v>12</v>
      </c>
      <c r="I1290" s="40">
        <v>45638</v>
      </c>
    </row>
    <row r="1291" spans="1:10">
      <c r="A1291" t="s">
        <v>511</v>
      </c>
      <c r="B1291" s="40">
        <v>45272</v>
      </c>
      <c r="C1291" t="s">
        <v>1488</v>
      </c>
      <c r="D1291" t="s">
        <v>1488</v>
      </c>
      <c r="E1291" s="65">
        <v>23388640</v>
      </c>
      <c r="F1291" t="s">
        <v>104</v>
      </c>
      <c r="G1291">
        <v>12</v>
      </c>
      <c r="I1291" s="40">
        <v>45638</v>
      </c>
    </row>
    <row r="1292" spans="1:10">
      <c r="A1292" t="s">
        <v>511</v>
      </c>
      <c r="B1292" s="40">
        <v>45272</v>
      </c>
      <c r="C1292" t="s">
        <v>1491</v>
      </c>
      <c r="D1292" t="s">
        <v>1491</v>
      </c>
      <c r="E1292" s="65">
        <v>15589839.999999998</v>
      </c>
      <c r="F1292" t="s">
        <v>104</v>
      </c>
      <c r="G1292">
        <v>12</v>
      </c>
      <c r="I1292" s="40">
        <v>45638</v>
      </c>
    </row>
    <row r="1293" spans="1:10">
      <c r="A1293" t="s">
        <v>511</v>
      </c>
      <c r="B1293" s="40">
        <v>45272</v>
      </c>
      <c r="C1293" t="s">
        <v>3023</v>
      </c>
      <c r="D1293" t="s">
        <v>3023</v>
      </c>
      <c r="E1293" s="65">
        <v>7794919.9999999991</v>
      </c>
      <c r="F1293" t="s">
        <v>104</v>
      </c>
      <c r="G1293">
        <v>12</v>
      </c>
      <c r="I1293" s="40">
        <v>45638</v>
      </c>
    </row>
    <row r="1294" spans="1:10">
      <c r="A1294" t="s">
        <v>316</v>
      </c>
      <c r="B1294" s="40">
        <v>45266</v>
      </c>
      <c r="C1294" t="s">
        <v>1605</v>
      </c>
      <c r="D1294" t="s">
        <v>1605</v>
      </c>
      <c r="E1294" s="65">
        <v>156058325</v>
      </c>
      <c r="F1294" t="s">
        <v>104</v>
      </c>
      <c r="G1294">
        <v>6</v>
      </c>
      <c r="I1294" s="40">
        <v>45449</v>
      </c>
    </row>
    <row r="1295" spans="1:10">
      <c r="A1295" t="s">
        <v>316</v>
      </c>
      <c r="B1295" s="40">
        <v>45266</v>
      </c>
      <c r="C1295" t="s">
        <v>1607</v>
      </c>
      <c r="D1295" t="s">
        <v>1607</v>
      </c>
      <c r="E1295" s="65">
        <v>77960805</v>
      </c>
      <c r="F1295" t="s">
        <v>104</v>
      </c>
      <c r="G1295">
        <v>6</v>
      </c>
      <c r="I1295" s="40">
        <v>45449</v>
      </c>
      <c r="J1295" t="s">
        <v>3024</v>
      </c>
    </row>
    <row r="1296" spans="1:10">
      <c r="A1296" t="s">
        <v>316</v>
      </c>
      <c r="B1296" s="40">
        <v>45266</v>
      </c>
      <c r="C1296" t="s">
        <v>1606</v>
      </c>
      <c r="D1296" t="s">
        <v>1606</v>
      </c>
      <c r="E1296" s="65">
        <v>155947475</v>
      </c>
      <c r="F1296" t="s">
        <v>104</v>
      </c>
      <c r="G1296">
        <v>6</v>
      </c>
      <c r="I1296" s="40">
        <v>45449</v>
      </c>
      <c r="J1296" t="s">
        <v>3025</v>
      </c>
    </row>
    <row r="1297" spans="1:10">
      <c r="A1297" t="s">
        <v>342</v>
      </c>
      <c r="B1297" s="40">
        <v>45252</v>
      </c>
      <c r="C1297" t="s">
        <v>1545</v>
      </c>
      <c r="D1297" t="s">
        <v>1545</v>
      </c>
      <c r="E1297" s="65">
        <v>156999240</v>
      </c>
      <c r="F1297" t="s">
        <v>104</v>
      </c>
      <c r="G1297">
        <v>36</v>
      </c>
      <c r="I1297" s="40">
        <v>46348</v>
      </c>
    </row>
    <row r="1298" spans="1:10">
      <c r="A1298" t="s">
        <v>503</v>
      </c>
      <c r="B1298" s="40">
        <v>45247</v>
      </c>
      <c r="C1298" t="s">
        <v>3026</v>
      </c>
      <c r="D1298" t="s">
        <v>3026</v>
      </c>
      <c r="E1298" s="65">
        <v>195545500</v>
      </c>
      <c r="F1298" t="s">
        <v>104</v>
      </c>
      <c r="G1298">
        <v>6</v>
      </c>
      <c r="I1298" s="40">
        <v>45429</v>
      </c>
      <c r="J1298" t="s">
        <v>3027</v>
      </c>
    </row>
    <row r="1299" spans="1:10">
      <c r="A1299" t="s">
        <v>503</v>
      </c>
      <c r="B1299" s="40">
        <v>45247</v>
      </c>
      <c r="C1299" t="s">
        <v>1120</v>
      </c>
      <c r="D1299" t="s">
        <v>1120</v>
      </c>
      <c r="E1299" s="65">
        <v>234654600.00000003</v>
      </c>
      <c r="F1299" t="s">
        <v>104</v>
      </c>
      <c r="G1299">
        <v>6</v>
      </c>
      <c r="I1299" s="40">
        <v>45429</v>
      </c>
      <c r="J1299" t="s">
        <v>3028</v>
      </c>
    </row>
    <row r="1300" spans="1:10">
      <c r="A1300" t="s">
        <v>503</v>
      </c>
      <c r="B1300" s="40">
        <v>45247</v>
      </c>
      <c r="C1300" t="s">
        <v>1119</v>
      </c>
      <c r="D1300" t="s">
        <v>1119</v>
      </c>
      <c r="E1300" s="65">
        <v>312872800</v>
      </c>
      <c r="F1300" t="s">
        <v>104</v>
      </c>
      <c r="G1300">
        <v>6</v>
      </c>
      <c r="I1300" s="40">
        <v>45429</v>
      </c>
      <c r="J1300" t="s">
        <v>2403</v>
      </c>
    </row>
    <row r="1301" spans="1:10">
      <c r="A1301" t="s">
        <v>503</v>
      </c>
      <c r="B1301" s="40">
        <v>45247</v>
      </c>
      <c r="C1301" t="s">
        <v>1118</v>
      </c>
      <c r="D1301" t="s">
        <v>1118</v>
      </c>
      <c r="E1301" s="65">
        <v>351981900</v>
      </c>
      <c r="F1301" t="s">
        <v>104</v>
      </c>
      <c r="G1301">
        <v>6</v>
      </c>
      <c r="I1301" s="40">
        <v>45429</v>
      </c>
      <c r="J1301" t="s">
        <v>3029</v>
      </c>
    </row>
    <row r="1302" spans="1:10">
      <c r="A1302" t="s">
        <v>503</v>
      </c>
      <c r="B1302" s="40">
        <v>45247</v>
      </c>
      <c r="C1302" t="s">
        <v>1117</v>
      </c>
      <c r="D1302" t="s">
        <v>1117</v>
      </c>
      <c r="E1302" s="65">
        <v>391091000</v>
      </c>
      <c r="F1302" t="s">
        <v>104</v>
      </c>
      <c r="G1302">
        <v>6</v>
      </c>
      <c r="I1302" s="40">
        <v>45429</v>
      </c>
      <c r="J1302" t="s">
        <v>3030</v>
      </c>
    </row>
    <row r="1303" spans="1:10">
      <c r="A1303" t="s">
        <v>503</v>
      </c>
      <c r="B1303" s="40">
        <v>45247</v>
      </c>
      <c r="C1303" t="s">
        <v>1116</v>
      </c>
      <c r="D1303" t="s">
        <v>1116</v>
      </c>
      <c r="E1303" s="65">
        <v>782182000</v>
      </c>
      <c r="F1303" t="s">
        <v>104</v>
      </c>
      <c r="G1303">
        <v>6</v>
      </c>
      <c r="I1303" s="40">
        <v>45429</v>
      </c>
      <c r="J1303" t="s">
        <v>2900</v>
      </c>
    </row>
    <row r="1304" spans="1:10">
      <c r="A1304" t="s">
        <v>503</v>
      </c>
      <c r="B1304" s="40">
        <v>45247</v>
      </c>
      <c r="C1304" t="s">
        <v>3031</v>
      </c>
      <c r="D1304" t="s">
        <v>3031</v>
      </c>
      <c r="E1304" s="65">
        <v>78218200</v>
      </c>
      <c r="F1304" t="s">
        <v>104</v>
      </c>
      <c r="G1304">
        <v>6</v>
      </c>
      <c r="I1304" s="40">
        <v>45429</v>
      </c>
    </row>
    <row r="1305" spans="1:10">
      <c r="A1305" t="s">
        <v>566</v>
      </c>
      <c r="B1305" s="40">
        <v>45240</v>
      </c>
      <c r="C1305" t="s">
        <v>1132</v>
      </c>
      <c r="D1305" t="s">
        <v>1132</v>
      </c>
      <c r="E1305" s="65">
        <v>109002096</v>
      </c>
      <c r="F1305" t="s">
        <v>104</v>
      </c>
      <c r="G1305">
        <v>6</v>
      </c>
      <c r="I1305" s="40">
        <v>45422</v>
      </c>
    </row>
    <row r="1306" spans="1:10">
      <c r="A1306" t="s">
        <v>477</v>
      </c>
      <c r="B1306" s="40">
        <v>45233</v>
      </c>
      <c r="C1306" t="s">
        <v>2042</v>
      </c>
      <c r="D1306" t="s">
        <v>2042</v>
      </c>
      <c r="E1306" s="65">
        <v>15638850</v>
      </c>
      <c r="F1306" t="s">
        <v>104</v>
      </c>
      <c r="G1306">
        <v>12</v>
      </c>
      <c r="I1306" s="40">
        <v>45599</v>
      </c>
    </row>
    <row r="1307" spans="1:10">
      <c r="A1307" t="s">
        <v>477</v>
      </c>
      <c r="B1307" s="40">
        <v>45233</v>
      </c>
      <c r="C1307" t="s">
        <v>2043</v>
      </c>
      <c r="D1307" t="s">
        <v>2043</v>
      </c>
      <c r="E1307" s="65">
        <v>10784700</v>
      </c>
      <c r="F1307" t="s">
        <v>104</v>
      </c>
      <c r="G1307">
        <v>12</v>
      </c>
      <c r="I1307" s="40">
        <v>45599</v>
      </c>
    </row>
    <row r="1308" spans="1:10">
      <c r="A1308" t="s">
        <v>477</v>
      </c>
      <c r="B1308" s="40">
        <v>45233</v>
      </c>
      <c r="C1308" t="s">
        <v>1232</v>
      </c>
      <c r="D1308" t="s">
        <v>1232</v>
      </c>
      <c r="E1308" s="65">
        <v>27236025</v>
      </c>
      <c r="F1308" t="s">
        <v>104</v>
      </c>
      <c r="G1308">
        <v>12</v>
      </c>
      <c r="I1308" s="40">
        <v>45599</v>
      </c>
    </row>
    <row r="1309" spans="1:10">
      <c r="A1309" t="s">
        <v>477</v>
      </c>
      <c r="B1309" s="40">
        <v>45233</v>
      </c>
      <c r="C1309" t="s">
        <v>2041</v>
      </c>
      <c r="D1309" t="s">
        <v>2041</v>
      </c>
      <c r="E1309" s="65">
        <v>61903350</v>
      </c>
      <c r="F1309" t="s">
        <v>104</v>
      </c>
      <c r="G1309">
        <v>12</v>
      </c>
      <c r="I1309" s="40">
        <v>45599</v>
      </c>
      <c r="J1309" t="s">
        <v>3032</v>
      </c>
    </row>
    <row r="1310" spans="1:10">
      <c r="A1310" t="s">
        <v>383</v>
      </c>
      <c r="B1310" s="40">
        <v>45232</v>
      </c>
      <c r="C1310" t="s">
        <v>1194</v>
      </c>
      <c r="D1310" t="s">
        <v>1194</v>
      </c>
      <c r="E1310" s="65">
        <v>64897352.000000007</v>
      </c>
      <c r="F1310" t="s">
        <v>104</v>
      </c>
      <c r="G1310">
        <v>6</v>
      </c>
      <c r="I1310" s="40">
        <v>45414</v>
      </c>
    </row>
    <row r="1311" spans="1:10">
      <c r="A1311" t="s">
        <v>383</v>
      </c>
      <c r="B1311" s="40">
        <v>45232</v>
      </c>
      <c r="C1311" t="s">
        <v>1196</v>
      </c>
      <c r="D1311" t="s">
        <v>1196</v>
      </c>
      <c r="E1311" s="65">
        <v>27366872.000000004</v>
      </c>
      <c r="F1311" t="s">
        <v>104</v>
      </c>
      <c r="G1311">
        <v>6</v>
      </c>
      <c r="I1311" s="40">
        <v>45414</v>
      </c>
    </row>
    <row r="1312" spans="1:10">
      <c r="A1312" t="s">
        <v>383</v>
      </c>
      <c r="B1312" s="40">
        <v>45232</v>
      </c>
      <c r="C1312" t="s">
        <v>1195</v>
      </c>
      <c r="D1312" t="s">
        <v>1195</v>
      </c>
      <c r="E1312" s="65">
        <v>50822824</v>
      </c>
      <c r="F1312" t="s">
        <v>104</v>
      </c>
      <c r="G1312">
        <v>6</v>
      </c>
      <c r="I1312" s="40">
        <v>45414</v>
      </c>
    </row>
    <row r="1313" spans="1:10">
      <c r="A1313" t="s">
        <v>383</v>
      </c>
      <c r="B1313" s="40">
        <v>45232</v>
      </c>
      <c r="C1313" t="s">
        <v>1193</v>
      </c>
      <c r="D1313" t="s">
        <v>1193</v>
      </c>
      <c r="E1313" s="65">
        <v>78189696</v>
      </c>
      <c r="F1313" t="s">
        <v>104</v>
      </c>
      <c r="G1313">
        <v>6</v>
      </c>
      <c r="I1313" s="40">
        <v>45414</v>
      </c>
    </row>
    <row r="1314" spans="1:10">
      <c r="A1314" t="s">
        <v>246</v>
      </c>
      <c r="B1314" s="40">
        <v>45226</v>
      </c>
      <c r="C1314" t="s">
        <v>3033</v>
      </c>
      <c r="D1314" t="s">
        <v>3033</v>
      </c>
      <c r="E1314" s="65">
        <v>84328800</v>
      </c>
      <c r="F1314" t="s">
        <v>104</v>
      </c>
      <c r="G1314">
        <v>6</v>
      </c>
      <c r="I1314" s="40">
        <v>45409</v>
      </c>
    </row>
    <row r="1315" spans="1:10">
      <c r="A1315" t="s">
        <v>246</v>
      </c>
      <c r="B1315" s="40">
        <v>45226</v>
      </c>
      <c r="C1315" t="s">
        <v>1753</v>
      </c>
      <c r="D1315" t="s">
        <v>1753</v>
      </c>
      <c r="E1315" s="65">
        <v>127368000</v>
      </c>
      <c r="F1315" t="s">
        <v>104</v>
      </c>
      <c r="G1315">
        <v>6</v>
      </c>
      <c r="I1315" s="40">
        <v>45409</v>
      </c>
    </row>
    <row r="1316" spans="1:10">
      <c r="A1316" t="s">
        <v>246</v>
      </c>
      <c r="B1316" s="40">
        <v>45226</v>
      </c>
      <c r="C1316" t="s">
        <v>1751</v>
      </c>
      <c r="D1316" t="s">
        <v>1751</v>
      </c>
      <c r="E1316" s="65">
        <v>234976800</v>
      </c>
      <c r="F1316" t="s">
        <v>104</v>
      </c>
      <c r="G1316">
        <v>6</v>
      </c>
      <c r="I1316" s="40">
        <v>45409</v>
      </c>
    </row>
    <row r="1317" spans="1:10">
      <c r="A1317" t="s">
        <v>246</v>
      </c>
      <c r="B1317" s="40">
        <v>45226</v>
      </c>
      <c r="C1317" t="s">
        <v>1752</v>
      </c>
      <c r="D1317" t="s">
        <v>1752</v>
      </c>
      <c r="E1317" s="65">
        <v>231028800</v>
      </c>
      <c r="F1317" t="s">
        <v>104</v>
      </c>
      <c r="G1317">
        <v>6</v>
      </c>
      <c r="I1317" s="40">
        <v>45409</v>
      </c>
    </row>
    <row r="1318" spans="1:10">
      <c r="A1318" t="s">
        <v>246</v>
      </c>
      <c r="B1318" s="40">
        <v>45226</v>
      </c>
      <c r="C1318" t="s">
        <v>1754</v>
      </c>
      <c r="D1318" t="s">
        <v>1754</v>
      </c>
      <c r="E1318" s="65">
        <v>117487200</v>
      </c>
      <c r="F1318" t="s">
        <v>104</v>
      </c>
      <c r="G1318">
        <v>6</v>
      </c>
      <c r="I1318" s="40">
        <v>45409</v>
      </c>
    </row>
    <row r="1319" spans="1:10">
      <c r="A1319" t="s">
        <v>246</v>
      </c>
      <c r="B1319" s="40">
        <v>45226</v>
      </c>
      <c r="C1319" t="s">
        <v>3034</v>
      </c>
      <c r="D1319" t="s">
        <v>3034</v>
      </c>
      <c r="E1319" s="65">
        <v>39160800</v>
      </c>
      <c r="F1319" t="s">
        <v>104</v>
      </c>
      <c r="G1319">
        <v>6</v>
      </c>
      <c r="I1319" s="40">
        <v>45409</v>
      </c>
    </row>
    <row r="1320" spans="1:10">
      <c r="A1320" t="s">
        <v>246</v>
      </c>
      <c r="B1320" s="40">
        <v>45226</v>
      </c>
      <c r="C1320" t="s">
        <v>1274</v>
      </c>
      <c r="D1320" t="s">
        <v>1274</v>
      </c>
      <c r="E1320" s="65">
        <v>274140000</v>
      </c>
      <c r="F1320" t="s">
        <v>104</v>
      </c>
      <c r="G1320">
        <v>6</v>
      </c>
      <c r="I1320" s="40">
        <v>45409</v>
      </c>
    </row>
    <row r="1321" spans="1:10">
      <c r="A1321" t="s">
        <v>246</v>
      </c>
      <c r="B1321" s="40">
        <v>45226</v>
      </c>
      <c r="C1321" t="s">
        <v>3035</v>
      </c>
      <c r="D1321" t="s">
        <v>3035</v>
      </c>
      <c r="E1321" s="65">
        <v>39160800</v>
      </c>
      <c r="F1321" t="s">
        <v>104</v>
      </c>
      <c r="G1321">
        <v>6</v>
      </c>
      <c r="I1321" s="40">
        <v>45409</v>
      </c>
    </row>
    <row r="1322" spans="1:10">
      <c r="A1322" t="s">
        <v>246</v>
      </c>
      <c r="B1322" s="40">
        <v>45226</v>
      </c>
      <c r="C1322" t="s">
        <v>3036</v>
      </c>
      <c r="D1322" t="s">
        <v>3036</v>
      </c>
      <c r="E1322" s="65">
        <v>78324000</v>
      </c>
      <c r="F1322" t="s">
        <v>104</v>
      </c>
      <c r="G1322">
        <v>6</v>
      </c>
      <c r="I1322" s="40">
        <v>45409</v>
      </c>
    </row>
    <row r="1323" spans="1:10">
      <c r="A1323" t="s">
        <v>246</v>
      </c>
      <c r="B1323" s="40">
        <v>45226</v>
      </c>
      <c r="C1323" t="s">
        <v>3037</v>
      </c>
      <c r="D1323" t="s">
        <v>3037</v>
      </c>
      <c r="E1323" s="65">
        <v>93991200</v>
      </c>
      <c r="F1323" t="s">
        <v>104</v>
      </c>
      <c r="G1323">
        <v>6</v>
      </c>
      <c r="I1323" s="40">
        <v>45409</v>
      </c>
    </row>
    <row r="1324" spans="1:10">
      <c r="A1324" t="s">
        <v>246</v>
      </c>
      <c r="B1324" s="40">
        <v>45226</v>
      </c>
      <c r="C1324" t="s">
        <v>3038</v>
      </c>
      <c r="D1324" t="s">
        <v>3038</v>
      </c>
      <c r="E1324" s="65">
        <v>86157600</v>
      </c>
      <c r="F1324" t="s">
        <v>104</v>
      </c>
      <c r="G1324">
        <v>6</v>
      </c>
      <c r="I1324" s="40">
        <v>45409</v>
      </c>
    </row>
    <row r="1325" spans="1:10">
      <c r="A1325" t="s">
        <v>246</v>
      </c>
      <c r="B1325" s="40">
        <v>45226</v>
      </c>
      <c r="C1325" t="s">
        <v>1090</v>
      </c>
      <c r="D1325" t="s">
        <v>1090</v>
      </c>
      <c r="E1325" s="65">
        <v>78324000</v>
      </c>
      <c r="F1325" t="s">
        <v>104</v>
      </c>
      <c r="G1325">
        <v>6</v>
      </c>
      <c r="I1325" s="40">
        <v>45409</v>
      </c>
    </row>
    <row r="1326" spans="1:10">
      <c r="A1326" t="s">
        <v>246</v>
      </c>
      <c r="B1326" s="40">
        <v>45226</v>
      </c>
      <c r="C1326" t="s">
        <v>3039</v>
      </c>
      <c r="D1326" t="s">
        <v>3039</v>
      </c>
      <c r="E1326" s="65">
        <v>78324000</v>
      </c>
      <c r="F1326" t="s">
        <v>104</v>
      </c>
      <c r="G1326">
        <v>6</v>
      </c>
      <c r="I1326" s="40">
        <v>45409</v>
      </c>
    </row>
    <row r="1327" spans="1:10">
      <c r="A1327" t="s">
        <v>401</v>
      </c>
      <c r="B1327" s="40">
        <v>45211</v>
      </c>
      <c r="C1327" t="s">
        <v>1424</v>
      </c>
      <c r="D1327" t="s">
        <v>1424</v>
      </c>
      <c r="E1327" s="65">
        <v>53672025</v>
      </c>
      <c r="F1327" t="s">
        <v>104</v>
      </c>
      <c r="G1327">
        <v>6</v>
      </c>
      <c r="I1327" s="40">
        <v>45394</v>
      </c>
    </row>
    <row r="1328" spans="1:10">
      <c r="A1328" t="s">
        <v>401</v>
      </c>
      <c r="B1328" s="40">
        <v>45211</v>
      </c>
      <c r="C1328" t="s">
        <v>1422</v>
      </c>
      <c r="D1328" t="s">
        <v>1422</v>
      </c>
      <c r="E1328" s="65">
        <v>84998210</v>
      </c>
      <c r="F1328" t="s">
        <v>104</v>
      </c>
      <c r="G1328">
        <v>6</v>
      </c>
      <c r="I1328" s="40">
        <v>45394</v>
      </c>
      <c r="J1328" t="s">
        <v>3040</v>
      </c>
    </row>
    <row r="1329" spans="1:10">
      <c r="A1329" t="s">
        <v>401</v>
      </c>
      <c r="B1329" s="40">
        <v>45211</v>
      </c>
      <c r="C1329" t="s">
        <v>1421</v>
      </c>
      <c r="D1329" t="s">
        <v>1421</v>
      </c>
      <c r="E1329" s="65">
        <v>85237735</v>
      </c>
      <c r="F1329" t="s">
        <v>104</v>
      </c>
      <c r="G1329">
        <v>6</v>
      </c>
      <c r="I1329" s="40">
        <v>45394</v>
      </c>
      <c r="J1329" t="s">
        <v>3041</v>
      </c>
    </row>
    <row r="1330" spans="1:10">
      <c r="A1330" t="s">
        <v>401</v>
      </c>
      <c r="B1330" s="40">
        <v>45211</v>
      </c>
      <c r="C1330" t="s">
        <v>1423</v>
      </c>
      <c r="D1330" t="s">
        <v>1423</v>
      </c>
      <c r="E1330" s="65">
        <v>84375445</v>
      </c>
      <c r="F1330" t="s">
        <v>104</v>
      </c>
      <c r="G1330">
        <v>6</v>
      </c>
      <c r="I1330" s="40">
        <v>45394</v>
      </c>
      <c r="J1330" t="s">
        <v>3042</v>
      </c>
    </row>
    <row r="1331" spans="1:10">
      <c r="A1331" t="s">
        <v>401</v>
      </c>
      <c r="B1331" s="40">
        <v>45211</v>
      </c>
      <c r="C1331" t="s">
        <v>1420</v>
      </c>
      <c r="D1331" t="s">
        <v>1420</v>
      </c>
      <c r="E1331" s="65">
        <v>135364790</v>
      </c>
      <c r="F1331" t="s">
        <v>104</v>
      </c>
      <c r="G1331">
        <v>6</v>
      </c>
      <c r="I1331" s="40">
        <v>45394</v>
      </c>
      <c r="J1331" t="s">
        <v>3043</v>
      </c>
    </row>
    <row r="1332" spans="1:10">
      <c r="A1332" t="s">
        <v>407</v>
      </c>
      <c r="B1332" s="40">
        <v>45211</v>
      </c>
      <c r="C1332" t="s">
        <v>2045</v>
      </c>
      <c r="D1332" t="s">
        <v>2045</v>
      </c>
      <c r="E1332" s="65">
        <v>101873664</v>
      </c>
      <c r="F1332" t="s">
        <v>104</v>
      </c>
      <c r="G1332">
        <v>6</v>
      </c>
      <c r="I1332" s="40">
        <v>45394</v>
      </c>
      <c r="J1332" t="s">
        <v>3044</v>
      </c>
    </row>
    <row r="1333" spans="1:10">
      <c r="A1333" t="s">
        <v>984</v>
      </c>
      <c r="B1333" s="40">
        <v>45205</v>
      </c>
      <c r="C1333" t="s">
        <v>1770</v>
      </c>
      <c r="D1333" t="s">
        <v>1770</v>
      </c>
      <c r="E1333" s="65">
        <v>97500000</v>
      </c>
      <c r="F1333" t="s">
        <v>104</v>
      </c>
      <c r="G1333">
        <v>6</v>
      </c>
      <c r="I1333" s="40">
        <v>45388</v>
      </c>
    </row>
    <row r="1334" spans="1:10">
      <c r="A1334" t="s">
        <v>984</v>
      </c>
      <c r="B1334" s="40">
        <v>45205</v>
      </c>
      <c r="C1334" t="s">
        <v>1772</v>
      </c>
      <c r="D1334" t="s">
        <v>1772</v>
      </c>
      <c r="E1334" s="65">
        <v>71500000</v>
      </c>
      <c r="F1334" t="s">
        <v>104</v>
      </c>
      <c r="G1334">
        <v>6</v>
      </c>
      <c r="I1334" s="40">
        <v>45388</v>
      </c>
    </row>
    <row r="1335" spans="1:10">
      <c r="A1335" t="s">
        <v>984</v>
      </c>
      <c r="B1335" s="40">
        <v>45205</v>
      </c>
      <c r="C1335" t="s">
        <v>1769</v>
      </c>
      <c r="D1335" t="s">
        <v>1769</v>
      </c>
      <c r="E1335" s="65">
        <v>242190000</v>
      </c>
      <c r="F1335" t="s">
        <v>104</v>
      </c>
      <c r="G1335">
        <v>6</v>
      </c>
      <c r="I1335" s="40">
        <v>45388</v>
      </c>
    </row>
    <row r="1336" spans="1:10">
      <c r="A1336" t="s">
        <v>984</v>
      </c>
      <c r="B1336" s="40">
        <v>45205</v>
      </c>
      <c r="C1336" t="s">
        <v>1771</v>
      </c>
      <c r="D1336" t="s">
        <v>1771</v>
      </c>
      <c r="E1336" s="65">
        <v>73450000</v>
      </c>
      <c r="F1336" t="s">
        <v>104</v>
      </c>
      <c r="G1336">
        <v>6</v>
      </c>
      <c r="I1336" s="40">
        <v>45388</v>
      </c>
    </row>
    <row r="1337" spans="1:10">
      <c r="A1337" t="s">
        <v>426</v>
      </c>
      <c r="B1337" s="40">
        <v>45197</v>
      </c>
      <c r="C1337" t="s">
        <v>1929</v>
      </c>
      <c r="D1337" t="s">
        <v>1929</v>
      </c>
      <c r="E1337" s="65">
        <v>78368200</v>
      </c>
      <c r="F1337" t="s">
        <v>104</v>
      </c>
    </row>
    <row r="1338" spans="1:10">
      <c r="A1338" t="s">
        <v>426</v>
      </c>
      <c r="B1338" s="40">
        <v>45197</v>
      </c>
      <c r="C1338" t="s">
        <v>1928</v>
      </c>
      <c r="D1338" t="s">
        <v>1928</v>
      </c>
      <c r="E1338" s="65">
        <v>310920760</v>
      </c>
      <c r="F1338" t="s">
        <v>104</v>
      </c>
      <c r="G1338">
        <v>6</v>
      </c>
      <c r="I1338" s="40">
        <v>45379</v>
      </c>
    </row>
    <row r="1339" spans="1:10">
      <c r="A1339" t="s">
        <v>426</v>
      </c>
      <c r="B1339" s="40">
        <v>45197</v>
      </c>
      <c r="C1339" t="s">
        <v>1927</v>
      </c>
      <c r="D1339" t="s">
        <v>1927</v>
      </c>
      <c r="E1339" s="65">
        <v>364997320</v>
      </c>
      <c r="F1339" t="s">
        <v>104</v>
      </c>
      <c r="G1339">
        <v>6</v>
      </c>
      <c r="I1339" s="40">
        <v>45379</v>
      </c>
    </row>
    <row r="1340" spans="1:10">
      <c r="A1340" t="s">
        <v>761</v>
      </c>
      <c r="B1340" s="40">
        <v>45197</v>
      </c>
      <c r="C1340" t="s">
        <v>1944</v>
      </c>
      <c r="D1340" t="s">
        <v>1944</v>
      </c>
      <c r="E1340" s="65">
        <v>101883040</v>
      </c>
      <c r="F1340" t="s">
        <v>104</v>
      </c>
      <c r="G1340">
        <v>6</v>
      </c>
      <c r="I1340" s="40">
        <v>45379</v>
      </c>
      <c r="J1340" t="s">
        <v>3045</v>
      </c>
    </row>
    <row r="1341" spans="1:10">
      <c r="A1341" t="s">
        <v>761</v>
      </c>
      <c r="B1341" s="40">
        <v>45197</v>
      </c>
      <c r="C1341" t="s">
        <v>1945</v>
      </c>
      <c r="D1341" t="s">
        <v>1945</v>
      </c>
      <c r="E1341" s="65">
        <v>59947440</v>
      </c>
      <c r="F1341" t="s">
        <v>104</v>
      </c>
      <c r="G1341">
        <v>6</v>
      </c>
      <c r="I1341" s="40">
        <v>45379</v>
      </c>
      <c r="J1341" t="s">
        <v>3046</v>
      </c>
    </row>
    <row r="1342" spans="1:10">
      <c r="A1342" t="s">
        <v>761</v>
      </c>
      <c r="B1342" s="40">
        <v>45197</v>
      </c>
      <c r="C1342" t="s">
        <v>1946</v>
      </c>
      <c r="D1342" t="s">
        <v>1946</v>
      </c>
      <c r="E1342" s="65">
        <v>59947440</v>
      </c>
      <c r="F1342" t="s">
        <v>104</v>
      </c>
      <c r="G1342">
        <v>6</v>
      </c>
      <c r="I1342" s="40">
        <v>45379</v>
      </c>
      <c r="J1342" t="s">
        <v>3047</v>
      </c>
    </row>
    <row r="1343" spans="1:10">
      <c r="A1343" t="s">
        <v>377</v>
      </c>
      <c r="B1343" s="40">
        <v>45197</v>
      </c>
      <c r="C1343" t="s">
        <v>1603</v>
      </c>
      <c r="D1343" t="s">
        <v>1603</v>
      </c>
      <c r="E1343" s="65">
        <v>9304400</v>
      </c>
      <c r="F1343" t="s">
        <v>104</v>
      </c>
      <c r="G1343">
        <v>12</v>
      </c>
      <c r="I1343" s="40">
        <v>45563</v>
      </c>
      <c r="J1343" t="s">
        <v>3048</v>
      </c>
    </row>
    <row r="1344" spans="1:10">
      <c r="A1344" t="s">
        <v>377</v>
      </c>
      <c r="B1344" s="40">
        <v>45197</v>
      </c>
      <c r="C1344" t="s">
        <v>1600</v>
      </c>
      <c r="D1344" t="s">
        <v>1600</v>
      </c>
      <c r="E1344" s="65">
        <v>31987200</v>
      </c>
      <c r="F1344" t="s">
        <v>104</v>
      </c>
      <c r="G1344">
        <v>12</v>
      </c>
      <c r="I1344" s="40">
        <v>45563</v>
      </c>
      <c r="J1344" t="s">
        <v>3049</v>
      </c>
    </row>
    <row r="1345" spans="1:10">
      <c r="A1345" t="s">
        <v>377</v>
      </c>
      <c r="B1345" s="40">
        <v>45197</v>
      </c>
      <c r="C1345" t="s">
        <v>1602</v>
      </c>
      <c r="D1345" t="s">
        <v>1602</v>
      </c>
      <c r="E1345" s="65">
        <v>15671600</v>
      </c>
      <c r="F1345" t="s">
        <v>104</v>
      </c>
      <c r="G1345">
        <v>12</v>
      </c>
      <c r="I1345" s="40">
        <v>45563</v>
      </c>
      <c r="J1345" t="s">
        <v>3050</v>
      </c>
    </row>
    <row r="1346" spans="1:10">
      <c r="A1346" t="s">
        <v>377</v>
      </c>
      <c r="B1346" s="40">
        <v>45197</v>
      </c>
      <c r="C1346" t="s">
        <v>1601</v>
      </c>
      <c r="D1346" t="s">
        <v>1601</v>
      </c>
      <c r="E1346" s="65">
        <v>31346000</v>
      </c>
      <c r="F1346" t="s">
        <v>104</v>
      </c>
      <c r="G1346">
        <v>12</v>
      </c>
      <c r="I1346" s="40">
        <v>45563</v>
      </c>
      <c r="J1346" t="s">
        <v>3051</v>
      </c>
    </row>
    <row r="1347" spans="1:10">
      <c r="A1347" t="s">
        <v>329</v>
      </c>
      <c r="B1347" s="40">
        <v>45195</v>
      </c>
      <c r="C1347" t="s">
        <v>1879</v>
      </c>
      <c r="D1347" t="s">
        <v>1879</v>
      </c>
      <c r="E1347" s="65">
        <v>235379200</v>
      </c>
      <c r="F1347" t="s">
        <v>104</v>
      </c>
      <c r="G1347">
        <v>6</v>
      </c>
      <c r="I1347" s="40">
        <v>45377</v>
      </c>
    </row>
    <row r="1348" spans="1:10">
      <c r="A1348" t="s">
        <v>329</v>
      </c>
      <c r="B1348" s="40">
        <v>45195</v>
      </c>
      <c r="C1348" t="s">
        <v>1880</v>
      </c>
      <c r="D1348" t="s">
        <v>1880</v>
      </c>
      <c r="E1348" s="65">
        <v>196151200</v>
      </c>
      <c r="F1348" t="s">
        <v>104</v>
      </c>
      <c r="G1348">
        <v>6</v>
      </c>
      <c r="I1348" s="40">
        <v>45377</v>
      </c>
      <c r="J1348" t="s">
        <v>1204</v>
      </c>
    </row>
    <row r="1349" spans="1:10">
      <c r="A1349" t="s">
        <v>329</v>
      </c>
      <c r="B1349" s="40">
        <v>45195</v>
      </c>
      <c r="C1349" t="s">
        <v>1590</v>
      </c>
      <c r="D1349" t="s">
        <v>1590</v>
      </c>
      <c r="E1349" s="65">
        <v>235379200</v>
      </c>
      <c r="F1349" t="s">
        <v>104</v>
      </c>
      <c r="G1349">
        <v>6</v>
      </c>
      <c r="I1349" s="40">
        <v>45377</v>
      </c>
      <c r="J1349" t="s">
        <v>3052</v>
      </c>
    </row>
    <row r="1350" spans="1:10">
      <c r="A1350" t="s">
        <v>329</v>
      </c>
      <c r="B1350" s="40">
        <v>45195</v>
      </c>
      <c r="C1350" t="s">
        <v>1882</v>
      </c>
      <c r="D1350" t="s">
        <v>1882</v>
      </c>
      <c r="E1350" s="65">
        <v>39228000</v>
      </c>
      <c r="F1350" t="s">
        <v>104</v>
      </c>
      <c r="G1350">
        <v>6</v>
      </c>
      <c r="I1350" s="40">
        <v>45377</v>
      </c>
      <c r="J1350" t="s">
        <v>3053</v>
      </c>
    </row>
    <row r="1351" spans="1:10">
      <c r="A1351" t="s">
        <v>329</v>
      </c>
      <c r="B1351" s="40">
        <v>45195</v>
      </c>
      <c r="C1351" t="s">
        <v>1881</v>
      </c>
      <c r="D1351" t="s">
        <v>1881</v>
      </c>
      <c r="E1351" s="65">
        <v>78458800</v>
      </c>
      <c r="F1351" t="s">
        <v>104</v>
      </c>
      <c r="G1351">
        <v>6</v>
      </c>
      <c r="I1351" s="40">
        <v>45377</v>
      </c>
      <c r="J1351" t="s">
        <v>3054</v>
      </c>
    </row>
    <row r="1352" spans="1:10">
      <c r="A1352" t="s">
        <v>1028</v>
      </c>
      <c r="B1352" s="40">
        <v>45194</v>
      </c>
      <c r="C1352" t="s">
        <v>1939</v>
      </c>
      <c r="D1352" t="s">
        <v>1939</v>
      </c>
      <c r="E1352" s="65">
        <v>21481600</v>
      </c>
      <c r="F1352" t="s">
        <v>104</v>
      </c>
      <c r="G1352">
        <v>6</v>
      </c>
      <c r="I1352" s="40">
        <v>45376</v>
      </c>
    </row>
    <row r="1353" spans="1:10">
      <c r="A1353" t="s">
        <v>1028</v>
      </c>
      <c r="B1353" s="40">
        <v>45194</v>
      </c>
      <c r="C1353" t="s">
        <v>1938</v>
      </c>
      <c r="D1353" t="s">
        <v>1938</v>
      </c>
      <c r="E1353" s="65">
        <v>39763200</v>
      </c>
      <c r="F1353" t="s">
        <v>104</v>
      </c>
      <c r="G1353">
        <v>6</v>
      </c>
      <c r="I1353" s="40">
        <v>45376</v>
      </c>
    </row>
    <row r="1354" spans="1:10">
      <c r="A1354" t="s">
        <v>1028</v>
      </c>
      <c r="B1354" s="40">
        <v>45194</v>
      </c>
      <c r="C1354" t="s">
        <v>1937</v>
      </c>
      <c r="D1354" t="s">
        <v>1937</v>
      </c>
      <c r="E1354" s="65">
        <v>42976000</v>
      </c>
      <c r="F1354" t="s">
        <v>104</v>
      </c>
      <c r="G1354">
        <v>6</v>
      </c>
      <c r="I1354" s="40">
        <v>45376</v>
      </c>
    </row>
    <row r="1355" spans="1:10">
      <c r="A1355" t="s">
        <v>1018</v>
      </c>
      <c r="B1355" s="40">
        <v>45174</v>
      </c>
      <c r="C1355" t="s">
        <v>1958</v>
      </c>
      <c r="D1355" t="s">
        <v>1958</v>
      </c>
      <c r="E1355" s="65">
        <v>20999400</v>
      </c>
      <c r="F1355" t="s">
        <v>104</v>
      </c>
      <c r="G1355">
        <v>6</v>
      </c>
      <c r="I1355" s="40">
        <v>45356</v>
      </c>
    </row>
    <row r="1356" spans="1:10">
      <c r="A1356" t="s">
        <v>1018</v>
      </c>
      <c r="B1356" s="40">
        <v>45174</v>
      </c>
      <c r="C1356" t="s">
        <v>1124</v>
      </c>
      <c r="D1356" t="s">
        <v>1124</v>
      </c>
      <c r="E1356" s="65">
        <v>156626880</v>
      </c>
      <c r="F1356" t="s">
        <v>104</v>
      </c>
      <c r="G1356">
        <v>6</v>
      </c>
      <c r="I1356" s="40">
        <v>45356</v>
      </c>
    </row>
    <row r="1357" spans="1:10">
      <c r="A1357" t="s">
        <v>1018</v>
      </c>
      <c r="B1357" s="40">
        <v>45174</v>
      </c>
      <c r="C1357" t="s">
        <v>1915</v>
      </c>
      <c r="D1357" t="s">
        <v>1915</v>
      </c>
      <c r="E1357" s="65">
        <v>39093480</v>
      </c>
      <c r="F1357" t="s">
        <v>104</v>
      </c>
      <c r="G1357">
        <v>6</v>
      </c>
      <c r="I1357" s="40">
        <v>45356</v>
      </c>
    </row>
    <row r="1358" spans="1:10">
      <c r="A1358" t="s">
        <v>1018</v>
      </c>
      <c r="B1358" s="40">
        <v>45174</v>
      </c>
      <c r="C1358" t="s">
        <v>1959</v>
      </c>
      <c r="D1358" t="s">
        <v>1959</v>
      </c>
      <c r="E1358" s="65">
        <v>15504960.000000002</v>
      </c>
      <c r="F1358" t="s">
        <v>104</v>
      </c>
      <c r="G1358">
        <v>6</v>
      </c>
      <c r="I1358" s="40">
        <v>45356</v>
      </c>
    </row>
    <row r="1359" spans="1:10">
      <c r="A1359" t="s">
        <v>842</v>
      </c>
      <c r="B1359" s="40">
        <v>45125</v>
      </c>
      <c r="C1359" t="s">
        <v>1703</v>
      </c>
      <c r="D1359" t="s">
        <v>1703</v>
      </c>
      <c r="E1359" s="65">
        <v>9897840</v>
      </c>
      <c r="F1359" t="s">
        <v>104</v>
      </c>
      <c r="G1359">
        <v>6</v>
      </c>
      <c r="I1359" s="40">
        <v>45309</v>
      </c>
    </row>
    <row r="1360" spans="1:10">
      <c r="A1360" t="s">
        <v>842</v>
      </c>
      <c r="B1360" s="40">
        <v>45125</v>
      </c>
      <c r="C1360" t="s">
        <v>1702</v>
      </c>
      <c r="D1360" t="s">
        <v>1702</v>
      </c>
      <c r="E1360" s="65">
        <v>10789920</v>
      </c>
      <c r="F1360" t="s">
        <v>104</v>
      </c>
      <c r="G1360">
        <v>6</v>
      </c>
      <c r="I1360" s="40">
        <v>45309</v>
      </c>
    </row>
    <row r="1361" spans="1:10">
      <c r="A1361" t="s">
        <v>813</v>
      </c>
      <c r="B1361" s="40">
        <v>45120</v>
      </c>
      <c r="C1361" t="s">
        <v>1222</v>
      </c>
      <c r="D1361" t="s">
        <v>1222</v>
      </c>
      <c r="E1361" s="65">
        <v>87422500</v>
      </c>
      <c r="F1361" t="s">
        <v>104</v>
      </c>
      <c r="G1361">
        <v>12</v>
      </c>
      <c r="I1361" s="40">
        <v>45486</v>
      </c>
      <c r="J1361" t="s">
        <v>3055</v>
      </c>
    </row>
    <row r="1362" spans="1:10">
      <c r="A1362" t="s">
        <v>813</v>
      </c>
      <c r="B1362" s="40">
        <v>45120</v>
      </c>
      <c r="C1362" t="s">
        <v>1223</v>
      </c>
      <c r="D1362" t="s">
        <v>1223</v>
      </c>
      <c r="E1362" s="65">
        <v>23338875</v>
      </c>
      <c r="F1362" t="s">
        <v>104</v>
      </c>
      <c r="G1362">
        <v>12</v>
      </c>
      <c r="I1362" s="40">
        <v>45486</v>
      </c>
      <c r="J1362" t="s">
        <v>3056</v>
      </c>
    </row>
    <row r="1363" spans="1:10">
      <c r="A1363" t="s">
        <v>501</v>
      </c>
      <c r="B1363" s="40">
        <v>45119</v>
      </c>
      <c r="C1363" t="s">
        <v>2165</v>
      </c>
      <c r="D1363" t="s">
        <v>2165</v>
      </c>
      <c r="E1363" s="65">
        <v>39079596</v>
      </c>
      <c r="F1363" t="s">
        <v>104</v>
      </c>
      <c r="G1363">
        <v>6</v>
      </c>
      <c r="I1363" s="40">
        <v>45303</v>
      </c>
    </row>
    <row r="1364" spans="1:10">
      <c r="A1364" t="s">
        <v>501</v>
      </c>
      <c r="B1364" s="40">
        <v>45119</v>
      </c>
      <c r="C1364" t="s">
        <v>2167</v>
      </c>
      <c r="D1364" t="s">
        <v>2167</v>
      </c>
      <c r="E1364" s="65">
        <v>15628368</v>
      </c>
      <c r="F1364" t="s">
        <v>104</v>
      </c>
      <c r="G1364">
        <v>12</v>
      </c>
      <c r="I1364" s="40">
        <v>45485</v>
      </c>
      <c r="J1364" t="s">
        <v>3057</v>
      </c>
    </row>
    <row r="1365" spans="1:10">
      <c r="A1365" t="s">
        <v>501</v>
      </c>
      <c r="B1365" s="40">
        <v>45119</v>
      </c>
      <c r="C1365" t="s">
        <v>2166</v>
      </c>
      <c r="D1365" t="s">
        <v>2166</v>
      </c>
      <c r="E1365" s="65">
        <v>21828816</v>
      </c>
      <c r="F1365" t="s">
        <v>104</v>
      </c>
      <c r="G1365">
        <v>12</v>
      </c>
      <c r="I1365" s="40">
        <v>45485</v>
      </c>
    </row>
    <row r="1366" spans="1:10">
      <c r="A1366" t="s">
        <v>546</v>
      </c>
      <c r="B1366" s="40">
        <v>45118</v>
      </c>
      <c r="C1366" t="s">
        <v>1841</v>
      </c>
      <c r="D1366" t="s">
        <v>1841</v>
      </c>
      <c r="E1366" s="65">
        <v>65490420</v>
      </c>
      <c r="F1366" t="s">
        <v>104</v>
      </c>
      <c r="G1366">
        <v>6</v>
      </c>
      <c r="I1366" s="40">
        <v>45302</v>
      </c>
    </row>
    <row r="1367" spans="1:10">
      <c r="A1367" t="s">
        <v>546</v>
      </c>
      <c r="B1367" s="40">
        <v>45118</v>
      </c>
      <c r="C1367" t="s">
        <v>1515</v>
      </c>
      <c r="D1367" t="s">
        <v>1515</v>
      </c>
      <c r="E1367" s="65">
        <v>56939760</v>
      </c>
      <c r="F1367" t="s">
        <v>104</v>
      </c>
      <c r="G1367">
        <v>6</v>
      </c>
      <c r="I1367" s="40">
        <v>45302</v>
      </c>
    </row>
    <row r="1368" spans="1:10">
      <c r="A1368" t="s">
        <v>546</v>
      </c>
      <c r="B1368" s="40">
        <v>45118</v>
      </c>
      <c r="C1368" t="s">
        <v>2009</v>
      </c>
      <c r="D1368" t="s">
        <v>2009</v>
      </c>
      <c r="E1368" s="65">
        <v>56939760</v>
      </c>
      <c r="F1368" t="s">
        <v>104</v>
      </c>
      <c r="G1368">
        <v>6</v>
      </c>
      <c r="I1368" s="40">
        <v>45302</v>
      </c>
    </row>
    <row r="1369" spans="1:10">
      <c r="A1369" t="s">
        <v>546</v>
      </c>
      <c r="B1369" s="40">
        <v>45118</v>
      </c>
      <c r="C1369" t="s">
        <v>2008</v>
      </c>
      <c r="D1369" t="s">
        <v>2008</v>
      </c>
      <c r="E1369" s="65">
        <v>117224640</v>
      </c>
      <c r="F1369" t="s">
        <v>104</v>
      </c>
      <c r="G1369">
        <v>6</v>
      </c>
      <c r="I1369" s="40">
        <v>45302</v>
      </c>
    </row>
    <row r="1370" spans="1:10">
      <c r="A1370" t="s">
        <v>546</v>
      </c>
      <c r="B1370" s="40">
        <v>45118</v>
      </c>
      <c r="C1370" t="s">
        <v>2007</v>
      </c>
      <c r="D1370" t="s">
        <v>2007</v>
      </c>
      <c r="E1370" s="65">
        <v>229231620</v>
      </c>
      <c r="F1370" t="s">
        <v>104</v>
      </c>
      <c r="G1370">
        <v>6</v>
      </c>
      <c r="I1370" s="40">
        <v>45302</v>
      </c>
    </row>
    <row r="1371" spans="1:10">
      <c r="A1371" t="s">
        <v>544</v>
      </c>
      <c r="B1371" s="40">
        <v>45117</v>
      </c>
      <c r="C1371" t="s">
        <v>1709</v>
      </c>
      <c r="D1371" t="s">
        <v>1709</v>
      </c>
      <c r="E1371" s="65">
        <v>53362800</v>
      </c>
      <c r="F1371" t="s">
        <v>104</v>
      </c>
      <c r="G1371">
        <v>6</v>
      </c>
      <c r="I1371" s="40">
        <v>45301</v>
      </c>
    </row>
    <row r="1372" spans="1:10">
      <c r="A1372" t="s">
        <v>442</v>
      </c>
      <c r="B1372" s="40">
        <v>45107</v>
      </c>
      <c r="C1372" t="s">
        <v>1654</v>
      </c>
      <c r="D1372" t="s">
        <v>1654</v>
      </c>
      <c r="E1372" s="65">
        <v>117563600</v>
      </c>
      <c r="F1372" t="s">
        <v>104</v>
      </c>
      <c r="G1372">
        <v>6</v>
      </c>
      <c r="I1372" s="40">
        <v>45290</v>
      </c>
    </row>
    <row r="1373" spans="1:10">
      <c r="A1373" t="s">
        <v>442</v>
      </c>
      <c r="B1373" s="40">
        <v>45107</v>
      </c>
      <c r="C1373" t="s">
        <v>1658</v>
      </c>
      <c r="D1373" t="s">
        <v>1658</v>
      </c>
      <c r="E1373" s="65">
        <v>26512640</v>
      </c>
      <c r="F1373" t="s">
        <v>104</v>
      </c>
      <c r="G1373">
        <v>6</v>
      </c>
      <c r="I1373" s="40">
        <v>45290</v>
      </c>
      <c r="J1373" t="s">
        <v>3058</v>
      </c>
    </row>
    <row r="1374" spans="1:10">
      <c r="A1374" t="s">
        <v>442</v>
      </c>
      <c r="B1374" s="40">
        <v>45107</v>
      </c>
      <c r="C1374" t="s">
        <v>1655</v>
      </c>
      <c r="D1374" t="s">
        <v>1655</v>
      </c>
      <c r="E1374" s="65">
        <v>78373680</v>
      </c>
      <c r="F1374" t="s">
        <v>104</v>
      </c>
      <c r="G1374">
        <v>6</v>
      </c>
      <c r="I1374" s="40">
        <v>45290</v>
      </c>
    </row>
    <row r="1375" spans="1:10">
      <c r="A1375" t="s">
        <v>442</v>
      </c>
      <c r="B1375" s="40">
        <v>45107</v>
      </c>
      <c r="C1375" t="s">
        <v>1657</v>
      </c>
      <c r="D1375" t="s">
        <v>1657</v>
      </c>
      <c r="E1375" s="65">
        <v>29697360</v>
      </c>
      <c r="F1375" t="s">
        <v>104</v>
      </c>
      <c r="G1375">
        <v>6</v>
      </c>
      <c r="I1375" s="40">
        <v>45290</v>
      </c>
      <c r="J1375" t="s">
        <v>3059</v>
      </c>
    </row>
    <row r="1376" spans="1:10">
      <c r="A1376" t="s">
        <v>442</v>
      </c>
      <c r="B1376" s="40">
        <v>45107</v>
      </c>
      <c r="C1376" t="s">
        <v>1656</v>
      </c>
      <c r="D1376" t="s">
        <v>1656</v>
      </c>
      <c r="E1376" s="65">
        <v>39183760</v>
      </c>
      <c r="F1376" t="s">
        <v>104</v>
      </c>
      <c r="G1376">
        <v>6</v>
      </c>
      <c r="I1376" s="40">
        <v>45290</v>
      </c>
    </row>
    <row r="1377" spans="1:9">
      <c r="A1377" t="s">
        <v>1000</v>
      </c>
      <c r="B1377" s="40">
        <v>45106</v>
      </c>
      <c r="C1377" t="s">
        <v>1821</v>
      </c>
      <c r="D1377" t="s">
        <v>1821</v>
      </c>
      <c r="E1377" s="65">
        <v>117957050</v>
      </c>
      <c r="F1377" t="s">
        <v>104</v>
      </c>
      <c r="G1377">
        <v>6</v>
      </c>
      <c r="I1377" s="40">
        <v>45289</v>
      </c>
    </row>
    <row r="1378" spans="1:9">
      <c r="A1378" t="s">
        <v>1000</v>
      </c>
      <c r="B1378" s="40">
        <v>45106</v>
      </c>
      <c r="C1378" t="s">
        <v>1820</v>
      </c>
      <c r="D1378" t="s">
        <v>1820</v>
      </c>
      <c r="E1378" s="65">
        <v>471840610</v>
      </c>
      <c r="F1378" t="s">
        <v>104</v>
      </c>
      <c r="G1378">
        <v>6</v>
      </c>
      <c r="I1378" s="40">
        <v>45289</v>
      </c>
    </row>
    <row r="1379" spans="1:9">
      <c r="A1379" t="s">
        <v>1000</v>
      </c>
      <c r="B1379" s="40">
        <v>45106</v>
      </c>
      <c r="C1379" t="s">
        <v>1822</v>
      </c>
      <c r="D1379" t="s">
        <v>1822</v>
      </c>
      <c r="E1379" s="65">
        <v>66840260</v>
      </c>
      <c r="F1379" t="s">
        <v>104</v>
      </c>
      <c r="G1379">
        <v>6</v>
      </c>
      <c r="I1379" s="40">
        <v>45289</v>
      </c>
    </row>
    <row r="1380" spans="1:9">
      <c r="A1380" t="s">
        <v>1000</v>
      </c>
      <c r="B1380" s="40">
        <v>45106</v>
      </c>
      <c r="C1380" t="s">
        <v>1823</v>
      </c>
      <c r="D1380" t="s">
        <v>1823</v>
      </c>
      <c r="E1380" s="65">
        <v>23510745</v>
      </c>
      <c r="F1380" t="s">
        <v>104</v>
      </c>
      <c r="G1380">
        <v>6</v>
      </c>
      <c r="I1380" s="40">
        <v>45289</v>
      </c>
    </row>
    <row r="1381" spans="1:9">
      <c r="A1381" t="s">
        <v>309</v>
      </c>
      <c r="B1381" s="40">
        <v>45105</v>
      </c>
      <c r="C1381" t="s">
        <v>1848</v>
      </c>
      <c r="D1381" t="s">
        <v>1848</v>
      </c>
      <c r="E1381" s="65">
        <v>100288000</v>
      </c>
      <c r="F1381" t="s">
        <v>104</v>
      </c>
      <c r="G1381">
        <v>6</v>
      </c>
      <c r="I1381" s="40">
        <v>45288</v>
      </c>
    </row>
    <row r="1382" spans="1:9">
      <c r="A1382" t="s">
        <v>947</v>
      </c>
      <c r="B1382" s="40">
        <v>45089</v>
      </c>
      <c r="C1382" t="s">
        <v>1124</v>
      </c>
      <c r="D1382" t="s">
        <v>1124</v>
      </c>
      <c r="E1382" s="65">
        <v>156415410</v>
      </c>
      <c r="F1382" t="s">
        <v>104</v>
      </c>
      <c r="G1382">
        <v>6</v>
      </c>
      <c r="I1382" s="40">
        <v>45272</v>
      </c>
    </row>
    <row r="1383" spans="1:9">
      <c r="A1383" t="s">
        <v>947</v>
      </c>
      <c r="B1383" s="40">
        <v>45089</v>
      </c>
      <c r="C1383" t="s">
        <v>1903</v>
      </c>
      <c r="D1383" t="s">
        <v>1903</v>
      </c>
      <c r="E1383" s="65">
        <v>7817930.0000000009</v>
      </c>
      <c r="F1383" t="s">
        <v>104</v>
      </c>
      <c r="G1383">
        <v>6</v>
      </c>
      <c r="I1383" s="40">
        <v>45272</v>
      </c>
    </row>
    <row r="1384" spans="1:9">
      <c r="A1384" t="s">
        <v>947</v>
      </c>
      <c r="B1384" s="40">
        <v>45089</v>
      </c>
      <c r="C1384" t="s">
        <v>1902</v>
      </c>
      <c r="D1384" t="s">
        <v>1902</v>
      </c>
      <c r="E1384" s="65">
        <v>17204690</v>
      </c>
      <c r="F1384" t="s">
        <v>104</v>
      </c>
      <c r="G1384">
        <v>6</v>
      </c>
      <c r="I1384" s="40">
        <v>45272</v>
      </c>
    </row>
    <row r="1385" spans="1:9">
      <c r="A1385" t="s">
        <v>579</v>
      </c>
      <c r="B1385" s="40">
        <v>45071</v>
      </c>
      <c r="C1385" t="s">
        <v>1868</v>
      </c>
      <c r="D1385" t="s">
        <v>1868</v>
      </c>
      <c r="E1385" s="65">
        <v>156732390</v>
      </c>
      <c r="F1385" t="s">
        <v>104</v>
      </c>
      <c r="G1385">
        <v>6</v>
      </c>
      <c r="I1385" s="40">
        <v>45255</v>
      </c>
    </row>
    <row r="1386" spans="1:9">
      <c r="A1386" t="s">
        <v>348</v>
      </c>
      <c r="B1386" s="40">
        <v>45071</v>
      </c>
      <c r="C1386" t="s">
        <v>1509</v>
      </c>
      <c r="D1386" t="s">
        <v>1509</v>
      </c>
      <c r="E1386" s="65">
        <v>385998959.99999994</v>
      </c>
      <c r="F1386" t="s">
        <v>104</v>
      </c>
      <c r="G1386">
        <v>6</v>
      </c>
      <c r="I1386" s="40">
        <v>45255</v>
      </c>
    </row>
    <row r="1387" spans="1:9">
      <c r="A1387" t="s">
        <v>348</v>
      </c>
      <c r="B1387" s="40">
        <v>45071</v>
      </c>
      <c r="C1387" t="s">
        <v>3060</v>
      </c>
      <c r="D1387" t="s">
        <v>3060</v>
      </c>
      <c r="E1387" s="65">
        <v>21397679.999999996</v>
      </c>
      <c r="F1387" t="s">
        <v>104</v>
      </c>
      <c r="G1387">
        <v>6</v>
      </c>
      <c r="I1387" s="40">
        <v>45255</v>
      </c>
    </row>
    <row r="1388" spans="1:9">
      <c r="A1388" t="s">
        <v>348</v>
      </c>
      <c r="B1388" s="40">
        <v>45071</v>
      </c>
      <c r="C1388" t="s">
        <v>1510</v>
      </c>
      <c r="D1388" t="s">
        <v>1510</v>
      </c>
      <c r="E1388" s="65">
        <v>233141599.99999997</v>
      </c>
      <c r="F1388" t="s">
        <v>104</v>
      </c>
      <c r="G1388">
        <v>6</v>
      </c>
      <c r="I1388" s="40">
        <v>45255</v>
      </c>
    </row>
    <row r="1389" spans="1:9">
      <c r="A1389" t="s">
        <v>348</v>
      </c>
      <c r="B1389" s="40">
        <v>45071</v>
      </c>
      <c r="C1389" t="s">
        <v>1511</v>
      </c>
      <c r="D1389" t="s">
        <v>1511</v>
      </c>
      <c r="E1389" s="65">
        <v>194283159.99999997</v>
      </c>
      <c r="F1389" t="s">
        <v>104</v>
      </c>
      <c r="G1389">
        <v>6</v>
      </c>
      <c r="I1389" s="40">
        <v>45255</v>
      </c>
    </row>
    <row r="1390" spans="1:9">
      <c r="A1390" t="s">
        <v>348</v>
      </c>
      <c r="B1390" s="40">
        <v>45071</v>
      </c>
      <c r="C1390" t="s">
        <v>1513</v>
      </c>
      <c r="D1390" t="s">
        <v>1513</v>
      </c>
      <c r="E1390" s="65">
        <v>117745999.99999999</v>
      </c>
      <c r="F1390" t="s">
        <v>104</v>
      </c>
      <c r="G1390">
        <v>6</v>
      </c>
      <c r="I1390" s="40">
        <v>45255</v>
      </c>
    </row>
    <row r="1391" spans="1:9">
      <c r="A1391" t="s">
        <v>348</v>
      </c>
      <c r="B1391" s="40">
        <v>45071</v>
      </c>
      <c r="C1391" t="s">
        <v>1512</v>
      </c>
      <c r="D1391" t="s">
        <v>1512</v>
      </c>
      <c r="E1391" s="65">
        <v>117745999.99999999</v>
      </c>
      <c r="F1391" t="s">
        <v>104</v>
      </c>
      <c r="G1391">
        <v>6</v>
      </c>
      <c r="I1391" s="40">
        <v>45255</v>
      </c>
    </row>
    <row r="1392" spans="1:9">
      <c r="A1392" t="s">
        <v>348</v>
      </c>
      <c r="B1392" s="40">
        <v>45071</v>
      </c>
      <c r="C1392" t="s">
        <v>3061</v>
      </c>
      <c r="D1392" t="s">
        <v>3061</v>
      </c>
      <c r="E1392" s="65">
        <v>31413999.999999996</v>
      </c>
      <c r="F1392" t="s">
        <v>104</v>
      </c>
      <c r="G1392">
        <v>6</v>
      </c>
      <c r="I1392" s="40">
        <v>45255</v>
      </c>
    </row>
    <row r="1393" spans="1:10">
      <c r="A1393" t="s">
        <v>1012</v>
      </c>
      <c r="B1393" s="40">
        <v>45054</v>
      </c>
      <c r="C1393" t="s">
        <v>1855</v>
      </c>
      <c r="D1393" t="s">
        <v>1855</v>
      </c>
      <c r="E1393" s="65">
        <v>156993920</v>
      </c>
      <c r="F1393" t="s">
        <v>104</v>
      </c>
      <c r="G1393">
        <v>6</v>
      </c>
      <c r="I1393" s="40">
        <v>45238</v>
      </c>
    </row>
    <row r="1394" spans="1:10">
      <c r="A1394" t="s">
        <v>844</v>
      </c>
      <c r="B1394" s="40">
        <v>45043</v>
      </c>
      <c r="C1394" t="s">
        <v>1231</v>
      </c>
      <c r="D1394" t="s">
        <v>1231</v>
      </c>
      <c r="E1394" s="65">
        <v>15699775</v>
      </c>
      <c r="F1394" t="s">
        <v>104</v>
      </c>
      <c r="G1394">
        <v>6</v>
      </c>
      <c r="I1394" s="40">
        <v>45226</v>
      </c>
    </row>
    <row r="1395" spans="1:10">
      <c r="A1395" t="s">
        <v>844</v>
      </c>
      <c r="B1395" s="40">
        <v>45043</v>
      </c>
      <c r="C1395" t="s">
        <v>1922</v>
      </c>
      <c r="D1395" t="s">
        <v>1922</v>
      </c>
      <c r="E1395" s="65">
        <v>94198650</v>
      </c>
      <c r="F1395" t="s">
        <v>104</v>
      </c>
      <c r="G1395">
        <v>6</v>
      </c>
      <c r="I1395" s="40">
        <v>45226</v>
      </c>
    </row>
    <row r="1396" spans="1:10">
      <c r="A1396" t="s">
        <v>844</v>
      </c>
      <c r="B1396" s="40">
        <v>45043</v>
      </c>
      <c r="C1396" t="s">
        <v>2126</v>
      </c>
      <c r="D1396" t="s">
        <v>2126</v>
      </c>
      <c r="E1396" s="65">
        <v>23548525</v>
      </c>
      <c r="F1396" t="s">
        <v>104</v>
      </c>
      <c r="G1396">
        <v>6</v>
      </c>
      <c r="I1396" s="40">
        <v>45226</v>
      </c>
    </row>
    <row r="1397" spans="1:10">
      <c r="A1397" t="s">
        <v>844</v>
      </c>
      <c r="B1397" s="40">
        <v>45043</v>
      </c>
      <c r="C1397" t="s">
        <v>2127</v>
      </c>
      <c r="D1397" t="s">
        <v>2127</v>
      </c>
      <c r="E1397" s="65">
        <v>23548525</v>
      </c>
      <c r="F1397" t="s">
        <v>104</v>
      </c>
      <c r="G1397">
        <v>6</v>
      </c>
      <c r="I1397" s="40">
        <v>45226</v>
      </c>
    </row>
    <row r="1398" spans="1:10">
      <c r="A1398" t="s">
        <v>844</v>
      </c>
      <c r="B1398" s="40">
        <v>45043</v>
      </c>
      <c r="C1398" t="s">
        <v>1230</v>
      </c>
      <c r="D1398" t="s">
        <v>1230</v>
      </c>
      <c r="E1398" s="65">
        <v>47099325</v>
      </c>
      <c r="F1398" t="s">
        <v>104</v>
      </c>
      <c r="G1398">
        <v>6</v>
      </c>
      <c r="I1398" s="40">
        <v>45226</v>
      </c>
    </row>
    <row r="1399" spans="1:10">
      <c r="A1399" t="s">
        <v>844</v>
      </c>
      <c r="B1399" s="40">
        <v>45043</v>
      </c>
      <c r="C1399" t="s">
        <v>1075</v>
      </c>
      <c r="D1399" t="s">
        <v>1075</v>
      </c>
      <c r="E1399" s="65">
        <v>109898425</v>
      </c>
      <c r="F1399" t="s">
        <v>104</v>
      </c>
      <c r="G1399">
        <v>6</v>
      </c>
      <c r="I1399" s="40">
        <v>45226</v>
      </c>
    </row>
    <row r="1400" spans="1:10">
      <c r="A1400" t="s">
        <v>836</v>
      </c>
      <c r="B1400" s="40">
        <v>45016</v>
      </c>
      <c r="C1400" t="s">
        <v>1548</v>
      </c>
      <c r="D1400" t="s">
        <v>1548</v>
      </c>
      <c r="E1400" s="65">
        <v>102272100</v>
      </c>
      <c r="F1400" t="s">
        <v>104</v>
      </c>
      <c r="G1400">
        <v>6</v>
      </c>
      <c r="I1400" s="40">
        <v>45199</v>
      </c>
    </row>
    <row r="1401" spans="1:10">
      <c r="A1401" t="s">
        <v>521</v>
      </c>
      <c r="B1401" s="40">
        <v>45014</v>
      </c>
      <c r="C1401" t="s">
        <v>1799</v>
      </c>
      <c r="D1401" t="s">
        <v>1799</v>
      </c>
      <c r="E1401" s="65">
        <v>81586500</v>
      </c>
      <c r="F1401" t="s">
        <v>104</v>
      </c>
      <c r="G1401">
        <v>6</v>
      </c>
      <c r="I1401" s="40">
        <v>45198</v>
      </c>
      <c r="J1401" t="s">
        <v>3062</v>
      </c>
    </row>
    <row r="1402" spans="1:10">
      <c r="A1402" t="s">
        <v>521</v>
      </c>
      <c r="B1402" s="40">
        <v>45014</v>
      </c>
      <c r="C1402" t="s">
        <v>1801</v>
      </c>
      <c r="D1402" t="s">
        <v>1801</v>
      </c>
      <c r="E1402" s="65">
        <v>11768730</v>
      </c>
      <c r="F1402" t="s">
        <v>104</v>
      </c>
      <c r="G1402">
        <v>6</v>
      </c>
      <c r="I1402" s="40">
        <v>45198</v>
      </c>
      <c r="J1402" t="s">
        <v>3063</v>
      </c>
    </row>
    <row r="1403" spans="1:10">
      <c r="A1403" t="s">
        <v>521</v>
      </c>
      <c r="B1403" s="40">
        <v>45014</v>
      </c>
      <c r="C1403" t="s">
        <v>1800</v>
      </c>
      <c r="D1403" t="s">
        <v>1800</v>
      </c>
      <c r="E1403" s="65">
        <v>22719960</v>
      </c>
      <c r="F1403" t="s">
        <v>104</v>
      </c>
      <c r="G1403">
        <v>6</v>
      </c>
      <c r="I1403" s="40">
        <v>45198</v>
      </c>
      <c r="J1403" t="s">
        <v>3064</v>
      </c>
    </row>
    <row r="1404" spans="1:10">
      <c r="A1404" t="s">
        <v>397</v>
      </c>
      <c r="B1404" s="40">
        <v>44994</v>
      </c>
      <c r="C1404" t="s">
        <v>1190</v>
      </c>
      <c r="D1404" t="s">
        <v>1190</v>
      </c>
      <c r="E1404" s="65">
        <v>57159000</v>
      </c>
      <c r="F1404" t="s">
        <v>104</v>
      </c>
      <c r="G1404">
        <v>6</v>
      </c>
      <c r="I1404" s="40">
        <v>45178</v>
      </c>
      <c r="J1404" t="s">
        <v>3065</v>
      </c>
    </row>
    <row r="1405" spans="1:10">
      <c r="A1405" t="s">
        <v>397</v>
      </c>
      <c r="B1405" s="40">
        <v>44994</v>
      </c>
      <c r="C1405" t="s">
        <v>1191</v>
      </c>
      <c r="D1405" t="s">
        <v>1191</v>
      </c>
      <c r="E1405" s="65">
        <v>10999700</v>
      </c>
      <c r="F1405" t="s">
        <v>104</v>
      </c>
      <c r="G1405">
        <v>6</v>
      </c>
      <c r="I1405" s="40">
        <v>45178</v>
      </c>
      <c r="J1405" t="s">
        <v>2816</v>
      </c>
    </row>
    <row r="1406" spans="1:10">
      <c r="A1406" t="s">
        <v>664</v>
      </c>
      <c r="B1406" s="40">
        <v>44945</v>
      </c>
      <c r="C1406" t="s">
        <v>1738</v>
      </c>
      <c r="D1406" t="s">
        <v>1738</v>
      </c>
      <c r="E1406" s="65">
        <v>38898720</v>
      </c>
      <c r="F1406" t="s">
        <v>104</v>
      </c>
      <c r="G1406">
        <v>6</v>
      </c>
      <c r="I1406" s="40">
        <v>45126</v>
      </c>
      <c r="J1406" t="s">
        <v>3066</v>
      </c>
    </row>
    <row r="1407" spans="1:10">
      <c r="A1407" t="s">
        <v>664</v>
      </c>
      <c r="B1407" s="40">
        <v>44945</v>
      </c>
      <c r="C1407" t="s">
        <v>1737</v>
      </c>
      <c r="D1407" t="s">
        <v>1737</v>
      </c>
      <c r="E1407" s="65">
        <v>38898720</v>
      </c>
      <c r="F1407" t="s">
        <v>104</v>
      </c>
      <c r="G1407">
        <v>6</v>
      </c>
      <c r="I1407" s="40">
        <v>45126</v>
      </c>
    </row>
    <row r="1408" spans="1:10">
      <c r="A1408" t="s">
        <v>664</v>
      </c>
      <c r="B1408" s="40">
        <v>44945</v>
      </c>
      <c r="C1408" t="s">
        <v>1739</v>
      </c>
      <c r="D1408" t="s">
        <v>1739</v>
      </c>
      <c r="E1408" s="65">
        <v>15557040</v>
      </c>
      <c r="F1408" t="s">
        <v>104</v>
      </c>
      <c r="G1408">
        <v>6</v>
      </c>
      <c r="I1408" s="40">
        <v>45126</v>
      </c>
    </row>
    <row r="1409" spans="1:10">
      <c r="A1409" t="s">
        <v>664</v>
      </c>
      <c r="B1409" s="40">
        <v>44945</v>
      </c>
      <c r="C1409" t="s">
        <v>1736</v>
      </c>
      <c r="D1409" t="s">
        <v>1736</v>
      </c>
      <c r="E1409" s="65">
        <v>61457040</v>
      </c>
      <c r="F1409" t="s">
        <v>104</v>
      </c>
      <c r="G1409">
        <v>6</v>
      </c>
      <c r="I1409" s="40">
        <v>45126</v>
      </c>
      <c r="J1409" t="s">
        <v>3067</v>
      </c>
    </row>
    <row r="1410" spans="1:10">
      <c r="A1410" t="s">
        <v>662</v>
      </c>
      <c r="B1410" s="40">
        <v>44943</v>
      </c>
      <c r="C1410" t="s">
        <v>1721</v>
      </c>
      <c r="D1410" t="s">
        <v>1721</v>
      </c>
      <c r="E1410" s="65">
        <v>45012600</v>
      </c>
      <c r="F1410" t="s">
        <v>104</v>
      </c>
      <c r="G1410">
        <v>6</v>
      </c>
      <c r="I1410" s="40">
        <v>45124</v>
      </c>
      <c r="J1410" t="s">
        <v>3068</v>
      </c>
    </row>
    <row r="1411" spans="1:10">
      <c r="A1411" t="s">
        <v>497</v>
      </c>
      <c r="B1411" s="40">
        <v>44942</v>
      </c>
      <c r="C1411" t="s">
        <v>1516</v>
      </c>
      <c r="D1411" t="s">
        <v>1516</v>
      </c>
      <c r="E1411" s="65">
        <v>77801640</v>
      </c>
      <c r="F1411" t="s">
        <v>104</v>
      </c>
      <c r="G1411">
        <v>6</v>
      </c>
      <c r="I1411" s="40">
        <v>45123</v>
      </c>
    </row>
    <row r="1412" spans="1:10">
      <c r="A1412" t="s">
        <v>497</v>
      </c>
      <c r="B1412" s="40">
        <v>44942</v>
      </c>
      <c r="C1412" t="s">
        <v>1517</v>
      </c>
      <c r="D1412" t="s">
        <v>1517</v>
      </c>
      <c r="E1412" s="65">
        <v>54453420</v>
      </c>
      <c r="F1412" t="s">
        <v>104</v>
      </c>
      <c r="G1412">
        <v>6</v>
      </c>
      <c r="I1412" s="40">
        <v>45123</v>
      </c>
    </row>
    <row r="1413" spans="1:10">
      <c r="A1413" t="s">
        <v>497</v>
      </c>
      <c r="B1413" s="40">
        <v>44942</v>
      </c>
      <c r="C1413" t="s">
        <v>1075</v>
      </c>
      <c r="D1413" t="s">
        <v>1075</v>
      </c>
      <c r="E1413" s="65">
        <v>155603280</v>
      </c>
      <c r="F1413" t="s">
        <v>104</v>
      </c>
      <c r="G1413">
        <v>6</v>
      </c>
      <c r="I1413" s="40">
        <v>45123</v>
      </c>
    </row>
    <row r="1414" spans="1:10">
      <c r="A1414" t="s">
        <v>497</v>
      </c>
      <c r="B1414" s="40">
        <v>44942</v>
      </c>
      <c r="C1414" t="s">
        <v>1515</v>
      </c>
      <c r="D1414" t="s">
        <v>1515</v>
      </c>
      <c r="E1414" s="65">
        <v>131327700</v>
      </c>
      <c r="F1414" t="s">
        <v>104</v>
      </c>
      <c r="G1414">
        <v>6</v>
      </c>
      <c r="I1414" s="40">
        <v>45123</v>
      </c>
    </row>
    <row r="1415" spans="1:10">
      <c r="A1415" t="s">
        <v>337</v>
      </c>
      <c r="B1415" s="40">
        <v>44942</v>
      </c>
      <c r="C1415" t="s">
        <v>1308</v>
      </c>
      <c r="D1415" t="s">
        <v>1308</v>
      </c>
      <c r="E1415" s="65">
        <v>49999600</v>
      </c>
      <c r="F1415" t="s">
        <v>104</v>
      </c>
      <c r="G1415">
        <v>6</v>
      </c>
      <c r="I1415" s="40">
        <v>45123</v>
      </c>
    </row>
    <row r="1416" spans="1:10">
      <c r="A1416" t="s">
        <v>337</v>
      </c>
      <c r="B1416" s="40">
        <v>44942</v>
      </c>
      <c r="C1416" t="s">
        <v>1306</v>
      </c>
      <c r="D1416" t="s">
        <v>1306</v>
      </c>
      <c r="E1416" s="65">
        <v>49999600</v>
      </c>
      <c r="F1416" t="s">
        <v>104</v>
      </c>
      <c r="G1416">
        <v>6</v>
      </c>
      <c r="I1416" s="40">
        <v>45123</v>
      </c>
    </row>
    <row r="1417" spans="1:10">
      <c r="A1417" t="s">
        <v>337</v>
      </c>
      <c r="B1417" s="40">
        <v>44942</v>
      </c>
      <c r="C1417" t="s">
        <v>1307</v>
      </c>
      <c r="D1417" t="s">
        <v>1307</v>
      </c>
      <c r="E1417" s="65">
        <v>49999600</v>
      </c>
      <c r="F1417" t="s">
        <v>104</v>
      </c>
      <c r="G1417">
        <v>6</v>
      </c>
      <c r="I1417" s="40">
        <v>45123</v>
      </c>
    </row>
    <row r="1418" spans="1:10">
      <c r="A1418" t="s">
        <v>655</v>
      </c>
      <c r="B1418" s="40">
        <v>44938</v>
      </c>
      <c r="C1418" t="s">
        <v>1075</v>
      </c>
      <c r="D1418" t="s">
        <v>1075</v>
      </c>
      <c r="E1418" s="65">
        <v>155625000</v>
      </c>
      <c r="F1418" t="s">
        <v>104</v>
      </c>
      <c r="G1418">
        <v>6</v>
      </c>
      <c r="I1418" s="40">
        <v>45119</v>
      </c>
    </row>
    <row r="1419" spans="1:10">
      <c r="A1419" t="s">
        <v>655</v>
      </c>
      <c r="B1419" s="40">
        <v>44938</v>
      </c>
      <c r="C1419" t="s">
        <v>2108</v>
      </c>
      <c r="D1419" t="s">
        <v>2108</v>
      </c>
      <c r="E1419" s="65">
        <v>231999000</v>
      </c>
      <c r="F1419" t="s">
        <v>104</v>
      </c>
      <c r="G1419">
        <v>6</v>
      </c>
      <c r="I1419" s="40">
        <v>45119</v>
      </c>
    </row>
    <row r="1420" spans="1:10">
      <c r="A1420" t="s">
        <v>417</v>
      </c>
      <c r="B1420" s="40">
        <v>44925</v>
      </c>
      <c r="C1420" t="s">
        <v>1786</v>
      </c>
      <c r="D1420" t="s">
        <v>1786</v>
      </c>
      <c r="E1420" s="65">
        <v>77785600</v>
      </c>
      <c r="F1420" t="s">
        <v>104</v>
      </c>
      <c r="G1420">
        <v>6</v>
      </c>
      <c r="I1420" s="40">
        <v>45107</v>
      </c>
    </row>
    <row r="1421" spans="1:10">
      <c r="A1421" t="s">
        <v>417</v>
      </c>
      <c r="B1421" s="40">
        <v>44925</v>
      </c>
      <c r="C1421" t="s">
        <v>1787</v>
      </c>
      <c r="D1421" t="s">
        <v>1787</v>
      </c>
      <c r="E1421" s="65">
        <v>77785600</v>
      </c>
      <c r="F1421" t="s">
        <v>104</v>
      </c>
      <c r="G1421">
        <v>6</v>
      </c>
      <c r="I1421" s="40">
        <v>45107</v>
      </c>
    </row>
    <row r="1422" spans="1:10">
      <c r="A1422" t="s">
        <v>729</v>
      </c>
      <c r="B1422" s="40">
        <v>44925</v>
      </c>
      <c r="C1422" t="s">
        <v>2100</v>
      </c>
      <c r="D1422" t="s">
        <v>2100</v>
      </c>
      <c r="E1422" s="65">
        <v>27244800</v>
      </c>
      <c r="F1422" t="s">
        <v>104</v>
      </c>
      <c r="G1422">
        <v>6</v>
      </c>
      <c r="I1422" s="40">
        <v>45107</v>
      </c>
    </row>
    <row r="1423" spans="1:10">
      <c r="A1423" t="s">
        <v>729</v>
      </c>
      <c r="B1423" s="40">
        <v>44925</v>
      </c>
      <c r="C1423" t="s">
        <v>2101</v>
      </c>
      <c r="D1423" t="s">
        <v>2101</v>
      </c>
      <c r="E1423" s="65">
        <v>23118480</v>
      </c>
      <c r="F1423" t="s">
        <v>104</v>
      </c>
      <c r="G1423">
        <v>6</v>
      </c>
      <c r="I1423" s="40">
        <v>45107</v>
      </c>
    </row>
    <row r="1424" spans="1:10">
      <c r="A1424" t="s">
        <v>729</v>
      </c>
      <c r="B1424" s="40">
        <v>44925</v>
      </c>
      <c r="C1424" t="s">
        <v>1075</v>
      </c>
      <c r="D1424" t="s">
        <v>1075</v>
      </c>
      <c r="E1424" s="65">
        <v>99997920</v>
      </c>
      <c r="F1424" t="s">
        <v>104</v>
      </c>
      <c r="G1424">
        <v>6</v>
      </c>
      <c r="I1424" s="40">
        <v>45107</v>
      </c>
    </row>
    <row r="1425" spans="1:10">
      <c r="A1425" t="s">
        <v>935</v>
      </c>
      <c r="B1425" s="40">
        <v>44924</v>
      </c>
      <c r="C1425" t="s">
        <v>1536</v>
      </c>
      <c r="D1425" t="s">
        <v>1536</v>
      </c>
      <c r="E1425" s="65">
        <v>5527900</v>
      </c>
      <c r="F1425" t="s">
        <v>104</v>
      </c>
      <c r="G1425">
        <v>6</v>
      </c>
      <c r="I1425" s="40">
        <v>45106</v>
      </c>
    </row>
    <row r="1426" spans="1:10">
      <c r="A1426" t="s">
        <v>935</v>
      </c>
      <c r="B1426" s="40">
        <v>44924</v>
      </c>
      <c r="C1426" t="s">
        <v>1535</v>
      </c>
      <c r="D1426" t="s">
        <v>1535</v>
      </c>
      <c r="E1426" s="65">
        <v>22111600</v>
      </c>
      <c r="F1426" t="s">
        <v>104</v>
      </c>
      <c r="G1426">
        <v>6</v>
      </c>
      <c r="I1426" s="40">
        <v>45106</v>
      </c>
      <c r="J1426" t="s">
        <v>3069</v>
      </c>
    </row>
    <row r="1427" spans="1:10">
      <c r="A1427" t="s">
        <v>935</v>
      </c>
      <c r="B1427" s="40">
        <v>44924</v>
      </c>
      <c r="C1427" t="s">
        <v>1537</v>
      </c>
      <c r="D1427" t="s">
        <v>1537</v>
      </c>
      <c r="E1427" s="65">
        <v>2210100</v>
      </c>
      <c r="F1427" t="s">
        <v>104</v>
      </c>
      <c r="G1427">
        <v>6</v>
      </c>
      <c r="I1427" s="40">
        <v>45106</v>
      </c>
    </row>
    <row r="1428" spans="1:10">
      <c r="A1428" t="s">
        <v>815</v>
      </c>
      <c r="B1428" s="40">
        <v>44924</v>
      </c>
      <c r="C1428" t="s">
        <v>2039</v>
      </c>
      <c r="D1428" t="s">
        <v>2039</v>
      </c>
      <c r="E1428" s="65">
        <v>38838400</v>
      </c>
      <c r="F1428" t="s">
        <v>104</v>
      </c>
      <c r="G1428">
        <v>6</v>
      </c>
      <c r="I1428" s="40">
        <v>45106</v>
      </c>
    </row>
    <row r="1429" spans="1:10">
      <c r="A1429" t="s">
        <v>620</v>
      </c>
      <c r="B1429" s="40">
        <v>44918</v>
      </c>
      <c r="C1429" t="s">
        <v>2177</v>
      </c>
      <c r="D1429" t="s">
        <v>2177</v>
      </c>
      <c r="E1429" s="65">
        <v>313997200</v>
      </c>
      <c r="F1429" t="s">
        <v>104</v>
      </c>
      <c r="G1429">
        <v>6</v>
      </c>
      <c r="I1429" s="40">
        <v>45100</v>
      </c>
    </row>
    <row r="1430" spans="1:10">
      <c r="A1430" t="s">
        <v>719</v>
      </c>
      <c r="B1430" s="40">
        <v>44910</v>
      </c>
      <c r="C1430" t="s">
        <v>1136</v>
      </c>
      <c r="D1430" t="s">
        <v>1136</v>
      </c>
      <c r="E1430" s="65">
        <v>46325410</v>
      </c>
      <c r="F1430" t="s">
        <v>104</v>
      </c>
      <c r="G1430">
        <v>10</v>
      </c>
      <c r="I1430" s="40">
        <v>45200</v>
      </c>
    </row>
    <row r="1431" spans="1:10">
      <c r="A1431" t="s">
        <v>719</v>
      </c>
      <c r="B1431" s="40">
        <v>44910</v>
      </c>
      <c r="C1431" t="s">
        <v>1075</v>
      </c>
      <c r="D1431" t="s">
        <v>1075</v>
      </c>
      <c r="E1431" s="65">
        <v>78449690</v>
      </c>
      <c r="F1431" t="s">
        <v>104</v>
      </c>
      <c r="G1431">
        <v>10</v>
      </c>
      <c r="I1431" s="40">
        <v>45200</v>
      </c>
    </row>
    <row r="1432" spans="1:10">
      <c r="A1432" t="s">
        <v>719</v>
      </c>
      <c r="B1432" s="40">
        <v>44910</v>
      </c>
      <c r="C1432" t="s">
        <v>1815</v>
      </c>
      <c r="D1432" t="s">
        <v>1815</v>
      </c>
      <c r="E1432" s="65">
        <v>78449690</v>
      </c>
      <c r="F1432" t="s">
        <v>104</v>
      </c>
      <c r="G1432">
        <v>10</v>
      </c>
      <c r="I1432" s="40">
        <v>45200</v>
      </c>
    </row>
    <row r="1433" spans="1:10">
      <c r="A1433" t="s">
        <v>719</v>
      </c>
      <c r="B1433" s="40">
        <v>44910</v>
      </c>
      <c r="C1433" t="s">
        <v>1816</v>
      </c>
      <c r="D1433" t="s">
        <v>1816</v>
      </c>
      <c r="E1433" s="65">
        <v>31374880</v>
      </c>
      <c r="F1433" t="s">
        <v>104</v>
      </c>
      <c r="G1433">
        <v>10</v>
      </c>
      <c r="I1433" s="40">
        <v>45200</v>
      </c>
    </row>
    <row r="1434" spans="1:10">
      <c r="A1434" t="s">
        <v>834</v>
      </c>
      <c r="B1434" s="40">
        <v>44910</v>
      </c>
      <c r="C1434" t="s">
        <v>1693</v>
      </c>
      <c r="D1434" t="s">
        <v>1693</v>
      </c>
      <c r="E1434" s="65">
        <v>30000000</v>
      </c>
      <c r="F1434" t="s">
        <v>104</v>
      </c>
      <c r="G1434">
        <v>6</v>
      </c>
      <c r="I1434" s="40">
        <v>45092</v>
      </c>
    </row>
    <row r="1435" spans="1:10">
      <c r="A1435" t="s">
        <v>405</v>
      </c>
      <c r="B1435" s="40">
        <v>44910</v>
      </c>
      <c r="C1435" t="s">
        <v>1406</v>
      </c>
      <c r="D1435" t="s">
        <v>1406</v>
      </c>
      <c r="E1435" s="65">
        <v>239836608</v>
      </c>
      <c r="F1435" t="s">
        <v>104</v>
      </c>
      <c r="G1435">
        <v>6</v>
      </c>
      <c r="I1435" s="40">
        <v>45092</v>
      </c>
    </row>
    <row r="1436" spans="1:10">
      <c r="A1436" t="s">
        <v>405</v>
      </c>
      <c r="B1436" s="40">
        <v>44910</v>
      </c>
      <c r="C1436" t="s">
        <v>1407</v>
      </c>
      <c r="D1436" t="s">
        <v>1407</v>
      </c>
      <c r="E1436" s="65">
        <v>234440448</v>
      </c>
      <c r="F1436" t="s">
        <v>104</v>
      </c>
      <c r="G1436">
        <v>6</v>
      </c>
      <c r="I1436" s="40">
        <v>45092</v>
      </c>
    </row>
    <row r="1437" spans="1:10">
      <c r="A1437" t="s">
        <v>405</v>
      </c>
      <c r="B1437" s="40">
        <v>44910</v>
      </c>
      <c r="C1437" t="s">
        <v>1408</v>
      </c>
      <c r="D1437" t="s">
        <v>1408</v>
      </c>
      <c r="E1437" s="65">
        <v>101773056</v>
      </c>
      <c r="F1437" t="s">
        <v>104</v>
      </c>
      <c r="G1437">
        <v>6</v>
      </c>
      <c r="I1437" s="40">
        <v>45092</v>
      </c>
    </row>
    <row r="1438" spans="1:10">
      <c r="A1438" t="s">
        <v>562</v>
      </c>
      <c r="B1438" s="40">
        <v>44907</v>
      </c>
      <c r="C1438" t="s">
        <v>2079</v>
      </c>
      <c r="D1438" t="s">
        <v>2079</v>
      </c>
      <c r="E1438" s="65">
        <v>15260660</v>
      </c>
      <c r="F1438" t="s">
        <v>104</v>
      </c>
      <c r="G1438">
        <v>6</v>
      </c>
      <c r="I1438" s="40">
        <v>45089</v>
      </c>
      <c r="J1438" t="s">
        <v>3070</v>
      </c>
    </row>
    <row r="1439" spans="1:10">
      <c r="A1439" t="s">
        <v>562</v>
      </c>
      <c r="B1439" s="40">
        <v>44907</v>
      </c>
      <c r="C1439" t="s">
        <v>2077</v>
      </c>
      <c r="D1439" t="s">
        <v>2077</v>
      </c>
      <c r="E1439" s="65">
        <v>262217100</v>
      </c>
      <c r="F1439" t="s">
        <v>104</v>
      </c>
      <c r="G1439">
        <v>6</v>
      </c>
      <c r="I1439" s="40">
        <v>45089</v>
      </c>
      <c r="J1439" t="s">
        <v>3070</v>
      </c>
    </row>
    <row r="1440" spans="1:10">
      <c r="A1440" t="s">
        <v>562</v>
      </c>
      <c r="B1440" s="40">
        <v>44907</v>
      </c>
      <c r="C1440" t="s">
        <v>2078</v>
      </c>
      <c r="D1440" t="s">
        <v>2078</v>
      </c>
      <c r="E1440" s="65">
        <v>39135960</v>
      </c>
      <c r="F1440" t="s">
        <v>104</v>
      </c>
      <c r="G1440">
        <v>6</v>
      </c>
      <c r="I1440" s="40">
        <v>45089</v>
      </c>
    </row>
    <row r="1441" spans="1:10">
      <c r="A1441" t="s">
        <v>562</v>
      </c>
      <c r="B1441" s="40">
        <v>44907</v>
      </c>
      <c r="C1441" t="s">
        <v>2080</v>
      </c>
      <c r="D1441" t="s">
        <v>2080</v>
      </c>
      <c r="E1441" s="65">
        <v>7432440</v>
      </c>
      <c r="F1441" t="s">
        <v>104</v>
      </c>
      <c r="G1441">
        <v>6</v>
      </c>
      <c r="I1441" s="40">
        <v>45089</v>
      </c>
      <c r="J1441" t="s">
        <v>3070</v>
      </c>
    </row>
    <row r="1442" spans="1:10">
      <c r="A1442" t="s">
        <v>811</v>
      </c>
      <c r="B1442" s="40">
        <v>44907</v>
      </c>
      <c r="C1442" t="s">
        <v>1568</v>
      </c>
      <c r="D1442" t="s">
        <v>1568</v>
      </c>
      <c r="E1442" s="65">
        <v>28364700</v>
      </c>
      <c r="F1442" t="s">
        <v>104</v>
      </c>
      <c r="G1442">
        <v>6</v>
      </c>
      <c r="I1442" s="40">
        <v>45089</v>
      </c>
    </row>
    <row r="1443" spans="1:10">
      <c r="A1443" t="s">
        <v>811</v>
      </c>
      <c r="B1443" s="40">
        <v>44907</v>
      </c>
      <c r="C1443" t="s">
        <v>1567</v>
      </c>
      <c r="D1443" t="s">
        <v>1567</v>
      </c>
      <c r="E1443" s="65">
        <v>28965300</v>
      </c>
      <c r="F1443" t="s">
        <v>104</v>
      </c>
      <c r="G1443">
        <v>6</v>
      </c>
      <c r="I1443" s="40">
        <v>45089</v>
      </c>
    </row>
    <row r="1444" spans="1:10">
      <c r="A1444" t="s">
        <v>290</v>
      </c>
      <c r="B1444" s="40">
        <v>44896</v>
      </c>
      <c r="C1444" t="s">
        <v>1529</v>
      </c>
      <c r="D1444" t="s">
        <v>1529</v>
      </c>
      <c r="E1444" s="65">
        <v>391922160</v>
      </c>
      <c r="F1444" t="s">
        <v>104</v>
      </c>
      <c r="G1444">
        <v>6</v>
      </c>
      <c r="I1444" s="40">
        <v>45078</v>
      </c>
      <c r="J1444" t="s">
        <v>3071</v>
      </c>
    </row>
    <row r="1445" spans="1:10">
      <c r="A1445" t="s">
        <v>290</v>
      </c>
      <c r="B1445" s="40">
        <v>44896</v>
      </c>
      <c r="C1445" t="s">
        <v>1528</v>
      </c>
      <c r="D1445" t="s">
        <v>1528</v>
      </c>
      <c r="E1445" s="65">
        <v>427431080</v>
      </c>
      <c r="F1445" t="s">
        <v>104</v>
      </c>
      <c r="G1445">
        <v>6</v>
      </c>
      <c r="I1445" s="40">
        <v>45078</v>
      </c>
      <c r="J1445" t="s">
        <v>3072</v>
      </c>
    </row>
    <row r="1446" spans="1:10">
      <c r="A1446" t="s">
        <v>290</v>
      </c>
      <c r="B1446" s="40">
        <v>44896</v>
      </c>
      <c r="C1446" t="s">
        <v>1527</v>
      </c>
      <c r="D1446" t="s">
        <v>1527</v>
      </c>
      <c r="E1446" s="65">
        <v>783847480</v>
      </c>
      <c r="F1446" t="s">
        <v>104</v>
      </c>
      <c r="G1446">
        <v>6</v>
      </c>
      <c r="I1446" s="40">
        <v>45078</v>
      </c>
      <c r="J1446" t="s">
        <v>3073</v>
      </c>
    </row>
    <row r="1447" spans="1:10">
      <c r="A1447" t="s">
        <v>290</v>
      </c>
      <c r="B1447" s="40">
        <v>44896</v>
      </c>
      <c r="C1447" t="s">
        <v>1155</v>
      </c>
      <c r="D1447" t="s">
        <v>1155</v>
      </c>
      <c r="E1447" s="65">
        <v>549998000</v>
      </c>
      <c r="F1447" t="s">
        <v>104</v>
      </c>
      <c r="G1447">
        <v>6</v>
      </c>
      <c r="I1447" s="40">
        <v>45078</v>
      </c>
      <c r="J1447" t="s">
        <v>2999</v>
      </c>
    </row>
    <row r="1448" spans="1:10">
      <c r="A1448" t="s">
        <v>290</v>
      </c>
      <c r="B1448" s="40">
        <v>44896</v>
      </c>
      <c r="C1448" t="s">
        <v>1530</v>
      </c>
      <c r="D1448" t="s">
        <v>1530</v>
      </c>
      <c r="E1448" s="65">
        <v>391922160</v>
      </c>
      <c r="F1448" t="s">
        <v>104</v>
      </c>
      <c r="G1448">
        <v>6</v>
      </c>
      <c r="I1448" s="40">
        <v>45078</v>
      </c>
    </row>
    <row r="1449" spans="1:10">
      <c r="A1449" t="s">
        <v>459</v>
      </c>
      <c r="B1449" s="40">
        <v>44876</v>
      </c>
      <c r="C1449" t="s">
        <v>1375</v>
      </c>
      <c r="D1449" t="s">
        <v>1375</v>
      </c>
      <c r="E1449" s="65">
        <v>20408490</v>
      </c>
      <c r="F1449" t="s">
        <v>104</v>
      </c>
      <c r="G1449">
        <v>6</v>
      </c>
      <c r="I1449" s="40">
        <v>45057</v>
      </c>
    </row>
    <row r="1450" spans="1:10">
      <c r="A1450" t="s">
        <v>459</v>
      </c>
      <c r="B1450" s="40">
        <v>44876</v>
      </c>
      <c r="C1450" t="s">
        <v>1551</v>
      </c>
      <c r="D1450" t="s">
        <v>1551</v>
      </c>
      <c r="E1450" s="65">
        <v>78493890</v>
      </c>
      <c r="F1450" t="s">
        <v>104</v>
      </c>
      <c r="G1450">
        <v>6</v>
      </c>
      <c r="I1450" s="40">
        <v>45057</v>
      </c>
      <c r="J1450" t="s">
        <v>3074</v>
      </c>
    </row>
    <row r="1451" spans="1:10">
      <c r="A1451" t="s">
        <v>459</v>
      </c>
      <c r="B1451" s="40">
        <v>44876</v>
      </c>
      <c r="C1451" t="s">
        <v>1550</v>
      </c>
      <c r="D1451" t="s">
        <v>1550</v>
      </c>
      <c r="E1451" s="65">
        <v>78493890</v>
      </c>
      <c r="F1451" t="s">
        <v>104</v>
      </c>
      <c r="G1451">
        <v>6</v>
      </c>
      <c r="I1451" s="40">
        <v>45057</v>
      </c>
    </row>
    <row r="1452" spans="1:10">
      <c r="A1452" t="s">
        <v>603</v>
      </c>
      <c r="B1452" s="40">
        <v>44874</v>
      </c>
      <c r="C1452" t="s">
        <v>1446</v>
      </c>
      <c r="D1452" t="s">
        <v>1446</v>
      </c>
      <c r="E1452" s="65">
        <v>9999920</v>
      </c>
      <c r="F1452" t="s">
        <v>104</v>
      </c>
      <c r="G1452">
        <v>6</v>
      </c>
      <c r="I1452" s="40">
        <v>45055</v>
      </c>
    </row>
    <row r="1453" spans="1:10">
      <c r="A1453" t="s">
        <v>856</v>
      </c>
      <c r="B1453" s="40">
        <v>44873</v>
      </c>
      <c r="C1453" t="s">
        <v>1075</v>
      </c>
      <c r="D1453" t="s">
        <v>1075</v>
      </c>
      <c r="E1453" s="65">
        <v>78471800</v>
      </c>
      <c r="F1453" t="s">
        <v>104</v>
      </c>
      <c r="G1453">
        <v>6</v>
      </c>
      <c r="I1453" s="40">
        <v>45054</v>
      </c>
    </row>
    <row r="1454" spans="1:10">
      <c r="A1454" t="s">
        <v>856</v>
      </c>
      <c r="B1454" s="40">
        <v>44873</v>
      </c>
      <c r="C1454" t="s">
        <v>1107</v>
      </c>
      <c r="D1454" t="s">
        <v>1107</v>
      </c>
      <c r="E1454" s="65">
        <v>76897700</v>
      </c>
      <c r="F1454" t="s">
        <v>104</v>
      </c>
      <c r="G1454">
        <v>6</v>
      </c>
      <c r="I1454" s="40">
        <v>45054</v>
      </c>
    </row>
    <row r="1455" spans="1:10">
      <c r="A1455" t="s">
        <v>856</v>
      </c>
      <c r="B1455" s="40">
        <v>44873</v>
      </c>
      <c r="C1455" t="s">
        <v>1108</v>
      </c>
      <c r="D1455" t="s">
        <v>1108</v>
      </c>
      <c r="E1455" s="65">
        <v>39235900</v>
      </c>
      <c r="F1455" t="s">
        <v>104</v>
      </c>
      <c r="G1455">
        <v>6</v>
      </c>
      <c r="I1455" s="40">
        <v>45054</v>
      </c>
    </row>
    <row r="1456" spans="1:10">
      <c r="A1456" t="s">
        <v>911</v>
      </c>
      <c r="B1456" s="40">
        <v>44851</v>
      </c>
      <c r="C1456" t="s">
        <v>1705</v>
      </c>
      <c r="D1456" t="s">
        <v>1705</v>
      </c>
      <c r="E1456" s="65">
        <v>14999040</v>
      </c>
      <c r="F1456" t="s">
        <v>104</v>
      </c>
      <c r="G1456">
        <v>6</v>
      </c>
      <c r="I1456" s="40">
        <v>45033</v>
      </c>
    </row>
    <row r="1457" spans="1:10">
      <c r="A1457" t="s">
        <v>787</v>
      </c>
      <c r="B1457" s="40">
        <v>44844</v>
      </c>
      <c r="C1457" t="s">
        <v>1554</v>
      </c>
      <c r="D1457" t="s">
        <v>1554</v>
      </c>
      <c r="E1457" s="65">
        <v>10000000</v>
      </c>
      <c r="F1457" t="s">
        <v>104</v>
      </c>
      <c r="G1457">
        <v>6</v>
      </c>
      <c r="I1457" s="40">
        <v>45026</v>
      </c>
    </row>
    <row r="1458" spans="1:10">
      <c r="A1458" t="s">
        <v>787</v>
      </c>
      <c r="B1458" s="40">
        <v>44844</v>
      </c>
      <c r="C1458" t="s">
        <v>1553</v>
      </c>
      <c r="D1458" t="s">
        <v>1553</v>
      </c>
      <c r="E1458" s="65">
        <v>10000000</v>
      </c>
      <c r="F1458" t="s">
        <v>104</v>
      </c>
      <c r="G1458">
        <v>6</v>
      </c>
      <c r="I1458" s="40">
        <v>45026</v>
      </c>
      <c r="J1458" t="s">
        <v>3075</v>
      </c>
    </row>
    <row r="1459" spans="1:10">
      <c r="A1459" t="s">
        <v>986</v>
      </c>
      <c r="B1459" s="40">
        <v>44844</v>
      </c>
      <c r="C1459" t="s">
        <v>2005</v>
      </c>
      <c r="D1459" t="s">
        <v>2005</v>
      </c>
      <c r="E1459" s="65">
        <v>156975480</v>
      </c>
      <c r="F1459" t="s">
        <v>104</v>
      </c>
      <c r="G1459">
        <v>6</v>
      </c>
      <c r="I1459" s="40">
        <v>45026</v>
      </c>
    </row>
    <row r="1460" spans="1:10">
      <c r="A1460" t="s">
        <v>275</v>
      </c>
      <c r="B1460" s="40">
        <v>44840</v>
      </c>
      <c r="C1460" t="s">
        <v>1081</v>
      </c>
      <c r="D1460" t="s">
        <v>1081</v>
      </c>
      <c r="E1460" s="65">
        <v>770864200</v>
      </c>
      <c r="F1460" t="s">
        <v>104</v>
      </c>
      <c r="G1460">
        <v>6</v>
      </c>
      <c r="I1460" s="40">
        <v>45022</v>
      </c>
    </row>
    <row r="1461" spans="1:10">
      <c r="A1461" t="s">
        <v>275</v>
      </c>
      <c r="B1461" s="40">
        <v>44840</v>
      </c>
      <c r="C1461" t="s">
        <v>1084</v>
      </c>
      <c r="D1461" t="s">
        <v>1084</v>
      </c>
      <c r="E1461" s="65">
        <v>521287800</v>
      </c>
      <c r="F1461" t="s">
        <v>104</v>
      </c>
      <c r="G1461">
        <v>6</v>
      </c>
      <c r="I1461" s="40">
        <v>45022</v>
      </c>
    </row>
    <row r="1462" spans="1:10">
      <c r="A1462" t="s">
        <v>275</v>
      </c>
      <c r="B1462" s="40">
        <v>44840</v>
      </c>
      <c r="C1462" t="s">
        <v>3076</v>
      </c>
      <c r="D1462" t="s">
        <v>3076</v>
      </c>
      <c r="E1462" s="65">
        <v>392452600</v>
      </c>
      <c r="F1462" t="s">
        <v>104</v>
      </c>
      <c r="G1462">
        <v>6</v>
      </c>
      <c r="I1462" s="40">
        <v>45022</v>
      </c>
    </row>
    <row r="1463" spans="1:10">
      <c r="A1463" t="s">
        <v>275</v>
      </c>
      <c r="B1463" s="40">
        <v>44840</v>
      </c>
      <c r="C1463" t="s">
        <v>3077</v>
      </c>
      <c r="D1463" t="s">
        <v>3077</v>
      </c>
      <c r="E1463" s="65">
        <v>235470800</v>
      </c>
      <c r="F1463" t="s">
        <v>104</v>
      </c>
      <c r="G1463">
        <v>6</v>
      </c>
      <c r="I1463" s="40">
        <v>45022</v>
      </c>
    </row>
    <row r="1464" spans="1:10">
      <c r="A1464" t="s">
        <v>275</v>
      </c>
      <c r="B1464" s="40">
        <v>44840</v>
      </c>
      <c r="C1464" t="s">
        <v>3078</v>
      </c>
      <c r="D1464" t="s">
        <v>3078</v>
      </c>
      <c r="E1464" s="65">
        <v>233122400</v>
      </c>
      <c r="F1464" t="s">
        <v>104</v>
      </c>
      <c r="G1464">
        <v>6</v>
      </c>
      <c r="I1464" s="40">
        <v>45022</v>
      </c>
    </row>
    <row r="1465" spans="1:10">
      <c r="A1465" t="s">
        <v>275</v>
      </c>
      <c r="B1465" s="40">
        <v>44840</v>
      </c>
      <c r="C1465" t="s">
        <v>1083</v>
      </c>
      <c r="D1465" t="s">
        <v>1083</v>
      </c>
      <c r="E1465" s="65">
        <v>621661000</v>
      </c>
      <c r="F1465" t="s">
        <v>104</v>
      </c>
      <c r="G1465">
        <v>6</v>
      </c>
      <c r="I1465" s="40">
        <v>45022</v>
      </c>
    </row>
    <row r="1466" spans="1:10">
      <c r="A1466" t="s">
        <v>275</v>
      </c>
      <c r="B1466" s="40">
        <v>44840</v>
      </c>
      <c r="C1466" t="s">
        <v>1082</v>
      </c>
      <c r="D1466" t="s">
        <v>1082</v>
      </c>
      <c r="E1466" s="65">
        <v>768253600</v>
      </c>
      <c r="F1466" t="s">
        <v>104</v>
      </c>
      <c r="G1466">
        <v>6</v>
      </c>
      <c r="I1466" s="40">
        <v>45022</v>
      </c>
    </row>
    <row r="1467" spans="1:10">
      <c r="A1467" t="s">
        <v>275</v>
      </c>
      <c r="B1467" s="40">
        <v>44840</v>
      </c>
      <c r="C1467" t="s">
        <v>3079</v>
      </c>
      <c r="D1467" t="s">
        <v>3079</v>
      </c>
      <c r="E1467" s="65">
        <v>127710400</v>
      </c>
      <c r="F1467" t="s">
        <v>104</v>
      </c>
      <c r="G1467">
        <v>6</v>
      </c>
      <c r="I1467" s="40">
        <v>45022</v>
      </c>
    </row>
    <row r="1468" spans="1:10">
      <c r="A1468" t="s">
        <v>275</v>
      </c>
      <c r="B1468" s="40">
        <v>44840</v>
      </c>
      <c r="C1468" t="s">
        <v>1080</v>
      </c>
      <c r="D1468" t="s">
        <v>1080</v>
      </c>
      <c r="E1468" s="65">
        <v>777077200</v>
      </c>
      <c r="F1468" t="s">
        <v>104</v>
      </c>
      <c r="G1468">
        <v>6</v>
      </c>
      <c r="I1468" s="40">
        <v>45022</v>
      </c>
    </row>
    <row r="1469" spans="1:10">
      <c r="A1469" t="s">
        <v>275</v>
      </c>
      <c r="B1469" s="40">
        <v>44840</v>
      </c>
      <c r="C1469" t="s">
        <v>3080</v>
      </c>
      <c r="D1469" t="s">
        <v>3080</v>
      </c>
      <c r="E1469" s="65">
        <v>194267400</v>
      </c>
      <c r="F1469" t="s">
        <v>104</v>
      </c>
      <c r="G1469">
        <v>6</v>
      </c>
      <c r="I1469" s="40">
        <v>45022</v>
      </c>
    </row>
    <row r="1470" spans="1:10">
      <c r="A1470" t="s">
        <v>275</v>
      </c>
      <c r="B1470" s="40">
        <v>44840</v>
      </c>
      <c r="C1470" t="s">
        <v>3081</v>
      </c>
      <c r="D1470" t="s">
        <v>3081</v>
      </c>
      <c r="E1470" s="65">
        <v>156981800</v>
      </c>
      <c r="F1470" t="s">
        <v>104</v>
      </c>
      <c r="G1470">
        <v>6</v>
      </c>
      <c r="I1470" s="40">
        <v>45022</v>
      </c>
    </row>
    <row r="1471" spans="1:10">
      <c r="A1471" t="s">
        <v>275</v>
      </c>
      <c r="B1471" s="40">
        <v>44840</v>
      </c>
      <c r="C1471" t="s">
        <v>3082</v>
      </c>
      <c r="D1471" t="s">
        <v>3082</v>
      </c>
      <c r="E1471" s="65">
        <v>216702600</v>
      </c>
      <c r="F1471" t="s">
        <v>104</v>
      </c>
      <c r="G1471">
        <v>6</v>
      </c>
      <c r="I1471" s="40">
        <v>45022</v>
      </c>
    </row>
    <row r="1472" spans="1:10">
      <c r="A1472" t="s">
        <v>275</v>
      </c>
      <c r="B1472" s="40">
        <v>44840</v>
      </c>
      <c r="C1472" t="s">
        <v>3083</v>
      </c>
      <c r="D1472" t="s">
        <v>3083</v>
      </c>
      <c r="E1472" s="65">
        <v>114790400</v>
      </c>
      <c r="F1472" t="s">
        <v>104</v>
      </c>
      <c r="G1472">
        <v>6</v>
      </c>
      <c r="I1472" s="40">
        <v>45022</v>
      </c>
    </row>
    <row r="1473" spans="1:10">
      <c r="A1473" t="s">
        <v>275</v>
      </c>
      <c r="B1473" s="40">
        <v>44840</v>
      </c>
      <c r="C1473" t="s">
        <v>3084</v>
      </c>
      <c r="D1473" t="s">
        <v>3084</v>
      </c>
      <c r="E1473" s="65">
        <v>155412400</v>
      </c>
      <c r="F1473" t="s">
        <v>104</v>
      </c>
      <c r="G1473">
        <v>6</v>
      </c>
      <c r="I1473" s="40">
        <v>45022</v>
      </c>
    </row>
    <row r="1474" spans="1:10">
      <c r="A1474" t="s">
        <v>275</v>
      </c>
      <c r="B1474" s="40">
        <v>44840</v>
      </c>
      <c r="C1474" t="s">
        <v>3085</v>
      </c>
      <c r="D1474" t="s">
        <v>3085</v>
      </c>
      <c r="E1474" s="65">
        <v>388538600</v>
      </c>
      <c r="F1474" t="s">
        <v>104</v>
      </c>
      <c r="G1474">
        <v>6</v>
      </c>
      <c r="I1474" s="40">
        <v>45022</v>
      </c>
    </row>
    <row r="1475" spans="1:10">
      <c r="A1475" t="s">
        <v>268</v>
      </c>
      <c r="B1475" s="40">
        <v>44833</v>
      </c>
      <c r="C1475" t="s">
        <v>1203</v>
      </c>
      <c r="D1475" t="s">
        <v>1203</v>
      </c>
      <c r="E1475" s="65">
        <v>196230405</v>
      </c>
      <c r="F1475" t="s">
        <v>104</v>
      </c>
      <c r="G1475">
        <v>6</v>
      </c>
      <c r="I1475" s="40">
        <v>45014</v>
      </c>
    </row>
    <row r="1476" spans="1:10">
      <c r="A1476" t="s">
        <v>268</v>
      </c>
      <c r="B1476" s="40">
        <v>44833</v>
      </c>
      <c r="C1476" t="s">
        <v>1355</v>
      </c>
      <c r="D1476" t="s">
        <v>1355</v>
      </c>
      <c r="E1476" s="65">
        <v>196230405</v>
      </c>
      <c r="F1476" t="s">
        <v>104</v>
      </c>
      <c r="G1476">
        <v>6</v>
      </c>
      <c r="I1476" s="40">
        <v>45014</v>
      </c>
    </row>
    <row r="1477" spans="1:10">
      <c r="A1477" t="s">
        <v>268</v>
      </c>
      <c r="B1477" s="40">
        <v>44833</v>
      </c>
      <c r="C1477" t="s">
        <v>106</v>
      </c>
      <c r="D1477" t="s">
        <v>106</v>
      </c>
      <c r="E1477" s="65">
        <v>470956920</v>
      </c>
      <c r="F1477" t="s">
        <v>104</v>
      </c>
      <c r="G1477">
        <v>6</v>
      </c>
      <c r="I1477" s="40">
        <v>45014</v>
      </c>
    </row>
    <row r="1478" spans="1:10">
      <c r="A1478" t="s">
        <v>268</v>
      </c>
      <c r="B1478" s="40">
        <v>44833</v>
      </c>
      <c r="C1478" t="s">
        <v>1155</v>
      </c>
      <c r="D1478" t="s">
        <v>1155</v>
      </c>
      <c r="E1478" s="65">
        <v>567979020</v>
      </c>
      <c r="F1478" t="s">
        <v>104</v>
      </c>
      <c r="G1478">
        <v>6</v>
      </c>
      <c r="I1478" s="40">
        <v>45014</v>
      </c>
    </row>
    <row r="1479" spans="1:10">
      <c r="A1479" t="s">
        <v>268</v>
      </c>
      <c r="B1479" s="40">
        <v>44833</v>
      </c>
      <c r="C1479" t="s">
        <v>1354</v>
      </c>
      <c r="D1479" t="s">
        <v>1354</v>
      </c>
      <c r="E1479" s="65">
        <v>287414400</v>
      </c>
      <c r="F1479" t="s">
        <v>104</v>
      </c>
      <c r="G1479">
        <v>6</v>
      </c>
      <c r="I1479" s="40">
        <v>45014</v>
      </c>
    </row>
    <row r="1480" spans="1:10">
      <c r="A1480" t="s">
        <v>268</v>
      </c>
      <c r="B1480" s="40">
        <v>44833</v>
      </c>
      <c r="C1480" t="s">
        <v>1353</v>
      </c>
      <c r="D1480" t="s">
        <v>1353</v>
      </c>
      <c r="E1480" s="65">
        <v>287414400</v>
      </c>
      <c r="F1480" t="s">
        <v>104</v>
      </c>
      <c r="G1480">
        <v>6</v>
      </c>
      <c r="I1480" s="40">
        <v>45014</v>
      </c>
    </row>
    <row r="1481" spans="1:10">
      <c r="A1481" t="s">
        <v>268</v>
      </c>
      <c r="B1481" s="40">
        <v>44833</v>
      </c>
      <c r="C1481" t="s">
        <v>3086</v>
      </c>
      <c r="D1481" t="s">
        <v>3086</v>
      </c>
      <c r="E1481" s="65">
        <v>156982350</v>
      </c>
      <c r="F1481" t="s">
        <v>104</v>
      </c>
      <c r="G1481">
        <v>6</v>
      </c>
      <c r="I1481" s="40">
        <v>45014</v>
      </c>
    </row>
    <row r="1482" spans="1:10">
      <c r="A1482" t="s">
        <v>311</v>
      </c>
      <c r="B1482" s="40">
        <v>44833</v>
      </c>
      <c r="C1482" t="s">
        <v>1965</v>
      </c>
      <c r="D1482" t="s">
        <v>1965</v>
      </c>
      <c r="E1482" s="65">
        <v>1104849600</v>
      </c>
      <c r="F1482" t="s">
        <v>104</v>
      </c>
      <c r="G1482">
        <v>6</v>
      </c>
      <c r="I1482" s="40">
        <v>45014</v>
      </c>
    </row>
    <row r="1483" spans="1:10">
      <c r="A1483" t="s">
        <v>311</v>
      </c>
      <c r="B1483" s="40">
        <v>44833</v>
      </c>
      <c r="C1483" t="s">
        <v>1423</v>
      </c>
      <c r="D1483" t="s">
        <v>1423</v>
      </c>
      <c r="E1483" s="65">
        <v>552360000</v>
      </c>
      <c r="F1483" t="s">
        <v>104</v>
      </c>
      <c r="G1483">
        <v>6</v>
      </c>
      <c r="I1483" s="40">
        <v>45014</v>
      </c>
    </row>
    <row r="1484" spans="1:10">
      <c r="A1484" t="s">
        <v>311</v>
      </c>
      <c r="B1484" s="40">
        <v>44833</v>
      </c>
      <c r="C1484" t="s">
        <v>1375</v>
      </c>
      <c r="D1484" t="s">
        <v>1375</v>
      </c>
      <c r="E1484" s="65">
        <v>78489600</v>
      </c>
      <c r="F1484" t="s">
        <v>104</v>
      </c>
      <c r="G1484">
        <v>6</v>
      </c>
      <c r="I1484" s="40">
        <v>45014</v>
      </c>
      <c r="J1484" t="s">
        <v>2449</v>
      </c>
    </row>
    <row r="1485" spans="1:10">
      <c r="A1485" t="s">
        <v>311</v>
      </c>
      <c r="B1485" s="40">
        <v>44833</v>
      </c>
      <c r="C1485" t="s">
        <v>1967</v>
      </c>
      <c r="D1485" t="s">
        <v>1967</v>
      </c>
      <c r="E1485" s="65">
        <v>78489600</v>
      </c>
      <c r="F1485" t="s">
        <v>104</v>
      </c>
      <c r="G1485">
        <v>6</v>
      </c>
      <c r="I1485" s="40">
        <v>45014</v>
      </c>
      <c r="J1485" t="s">
        <v>3087</v>
      </c>
    </row>
    <row r="1486" spans="1:10">
      <c r="A1486" t="s">
        <v>311</v>
      </c>
      <c r="B1486" s="40">
        <v>44833</v>
      </c>
      <c r="C1486" t="s">
        <v>1966</v>
      </c>
      <c r="D1486" t="s">
        <v>1966</v>
      </c>
      <c r="E1486" s="65">
        <v>552240000</v>
      </c>
      <c r="F1486" t="s">
        <v>104</v>
      </c>
      <c r="G1486">
        <v>6</v>
      </c>
      <c r="I1486" s="40">
        <v>45014</v>
      </c>
    </row>
    <row r="1487" spans="1:10">
      <c r="A1487" t="s">
        <v>703</v>
      </c>
      <c r="B1487" s="40">
        <v>44830</v>
      </c>
      <c r="C1487" t="s">
        <v>1676</v>
      </c>
      <c r="D1487" t="s">
        <v>1676</v>
      </c>
      <c r="E1487" s="65">
        <v>2996250</v>
      </c>
      <c r="F1487" t="s">
        <v>104</v>
      </c>
      <c r="G1487">
        <v>6</v>
      </c>
      <c r="I1487" s="40">
        <v>45011</v>
      </c>
    </row>
    <row r="1488" spans="1:10">
      <c r="A1488" t="s">
        <v>703</v>
      </c>
      <c r="B1488" s="40">
        <v>44830</v>
      </c>
      <c r="C1488" t="s">
        <v>1673</v>
      </c>
      <c r="D1488" t="s">
        <v>1673</v>
      </c>
      <c r="E1488" s="65">
        <v>9881250</v>
      </c>
      <c r="F1488" t="s">
        <v>104</v>
      </c>
      <c r="G1488">
        <v>6</v>
      </c>
      <c r="I1488" s="40">
        <v>45011</v>
      </c>
    </row>
    <row r="1489" spans="1:10">
      <c r="A1489" t="s">
        <v>703</v>
      </c>
      <c r="B1489" s="40">
        <v>44830</v>
      </c>
      <c r="C1489" t="s">
        <v>1672</v>
      </c>
      <c r="D1489" t="s">
        <v>1672</v>
      </c>
      <c r="E1489" s="65">
        <v>9996000</v>
      </c>
      <c r="F1489" t="s">
        <v>104</v>
      </c>
      <c r="G1489">
        <v>6</v>
      </c>
      <c r="I1489" s="40">
        <v>45011</v>
      </c>
    </row>
    <row r="1490" spans="1:10">
      <c r="A1490" t="s">
        <v>703</v>
      </c>
      <c r="B1490" s="40">
        <v>44830</v>
      </c>
      <c r="C1490" t="s">
        <v>1674</v>
      </c>
      <c r="D1490" t="s">
        <v>1674</v>
      </c>
      <c r="E1490" s="65">
        <v>4998000</v>
      </c>
      <c r="F1490" t="s">
        <v>104</v>
      </c>
      <c r="G1490">
        <v>6</v>
      </c>
      <c r="I1490" s="40">
        <v>45011</v>
      </c>
    </row>
    <row r="1491" spans="1:10">
      <c r="A1491" t="s">
        <v>703</v>
      </c>
      <c r="B1491" s="40">
        <v>44830</v>
      </c>
      <c r="C1491" t="s">
        <v>1675</v>
      </c>
      <c r="D1491" t="s">
        <v>1675</v>
      </c>
      <c r="E1491" s="65">
        <v>4998000</v>
      </c>
      <c r="F1491" t="s">
        <v>104</v>
      </c>
      <c r="G1491">
        <v>6</v>
      </c>
      <c r="I1491" s="40">
        <v>45011</v>
      </c>
    </row>
    <row r="1492" spans="1:10">
      <c r="A1492" t="s">
        <v>409</v>
      </c>
      <c r="B1492" s="40">
        <v>44818</v>
      </c>
      <c r="C1492" t="s">
        <v>1075</v>
      </c>
      <c r="D1492" t="s">
        <v>1075</v>
      </c>
      <c r="E1492" s="65">
        <v>78462000</v>
      </c>
      <c r="F1492" t="s">
        <v>104</v>
      </c>
      <c r="G1492">
        <v>6</v>
      </c>
      <c r="I1492" s="40">
        <v>44999</v>
      </c>
    </row>
    <row r="1493" spans="1:10">
      <c r="A1493" t="s">
        <v>409</v>
      </c>
      <c r="B1493" s="40">
        <v>44818</v>
      </c>
      <c r="C1493" t="s">
        <v>1407</v>
      </c>
      <c r="D1493" t="s">
        <v>1407</v>
      </c>
      <c r="E1493" s="65">
        <v>196158000</v>
      </c>
      <c r="F1493" t="s">
        <v>104</v>
      </c>
      <c r="G1493">
        <v>6</v>
      </c>
      <c r="I1493" s="40">
        <v>44999</v>
      </c>
      <c r="J1493" t="s">
        <v>2430</v>
      </c>
    </row>
    <row r="1494" spans="1:10">
      <c r="A1494" t="s">
        <v>409</v>
      </c>
      <c r="B1494" s="40">
        <v>44818</v>
      </c>
      <c r="C1494" t="s">
        <v>1860</v>
      </c>
      <c r="D1494" t="s">
        <v>1860</v>
      </c>
      <c r="E1494" s="65">
        <v>23538000</v>
      </c>
      <c r="F1494" t="s">
        <v>104</v>
      </c>
      <c r="G1494">
        <v>6</v>
      </c>
      <c r="I1494" s="40">
        <v>44999</v>
      </c>
      <c r="J1494" t="s">
        <v>3088</v>
      </c>
    </row>
    <row r="1495" spans="1:10">
      <c r="A1495" t="s">
        <v>2359</v>
      </c>
      <c r="B1495" s="40">
        <v>44809</v>
      </c>
      <c r="C1495" t="s">
        <v>1922</v>
      </c>
      <c r="D1495" t="s">
        <v>1922</v>
      </c>
      <c r="E1495" s="65">
        <v>113820000</v>
      </c>
      <c r="F1495" t="s">
        <v>104</v>
      </c>
      <c r="G1495">
        <v>6</v>
      </c>
      <c r="I1495" s="40">
        <v>44990</v>
      </c>
      <c r="J1495" t="s">
        <v>2449</v>
      </c>
    </row>
    <row r="1496" spans="1:10">
      <c r="A1496" t="s">
        <v>2359</v>
      </c>
      <c r="B1496" s="40">
        <v>44809</v>
      </c>
      <c r="C1496" t="s">
        <v>1571</v>
      </c>
      <c r="D1496" t="s">
        <v>1571</v>
      </c>
      <c r="E1496" s="65">
        <v>90272000</v>
      </c>
      <c r="F1496" t="s">
        <v>104</v>
      </c>
      <c r="G1496">
        <v>6</v>
      </c>
      <c r="I1496" s="40">
        <v>44990</v>
      </c>
    </row>
    <row r="1497" spans="1:10">
      <c r="A1497" t="s">
        <v>680</v>
      </c>
      <c r="B1497" s="40">
        <v>44805</v>
      </c>
      <c r="C1497" t="s">
        <v>1365</v>
      </c>
      <c r="D1497" t="s">
        <v>1365</v>
      </c>
      <c r="E1497" s="65">
        <v>117588250</v>
      </c>
      <c r="F1497" t="s">
        <v>104</v>
      </c>
      <c r="G1497">
        <v>6</v>
      </c>
      <c r="I1497" s="40">
        <v>44986</v>
      </c>
      <c r="J1497" t="s">
        <v>3089</v>
      </c>
    </row>
    <row r="1498" spans="1:10">
      <c r="A1498" t="s">
        <v>680</v>
      </c>
      <c r="B1498" s="40">
        <v>44805</v>
      </c>
      <c r="C1498" t="s">
        <v>1950</v>
      </c>
      <c r="D1498" t="s">
        <v>1950</v>
      </c>
      <c r="E1498" s="65">
        <v>76820120</v>
      </c>
      <c r="F1498" t="s">
        <v>104</v>
      </c>
      <c r="G1498">
        <v>6</v>
      </c>
      <c r="I1498" s="40">
        <v>44986</v>
      </c>
      <c r="J1498" t="s">
        <v>3090</v>
      </c>
    </row>
    <row r="1499" spans="1:10">
      <c r="A1499" t="s">
        <v>680</v>
      </c>
      <c r="B1499" s="40">
        <v>44805</v>
      </c>
      <c r="C1499" t="s">
        <v>1951</v>
      </c>
      <c r="D1499" t="s">
        <v>1951</v>
      </c>
      <c r="E1499" s="65">
        <v>39191880</v>
      </c>
      <c r="F1499" t="s">
        <v>104</v>
      </c>
      <c r="G1499">
        <v>6</v>
      </c>
      <c r="I1499" s="40">
        <v>44986</v>
      </c>
    </row>
    <row r="1500" spans="1:10">
      <c r="A1500" t="s">
        <v>680</v>
      </c>
      <c r="B1500" s="40">
        <v>44805</v>
      </c>
      <c r="C1500" t="s">
        <v>1948</v>
      </c>
      <c r="D1500" t="s">
        <v>1948</v>
      </c>
      <c r="E1500" s="65">
        <v>78383760</v>
      </c>
      <c r="F1500" t="s">
        <v>104</v>
      </c>
      <c r="G1500">
        <v>6</v>
      </c>
      <c r="I1500" s="40">
        <v>44986</v>
      </c>
    </row>
    <row r="1501" spans="1:10">
      <c r="A1501" t="s">
        <v>680</v>
      </c>
      <c r="B1501" s="40">
        <v>44805</v>
      </c>
      <c r="C1501" t="s">
        <v>1949</v>
      </c>
      <c r="D1501" t="s">
        <v>1949</v>
      </c>
      <c r="E1501" s="65">
        <v>78383760</v>
      </c>
      <c r="F1501" t="s">
        <v>104</v>
      </c>
      <c r="G1501">
        <v>6</v>
      </c>
      <c r="I1501" s="40">
        <v>44986</v>
      </c>
      <c r="J1501" t="s">
        <v>3091</v>
      </c>
    </row>
    <row r="1502" spans="1:10">
      <c r="A1502" t="s">
        <v>243</v>
      </c>
      <c r="B1502" s="40">
        <v>44798</v>
      </c>
      <c r="C1502" t="s">
        <v>1370</v>
      </c>
      <c r="D1502" t="s">
        <v>1370</v>
      </c>
      <c r="E1502" s="65">
        <v>776143400</v>
      </c>
      <c r="F1502" t="s">
        <v>104</v>
      </c>
      <c r="G1502">
        <v>6</v>
      </c>
      <c r="I1502" s="40">
        <v>44982</v>
      </c>
    </row>
    <row r="1503" spans="1:10">
      <c r="A1503" t="s">
        <v>243</v>
      </c>
      <c r="B1503" s="40">
        <v>44798</v>
      </c>
      <c r="C1503" t="s">
        <v>3092</v>
      </c>
      <c r="D1503" t="s">
        <v>3092</v>
      </c>
      <c r="E1503" s="65">
        <v>599989200</v>
      </c>
      <c r="F1503" t="s">
        <v>104</v>
      </c>
      <c r="G1503">
        <v>6</v>
      </c>
      <c r="I1503" s="40">
        <v>44982</v>
      </c>
    </row>
    <row r="1504" spans="1:10">
      <c r="A1504" t="s">
        <v>243</v>
      </c>
      <c r="B1504" s="40">
        <v>44798</v>
      </c>
      <c r="C1504" t="s">
        <v>1369</v>
      </c>
      <c r="D1504" t="s">
        <v>1369</v>
      </c>
      <c r="E1504" s="65">
        <v>781009800</v>
      </c>
      <c r="F1504" t="s">
        <v>104</v>
      </c>
      <c r="G1504">
        <v>6</v>
      </c>
      <c r="I1504" s="40">
        <v>44982</v>
      </c>
    </row>
    <row r="1505" spans="1:10">
      <c r="A1505" t="s">
        <v>243</v>
      </c>
      <c r="B1505" s="40">
        <v>44798</v>
      </c>
      <c r="C1505" t="s">
        <v>1434</v>
      </c>
      <c r="D1505" t="s">
        <v>1434</v>
      </c>
      <c r="E1505" s="65">
        <v>392487800</v>
      </c>
      <c r="F1505" t="s">
        <v>104</v>
      </c>
      <c r="G1505">
        <v>6</v>
      </c>
      <c r="I1505" s="40">
        <v>44982</v>
      </c>
    </row>
    <row r="1506" spans="1:10">
      <c r="A1506" t="s">
        <v>243</v>
      </c>
      <c r="B1506" s="40">
        <v>44798</v>
      </c>
      <c r="C1506" t="s">
        <v>3093</v>
      </c>
      <c r="D1506" t="s">
        <v>3093</v>
      </c>
      <c r="E1506" s="65">
        <v>620718800</v>
      </c>
      <c r="F1506" t="s">
        <v>104</v>
      </c>
      <c r="G1506">
        <v>6</v>
      </c>
      <c r="I1506" s="40">
        <v>44982</v>
      </c>
    </row>
    <row r="1507" spans="1:10">
      <c r="A1507" t="s">
        <v>243</v>
      </c>
      <c r="B1507" s="40">
        <v>44798</v>
      </c>
      <c r="C1507" t="s">
        <v>3094</v>
      </c>
      <c r="D1507" t="s">
        <v>3094</v>
      </c>
      <c r="E1507" s="65">
        <v>313977600</v>
      </c>
      <c r="F1507" t="s">
        <v>104</v>
      </c>
      <c r="G1507">
        <v>6</v>
      </c>
      <c r="I1507" s="40">
        <v>44982</v>
      </c>
    </row>
    <row r="1508" spans="1:10">
      <c r="A1508" t="s">
        <v>243</v>
      </c>
      <c r="B1508" s="40">
        <v>44798</v>
      </c>
      <c r="C1508" t="s">
        <v>1155</v>
      </c>
      <c r="D1508" t="s">
        <v>1155</v>
      </c>
      <c r="E1508" s="65">
        <v>1177463400</v>
      </c>
      <c r="F1508" t="s">
        <v>104</v>
      </c>
      <c r="G1508">
        <v>6</v>
      </c>
      <c r="I1508" s="40">
        <v>44982</v>
      </c>
    </row>
    <row r="1509" spans="1:10">
      <c r="A1509" t="s">
        <v>243</v>
      </c>
      <c r="B1509" s="40">
        <v>44798</v>
      </c>
      <c r="C1509" t="s">
        <v>1368</v>
      </c>
      <c r="D1509" t="s">
        <v>1368</v>
      </c>
      <c r="E1509" s="65">
        <v>784975600</v>
      </c>
      <c r="F1509" t="s">
        <v>104</v>
      </c>
      <c r="G1509">
        <v>6</v>
      </c>
      <c r="I1509" s="40">
        <v>44982</v>
      </c>
    </row>
    <row r="1510" spans="1:10">
      <c r="A1510" t="s">
        <v>243</v>
      </c>
      <c r="B1510" s="40">
        <v>44798</v>
      </c>
      <c r="C1510" t="s">
        <v>1367</v>
      </c>
      <c r="D1510" t="s">
        <v>1367</v>
      </c>
      <c r="E1510" s="65">
        <v>784975600</v>
      </c>
      <c r="F1510" t="s">
        <v>104</v>
      </c>
      <c r="G1510">
        <v>6</v>
      </c>
      <c r="I1510" s="40">
        <v>44982</v>
      </c>
    </row>
    <row r="1511" spans="1:10">
      <c r="A1511" t="s">
        <v>674</v>
      </c>
      <c r="B1511" s="40">
        <v>44797</v>
      </c>
      <c r="C1511" t="s">
        <v>1622</v>
      </c>
      <c r="D1511" t="s">
        <v>1622</v>
      </c>
      <c r="E1511" s="65">
        <v>19999300</v>
      </c>
      <c r="F1511" t="s">
        <v>104</v>
      </c>
      <c r="G1511">
        <v>6</v>
      </c>
      <c r="I1511" s="40">
        <v>44981</v>
      </c>
      <c r="J1511" t="s">
        <v>3095</v>
      </c>
    </row>
    <row r="1512" spans="1:10">
      <c r="A1512" t="s">
        <v>674</v>
      </c>
      <c r="B1512" s="40">
        <v>44797</v>
      </c>
      <c r="C1512" t="s">
        <v>1623</v>
      </c>
      <c r="D1512" t="s">
        <v>1623</v>
      </c>
      <c r="E1512" s="65">
        <v>11691700</v>
      </c>
      <c r="F1512" t="s">
        <v>104</v>
      </c>
      <c r="G1512">
        <v>6</v>
      </c>
      <c r="I1512" s="40">
        <v>44981</v>
      </c>
      <c r="J1512" t="s">
        <v>3096</v>
      </c>
    </row>
    <row r="1513" spans="1:10">
      <c r="A1513" t="s">
        <v>674</v>
      </c>
      <c r="B1513" s="40">
        <v>44797</v>
      </c>
      <c r="C1513" t="s">
        <v>1624</v>
      </c>
      <c r="D1513" t="s">
        <v>1624</v>
      </c>
      <c r="E1513" s="65">
        <v>11691700</v>
      </c>
      <c r="F1513" t="s">
        <v>104</v>
      </c>
      <c r="G1513">
        <v>6</v>
      </c>
      <c r="I1513" s="40">
        <v>44981</v>
      </c>
      <c r="J1513" t="s">
        <v>3097</v>
      </c>
    </row>
    <row r="1514" spans="1:10">
      <c r="A1514" t="s">
        <v>560</v>
      </c>
      <c r="B1514" s="40">
        <v>44792</v>
      </c>
      <c r="C1514" t="s">
        <v>1640</v>
      </c>
      <c r="D1514" t="s">
        <v>1640</v>
      </c>
      <c r="E1514" s="65">
        <v>28000000.000000004</v>
      </c>
      <c r="F1514" t="s">
        <v>104</v>
      </c>
      <c r="G1514">
        <v>6</v>
      </c>
      <c r="I1514" s="40">
        <v>44976</v>
      </c>
    </row>
    <row r="1515" spans="1:10">
      <c r="A1515" t="s">
        <v>560</v>
      </c>
      <c r="B1515" s="40">
        <v>44792</v>
      </c>
      <c r="C1515" t="s">
        <v>1642</v>
      </c>
      <c r="D1515" t="s">
        <v>1642</v>
      </c>
      <c r="E1515" s="65">
        <v>4998000.0000000009</v>
      </c>
      <c r="F1515" t="s">
        <v>104</v>
      </c>
      <c r="G1515">
        <v>6</v>
      </c>
      <c r="I1515" s="40">
        <v>44976</v>
      </c>
    </row>
    <row r="1516" spans="1:10">
      <c r="A1516" t="s">
        <v>560</v>
      </c>
      <c r="B1516" s="40">
        <v>44792</v>
      </c>
      <c r="C1516" t="s">
        <v>1643</v>
      </c>
      <c r="D1516" t="s">
        <v>1643</v>
      </c>
      <c r="E1516" s="65">
        <v>4998000.0000000009</v>
      </c>
      <c r="F1516" t="s">
        <v>104</v>
      </c>
      <c r="G1516">
        <v>6</v>
      </c>
      <c r="I1516" s="40">
        <v>44976</v>
      </c>
    </row>
    <row r="1517" spans="1:10">
      <c r="A1517" t="s">
        <v>560</v>
      </c>
      <c r="B1517" s="40">
        <v>44792</v>
      </c>
      <c r="C1517" t="s">
        <v>1641</v>
      </c>
      <c r="D1517" t="s">
        <v>1641</v>
      </c>
      <c r="E1517" s="65">
        <v>8999200</v>
      </c>
      <c r="F1517" t="s">
        <v>104</v>
      </c>
      <c r="G1517">
        <v>6</v>
      </c>
      <c r="I1517" s="40">
        <v>44976</v>
      </c>
      <c r="J1517" t="s">
        <v>3098</v>
      </c>
    </row>
    <row r="1518" spans="1:10">
      <c r="A1518" t="s">
        <v>594</v>
      </c>
      <c r="B1518" s="40">
        <v>44783</v>
      </c>
      <c r="C1518" t="s">
        <v>1124</v>
      </c>
      <c r="D1518" t="s">
        <v>1124</v>
      </c>
      <c r="E1518" s="65">
        <v>156995625</v>
      </c>
      <c r="F1518" t="s">
        <v>104</v>
      </c>
      <c r="G1518">
        <v>6</v>
      </c>
      <c r="I1518" s="40">
        <v>44967</v>
      </c>
      <c r="J1518" t="s">
        <v>3099</v>
      </c>
    </row>
    <row r="1519" spans="1:10">
      <c r="A1519" t="s">
        <v>594</v>
      </c>
      <c r="B1519" s="40">
        <v>44783</v>
      </c>
      <c r="C1519" t="s">
        <v>1125</v>
      </c>
      <c r="D1519" t="s">
        <v>1125</v>
      </c>
      <c r="E1519" s="65">
        <v>39246825</v>
      </c>
      <c r="F1519" t="s">
        <v>104</v>
      </c>
      <c r="G1519">
        <v>6</v>
      </c>
      <c r="I1519" s="40">
        <v>44967</v>
      </c>
      <c r="J1519" t="s">
        <v>3100</v>
      </c>
    </row>
    <row r="1520" spans="1:10">
      <c r="A1520" t="s">
        <v>711</v>
      </c>
      <c r="B1520" s="40">
        <v>44757</v>
      </c>
      <c r="C1520" t="s">
        <v>1454</v>
      </c>
      <c r="D1520" t="s">
        <v>1454</v>
      </c>
      <c r="E1520" s="65">
        <v>29998080.000000004</v>
      </c>
      <c r="F1520" t="s">
        <v>104</v>
      </c>
      <c r="G1520">
        <v>6</v>
      </c>
      <c r="I1520" s="40">
        <v>44941</v>
      </c>
    </row>
    <row r="1521" spans="1:10">
      <c r="A1521" t="s">
        <v>699</v>
      </c>
      <c r="B1521" s="40">
        <v>44757</v>
      </c>
      <c r="C1521" t="s">
        <v>1076</v>
      </c>
      <c r="D1521" t="s">
        <v>1076</v>
      </c>
      <c r="E1521" s="65">
        <v>73131520</v>
      </c>
      <c r="F1521" t="s">
        <v>104</v>
      </c>
      <c r="G1521">
        <v>6</v>
      </c>
      <c r="I1521" s="40">
        <v>44941</v>
      </c>
    </row>
    <row r="1522" spans="1:10">
      <c r="A1522" t="s">
        <v>699</v>
      </c>
      <c r="B1522" s="40">
        <v>44757</v>
      </c>
      <c r="C1522" t="s">
        <v>1075</v>
      </c>
      <c r="D1522" t="s">
        <v>1075</v>
      </c>
      <c r="E1522" s="65">
        <v>146287680</v>
      </c>
      <c r="F1522" t="s">
        <v>104</v>
      </c>
      <c r="G1522">
        <v>6</v>
      </c>
      <c r="I1522" s="40">
        <v>44941</v>
      </c>
      <c r="J1522" t="s">
        <v>3101</v>
      </c>
    </row>
    <row r="1523" spans="1:10">
      <c r="A1523" t="s">
        <v>448</v>
      </c>
      <c r="B1523" s="40">
        <v>44757</v>
      </c>
      <c r="C1523" t="s">
        <v>1729</v>
      </c>
      <c r="D1523" t="s">
        <v>1729</v>
      </c>
      <c r="E1523" s="65">
        <v>78480900</v>
      </c>
      <c r="F1523" t="s">
        <v>104</v>
      </c>
    </row>
    <row r="1524" spans="1:10">
      <c r="A1524" t="s">
        <v>448</v>
      </c>
      <c r="B1524" s="40">
        <v>44757</v>
      </c>
      <c r="C1524" t="s">
        <v>1728</v>
      </c>
      <c r="D1524" t="s">
        <v>1728</v>
      </c>
      <c r="E1524" s="65">
        <v>86327100</v>
      </c>
      <c r="F1524" t="s">
        <v>104</v>
      </c>
    </row>
    <row r="1525" spans="1:10">
      <c r="A1525" t="s">
        <v>448</v>
      </c>
      <c r="B1525" s="40">
        <v>44757</v>
      </c>
      <c r="C1525" t="s">
        <v>1201</v>
      </c>
      <c r="D1525" t="s">
        <v>1201</v>
      </c>
      <c r="E1525" s="65">
        <v>39239100</v>
      </c>
      <c r="F1525" t="s">
        <v>104</v>
      </c>
      <c r="G1525">
        <v>6</v>
      </c>
      <c r="I1525" s="40">
        <v>44941</v>
      </c>
    </row>
    <row r="1526" spans="1:10">
      <c r="A1526" t="s">
        <v>479</v>
      </c>
      <c r="B1526" s="40">
        <v>44755</v>
      </c>
      <c r="C1526" t="s">
        <v>1749</v>
      </c>
      <c r="D1526" t="s">
        <v>1749</v>
      </c>
      <c r="E1526" s="65">
        <v>40128000</v>
      </c>
      <c r="F1526" t="s">
        <v>104</v>
      </c>
      <c r="G1526">
        <v>6</v>
      </c>
      <c r="I1526" s="40">
        <v>44939</v>
      </c>
      <c r="J1526" t="s">
        <v>3102</v>
      </c>
    </row>
    <row r="1527" spans="1:10">
      <c r="A1527" t="s">
        <v>479</v>
      </c>
      <c r="B1527" s="40">
        <v>44755</v>
      </c>
      <c r="C1527" t="s">
        <v>1746</v>
      </c>
      <c r="D1527" t="s">
        <v>1746</v>
      </c>
      <c r="E1527" s="65">
        <v>51680000</v>
      </c>
      <c r="F1527" t="s">
        <v>104</v>
      </c>
      <c r="G1527">
        <v>6</v>
      </c>
      <c r="I1527" s="40">
        <v>44939</v>
      </c>
      <c r="J1527" t="s">
        <v>3103</v>
      </c>
    </row>
    <row r="1528" spans="1:10">
      <c r="A1528" t="s">
        <v>479</v>
      </c>
      <c r="B1528" s="40">
        <v>44755</v>
      </c>
      <c r="C1528" t="s">
        <v>1748</v>
      </c>
      <c r="D1528" t="s">
        <v>1748</v>
      </c>
      <c r="E1528" s="65">
        <v>48640000</v>
      </c>
      <c r="F1528" t="s">
        <v>104</v>
      </c>
      <c r="G1528">
        <v>6</v>
      </c>
      <c r="I1528" s="40">
        <v>44939</v>
      </c>
      <c r="J1528" t="s">
        <v>3104</v>
      </c>
    </row>
    <row r="1529" spans="1:10">
      <c r="A1529" t="s">
        <v>479</v>
      </c>
      <c r="B1529" s="40">
        <v>44755</v>
      </c>
      <c r="C1529" t="s">
        <v>1747</v>
      </c>
      <c r="D1529" t="s">
        <v>1747</v>
      </c>
      <c r="E1529" s="65">
        <v>51072000</v>
      </c>
      <c r="F1529" t="s">
        <v>104</v>
      </c>
      <c r="G1529">
        <v>6</v>
      </c>
      <c r="I1529" s="40">
        <v>44939</v>
      </c>
      <c r="J1529" t="s">
        <v>3105</v>
      </c>
    </row>
    <row r="1530" spans="1:10">
      <c r="A1530" t="s">
        <v>256</v>
      </c>
      <c r="B1530" s="40">
        <v>44755</v>
      </c>
      <c r="C1530" t="s">
        <v>1331</v>
      </c>
      <c r="D1530" t="s">
        <v>1331</v>
      </c>
      <c r="E1530" s="65">
        <v>388598000</v>
      </c>
      <c r="F1530" t="s">
        <v>104</v>
      </c>
      <c r="G1530">
        <v>6</v>
      </c>
      <c r="I1530" s="40">
        <v>44939</v>
      </c>
    </row>
    <row r="1531" spans="1:10">
      <c r="A1531" t="s">
        <v>256</v>
      </c>
      <c r="B1531" s="40">
        <v>44755</v>
      </c>
      <c r="C1531" t="s">
        <v>1329</v>
      </c>
      <c r="D1531" t="s">
        <v>1329</v>
      </c>
      <c r="E1531" s="65">
        <v>832119600</v>
      </c>
      <c r="F1531" t="s">
        <v>104</v>
      </c>
      <c r="G1531">
        <v>6</v>
      </c>
      <c r="I1531" s="40">
        <v>44939</v>
      </c>
    </row>
    <row r="1532" spans="1:10">
      <c r="A1532" t="s">
        <v>256</v>
      </c>
      <c r="B1532" s="40">
        <v>44755</v>
      </c>
      <c r="C1532" t="s">
        <v>1327</v>
      </c>
      <c r="D1532" t="s">
        <v>1327</v>
      </c>
      <c r="E1532" s="65">
        <v>1177536400</v>
      </c>
      <c r="F1532" t="s">
        <v>104</v>
      </c>
      <c r="G1532">
        <v>6</v>
      </c>
      <c r="I1532" s="40">
        <v>44939</v>
      </c>
    </row>
    <row r="1533" spans="1:10">
      <c r="A1533" t="s">
        <v>256</v>
      </c>
      <c r="B1533" s="40">
        <v>44755</v>
      </c>
      <c r="C1533" t="s">
        <v>1330</v>
      </c>
      <c r="D1533" t="s">
        <v>1330</v>
      </c>
      <c r="E1533" s="65">
        <v>785018800</v>
      </c>
      <c r="F1533" t="s">
        <v>104</v>
      </c>
      <c r="G1533">
        <v>6</v>
      </c>
      <c r="I1533" s="40">
        <v>44939</v>
      </c>
    </row>
    <row r="1534" spans="1:10">
      <c r="A1534" t="s">
        <v>256</v>
      </c>
      <c r="B1534" s="40">
        <v>44755</v>
      </c>
      <c r="C1534" t="s">
        <v>1597</v>
      </c>
      <c r="D1534" t="s">
        <v>1597</v>
      </c>
      <c r="E1534" s="65">
        <v>188403200</v>
      </c>
      <c r="F1534" t="s">
        <v>104</v>
      </c>
      <c r="G1534">
        <v>6</v>
      </c>
      <c r="I1534" s="40">
        <v>44939</v>
      </c>
    </row>
    <row r="1535" spans="1:10">
      <c r="A1535" t="s">
        <v>256</v>
      </c>
      <c r="B1535" s="40">
        <v>44755</v>
      </c>
      <c r="C1535" t="s">
        <v>1328</v>
      </c>
      <c r="D1535" t="s">
        <v>1328</v>
      </c>
      <c r="E1535" s="65">
        <v>1177536400</v>
      </c>
      <c r="F1535" t="s">
        <v>104</v>
      </c>
      <c r="G1535">
        <v>6</v>
      </c>
      <c r="I1535" s="40">
        <v>44939</v>
      </c>
    </row>
    <row r="1536" spans="1:10">
      <c r="A1536" t="s">
        <v>256</v>
      </c>
      <c r="B1536" s="40">
        <v>44755</v>
      </c>
      <c r="C1536" t="s">
        <v>3106</v>
      </c>
      <c r="D1536" t="s">
        <v>3106</v>
      </c>
      <c r="E1536" s="65">
        <v>353256000</v>
      </c>
      <c r="F1536" t="s">
        <v>104</v>
      </c>
      <c r="G1536">
        <v>6</v>
      </c>
      <c r="I1536" s="40">
        <v>44939</v>
      </c>
    </row>
    <row r="1537" spans="1:10">
      <c r="A1537" t="s">
        <v>826</v>
      </c>
      <c r="B1537" s="40">
        <v>44754</v>
      </c>
      <c r="C1537" t="s">
        <v>1388</v>
      </c>
      <c r="D1537" t="s">
        <v>1388</v>
      </c>
      <c r="E1537" s="65">
        <v>38661680</v>
      </c>
      <c r="F1537" t="s">
        <v>104</v>
      </c>
      <c r="G1537">
        <v>6</v>
      </c>
      <c r="I1537" s="40">
        <v>44938</v>
      </c>
    </row>
    <row r="1538" spans="1:10">
      <c r="A1538" t="s">
        <v>826</v>
      </c>
      <c r="B1538" s="40">
        <v>44754</v>
      </c>
      <c r="C1538" t="s">
        <v>1390</v>
      </c>
      <c r="D1538" t="s">
        <v>1390</v>
      </c>
      <c r="E1538" s="65">
        <v>15535960</v>
      </c>
      <c r="F1538" t="s">
        <v>104</v>
      </c>
      <c r="G1538">
        <v>6</v>
      </c>
      <c r="I1538" s="40">
        <v>44938</v>
      </c>
      <c r="J1538" t="s">
        <v>3107</v>
      </c>
    </row>
    <row r="1539" spans="1:10">
      <c r="A1539" t="s">
        <v>826</v>
      </c>
      <c r="B1539" s="40">
        <v>44754</v>
      </c>
      <c r="C1539" t="s">
        <v>1389</v>
      </c>
      <c r="D1539" t="s">
        <v>1389</v>
      </c>
      <c r="E1539" s="65">
        <v>29699760</v>
      </c>
      <c r="F1539" t="s">
        <v>104</v>
      </c>
      <c r="G1539">
        <v>6</v>
      </c>
      <c r="I1539" s="40">
        <v>44938</v>
      </c>
      <c r="J1539" t="s">
        <v>3108</v>
      </c>
    </row>
    <row r="1540" spans="1:10">
      <c r="A1540" t="s">
        <v>826</v>
      </c>
      <c r="B1540" s="40">
        <v>44754</v>
      </c>
      <c r="C1540" t="s">
        <v>1387</v>
      </c>
      <c r="D1540" t="s">
        <v>1387</v>
      </c>
      <c r="E1540" s="65">
        <v>46865160</v>
      </c>
      <c r="F1540" t="s">
        <v>104</v>
      </c>
      <c r="G1540">
        <v>6</v>
      </c>
      <c r="I1540" s="40">
        <v>44938</v>
      </c>
    </row>
    <row r="1541" spans="1:10">
      <c r="A1541" t="s">
        <v>830</v>
      </c>
      <c r="B1541" s="40">
        <v>44754</v>
      </c>
      <c r="C1541" t="s">
        <v>1380</v>
      </c>
      <c r="D1541" t="s">
        <v>1380</v>
      </c>
      <c r="E1541" s="65">
        <v>19997120</v>
      </c>
      <c r="F1541" t="s">
        <v>104</v>
      </c>
      <c r="G1541">
        <v>6</v>
      </c>
      <c r="I1541" s="40">
        <v>44938</v>
      </c>
    </row>
    <row r="1542" spans="1:10">
      <c r="A1542" t="s">
        <v>830</v>
      </c>
      <c r="B1542" s="40">
        <v>44754</v>
      </c>
      <c r="C1542" t="s">
        <v>1379</v>
      </c>
      <c r="D1542" t="s">
        <v>1379</v>
      </c>
      <c r="E1542" s="65">
        <v>39228160</v>
      </c>
      <c r="F1542" t="s">
        <v>104</v>
      </c>
      <c r="G1542">
        <v>6</v>
      </c>
      <c r="I1542" s="40">
        <v>44938</v>
      </c>
    </row>
    <row r="1543" spans="1:10">
      <c r="A1543" t="s">
        <v>830</v>
      </c>
      <c r="B1543" s="40">
        <v>44754</v>
      </c>
      <c r="C1543" t="s">
        <v>3109</v>
      </c>
      <c r="D1543" t="s">
        <v>3109</v>
      </c>
      <c r="E1543" s="65">
        <v>19997120</v>
      </c>
      <c r="F1543" t="s">
        <v>104</v>
      </c>
      <c r="G1543">
        <v>6</v>
      </c>
      <c r="I1543" s="40">
        <v>44938</v>
      </c>
    </row>
    <row r="1544" spans="1:10">
      <c r="A1544" t="s">
        <v>830</v>
      </c>
      <c r="B1544" s="40">
        <v>44754</v>
      </c>
      <c r="C1544" t="s">
        <v>3110</v>
      </c>
      <c r="D1544" t="s">
        <v>3110</v>
      </c>
      <c r="E1544" s="65">
        <v>15999520</v>
      </c>
      <c r="F1544" t="s">
        <v>104</v>
      </c>
      <c r="G1544">
        <v>6</v>
      </c>
      <c r="I1544" s="40">
        <v>44938</v>
      </c>
    </row>
    <row r="1545" spans="1:10">
      <c r="A1545" t="s">
        <v>830</v>
      </c>
      <c r="B1545" s="40">
        <v>44754</v>
      </c>
      <c r="C1545" t="s">
        <v>1377</v>
      </c>
      <c r="D1545" t="s">
        <v>1377</v>
      </c>
      <c r="E1545" s="65">
        <v>48074560</v>
      </c>
      <c r="F1545" t="s">
        <v>104</v>
      </c>
      <c r="G1545">
        <v>6</v>
      </c>
      <c r="I1545" s="40">
        <v>44938</v>
      </c>
    </row>
    <row r="1546" spans="1:10">
      <c r="A1546" t="s">
        <v>830</v>
      </c>
      <c r="B1546" s="40">
        <v>44754</v>
      </c>
      <c r="C1546" t="s">
        <v>3111</v>
      </c>
      <c r="D1546" t="s">
        <v>3111</v>
      </c>
      <c r="E1546" s="65">
        <v>11767840</v>
      </c>
      <c r="F1546" t="s">
        <v>104</v>
      </c>
      <c r="G1546">
        <v>6</v>
      </c>
      <c r="I1546" s="40">
        <v>44938</v>
      </c>
    </row>
    <row r="1547" spans="1:10">
      <c r="A1547" t="s">
        <v>830</v>
      </c>
      <c r="B1547" s="40">
        <v>44754</v>
      </c>
      <c r="C1547" t="s">
        <v>1378</v>
      </c>
      <c r="D1547" t="s">
        <v>1378</v>
      </c>
      <c r="E1547" s="65">
        <v>39246400</v>
      </c>
      <c r="F1547" t="s">
        <v>104</v>
      </c>
      <c r="G1547">
        <v>6</v>
      </c>
      <c r="I1547" s="40">
        <v>44938</v>
      </c>
    </row>
    <row r="1548" spans="1:10">
      <c r="A1548" t="s">
        <v>830</v>
      </c>
      <c r="B1548" s="40">
        <v>44754</v>
      </c>
      <c r="C1548" t="s">
        <v>1381</v>
      </c>
      <c r="D1548" t="s">
        <v>1381</v>
      </c>
      <c r="E1548" s="65">
        <v>19997120</v>
      </c>
      <c r="F1548" t="s">
        <v>104</v>
      </c>
      <c r="G1548">
        <v>6</v>
      </c>
      <c r="I1548" s="40">
        <v>44938</v>
      </c>
    </row>
    <row r="1549" spans="1:10">
      <c r="A1549" t="s">
        <v>577</v>
      </c>
      <c r="B1549" s="40">
        <v>44750</v>
      </c>
      <c r="C1549" t="s">
        <v>1101</v>
      </c>
      <c r="D1549" t="s">
        <v>1101</v>
      </c>
      <c r="E1549" s="65">
        <v>23400000</v>
      </c>
      <c r="F1549" t="s">
        <v>104</v>
      </c>
      <c r="G1549">
        <v>6</v>
      </c>
      <c r="I1549" s="40">
        <v>44934</v>
      </c>
    </row>
    <row r="1550" spans="1:10">
      <c r="A1550" t="s">
        <v>434</v>
      </c>
      <c r="B1550" s="40">
        <v>44748</v>
      </c>
      <c r="C1550" t="s">
        <v>1812</v>
      </c>
      <c r="D1550" t="s">
        <v>1812</v>
      </c>
      <c r="E1550" s="65">
        <v>39247400</v>
      </c>
      <c r="F1550" t="s">
        <v>104</v>
      </c>
      <c r="G1550">
        <v>6</v>
      </c>
      <c r="I1550" s="40">
        <v>44932</v>
      </c>
      <c r="J1550" t="s">
        <v>3112</v>
      </c>
    </row>
    <row r="1551" spans="1:10">
      <c r="A1551" t="s">
        <v>434</v>
      </c>
      <c r="B1551" s="40">
        <v>44748</v>
      </c>
      <c r="C1551" t="s">
        <v>1811</v>
      </c>
      <c r="D1551" t="s">
        <v>1811</v>
      </c>
      <c r="E1551" s="65">
        <v>117748300</v>
      </c>
      <c r="F1551" t="s">
        <v>104</v>
      </c>
      <c r="G1551">
        <v>6</v>
      </c>
      <c r="I1551" s="40">
        <v>44932</v>
      </c>
    </row>
    <row r="1552" spans="1:10">
      <c r="A1552" t="s">
        <v>434</v>
      </c>
      <c r="B1552" s="40">
        <v>44748</v>
      </c>
      <c r="C1552" t="s">
        <v>1810</v>
      </c>
      <c r="D1552" t="s">
        <v>1810</v>
      </c>
      <c r="E1552" s="65">
        <v>156998750</v>
      </c>
      <c r="F1552" t="s">
        <v>104</v>
      </c>
      <c r="G1552">
        <v>6</v>
      </c>
      <c r="I1552" s="40">
        <v>44932</v>
      </c>
    </row>
    <row r="1553" spans="1:10">
      <c r="A1553" t="s">
        <v>434</v>
      </c>
      <c r="B1553" s="40">
        <v>44748</v>
      </c>
      <c r="C1553" t="s">
        <v>1813</v>
      </c>
      <c r="D1553" t="s">
        <v>1813</v>
      </c>
      <c r="E1553" s="65">
        <v>39247400</v>
      </c>
      <c r="F1553" t="s">
        <v>104</v>
      </c>
      <c r="G1553">
        <v>6</v>
      </c>
      <c r="I1553" s="40">
        <v>44932</v>
      </c>
      <c r="J1553" t="s">
        <v>3113</v>
      </c>
    </row>
    <row r="1554" spans="1:10">
      <c r="A1554" t="s">
        <v>801</v>
      </c>
      <c r="B1554" s="40">
        <v>44742</v>
      </c>
      <c r="C1554" t="s">
        <v>1150</v>
      </c>
      <c r="D1554" t="s">
        <v>1150</v>
      </c>
      <c r="E1554" s="65">
        <v>62800520</v>
      </c>
      <c r="F1554" t="s">
        <v>104</v>
      </c>
      <c r="G1554">
        <v>6</v>
      </c>
      <c r="I1554" s="40">
        <v>44925</v>
      </c>
    </row>
    <row r="1555" spans="1:10">
      <c r="A1555" t="s">
        <v>801</v>
      </c>
      <c r="B1555" s="40">
        <v>44742</v>
      </c>
      <c r="C1555" t="s">
        <v>1149</v>
      </c>
      <c r="D1555" t="s">
        <v>1149</v>
      </c>
      <c r="E1555" s="65">
        <v>117998980</v>
      </c>
      <c r="F1555" t="s">
        <v>104</v>
      </c>
      <c r="G1555">
        <v>6</v>
      </c>
      <c r="I1555" s="40">
        <v>44925</v>
      </c>
    </row>
    <row r="1556" spans="1:10">
      <c r="A1556" t="s">
        <v>939</v>
      </c>
      <c r="B1556" s="40">
        <v>44734</v>
      </c>
      <c r="C1556" t="s">
        <v>1244</v>
      </c>
      <c r="D1556" t="s">
        <v>1244</v>
      </c>
      <c r="E1556" s="65">
        <v>58158000</v>
      </c>
      <c r="F1556" t="s">
        <v>104</v>
      </c>
      <c r="G1556">
        <v>6</v>
      </c>
      <c r="I1556" s="40">
        <v>44917</v>
      </c>
    </row>
    <row r="1557" spans="1:10">
      <c r="A1557" t="s">
        <v>939</v>
      </c>
      <c r="B1557" s="40">
        <v>44734</v>
      </c>
      <c r="C1557" t="s">
        <v>1243</v>
      </c>
      <c r="D1557" t="s">
        <v>1243</v>
      </c>
      <c r="E1557" s="65">
        <v>81414000</v>
      </c>
      <c r="F1557" t="s">
        <v>104</v>
      </c>
      <c r="G1557">
        <v>6</v>
      </c>
      <c r="I1557" s="40">
        <v>44917</v>
      </c>
    </row>
    <row r="1558" spans="1:10">
      <c r="A1558" t="s">
        <v>939</v>
      </c>
      <c r="B1558" s="40">
        <v>44734</v>
      </c>
      <c r="C1558" t="s">
        <v>1245</v>
      </c>
      <c r="D1558" t="s">
        <v>1245</v>
      </c>
      <c r="E1558" s="65">
        <v>34898400</v>
      </c>
      <c r="F1558" t="s">
        <v>104</v>
      </c>
      <c r="G1558">
        <v>6</v>
      </c>
      <c r="I1558" s="40">
        <v>44917</v>
      </c>
    </row>
    <row r="1559" spans="1:10">
      <c r="A1559" t="s">
        <v>639</v>
      </c>
      <c r="B1559" s="40">
        <v>44699</v>
      </c>
      <c r="C1559" t="s">
        <v>1707</v>
      </c>
      <c r="D1559" t="s">
        <v>1707</v>
      </c>
      <c r="E1559" s="65">
        <v>62772840</v>
      </c>
      <c r="F1559" t="s">
        <v>104</v>
      </c>
      <c r="G1559">
        <v>6</v>
      </c>
      <c r="I1559" s="40">
        <v>44883</v>
      </c>
      <c r="J1559" t="s">
        <v>3114</v>
      </c>
    </row>
    <row r="1560" spans="1:10">
      <c r="A1560" t="s">
        <v>639</v>
      </c>
      <c r="B1560" s="40">
        <v>44699</v>
      </c>
      <c r="C1560" t="s">
        <v>1075</v>
      </c>
      <c r="D1560" t="s">
        <v>1075</v>
      </c>
      <c r="E1560" s="65">
        <v>235402095</v>
      </c>
      <c r="F1560" t="s">
        <v>104</v>
      </c>
      <c r="G1560">
        <v>6</v>
      </c>
      <c r="I1560" s="40">
        <v>44883</v>
      </c>
    </row>
    <row r="1561" spans="1:10">
      <c r="A1561" t="s">
        <v>1030</v>
      </c>
      <c r="B1561" s="40">
        <v>44651</v>
      </c>
      <c r="C1561" t="s">
        <v>1813</v>
      </c>
      <c r="D1561" t="s">
        <v>1813</v>
      </c>
      <c r="E1561" s="65">
        <v>312938800</v>
      </c>
      <c r="F1561" t="s">
        <v>104</v>
      </c>
      <c r="G1561">
        <v>6</v>
      </c>
      <c r="I1561" s="40">
        <v>44834</v>
      </c>
    </row>
    <row r="1562" spans="1:10">
      <c r="A1562" t="s">
        <v>1030</v>
      </c>
      <c r="B1562" s="40">
        <v>44651</v>
      </c>
      <c r="C1562" t="s">
        <v>1855</v>
      </c>
      <c r="D1562" t="s">
        <v>1855</v>
      </c>
      <c r="E1562" s="65">
        <v>78231600</v>
      </c>
      <c r="F1562" t="s">
        <v>104</v>
      </c>
      <c r="G1562">
        <v>6</v>
      </c>
      <c r="I1562" s="40">
        <v>44834</v>
      </c>
    </row>
    <row r="1563" spans="1:10">
      <c r="A1563" t="s">
        <v>1030</v>
      </c>
      <c r="B1563" s="40">
        <v>44651</v>
      </c>
      <c r="C1563" t="s">
        <v>1941</v>
      </c>
      <c r="D1563" t="s">
        <v>1941</v>
      </c>
      <c r="E1563" s="65">
        <v>15636400</v>
      </c>
      <c r="F1563" t="s">
        <v>104</v>
      </c>
      <c r="G1563">
        <v>6</v>
      </c>
      <c r="I1563" s="40">
        <v>44834</v>
      </c>
    </row>
    <row r="1564" spans="1:10">
      <c r="A1564" t="s">
        <v>1030</v>
      </c>
      <c r="B1564" s="40">
        <v>44651</v>
      </c>
      <c r="C1564" t="s">
        <v>1942</v>
      </c>
      <c r="D1564" t="s">
        <v>1942</v>
      </c>
      <c r="E1564" s="65">
        <v>7812000</v>
      </c>
      <c r="F1564" t="s">
        <v>104</v>
      </c>
      <c r="G1564">
        <v>6</v>
      </c>
      <c r="I1564" s="40">
        <v>44834</v>
      </c>
    </row>
    <row r="1565" spans="1:10">
      <c r="A1565" t="s">
        <v>350</v>
      </c>
      <c r="B1565" s="40">
        <v>44651</v>
      </c>
      <c r="C1565" t="s">
        <v>1435</v>
      </c>
      <c r="D1565" t="s">
        <v>1435</v>
      </c>
      <c r="E1565" s="65">
        <v>152680528</v>
      </c>
      <c r="F1565" t="s">
        <v>104</v>
      </c>
      <c r="G1565">
        <v>6</v>
      </c>
      <c r="I1565" s="40">
        <v>44834</v>
      </c>
      <c r="J1565" t="s">
        <v>2593</v>
      </c>
    </row>
    <row r="1566" spans="1:10">
      <c r="A1566" t="s">
        <v>350</v>
      </c>
      <c r="B1566" s="40">
        <v>44651</v>
      </c>
      <c r="C1566" t="s">
        <v>1433</v>
      </c>
      <c r="D1566" t="s">
        <v>1433</v>
      </c>
      <c r="E1566" s="65">
        <v>164424832</v>
      </c>
      <c r="F1566" t="s">
        <v>104</v>
      </c>
      <c r="G1566">
        <v>6</v>
      </c>
      <c r="I1566" s="40">
        <v>44834</v>
      </c>
    </row>
    <row r="1567" spans="1:10">
      <c r="A1567" t="s">
        <v>350</v>
      </c>
      <c r="B1567" s="40">
        <v>44651</v>
      </c>
      <c r="C1567" t="s">
        <v>1434</v>
      </c>
      <c r="D1567" t="s">
        <v>1434</v>
      </c>
      <c r="E1567" s="65">
        <v>164424832</v>
      </c>
      <c r="F1567" t="s">
        <v>104</v>
      </c>
      <c r="G1567">
        <v>6</v>
      </c>
      <c r="I1567" s="40">
        <v>44834</v>
      </c>
      <c r="J1567" t="s">
        <v>3115</v>
      </c>
    </row>
    <row r="1568" spans="1:10">
      <c r="A1568" t="s">
        <v>350</v>
      </c>
      <c r="B1568" s="40">
        <v>44651</v>
      </c>
      <c r="C1568" t="s">
        <v>1432</v>
      </c>
      <c r="D1568" t="s">
        <v>1432</v>
      </c>
      <c r="E1568" s="65">
        <v>219233872</v>
      </c>
      <c r="F1568" t="s">
        <v>104</v>
      </c>
      <c r="G1568">
        <v>6</v>
      </c>
      <c r="I1568" s="40">
        <v>44834</v>
      </c>
      <c r="J1568" t="s">
        <v>3116</v>
      </c>
    </row>
    <row r="1569" spans="1:10">
      <c r="A1569" t="s">
        <v>350</v>
      </c>
      <c r="B1569" s="40">
        <v>44651</v>
      </c>
      <c r="C1569" t="s">
        <v>1407</v>
      </c>
      <c r="D1569" t="s">
        <v>1407</v>
      </c>
      <c r="E1569" s="65">
        <v>313190592</v>
      </c>
      <c r="F1569" t="s">
        <v>104</v>
      </c>
      <c r="G1569">
        <v>6</v>
      </c>
      <c r="I1569" s="40">
        <v>44834</v>
      </c>
    </row>
    <row r="1570" spans="1:10">
      <c r="A1570" t="s">
        <v>554</v>
      </c>
      <c r="B1570" s="40">
        <v>44642</v>
      </c>
      <c r="C1570" t="s">
        <v>1124</v>
      </c>
      <c r="D1570" t="s">
        <v>1124</v>
      </c>
      <c r="E1570" s="65">
        <v>156258560</v>
      </c>
      <c r="F1570" t="s">
        <v>104</v>
      </c>
      <c r="G1570">
        <v>6</v>
      </c>
      <c r="I1570" s="40">
        <v>44826</v>
      </c>
    </row>
    <row r="1571" spans="1:10">
      <c r="A1571" t="s">
        <v>554</v>
      </c>
      <c r="B1571" s="40">
        <v>44642</v>
      </c>
      <c r="C1571" t="s">
        <v>1919</v>
      </c>
      <c r="D1571" t="s">
        <v>1919</v>
      </c>
      <c r="E1571" s="65">
        <v>39064640</v>
      </c>
      <c r="F1571" t="s">
        <v>104</v>
      </c>
      <c r="G1571">
        <v>6</v>
      </c>
      <c r="I1571" s="40">
        <v>44826</v>
      </c>
    </row>
    <row r="1572" spans="1:10">
      <c r="A1572" t="s">
        <v>554</v>
      </c>
      <c r="B1572" s="40">
        <v>44642</v>
      </c>
      <c r="C1572" t="s">
        <v>1920</v>
      </c>
      <c r="D1572" t="s">
        <v>1920</v>
      </c>
      <c r="E1572" s="65">
        <v>39064640</v>
      </c>
      <c r="F1572" t="s">
        <v>104</v>
      </c>
      <c r="G1572">
        <v>6</v>
      </c>
      <c r="I1572" s="40">
        <v>44826</v>
      </c>
    </row>
    <row r="1573" spans="1:10">
      <c r="A1573" t="s">
        <v>554</v>
      </c>
      <c r="B1573" s="40">
        <v>44642</v>
      </c>
      <c r="C1573" t="s">
        <v>1917</v>
      </c>
      <c r="D1573" t="s">
        <v>1917</v>
      </c>
      <c r="E1573" s="65">
        <v>195330510</v>
      </c>
      <c r="F1573" t="s">
        <v>104</v>
      </c>
      <c r="G1573">
        <v>6</v>
      </c>
      <c r="I1573" s="40">
        <v>44826</v>
      </c>
    </row>
    <row r="1574" spans="1:10">
      <c r="A1574" t="s">
        <v>554</v>
      </c>
      <c r="B1574" s="40">
        <v>44642</v>
      </c>
      <c r="C1574" t="s">
        <v>1918</v>
      </c>
      <c r="D1574" t="s">
        <v>1918</v>
      </c>
      <c r="E1574" s="65">
        <v>78129280</v>
      </c>
      <c r="F1574" t="s">
        <v>104</v>
      </c>
      <c r="G1574">
        <v>6</v>
      </c>
      <c r="I1574" s="40">
        <v>44826</v>
      </c>
    </row>
    <row r="1575" spans="1:10">
      <c r="A1575" t="s">
        <v>468</v>
      </c>
      <c r="B1575" s="40">
        <v>44630</v>
      </c>
      <c r="C1575" t="s">
        <v>1171</v>
      </c>
      <c r="D1575" t="s">
        <v>1171</v>
      </c>
      <c r="E1575" s="65">
        <v>117028780.00000001</v>
      </c>
      <c r="F1575" t="s">
        <v>104</v>
      </c>
      <c r="G1575">
        <v>6</v>
      </c>
      <c r="I1575" s="40">
        <v>44814</v>
      </c>
    </row>
    <row r="1576" spans="1:10">
      <c r="A1576" t="s">
        <v>468</v>
      </c>
      <c r="B1576" s="40">
        <v>44630</v>
      </c>
      <c r="C1576" t="s">
        <v>1169</v>
      </c>
      <c r="D1576" t="s">
        <v>1169</v>
      </c>
      <c r="E1576" s="65">
        <v>245880910.00000003</v>
      </c>
      <c r="F1576" t="s">
        <v>104</v>
      </c>
      <c r="G1576">
        <v>6</v>
      </c>
      <c r="I1576" s="40">
        <v>44814</v>
      </c>
    </row>
    <row r="1577" spans="1:10">
      <c r="A1577" t="s">
        <v>468</v>
      </c>
      <c r="B1577" s="40">
        <v>44630</v>
      </c>
      <c r="C1577" t="s">
        <v>1173</v>
      </c>
      <c r="D1577" t="s">
        <v>1173</v>
      </c>
      <c r="E1577" s="65">
        <v>61469210.000000007</v>
      </c>
      <c r="F1577" t="s">
        <v>104</v>
      </c>
      <c r="G1577">
        <v>6</v>
      </c>
      <c r="I1577" s="40">
        <v>44814</v>
      </c>
      <c r="J1577" t="s">
        <v>3117</v>
      </c>
    </row>
    <row r="1578" spans="1:10">
      <c r="A1578" t="s">
        <v>468</v>
      </c>
      <c r="B1578" s="40">
        <v>44630</v>
      </c>
      <c r="C1578" t="s">
        <v>1172</v>
      </c>
      <c r="D1578" t="s">
        <v>1172</v>
      </c>
      <c r="E1578" s="65">
        <v>98998680</v>
      </c>
      <c r="F1578" t="s">
        <v>104</v>
      </c>
      <c r="G1578">
        <v>6</v>
      </c>
      <c r="I1578" s="40">
        <v>44814</v>
      </c>
      <c r="J1578" t="s">
        <v>3118</v>
      </c>
    </row>
    <row r="1579" spans="1:10">
      <c r="A1579" t="s">
        <v>468</v>
      </c>
      <c r="B1579" s="40">
        <v>44630</v>
      </c>
      <c r="C1579" t="s">
        <v>1170</v>
      </c>
      <c r="D1579" t="s">
        <v>1170</v>
      </c>
      <c r="E1579" s="65">
        <v>122938420.00000001</v>
      </c>
      <c r="F1579" t="s">
        <v>104</v>
      </c>
      <c r="G1579">
        <v>6</v>
      </c>
      <c r="I1579" s="40">
        <v>44814</v>
      </c>
      <c r="J1579" t="s">
        <v>3119</v>
      </c>
    </row>
    <row r="1580" spans="1:10">
      <c r="A1580" t="s">
        <v>894</v>
      </c>
      <c r="B1580" s="40">
        <v>44615</v>
      </c>
      <c r="C1580" t="s">
        <v>1979</v>
      </c>
      <c r="D1580" t="s">
        <v>1979</v>
      </c>
      <c r="E1580" s="65">
        <v>233785570</v>
      </c>
      <c r="F1580" t="s">
        <v>104</v>
      </c>
      <c r="G1580">
        <v>6</v>
      </c>
      <c r="I1580" s="40">
        <v>44796</v>
      </c>
    </row>
    <row r="1581" spans="1:10">
      <c r="A1581" t="s">
        <v>894</v>
      </c>
      <c r="B1581" s="40">
        <v>44615</v>
      </c>
      <c r="C1581" t="s">
        <v>1980</v>
      </c>
      <c r="D1581" t="s">
        <v>1980</v>
      </c>
      <c r="E1581" s="65">
        <v>155854670</v>
      </c>
      <c r="F1581" t="s">
        <v>104</v>
      </c>
      <c r="G1581">
        <v>6</v>
      </c>
      <c r="I1581" s="40">
        <v>44796</v>
      </c>
    </row>
    <row r="1582" spans="1:10">
      <c r="A1582" t="s">
        <v>234</v>
      </c>
      <c r="B1582" s="40">
        <v>44610</v>
      </c>
      <c r="C1582" t="s">
        <v>1323</v>
      </c>
      <c r="D1582" t="s">
        <v>1323</v>
      </c>
      <c r="E1582" s="65">
        <v>77885900</v>
      </c>
      <c r="F1582" t="s">
        <v>104</v>
      </c>
      <c r="G1582">
        <v>6</v>
      </c>
      <c r="I1582" s="40">
        <v>44791</v>
      </c>
    </row>
    <row r="1583" spans="1:10">
      <c r="A1583" t="s">
        <v>234</v>
      </c>
      <c r="B1583" s="40">
        <v>44610</v>
      </c>
      <c r="C1583" t="s">
        <v>2129</v>
      </c>
      <c r="D1583" t="s">
        <v>2129</v>
      </c>
      <c r="E1583" s="65">
        <v>389433800</v>
      </c>
      <c r="F1583" t="s">
        <v>104</v>
      </c>
      <c r="G1583">
        <v>6</v>
      </c>
      <c r="I1583" s="40">
        <v>44791</v>
      </c>
    </row>
    <row r="1584" spans="1:10">
      <c r="A1584" t="s">
        <v>234</v>
      </c>
      <c r="B1584" s="40">
        <v>44610</v>
      </c>
      <c r="C1584" t="s">
        <v>2130</v>
      </c>
      <c r="D1584" t="s">
        <v>2130</v>
      </c>
      <c r="E1584" s="65">
        <v>311547900</v>
      </c>
      <c r="F1584" t="s">
        <v>104</v>
      </c>
      <c r="G1584">
        <v>6</v>
      </c>
      <c r="I1584" s="40">
        <v>44791</v>
      </c>
    </row>
    <row r="1585" spans="1:9">
      <c r="A1585" t="s">
        <v>234</v>
      </c>
      <c r="B1585" s="40">
        <v>44610</v>
      </c>
      <c r="C1585" t="s">
        <v>2131</v>
      </c>
      <c r="D1585" t="s">
        <v>2131</v>
      </c>
      <c r="E1585" s="65">
        <v>155771800</v>
      </c>
      <c r="F1585" t="s">
        <v>104</v>
      </c>
      <c r="G1585">
        <v>6</v>
      </c>
      <c r="I1585" s="40">
        <v>44791</v>
      </c>
    </row>
    <row r="1586" spans="1:9">
      <c r="A1586" t="s">
        <v>234</v>
      </c>
      <c r="B1586" s="40">
        <v>44610</v>
      </c>
      <c r="C1586" t="s">
        <v>1125</v>
      </c>
      <c r="D1586" t="s">
        <v>1125</v>
      </c>
      <c r="E1586" s="65">
        <v>155771800</v>
      </c>
      <c r="F1586" t="s">
        <v>104</v>
      </c>
      <c r="G1586">
        <v>6</v>
      </c>
      <c r="I1586" s="40">
        <v>44791</v>
      </c>
    </row>
    <row r="1587" spans="1:9">
      <c r="A1587" t="s">
        <v>234</v>
      </c>
      <c r="B1587" s="40">
        <v>44610</v>
      </c>
      <c r="C1587" t="s">
        <v>1232</v>
      </c>
      <c r="D1587" t="s">
        <v>1232</v>
      </c>
      <c r="E1587" s="65">
        <v>77885900</v>
      </c>
      <c r="F1587" t="s">
        <v>104</v>
      </c>
      <c r="G1587">
        <v>6</v>
      </c>
      <c r="I1587" s="40">
        <v>44791</v>
      </c>
    </row>
    <row r="1588" spans="1:9">
      <c r="A1588" t="s">
        <v>527</v>
      </c>
      <c r="B1588" s="40">
        <v>44588</v>
      </c>
      <c r="C1588" t="s">
        <v>2089</v>
      </c>
      <c r="D1588" t="s">
        <v>2089</v>
      </c>
      <c r="E1588" s="65">
        <v>83794430</v>
      </c>
      <c r="F1588" t="s">
        <v>104</v>
      </c>
      <c r="G1588">
        <v>6</v>
      </c>
      <c r="I1588" s="40">
        <v>44769</v>
      </c>
    </row>
    <row r="1589" spans="1:9">
      <c r="A1589" t="s">
        <v>527</v>
      </c>
      <c r="B1589" s="40">
        <v>44588</v>
      </c>
      <c r="C1589" t="s">
        <v>2009</v>
      </c>
      <c r="D1589" t="s">
        <v>2009</v>
      </c>
      <c r="E1589" s="65">
        <v>117013960</v>
      </c>
      <c r="F1589" t="s">
        <v>104</v>
      </c>
      <c r="G1589">
        <v>6</v>
      </c>
      <c r="I1589" s="40">
        <v>44769</v>
      </c>
    </row>
    <row r="1590" spans="1:9">
      <c r="A1590" t="s">
        <v>374</v>
      </c>
      <c r="B1590" s="40">
        <v>44575</v>
      </c>
      <c r="C1590" t="s">
        <v>1155</v>
      </c>
      <c r="D1590" t="s">
        <v>1155</v>
      </c>
      <c r="E1590" s="65">
        <v>1158353040</v>
      </c>
      <c r="F1590" t="s">
        <v>104</v>
      </c>
      <c r="G1590">
        <v>6</v>
      </c>
      <c r="I1590" s="40">
        <v>44756</v>
      </c>
    </row>
    <row r="1591" spans="1:9">
      <c r="A1591" t="s">
        <v>374</v>
      </c>
      <c r="B1591" s="40">
        <v>44575</v>
      </c>
      <c r="C1591" t="s">
        <v>1156</v>
      </c>
      <c r="D1591" t="s">
        <v>1156</v>
      </c>
      <c r="E1591" s="65">
        <v>386117679.99999994</v>
      </c>
      <c r="F1591" t="s">
        <v>104</v>
      </c>
      <c r="G1591">
        <v>6</v>
      </c>
      <c r="I1591" s="40">
        <v>44756</v>
      </c>
    </row>
    <row r="1592" spans="1:9">
      <c r="A1592" t="s">
        <v>374</v>
      </c>
      <c r="B1592" s="40">
        <v>44575</v>
      </c>
      <c r="C1592" t="s">
        <v>1157</v>
      </c>
      <c r="D1592" t="s">
        <v>1157</v>
      </c>
      <c r="E1592" s="65">
        <v>234010919.99999997</v>
      </c>
      <c r="F1592" t="s">
        <v>104</v>
      </c>
      <c r="G1592">
        <v>6</v>
      </c>
      <c r="I1592" s="40">
        <v>44756</v>
      </c>
    </row>
    <row r="1593" spans="1:9">
      <c r="A1593" t="s">
        <v>374</v>
      </c>
      <c r="B1593" s="40">
        <v>44575</v>
      </c>
      <c r="C1593" t="s">
        <v>1158</v>
      </c>
      <c r="D1593" t="s">
        <v>1158</v>
      </c>
      <c r="E1593" s="65">
        <v>211608279.99999997</v>
      </c>
      <c r="F1593" t="s">
        <v>104</v>
      </c>
      <c r="G1593">
        <v>6</v>
      </c>
      <c r="I1593" s="40">
        <v>44756</v>
      </c>
    </row>
    <row r="1594" spans="1:9">
      <c r="A1594" t="s">
        <v>374</v>
      </c>
      <c r="B1594" s="40">
        <v>44575</v>
      </c>
      <c r="C1594" t="s">
        <v>1159</v>
      </c>
      <c r="D1594" t="s">
        <v>1159</v>
      </c>
      <c r="E1594" s="65">
        <v>154432200</v>
      </c>
      <c r="F1594" t="s">
        <v>104</v>
      </c>
      <c r="G1594">
        <v>6</v>
      </c>
      <c r="I1594" s="40">
        <v>44756</v>
      </c>
    </row>
    <row r="1595" spans="1:9">
      <c r="A1595" t="s">
        <v>884</v>
      </c>
      <c r="B1595" s="40">
        <v>44572</v>
      </c>
      <c r="C1595" t="s">
        <v>1646</v>
      </c>
      <c r="D1595" t="s">
        <v>1646</v>
      </c>
      <c r="E1595" s="65">
        <v>19998240</v>
      </c>
      <c r="F1595" t="s">
        <v>104</v>
      </c>
      <c r="G1595">
        <v>6</v>
      </c>
      <c r="I1595" s="40">
        <v>44753</v>
      </c>
    </row>
    <row r="1596" spans="1:9">
      <c r="A1596" t="s">
        <v>884</v>
      </c>
      <c r="B1596" s="40">
        <v>44572</v>
      </c>
      <c r="C1596" t="s">
        <v>1645</v>
      </c>
      <c r="D1596" t="s">
        <v>1645</v>
      </c>
      <c r="E1596" s="65">
        <v>19998240</v>
      </c>
      <c r="F1596" t="s">
        <v>104</v>
      </c>
      <c r="G1596">
        <v>6</v>
      </c>
      <c r="I1596" s="40">
        <v>44753</v>
      </c>
    </row>
    <row r="1597" spans="1:9">
      <c r="A1597" t="s">
        <v>1042</v>
      </c>
      <c r="F1597" t="s">
        <v>104</v>
      </c>
    </row>
  </sheetData>
  <phoneticPr fontId="21" type="noConversion"/>
  <dataValidations count="2">
    <dataValidation type="list" allowBlank="1" sqref="F3 F973:F1020" xr:uid="{00000000-0002-0000-0200-000000000000}">
      <formula1>"HKD,USD,CNY"</formula1>
      <formula2>0</formula2>
    </dataValidation>
    <dataValidation type="list" allowBlank="1" sqref="H3 H973:H1020" xr:uid="{00000000-0002-0000-0200-000001000000}">
      <formula1>"0,1,unknown"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393"/>
  <sheetViews>
    <sheetView zoomScaleNormal="100" workbookViewId="0">
      <pane xSplit="1" ySplit="2" topLeftCell="B309" activePane="bottomRight" state="frozen"/>
      <selection pane="topRight" activeCell="B1" sqref="B1"/>
      <selection pane="bottomLeft" activeCell="A3" sqref="A3"/>
      <selection pane="bottomRight" activeCell="C236" sqref="C236"/>
    </sheetView>
  </sheetViews>
  <sheetFormatPr defaultColWidth="8.6640625" defaultRowHeight="14.25"/>
  <cols>
    <col min="1" max="8" width="14" customWidth="1"/>
    <col min="9" max="13" width="12" customWidth="1"/>
    <col min="14" max="18" width="14" customWidth="1"/>
  </cols>
  <sheetData>
    <row r="1" spans="1:24" ht="37.5" customHeight="1">
      <c r="A1" s="12" t="s">
        <v>27</v>
      </c>
      <c r="B1" s="12" t="s">
        <v>3522</v>
      </c>
      <c r="C1" s="12" t="s">
        <v>108</v>
      </c>
      <c r="D1" s="12" t="s">
        <v>109</v>
      </c>
      <c r="E1" s="12" t="s">
        <v>110</v>
      </c>
      <c r="F1" s="12" t="s">
        <v>111</v>
      </c>
      <c r="G1" s="12" t="s">
        <v>112</v>
      </c>
      <c r="H1" s="12" t="s">
        <v>113</v>
      </c>
      <c r="I1" s="12" t="s">
        <v>114</v>
      </c>
      <c r="J1" s="12" t="s">
        <v>115</v>
      </c>
      <c r="K1" s="12" t="s">
        <v>116</v>
      </c>
      <c r="L1" s="12" t="s">
        <v>117</v>
      </c>
      <c r="M1" s="12" t="s">
        <v>118</v>
      </c>
      <c r="N1" s="12" t="s">
        <v>119</v>
      </c>
      <c r="O1" s="12" t="s">
        <v>120</v>
      </c>
      <c r="P1" s="12" t="s">
        <v>3556</v>
      </c>
      <c r="Q1" s="12" t="s">
        <v>3557</v>
      </c>
      <c r="R1" s="12" t="s">
        <v>3558</v>
      </c>
      <c r="S1" t="s">
        <v>3559</v>
      </c>
      <c r="T1" t="s">
        <v>3560</v>
      </c>
      <c r="U1" t="s">
        <v>3561</v>
      </c>
      <c r="V1" t="s">
        <v>3562</v>
      </c>
      <c r="W1" t="s">
        <v>3563</v>
      </c>
      <c r="X1" t="s">
        <v>1059</v>
      </c>
    </row>
    <row r="2" spans="1:24" ht="30" customHeight="1">
      <c r="A2" s="13" t="s">
        <v>54</v>
      </c>
      <c r="B2" s="13" t="s">
        <v>3523</v>
      </c>
      <c r="C2" s="14" t="s">
        <v>3540</v>
      </c>
      <c r="D2" s="14" t="s">
        <v>3541</v>
      </c>
      <c r="E2" s="14" t="s">
        <v>3542</v>
      </c>
      <c r="F2" s="13" t="s">
        <v>3543</v>
      </c>
      <c r="G2" s="13" t="s">
        <v>3544</v>
      </c>
      <c r="H2" s="13" t="s">
        <v>3545</v>
      </c>
      <c r="I2" s="13" t="s">
        <v>3546</v>
      </c>
      <c r="J2" s="13" t="s">
        <v>3547</v>
      </c>
      <c r="K2" s="13" t="s">
        <v>3548</v>
      </c>
      <c r="L2" s="16" t="s">
        <v>3549</v>
      </c>
      <c r="M2" s="15" t="s">
        <v>3550</v>
      </c>
      <c r="N2" s="15" t="s">
        <v>121</v>
      </c>
      <c r="O2" s="16" t="s">
        <v>122</v>
      </c>
      <c r="P2" s="16" t="s">
        <v>3519</v>
      </c>
      <c r="Q2" s="16" t="s">
        <v>3520</v>
      </c>
      <c r="R2" s="16" t="s">
        <v>3521</v>
      </c>
      <c r="S2" s="46" t="s">
        <v>3519</v>
      </c>
      <c r="T2" s="46" t="s">
        <v>3520</v>
      </c>
      <c r="U2" s="46" t="s">
        <v>3521</v>
      </c>
      <c r="V2" s="46" t="s">
        <v>3519</v>
      </c>
      <c r="W2" s="46" t="s">
        <v>3520</v>
      </c>
      <c r="X2" s="46" t="s">
        <v>3521</v>
      </c>
    </row>
    <row r="3" spans="1:24" ht="89.25">
      <c r="A3" s="17" t="s">
        <v>219</v>
      </c>
      <c r="B3" s="17">
        <f>IFERROR(YEAR(VLOOKUP($A3,'01_ipo_master'!$A:$C,3,FALSE)),YEAR(VLOOKUP("0"&amp;$A3,'01_ipo_master'!$A:$C,3,FALSE)))</f>
        <v>2026</v>
      </c>
      <c r="C3">
        <f>[1]!wss($A3:$A3,"hks_stm_is","item=83","rptDate="&amp;($B3-3)&amp;"1231","rptType=1","currencyType=Cur=CNY","WssConvert=0","WssDivide=8","showcodes=N","cols=1;rows=1")</f>
        <v>853.38484000000005</v>
      </c>
      <c r="D3" s="73">
        <f>[1]!wss($A3:$A3,"hks_stm_is","item=83","rptDate="&amp;($B3-2)&amp;"1231","rptType=1","currencyType=Cur=CNY","WssConvert=0","WssDivide=8","showcodes=N","cols=1;rows=1")</f>
        <v>1098.7798700000001</v>
      </c>
      <c r="E3" s="73">
        <f>[1]!wss($A3:$A3,"hks_stm_is","item=83","rptDate="&amp;($B3-1)&amp;"1231","rptType=1","currencyType=Cur=CNY","WssConvert=0","WssDivide=8","showcodes=N","cols=1;rows=1")</f>
        <v>1714.3692700000001</v>
      </c>
      <c r="F3" s="73">
        <f>[1]!wss($A3:$A3,"hks_stm_is","item=61","rptDate="&amp;($B3-3)&amp;"1231","rptType=1","currencyType=Cur=CNY","WssConvert=0","WssDivide=8","showcodes=N","cols=1;rows=1")</f>
        <v>27.084510000000002</v>
      </c>
      <c r="G3" s="73">
        <f>[1]!wss($A3:$A3,"hks_stm_is","item=61","rptDate="&amp;($B3-2)&amp;"1231","rptType=1","currencyType=Cur=CNY","WssConvert=0","WssDivide=8","showcodes=N","cols=1;rows=1")</f>
        <v>29.289400000000001</v>
      </c>
      <c r="H3" s="73">
        <f>[1]!wss($A3:$A3,"hks_stm_is","item=61","rptDate="&amp;($B3-1)&amp;"1231","rptType=1","currencyType=Cur=CNY","WssConvert=0","WssDivide=8","showcodes=N","cols=1;rows=1")</f>
        <v>40.813380000000002</v>
      </c>
      <c r="I3" s="73">
        <f>[1]!wss($A3:$A3,"hks_fa_grossprofitmargin","rptDate="&amp;($B3-3)&amp;"1231","WssConvert=0","showcodes=N","cols=1;rows=1")</f>
        <v>10.941000000000001</v>
      </c>
      <c r="J3" s="43">
        <f>[1]!wss($A3:$A3,"hks_fa_grossprofitmargin","rptDate="&amp;($B3-2)&amp;"1231","WssConvert=0","showcodes=N","cols=1;rows=1")</f>
        <v>8.9949999999999992</v>
      </c>
      <c r="K3" s="43">
        <f>[1]!wss($A3:$A3,"hks_fa_grossprofitmargin","rptDate="&amp;($B3-1)&amp;"1231","WssConvert=0","showcodes=N","cols=1;rows=1")</f>
        <v>7.7173999999999996</v>
      </c>
      <c r="L3" s="73">
        <f>[1]!wss($A3:$A3,"hks_fa_roe","rptDate="&amp;($B3-1)&amp;"1231","WssConvert=0","showcodes=N","cols=1;rows=1")</f>
        <v>16.8858</v>
      </c>
      <c r="M3" s="43">
        <f>[1]!wss($A3:$A3,"hks_fa_debttoassets","rptDate="&amp;($B3-1)&amp;"1231","WssConvert=0","showcodes=N","cols=1;rows=1")</f>
        <v>72.615600000000001</v>
      </c>
      <c r="N3" s="17" t="s">
        <v>217</v>
      </c>
      <c r="O3" s="27" t="s">
        <v>218</v>
      </c>
      <c r="P3" s="43">
        <v>853.38484000000005</v>
      </c>
      <c r="Q3" s="43">
        <v>1098.7798700000001</v>
      </c>
      <c r="R3" s="17">
        <v>1714.3692699999999</v>
      </c>
      <c r="S3">
        <v>27.084510000000002</v>
      </c>
      <c r="T3">
        <v>29.289400000000001</v>
      </c>
      <c r="U3">
        <v>40.813380000000002</v>
      </c>
      <c r="V3">
        <v>10.941000000000001</v>
      </c>
      <c r="W3">
        <v>8.9949999999999992</v>
      </c>
      <c r="X3">
        <v>7.7173999999999996</v>
      </c>
    </row>
    <row r="4" spans="1:24">
      <c r="A4" s="17" t="s">
        <v>220</v>
      </c>
      <c r="B4" s="17">
        <f>IFERROR(YEAR(VLOOKUP($A4,'01_ipo_master'!$A:$C,3,FALSE)),YEAR(VLOOKUP("0"&amp;$A4,'01_ipo_master'!$A:$C,3,FALSE)))</f>
        <v>2024</v>
      </c>
      <c r="C4" s="73">
        <f>[1]!wss($A4:$A4,"hks_stm_is","item=83","rptDate="&amp;($B4-3)&amp;"1231","rptType=1","currencyType=Cur=CNY","WssConvert=0","WssDivide=8","showcodes=N","cols=1;rows=1")</f>
        <v>36.44209</v>
      </c>
      <c r="D4" s="73">
        <f>[1]!wss($A4:$A4,"hks_stm_is","item=83","rptDate="&amp;($B4-2)&amp;"1231","rptType=1","currencyType=Cur=CNY","WssConvert=0","WssDivide=8","showcodes=N","cols=1;rows=1")</f>
        <v>42.316700000000004</v>
      </c>
      <c r="E4" s="73">
        <f>[1]!wss($A4:$A4,"hks_stm_is","item=83","rptDate="&amp;($B4-1)&amp;"1231","rptType=1","currencyType=Cur=CNY","WssConvert=0","WssDivide=8","showcodes=N","cols=1;rows=1")</f>
        <v>57.04307</v>
      </c>
      <c r="F4" s="73">
        <f>[1]!wss($A4:$A4,"hks_stm_is","item=61","rptDate="&amp;($B4-3)&amp;"1231","rptType=1","currencyType=Cur=CNY","WssConvert=0","WssDivide=8","showcodes=N","cols=1;rows=1")</f>
        <v>7.55816</v>
      </c>
      <c r="G4" s="73">
        <f>[1]!wss($A4:$A4,"hks_stm_is","item=61","rptDate="&amp;($B4-2)&amp;"1231","rptType=1","currencyType=Cur=CNY","WssConvert=0","WssDivide=8","showcodes=N","cols=1;rows=1")</f>
        <v>9.5431600000000003</v>
      </c>
      <c r="H4" s="73">
        <f>[1]!wss($A4:$A4,"hks_stm_is","item=61","rptDate="&amp;($B4-1)&amp;"1231","rptType=1","currencyType=Cur=CNY","WssConvert=0","WssDivide=8","showcodes=N","cols=1;rows=1")</f>
        <v>11.392110000000001</v>
      </c>
      <c r="I4" s="73">
        <f>[1]!wss($A4:$A4,"hks_fa_grossprofitmargin","rptDate="&amp;($B4-3)&amp;"1231","WssConvert=0","showcodes=N","cols=1;rows=1")</f>
        <v>35.701599999999999</v>
      </c>
      <c r="J4" s="43">
        <f>[1]!wss($A4:$A4,"hks_fa_grossprofitmargin","rptDate="&amp;($B4-2)&amp;"1231","WssConvert=0","showcodes=N","cols=1;rows=1")</f>
        <v>34.411700000000003</v>
      </c>
      <c r="K4" s="43">
        <f>[1]!wss($A4:$A4,"hks_fa_grossprofitmargin","rptDate="&amp;($B4-1)&amp;"1231","WssConvert=0","showcodes=N","cols=1;rows=1")</f>
        <v>34.426299999999998</v>
      </c>
      <c r="L4" s="73">
        <f>[1]!wss($A4:$A4,"hks_fa_roe","rptDate="&amp;($B4-1)&amp;"1231","WssConvert=0","showcodes=N","cols=1;rows=1")</f>
        <v>154.60650000000001</v>
      </c>
      <c r="M4" s="43">
        <f>[1]!wss($A4:$A4,"hks_fa_debttoassets","rptDate="&amp;($B4-1)&amp;"1231","WssConvert=0","showcodes=N","cols=1;rows=1")</f>
        <v>72.560500000000005</v>
      </c>
      <c r="N4" t="str">
        <f>IFERROR(IF(VLOOKUP($A4,'01_ipo_master'!$A:$G,7,0)="",$A4,VLOOKUP($A4,'01_ipo_master'!$A:$G,7,0)),$A4)</f>
        <v>2555.HK</v>
      </c>
      <c r="P4">
        <v>57.04307</v>
      </c>
      <c r="Q4">
        <v>49.179969999999997</v>
      </c>
      <c r="R4">
        <v>53.950679999999998</v>
      </c>
      <c r="S4">
        <v>11.392110000000001</v>
      </c>
      <c r="T4">
        <v>4.7218400000000003</v>
      </c>
      <c r="U4">
        <v>8.0489700000000006</v>
      </c>
      <c r="V4">
        <v>34.426299999999998</v>
      </c>
      <c r="W4">
        <v>31.205400000000001</v>
      </c>
      <c r="X4">
        <v>32.508200000000002</v>
      </c>
    </row>
    <row r="5" spans="1:24">
      <c r="A5" t="s">
        <v>221</v>
      </c>
      <c r="B5" s="17">
        <f>IFERROR(YEAR(VLOOKUP($A5,'01_ipo_master'!$A:$C,3,FALSE)),YEAR(VLOOKUP("0"&amp;$A5,'01_ipo_master'!$A:$C,3,FALSE)))</f>
        <v>2025</v>
      </c>
      <c r="C5" s="73">
        <f>[1]!wss($A5:$A5,"hks_stm_is","item=83","rptDate="&amp;($B5-3)&amp;"1231","rptType=1","currencyType=Cur=CNY","WssConvert=0","WssDivide=8","showcodes=N","cols=1;rows=1")</f>
        <v>3285.9398799999999</v>
      </c>
      <c r="D5" s="73">
        <f>[1]!wss($A5:$A5,"hks_stm_is","item=83","rptDate="&amp;($B5-2)&amp;"1231","rptType=1","currencyType=Cur=CNY","WssConvert=0","WssDivide=8","showcodes=N","cols=1;rows=1")</f>
        <v>4009.1704500000001</v>
      </c>
      <c r="E5" s="73">
        <f>[1]!wss($A5:$A5,"hks_stm_is","item=83","rptDate="&amp;($B5-1)&amp;"1231","rptType=1","currencyType=Cur=CNY","WssConvert=0","WssDivide=8","showcodes=N","cols=1;rows=1")</f>
        <v>3620.12554</v>
      </c>
      <c r="F5" s="73">
        <f>[1]!wss($A5:$A5,"hks_stm_is","item=61","rptDate="&amp;($B5-3)&amp;"1231","rptType=1","currencyType=Cur=CNY","WssConvert=0","WssDivide=8","showcodes=N","cols=1;rows=1")</f>
        <v>307.29164000000003</v>
      </c>
      <c r="G5" s="73">
        <f>[1]!wss($A5:$A5,"hks_stm_is","item=61","rptDate="&amp;($B5-2)&amp;"1231","rptType=1","currencyType=Cur=CNY","WssConvert=0","WssDivide=8","showcodes=N","cols=1;rows=1")</f>
        <v>447.02249</v>
      </c>
      <c r="H5" s="73">
        <f>[1]!wss($A5:$A5,"hks_stm_is","item=61","rptDate="&amp;($B5-1)&amp;"1231","rptType=1","currencyType=Cur=CNY","WssConvert=0","WssDivide=8","showcodes=N","cols=1;rows=1")</f>
        <v>520.32846000000006</v>
      </c>
      <c r="I5" s="73">
        <f>[1]!wss($A5:$A5,"hks_fa_grossprofitmargin","rptDate="&amp;($B5-3)&amp;"1231","WssConvert=0","showcodes=N","cols=1;rows=1")</f>
        <v>15.1739</v>
      </c>
      <c r="J5" s="43">
        <f>[1]!wss($A5:$A5,"hks_fa_grossprofitmargin","rptDate="&amp;($B5-2)&amp;"1231","WssConvert=0","showcodes=N","cols=1;rows=1")</f>
        <v>16.5641</v>
      </c>
      <c r="K5" s="43">
        <f>[1]!wss($A5:$A5,"hks_fa_grossprofitmargin","rptDate="&amp;($B5-1)&amp;"1231","WssConvert=0","showcodes=N","cols=1;rows=1")</f>
        <v>21.1433</v>
      </c>
      <c r="L5" s="73">
        <f>[1]!wss($A5:$A5,"hks_fa_roe","rptDate="&amp;($B5-1)&amp;"1231","WssConvert=0","showcodes=N","cols=1;rows=1")</f>
        <v>23.404599999999999</v>
      </c>
      <c r="M5" s="43">
        <f>[1]!wss($A5:$A5,"hks_fa_debttoassets","rptDate="&amp;($B5-1)&amp;"1231","WssConvert=0","showcodes=N","cols=1;rows=1")</f>
        <v>65.238200000000006</v>
      </c>
      <c r="P5" s="50">
        <v>4009.1704500000001</v>
      </c>
      <c r="Q5" s="50">
        <v>3620.12554</v>
      </c>
      <c r="R5" s="50">
        <v>4237.0183399999996</v>
      </c>
      <c r="S5" s="50">
        <v>447.02249</v>
      </c>
      <c r="T5" s="50">
        <v>520.32845999999995</v>
      </c>
      <c r="U5" s="50">
        <v>722.01282000000003</v>
      </c>
      <c r="V5" s="50">
        <v>16.5641</v>
      </c>
      <c r="W5" s="50">
        <v>21.1433</v>
      </c>
      <c r="X5" s="50">
        <v>26.2728</v>
      </c>
    </row>
    <row r="6" spans="1:24">
      <c r="A6" t="s">
        <v>222</v>
      </c>
      <c r="B6" s="17">
        <f>IFERROR(YEAR(VLOOKUP($A6,'01_ipo_master'!$A:$C,3,FALSE)),YEAR(VLOOKUP("0"&amp;$A6,'01_ipo_master'!$A:$C,3,FALSE)))</f>
        <v>2024</v>
      </c>
      <c r="C6" s="73">
        <f>[1]!wss($A6:$A6,"hks_stm_is","item=83","rptDate="&amp;($B6-3)&amp;"1231","rptType=1","currencyType=Cur=CNY","WssConvert=0","WssDivide=8","showcodes=N","cols=1;rows=1")</f>
        <v>3433.6082500000002</v>
      </c>
      <c r="D6" s="73">
        <f>[1]!wss($A6:$A6,"hks_stm_is","item=83","rptDate="&amp;($B6-2)&amp;"1231","rptType=1","currencyType=Cur=CNY","WssConvert=0","WssDivide=8","showcodes=N","cols=1;rows=1")</f>
        <v>3457.0870600000003</v>
      </c>
      <c r="E6" s="73">
        <f>[1]!wss($A6:$A6,"hks_stm_is","item=83","rptDate="&amp;($B6-1)&amp;"1231","rptType=1","currencyType=Cur=CNY","WssConvert=0","WssDivide=8","showcodes=N","cols=1;rows=1")</f>
        <v>3737.0980399999999</v>
      </c>
      <c r="F6" s="73">
        <f>[1]!wss($A6:$A6,"hks_stm_is","item=61","rptDate="&amp;($B6-3)&amp;"1231","rptType=1","currencyType=Cur=CNY","WssConvert=0","WssDivide=8","showcodes=N","cols=1;rows=1")</f>
        <v>285.8698</v>
      </c>
      <c r="G6" s="73">
        <f>[1]!wss($A6:$A6,"hks_stm_is","item=61","rptDate="&amp;($B6-2)&amp;"1231","rptType=1","currencyType=Cur=CNY","WssConvert=0","WssDivide=8","showcodes=N","cols=1;rows=1")</f>
        <v>295.53341999999998</v>
      </c>
      <c r="H6" s="73">
        <f>[1]!wss($A6:$A6,"hks_stm_is","item=61","rptDate="&amp;($B6-1)&amp;"1231","rptType=1","currencyType=Cur=CNY","WssConvert=0","WssDivide=8","showcodes=N","cols=1;rows=1")</f>
        <v>337.21536000000003</v>
      </c>
      <c r="I6" s="73">
        <f>[1]!wss($A6:$A6,"hks_fa_grossprofitmargin","rptDate="&amp;($B6-3)&amp;"1231","WssConvert=0","showcodes=N","cols=1;rows=1")</f>
        <v>22.3992</v>
      </c>
      <c r="J6" s="43">
        <f>[1]!wss($A6:$A6,"hks_fa_grossprofitmargin","rptDate="&amp;($B6-2)&amp;"1231","WssConvert=0","showcodes=N","cols=1;rows=1")</f>
        <v>24.1206</v>
      </c>
      <c r="K6" s="43">
        <f>[1]!wss($A6:$A6,"hks_fa_grossprofitmargin","rptDate="&amp;($B6-1)&amp;"1231","WssConvert=0","showcodes=N","cols=1;rows=1")</f>
        <v>26.3278</v>
      </c>
      <c r="L6" s="73">
        <f>[1]!wss($A6:$A6,"hks_fa_roe","rptDate="&amp;($B6-1)&amp;"1231","WssConvert=0","showcodes=N","cols=1;rows=1")</f>
        <v>22.053999999999998</v>
      </c>
      <c r="M6" s="43">
        <f>[1]!wss($A6:$A6,"hks_fa_debttoassets","rptDate="&amp;($B6-1)&amp;"1231","WssConvert=0","showcodes=N","cols=1;rows=1")</f>
        <v>64.138900000000007</v>
      </c>
      <c r="P6" s="50">
        <v>3737.0980399999999</v>
      </c>
      <c r="Q6" s="50">
        <v>4090.8426599999998</v>
      </c>
      <c r="R6" s="50">
        <v>4585.0240700000004</v>
      </c>
      <c r="S6" s="50">
        <v>337.21535999999998</v>
      </c>
      <c r="T6" s="50">
        <v>385.38986999999997</v>
      </c>
      <c r="U6" s="50">
        <v>439.45411000000001</v>
      </c>
      <c r="V6" s="50">
        <v>26.3278</v>
      </c>
      <c r="W6" s="50">
        <v>26.180800000000001</v>
      </c>
      <c r="X6" s="50">
        <v>26.180900000000001</v>
      </c>
    </row>
    <row r="7" spans="1:24">
      <c r="A7" t="s">
        <v>226</v>
      </c>
      <c r="B7" s="17">
        <f>IFERROR(YEAR(VLOOKUP($A7,'01_ipo_master'!$A:$C,3,FALSE)),YEAR(VLOOKUP("0"&amp;$A7,'01_ipo_master'!$A:$C,3,FALSE)))</f>
        <v>2024</v>
      </c>
      <c r="C7" s="73">
        <f>[1]!wss($A7:$A7,"hks_stm_is","item=83","rptDate="&amp;($B7-3)&amp;"1231","rptType=1","currencyType=Cur=CNY","WssConvert=0","WssDivide=8","showcodes=N","cols=1;rows=1")</f>
        <v>2071.8664699999999</v>
      </c>
      <c r="D7" s="73">
        <f>[1]!wss($A7:$A7,"hks_stm_is","item=83","rptDate="&amp;($B7-2)&amp;"1231","rptType=1","currencyType=Cur=CNY","WssConvert=0","WssDivide=8","showcodes=N","cols=1;rows=1")</f>
        <v>2674.9041400000001</v>
      </c>
      <c r="E7" s="73">
        <f>[1]!wss($A7:$A7,"hks_stm_is","item=83","rptDate="&amp;($B7-1)&amp;"1231","rptType=1","currencyType=Cur=CNY","WssConvert=0","WssDivide=8","showcodes=N","cols=1;rows=1")</f>
        <v>2584.0940300000002</v>
      </c>
      <c r="F7" s="73">
        <f>[1]!wss($A7:$A7,"hks_stm_is","item=61","rptDate="&amp;($B7-3)&amp;"1231","rptType=1","currencyType=Cur=CNY","WssConvert=0","WssDivide=8","showcodes=N","cols=1;rows=1")</f>
        <v>47.319789999999998</v>
      </c>
      <c r="G7" s="73">
        <f>[1]!wss($A7:$A7,"hks_stm_is","item=61","rptDate="&amp;($B7-2)&amp;"1231","rptType=1","currencyType=Cur=CNY","WssConvert=0","WssDivide=8","showcodes=N","cols=1;rows=1")</f>
        <v>62.270580000000002</v>
      </c>
      <c r="H7" s="73">
        <f>[1]!wss($A7:$A7,"hks_stm_is","item=61","rptDate="&amp;($B7-1)&amp;"1231","rptType=1","currencyType=Cur=CNY","WssConvert=0","WssDivide=8","showcodes=N","cols=1;rows=1")</f>
        <v>82.344930000000005</v>
      </c>
      <c r="I7" s="73">
        <f>[1]!wss($A7:$A7,"hks_fa_grossprofitmargin","rptDate="&amp;($B7-3)&amp;"1231","WssConvert=0","showcodes=N","cols=1;rows=1")</f>
        <v>12.441700000000001</v>
      </c>
      <c r="J7" s="43">
        <f>[1]!wss($A7:$A7,"hks_fa_grossprofitmargin","rptDate="&amp;($B7-2)&amp;"1231","WssConvert=0","showcodes=N","cols=1;rows=1")</f>
        <v>12.3415</v>
      </c>
      <c r="K7" s="43">
        <f>[1]!wss($A7:$A7,"hks_fa_grossprofitmargin","rptDate="&amp;($B7-1)&amp;"1231","WssConvert=0","showcodes=N","cols=1;rows=1")</f>
        <v>12.6287</v>
      </c>
      <c r="L7" s="73">
        <f>[1]!wss($A7:$A7,"hks_fa_roe","rptDate="&amp;($B7-1)&amp;"1231","WssConvert=0","showcodes=N","cols=1;rows=1")</f>
        <v>9.1978000000000009</v>
      </c>
      <c r="M7" s="43">
        <f>[1]!wss($A7:$A7,"hks_fa_debttoassets","rptDate="&amp;($B7-1)&amp;"1231","WssConvert=0","showcodes=N","cols=1;rows=1")</f>
        <v>53.3688</v>
      </c>
      <c r="P7" s="50">
        <v>2584.0940300000002</v>
      </c>
      <c r="Q7" s="50">
        <v>2844.2005899999999</v>
      </c>
      <c r="R7" s="50">
        <v>3082.26647</v>
      </c>
      <c r="S7" s="50">
        <v>82.344930000000005</v>
      </c>
      <c r="T7" s="50">
        <v>101.70426999999999</v>
      </c>
      <c r="U7" s="50">
        <v>111.17216000000001</v>
      </c>
      <c r="V7" s="50">
        <v>12.6287</v>
      </c>
      <c r="W7" s="50">
        <v>13.6755</v>
      </c>
      <c r="X7" s="50">
        <v>13.0695</v>
      </c>
    </row>
    <row r="8" spans="1:24">
      <c r="A8" t="s">
        <v>229</v>
      </c>
      <c r="B8" s="17">
        <f>IFERROR(YEAR(VLOOKUP($A8,'01_ipo_master'!$A:$C,3,FALSE)),YEAR(VLOOKUP("0"&amp;$A8,'01_ipo_master'!$A:$C,3,FALSE)))</f>
        <v>2025</v>
      </c>
      <c r="C8" s="73">
        <f>[1]!wss($A8:$A8,"hks_stm_is","item=83","rptDate="&amp;($B8-3)&amp;"1231","rptType=1","currencyType=Cur=CNY","WssConvert=0","WssDivide=8","showcodes=N","cols=1;rows=1")</f>
        <v>926.18000000000006</v>
      </c>
      <c r="D8" s="73">
        <f>[1]!wss($A8:$A8,"hks_stm_is","item=83","rptDate="&amp;($B8-2)&amp;"1231","rptType=1","currencyType=Cur=CNY","WssConvert=0","WssDivide=8","showcodes=N","cols=1;rows=1")</f>
        <v>1632.05</v>
      </c>
      <c r="E8" s="73">
        <f>[1]!wss($A8:$A8,"hks_stm_is","item=83","rptDate="&amp;($B8-1)&amp;"1231","rptType=1","currencyType=Cur=CNY","WssConvert=0","WssDivide=8","showcodes=N","cols=1;rows=1")</f>
        <v>2698.9700000000003</v>
      </c>
      <c r="F8" s="73">
        <f>[1]!wss($A8:$A8,"hks_stm_is","item=61","rptDate="&amp;($B8-3)&amp;"1231","rptType=1","currencyType=Cur=CNY","WssConvert=0","WssDivide=8","showcodes=N","cols=1;rows=1")</f>
        <v>62.660000000000004</v>
      </c>
      <c r="G8" s="73">
        <f>[1]!wss($A8:$A8,"hks_stm_is","item=61","rptDate="&amp;($B8-2)&amp;"1231","rptType=1","currencyType=Cur=CNY","WssConvert=0","WssDivide=8","showcodes=N","cols=1;rows=1")</f>
        <v>119.53</v>
      </c>
      <c r="H8" s="73">
        <f>[1]!wss($A8:$A8,"hks_stm_is","item=61","rptDate="&amp;($B8-1)&amp;"1231","rptType=1","currencyType=Cur=CNY","WssConvert=0","WssDivide=8","showcodes=N","cols=1;rows=1")</f>
        <v>141.35</v>
      </c>
      <c r="I8" s="73">
        <f>[1]!wss($A8:$A8,"hks_fa_grossprofitmargin","rptDate="&amp;($B8-3)&amp;"1231","WssConvert=0","showcodes=N","cols=1;rows=1")</f>
        <v>13.8256</v>
      </c>
      <c r="J8" s="43">
        <f>[1]!wss($A8:$A8,"hks_fa_grossprofitmargin","rptDate="&amp;($B8-2)&amp;"1231","WssConvert=0","showcodes=N","cols=1;rows=1")</f>
        <v>15.986000000000001</v>
      </c>
      <c r="K8" s="43">
        <f>[1]!wss($A8:$A8,"hks_fa_grossprofitmargin","rptDate="&amp;($B8-1)&amp;"1231","WssConvert=0","showcodes=N","cols=1;rows=1")</f>
        <v>13.452500000000001</v>
      </c>
      <c r="L8" s="73">
        <f>[1]!wss($A8:$A8,"hks_fa_roe","rptDate="&amp;($B8-1)&amp;"1231","WssConvert=0","showcodes=N","cols=1;rows=1")</f>
        <v>67.407399999999996</v>
      </c>
      <c r="M8" s="43">
        <f>[1]!wss($A8:$A8,"hks_fa_debttoassets","rptDate="&amp;($B8-1)&amp;"1231","WssConvert=0","showcodes=N","cols=1;rows=1")</f>
        <v>87.885800000000003</v>
      </c>
      <c r="P8" s="50">
        <v>1632.05</v>
      </c>
      <c r="Q8" s="50">
        <v>2698.97</v>
      </c>
      <c r="R8" s="50">
        <v>3002.87</v>
      </c>
      <c r="S8" s="50">
        <v>119.53</v>
      </c>
      <c r="T8" s="50">
        <v>141.35</v>
      </c>
      <c r="U8" s="50">
        <v>190.19</v>
      </c>
      <c r="V8" s="50">
        <v>15.986000000000001</v>
      </c>
      <c r="W8" s="50">
        <v>13.452500000000001</v>
      </c>
      <c r="X8" s="50">
        <v>13.8011</v>
      </c>
    </row>
    <row r="9" spans="1:24">
      <c r="A9" t="s">
        <v>231</v>
      </c>
      <c r="B9" s="17">
        <f>IFERROR(YEAR(VLOOKUP($A9,'01_ipo_master'!$A:$C,3,FALSE)),YEAR(VLOOKUP("0"&amp;$A9,'01_ipo_master'!$A:$C,3,FALSE)))</f>
        <v>2026</v>
      </c>
      <c r="C9" s="73">
        <f>[1]!wss($A9:$A9,"hks_stm_is","item=83","rptDate="&amp;($B9-3)&amp;"1231","rptType=1","currencyType=Cur=CNY","WssConvert=0","WssDivide=8","showcodes=N","cols=1;rows=1")</f>
        <v>1108.6072771439999</v>
      </c>
      <c r="D9" s="73">
        <f>[1]!wss($A9:$A9,"hks_stm_is","item=83","rptDate="&amp;($B9-2)&amp;"1231","rptType=1","currencyType=Cur=CNY","WssConvert=0","WssDivide=8","showcodes=N","cols=1;rows=1")</f>
        <v>1379.4689207686999</v>
      </c>
      <c r="E9" s="73">
        <f>[1]!wss($A9:$A9,"hks_stm_is","item=83","rptDate="&amp;($B9-1)&amp;"1231","rptType=1","currencyType=Cur=CNY","WssConvert=0","WssDivide=8","showcodes=N","cols=1;rows=1")</f>
        <v>1441.4496537168</v>
      </c>
      <c r="F9" s="73">
        <f>[1]!wss($A9:$A9,"hks_stm_is","item=61","rptDate="&amp;($B9-3)&amp;"1231","rptType=1","currencyType=Cur=CNY","WssConvert=0","WssDivide=8","showcodes=N","cols=1;rows=1")</f>
        <v>-42.632808203099998</v>
      </c>
      <c r="G9" s="73">
        <f>[1]!wss($A9:$A9,"hks_stm_is","item=61","rptDate="&amp;($B9-2)&amp;"1231","rptType=1","currencyType=Cur=CNY","WssConvert=0","WssDivide=8","showcodes=N","cols=1;rows=1")</f>
        <v>178.81260485270002</v>
      </c>
      <c r="H9" s="73">
        <f>[1]!wss($A9:$A9,"hks_stm_is","item=61","rptDate="&amp;($B9-1)&amp;"1231","rptType=1","currencyType=Cur=CNY","WssConvert=0","WssDivide=8","showcodes=N","cols=1;rows=1")</f>
        <v>154.8689125404</v>
      </c>
      <c r="I9" s="73">
        <f>[1]!wss($A9:$A9,"hks_fa_grossprofitmargin","rptDate="&amp;($B9-3)&amp;"1231","WssConvert=0","showcodes=N","cols=1;rows=1")</f>
        <v>3.1084000000000001</v>
      </c>
      <c r="J9" s="43">
        <f>[1]!wss($A9:$A9,"hks_fa_grossprofitmargin","rptDate="&amp;($B9-2)&amp;"1231","WssConvert=0","showcodes=N","cols=1;rows=1")</f>
        <v>19.051100000000002</v>
      </c>
      <c r="K9" s="43">
        <f>[1]!wss($A9:$A9,"hks_fa_grossprofitmargin","rptDate="&amp;($B9-1)&amp;"1231","WssConvert=0","showcodes=N","cols=1;rows=1")</f>
        <v>17.818100000000001</v>
      </c>
      <c r="L9" s="73">
        <f>[1]!wss($A9:$A9,"hks_fa_roe","rptDate="&amp;($B9-1)&amp;"1231","WssConvert=0","showcodes=N","cols=1;rows=1")</f>
        <v>20.6877</v>
      </c>
      <c r="M9" s="43">
        <f>[1]!wss($A9:$A9,"hks_fa_debttoassets","rptDate="&amp;($B9-1)&amp;"1231","WssConvert=0","showcodes=N","cols=1;rows=1")</f>
        <v>54.150799999999997</v>
      </c>
      <c r="P9" s="50">
        <v>1108.6072771439999</v>
      </c>
      <c r="Q9" s="50">
        <v>1379.4689207686999</v>
      </c>
      <c r="R9" s="50">
        <v>1441.4496537168</v>
      </c>
      <c r="S9" s="50">
        <v>-42.632808203099998</v>
      </c>
      <c r="T9" s="50">
        <v>178.81260485269999</v>
      </c>
      <c r="U9" s="50">
        <v>154.8689125404</v>
      </c>
      <c r="V9" s="50">
        <v>3.1084000000000001</v>
      </c>
      <c r="W9" s="50">
        <v>19.051100000000002</v>
      </c>
      <c r="X9" s="50">
        <v>17.818100000000001</v>
      </c>
    </row>
    <row r="10" spans="1:24">
      <c r="A10" t="s">
        <v>234</v>
      </c>
      <c r="B10" s="17">
        <f>IFERROR(YEAR(VLOOKUP($A10,'01_ipo_master'!$A:$C,3,FALSE)),YEAR(VLOOKUP("0"&amp;$A10,'01_ipo_master'!$A:$C,3,FALSE)))</f>
        <v>2022</v>
      </c>
      <c r="C10" s="73">
        <f>[1]!wss($A10:$A10,"hks_stm_is","item=83","rptDate="&amp;($B10-3)&amp;"1231","rptType=1","currencyType=Cur=CNY","WssConvert=0","WssDivide=8","showcodes=N","cols=1;rows=1")</f>
        <v>436.34055999999998</v>
      </c>
      <c r="D10" s="73">
        <f>[1]!wss($A10:$A10,"hks_stm_is","item=83","rptDate="&amp;($B10-2)&amp;"1231","rptType=1","currencyType=Cur=CNY","WssConvert=0","WssDivide=8","showcodes=N","cols=1;rows=1")</f>
        <v>496.29135000000002</v>
      </c>
      <c r="E10" s="73">
        <f>[1]!wss($A10:$A10,"hks_stm_is","item=83","rptDate="&amp;($B10-1)&amp;"1231","rptType=1","currencyType=Cur=CNY","WssConvert=0","WssDivide=8","showcodes=N","cols=1;rows=1")</f>
        <v>657.63174000000004</v>
      </c>
      <c r="F10" s="73">
        <f>[1]!wss($A10:$A10,"hks_stm_is","item=61","rptDate="&amp;($B10-3)&amp;"1231","rptType=1","currencyType=Cur=CNY","WssConvert=0","WssDivide=8","showcodes=N","cols=1;rows=1")</f>
        <v>-4.1533300000000004</v>
      </c>
      <c r="G10" s="73">
        <f>[1]!wss($A10:$A10,"hks_stm_is","item=61","rptDate="&amp;($B10-2)&amp;"1231","rptType=1","currencyType=Cur=CNY","WssConvert=0","WssDivide=8","showcodes=N","cols=1;rows=1")</f>
        <v>-4.0528700000000004</v>
      </c>
      <c r="H10" s="73">
        <f>[1]!wss($A10:$A10,"hks_stm_is","item=61","rptDate="&amp;($B10-1)&amp;"1231","rptType=1","currencyType=Cur=CNY","WssConvert=0","WssDivide=8","showcodes=N","cols=1;rows=1")</f>
        <v>-3.4988100000000002</v>
      </c>
      <c r="I10" s="73">
        <f>[1]!wss($A10:$A10,"hks_fa_grossprofitmargin","rptDate="&amp;($B10-3)&amp;"1231","WssConvert=0","showcodes=N","cols=1;rows=1")</f>
        <v>2.9315000000000002</v>
      </c>
      <c r="J10" s="43">
        <f>[1]!wss($A10:$A10,"hks_fa_grossprofitmargin","rptDate="&amp;($B10-2)&amp;"1231","WssConvert=0","showcodes=N","cols=1;rows=1")</f>
        <v>2.7090999999999998</v>
      </c>
      <c r="K10" s="43">
        <f>[1]!wss($A10:$A10,"hks_fa_grossprofitmargin","rptDate="&amp;($B10-1)&amp;"1231","WssConvert=0","showcodes=N","cols=1;rows=1")</f>
        <v>2.8403999999999998</v>
      </c>
      <c r="L10" s="73" t="str">
        <f>[1]!wss($A10:$A10,"hks_fa_roe","rptDate="&amp;($B10-1)&amp;"1231","WssConvert=0","showcodes=N","cols=1;rows=1")</f>
        <v/>
      </c>
      <c r="M10" s="43">
        <f>[1]!wss($A10:$A10,"hks_fa_debttoassets","rptDate="&amp;($B10-1)&amp;"1231","WssConvert=0","showcodes=N","cols=1;rows=1")</f>
        <v>106.7093</v>
      </c>
      <c r="P10" s="50">
        <v>824.3252</v>
      </c>
      <c r="Q10" s="50">
        <v>600.59328000000005</v>
      </c>
      <c r="R10" s="50">
        <v>522.97457999999995</v>
      </c>
      <c r="S10" s="50">
        <v>4.4827500000000002</v>
      </c>
      <c r="T10" s="50">
        <v>2.6973799999999999</v>
      </c>
      <c r="U10" s="50">
        <v>3.0029400000000002</v>
      </c>
      <c r="V10" s="50">
        <v>3.3235999999999999</v>
      </c>
      <c r="W10" s="50">
        <v>3.8443999999999998</v>
      </c>
      <c r="X10" s="50">
        <v>4.4581999999999997</v>
      </c>
    </row>
    <row r="11" spans="1:24">
      <c r="A11" t="s">
        <v>236</v>
      </c>
      <c r="B11" s="17">
        <f>IFERROR(YEAR(VLOOKUP($A11,'01_ipo_master'!$A:$C,3,FALSE)),YEAR(VLOOKUP("0"&amp;$A11,'01_ipo_master'!$A:$C,3,FALSE)))</f>
        <v>2022</v>
      </c>
      <c r="C11" s="73">
        <f>[1]!wss($A11:$A11,"hks_stm_is","item=83","rptDate="&amp;($B11-3)&amp;"1231","rptType=1","currencyType=Cur=CNY","WssConvert=0","WssDivide=8","showcodes=N","cols=1;rows=1")</f>
        <v>968.09</v>
      </c>
      <c r="D11" s="73">
        <f>[1]!wss($A11:$A11,"hks_stm_is","item=83","rptDate="&amp;($B11-2)&amp;"1231","rptType=1","currencyType=Cur=CNY","WssConvert=0","WssDivide=8","showcodes=N","cols=1;rows=1")</f>
        <v>1063.49</v>
      </c>
      <c r="E11" s="73">
        <f>[1]!wss($A11:$A11,"hks_stm_is","item=83","rptDate="&amp;($B11-1)&amp;"1231","rptType=1","currencyType=Cur=CNY","WssConvert=0","WssDivide=8","showcodes=N","cols=1;rows=1")</f>
        <v>1139.72</v>
      </c>
      <c r="F11" s="73">
        <f>[1]!wss($A11:$A11,"hks_stm_is","item=61","rptDate="&amp;($B11-3)&amp;"1231","rptType=1","currencyType=Cur=CNY","WssConvert=0","WssDivide=8","showcodes=N","cols=1;rows=1")</f>
        <v>50.86</v>
      </c>
      <c r="G11" s="73">
        <f>[1]!wss($A11:$A11,"hks_stm_is","item=61","rptDate="&amp;($B11-2)&amp;"1231","rptType=1","currencyType=Cur=CNY","WssConvert=0","WssDivide=8","showcodes=N","cols=1;rows=1")</f>
        <v>56.19</v>
      </c>
      <c r="H11" s="73">
        <f>[1]!wss($A11:$A11,"hks_stm_is","item=61","rptDate="&amp;($B11-1)&amp;"1231","rptType=1","currencyType=Cur=CNY","WssConvert=0","WssDivide=8","showcodes=N","cols=1;rows=1")</f>
        <v>58.83</v>
      </c>
      <c r="I11" s="73" t="str">
        <f>[1]!wss($A11:$A11,"hks_fa_grossprofitmargin","rptDate="&amp;($B11-3)&amp;"1231","WssConvert=0","showcodes=N","cols=1;rows=1")</f>
        <v/>
      </c>
      <c r="J11" s="43" t="str">
        <f>[1]!wss($A11:$A11,"hks_fa_grossprofitmargin","rptDate="&amp;($B11-2)&amp;"1231","WssConvert=0","showcodes=N","cols=1;rows=1")</f>
        <v/>
      </c>
      <c r="K11" s="43" t="str">
        <f>[1]!wss($A11:$A11,"hks_fa_grossprofitmargin","rptDate="&amp;($B11-1)&amp;"1231","WssConvert=0","showcodes=N","cols=1;rows=1")</f>
        <v/>
      </c>
      <c r="L11" s="73">
        <f>[1]!wss($A11:$A11,"hks_fa_roe","rptDate="&amp;($B11-1)&amp;"1231","WssConvert=0","showcodes=N","cols=1;rows=1")</f>
        <v>10.338800000000001</v>
      </c>
      <c r="M11" s="43">
        <f>[1]!wss($A11:$A11,"hks_fa_debttoassets","rptDate="&amp;($B11-1)&amp;"1231","WssConvert=0","showcodes=N","cols=1;rows=1")</f>
        <v>86.591300000000004</v>
      </c>
      <c r="P11" s="50">
        <v>786.88</v>
      </c>
      <c r="Q11" s="50">
        <v>837.41</v>
      </c>
      <c r="R11" s="50">
        <v>851.32</v>
      </c>
      <c r="S11" s="50">
        <v>37.380000000000003</v>
      </c>
      <c r="T11" s="50">
        <v>54.49</v>
      </c>
      <c r="U11" s="50">
        <v>63.07</v>
      </c>
      <c r="V11" s="50"/>
      <c r="W11" s="50"/>
      <c r="X11" s="50"/>
    </row>
    <row r="12" spans="1:24">
      <c r="A12" t="s">
        <v>238</v>
      </c>
      <c r="B12" s="17">
        <f>IFERROR(YEAR(VLOOKUP($A12,'01_ipo_master'!$A:$C,3,FALSE)),YEAR(VLOOKUP("0"&amp;$A12,'01_ipo_master'!$A:$C,3,FALSE)))</f>
        <v>2022</v>
      </c>
      <c r="C12" s="73">
        <f>[1]!wss($A12:$A12,"hks_stm_is","item=83","rptDate="&amp;($B12-3)&amp;"1231","rptType=1","currencyType=Cur=CNY","WssConvert=0","WssDivide=8","showcodes=N","cols=1;rows=1")</f>
        <v>460.14906000000002</v>
      </c>
      <c r="D12" s="73">
        <f>[1]!wss($A12:$A12,"hks_stm_is","item=83","rptDate="&amp;($B12-2)&amp;"1231","rptType=1","currencyType=Cur=CNY","WssConvert=0","WssDivide=8","showcodes=N","cols=1;rows=1")</f>
        <v>704.80978000000005</v>
      </c>
      <c r="E12" s="73">
        <f>[1]!wss($A12:$A12,"hks_stm_is","item=83","rptDate="&amp;($B12-1)&amp;"1231","rptType=1","currencyType=Cur=CNY","WssConvert=0","WssDivide=8","showcodes=N","cols=1;rows=1")</f>
        <v>807.52439000000004</v>
      </c>
      <c r="F12" s="73">
        <f>[1]!wss($A12:$A12,"hks_stm_is","item=61","rptDate="&amp;($B12-3)&amp;"1231","rptType=1","currencyType=Cur=CNY","WssConvert=0","WssDivide=8","showcodes=N","cols=1;rows=1")</f>
        <v>-21.835460000000001</v>
      </c>
      <c r="G12" s="73">
        <f>[1]!wss($A12:$A12,"hks_stm_is","item=61","rptDate="&amp;($B12-2)&amp;"1231","rptType=1","currencyType=Cur=CNY","WssConvert=0","WssDivide=8","showcodes=N","cols=1;rows=1")</f>
        <v>27.775919999999999</v>
      </c>
      <c r="H12" s="73">
        <f>[1]!wss($A12:$A12,"hks_stm_is","item=61","rptDate="&amp;($B12-1)&amp;"1231","rptType=1","currencyType=Cur=CNY","WssConvert=0","WssDivide=8","showcodes=N","cols=1;rows=1")</f>
        <v>-5.2412900000000002</v>
      </c>
      <c r="I12" s="73">
        <f>[1]!wss($A12:$A12,"hks_fa_grossprofitmargin","rptDate="&amp;($B12-3)&amp;"1231","WssConvert=0","showcodes=N","cols=1;rows=1")</f>
        <v>24.4878</v>
      </c>
      <c r="J12" s="43">
        <f>[1]!wss($A12:$A12,"hks_fa_grossprofitmargin","rptDate="&amp;($B12-2)&amp;"1231","WssConvert=0","showcodes=N","cols=1;rows=1")</f>
        <v>23.921099999999999</v>
      </c>
      <c r="K12" s="43">
        <f>[1]!wss($A12:$A12,"hks_fa_grossprofitmargin","rptDate="&amp;($B12-1)&amp;"1231","WssConvert=0","showcodes=N","cols=1;rows=1")</f>
        <v>19.59</v>
      </c>
      <c r="L12" s="73">
        <f>[1]!wss($A12:$A12,"hks_fa_roe","rptDate="&amp;($B12-1)&amp;"1231","WssConvert=0","showcodes=N","cols=1;rows=1")</f>
        <v>-0.78380000000000005</v>
      </c>
      <c r="M12" s="43">
        <f>[1]!wss($A12:$A12,"hks_fa_debttoassets","rptDate="&amp;($B12-1)&amp;"1231","WssConvert=0","showcodes=N","cols=1;rows=1")</f>
        <v>33.157600000000002</v>
      </c>
      <c r="P12" s="50">
        <v>777.76931999999999</v>
      </c>
      <c r="Q12" s="50">
        <v>934.57497999999998</v>
      </c>
      <c r="R12" s="50">
        <v>945.80205000000001</v>
      </c>
      <c r="S12" s="50">
        <v>58.832239999999999</v>
      </c>
      <c r="T12" s="50">
        <v>40.649000000000001</v>
      </c>
      <c r="U12" s="50">
        <v>29.93975</v>
      </c>
      <c r="V12" s="50">
        <v>27.923500000000001</v>
      </c>
      <c r="W12" s="50">
        <v>24.5503</v>
      </c>
      <c r="X12" s="50">
        <v>21.3703</v>
      </c>
    </row>
    <row r="13" spans="1:24">
      <c r="A13" t="s">
        <v>240</v>
      </c>
      <c r="B13" s="17">
        <f>IFERROR(YEAR(VLOOKUP($A13,'01_ipo_master'!$A:$C,3,FALSE)),YEAR(VLOOKUP("0"&amp;$A13,'01_ipo_master'!$A:$C,3,FALSE)))</f>
        <v>2025</v>
      </c>
      <c r="C13" s="73">
        <f>[1]!wss($A13:$A13,"hks_stm_is","item=83","rptDate="&amp;($B13-3)&amp;"1231","rptType=1","currencyType=Cur=CNY","WssConvert=0","WssDivide=8","showcodes=N","cols=1;rows=1")</f>
        <v>808.38530000000003</v>
      </c>
      <c r="D13" s="73">
        <f>[1]!wss($A13:$A13,"hks_stm_is","item=83","rptDate="&amp;($B13-2)&amp;"1231","rptType=1","currencyType=Cur=CNY","WssConvert=0","WssDivide=8","showcodes=N","cols=1;rows=1")</f>
        <v>740.18935999999997</v>
      </c>
      <c r="E13" s="73">
        <f>[1]!wss($A13:$A13,"hks_stm_is","item=83","rptDate="&amp;($B13-1)&amp;"1231","rptType=1","currencyType=Cur=CNY","WssConvert=0","WssDivide=8","showcodes=N","cols=1;rows=1")</f>
        <v>783.83379000000002</v>
      </c>
      <c r="F13" s="73">
        <f>[1]!wss($A13:$A13,"hks_stm_is","item=61","rptDate="&amp;($B13-3)&amp;"1231","rptType=1","currencyType=Cur=CNY","WssConvert=0","WssDivide=8","showcodes=N","cols=1;rows=1")</f>
        <v>43.01041</v>
      </c>
      <c r="G13" s="73">
        <f>[1]!wss($A13:$A13,"hks_stm_is","item=61","rptDate="&amp;($B13-2)&amp;"1231","rptType=1","currencyType=Cur=CNY","WssConvert=0","WssDivide=8","showcodes=N","cols=1;rows=1")</f>
        <v>45.274509999999999</v>
      </c>
      <c r="H13" s="73">
        <f>[1]!wss($A13:$A13,"hks_stm_is","item=61","rptDate="&amp;($B13-1)&amp;"1231","rptType=1","currencyType=Cur=CNY","WssConvert=0","WssDivide=8","showcodes=N","cols=1;rows=1")</f>
        <v>59.754510000000003</v>
      </c>
      <c r="I13" s="73">
        <f>[1]!wss($A13:$A13,"hks_fa_grossprofitmargin","rptDate="&amp;($B13-3)&amp;"1231","WssConvert=0","showcodes=N","cols=1;rows=1")</f>
        <v>22.633099999999999</v>
      </c>
      <c r="J13" s="43">
        <f>[1]!wss($A13:$A13,"hks_fa_grossprofitmargin","rptDate="&amp;($B13-2)&amp;"1231","WssConvert=0","showcodes=N","cols=1;rows=1")</f>
        <v>26.447600000000001</v>
      </c>
      <c r="K13" s="43">
        <f>[1]!wss($A13:$A13,"hks_fa_grossprofitmargin","rptDate="&amp;($B13-1)&amp;"1231","WssConvert=0","showcodes=N","cols=1;rows=1")</f>
        <v>26.6676</v>
      </c>
      <c r="L13" s="73">
        <f>[1]!wss($A13:$A13,"hks_fa_roe","rptDate="&amp;($B13-1)&amp;"1231","WssConvert=0","showcodes=N","cols=1;rows=1")</f>
        <v>8.5373999999999999</v>
      </c>
      <c r="M13" s="43">
        <f>[1]!wss($A13:$A13,"hks_fa_debttoassets","rptDate="&amp;($B13-1)&amp;"1231","WssConvert=0","showcodes=N","cols=1;rows=1")</f>
        <v>52.0184</v>
      </c>
      <c r="P13" s="50">
        <v>740.18935999999997</v>
      </c>
      <c r="Q13" s="50">
        <v>783.83379000000002</v>
      </c>
      <c r="R13" s="50">
        <v>896.99504999999999</v>
      </c>
      <c r="S13" s="50">
        <v>45.274509999999999</v>
      </c>
      <c r="T13" s="50">
        <v>59.754510000000003</v>
      </c>
      <c r="U13" s="50">
        <v>84.080569999999994</v>
      </c>
      <c r="V13" s="50">
        <v>26.447600000000001</v>
      </c>
      <c r="W13" s="50">
        <v>26.6676</v>
      </c>
      <c r="X13" s="50">
        <v>27.724</v>
      </c>
    </row>
    <row r="14" spans="1:24">
      <c r="A14" t="s">
        <v>243</v>
      </c>
      <c r="B14" s="17">
        <f>IFERROR(YEAR(VLOOKUP($A14,'01_ipo_master'!$A:$C,3,FALSE)),YEAR(VLOOKUP("0"&amp;$A14,'01_ipo_master'!$A:$C,3,FALSE)))</f>
        <v>2022</v>
      </c>
      <c r="C14" s="73">
        <f>[1]!wss($A14:$A14,"hks_stm_is","item=83","rptDate="&amp;($B14-3)&amp;"1231","rptType=1","currencyType=Cur=CNY","WssConvert=0","WssDivide=8","showcodes=N","cols=1;rows=1")</f>
        <v>480.64669000000004</v>
      </c>
      <c r="D14" s="73">
        <f>[1]!wss($A14:$A14,"hks_stm_is","item=83","rptDate="&amp;($B14-2)&amp;"1231","rptType=1","currencyType=Cur=CNY","WssConvert=0","WssDivide=8","showcodes=N","cols=1;rows=1")</f>
        <v>525.97807</v>
      </c>
      <c r="E14" s="73">
        <f>[1]!wss($A14:$A14,"hks_stm_is","item=83","rptDate="&amp;($B14-1)&amp;"1231","rptType=1","currencyType=Cur=CNY","WssConvert=0","WssDivide=8","showcodes=N","cols=1;rows=1")</f>
        <v>676.75514999999996</v>
      </c>
      <c r="F14" s="73">
        <f>[1]!wss($A14:$A14,"hks_stm_is","item=61","rptDate="&amp;($B14-3)&amp;"1231","rptType=1","currencyType=Cur=CNY","WssConvert=0","WssDivide=8","showcodes=N","cols=1;rows=1")</f>
        <v>44.975729999999999</v>
      </c>
      <c r="G14" s="73">
        <f>[1]!wss($A14:$A14,"hks_stm_is","item=61","rptDate="&amp;($B14-2)&amp;"1231","rptType=1","currencyType=Cur=CNY","WssConvert=0","WssDivide=8","showcodes=N","cols=1;rows=1")</f>
        <v>59.313479999999998</v>
      </c>
      <c r="H14" s="73">
        <f>[1]!wss($A14:$A14,"hks_stm_is","item=61","rptDate="&amp;($B14-1)&amp;"1231","rptType=1","currencyType=Cur=CNY","WssConvert=0","WssDivide=8","showcodes=N","cols=1;rows=1")</f>
        <v>97.265569999999997</v>
      </c>
      <c r="I14" s="73">
        <f>[1]!wss($A14:$A14,"hks_fa_grossprofitmargin","rptDate="&amp;($B14-3)&amp;"1231","WssConvert=0","showcodes=N","cols=1;rows=1")</f>
        <v>51.075499999999998</v>
      </c>
      <c r="J14" s="43">
        <f>[1]!wss($A14:$A14,"hks_fa_grossprofitmargin","rptDate="&amp;($B14-2)&amp;"1231","WssConvert=0","showcodes=N","cols=1;rows=1")</f>
        <v>38.915100000000002</v>
      </c>
      <c r="K14" s="43">
        <f>[1]!wss($A14:$A14,"hks_fa_grossprofitmargin","rptDate="&amp;($B14-1)&amp;"1231","WssConvert=0","showcodes=N","cols=1;rows=1")</f>
        <v>32.942799999999998</v>
      </c>
      <c r="L14" s="73">
        <f>[1]!wss($A14:$A14,"hks_fa_roe","rptDate="&amp;($B14-1)&amp;"1231","WssConvert=0","showcodes=N","cols=1;rows=1")</f>
        <v>38.020000000000003</v>
      </c>
      <c r="M14" s="43">
        <f>[1]!wss($A14:$A14,"hks_fa_debttoassets","rptDate="&amp;($B14-1)&amp;"1231","WssConvert=0","showcodes=N","cols=1;rows=1")</f>
        <v>37.5351</v>
      </c>
      <c r="P14" s="50">
        <v>675.40105000000005</v>
      </c>
      <c r="Q14" s="50">
        <v>564.73847999999998</v>
      </c>
      <c r="R14" s="50">
        <v>536.93579</v>
      </c>
      <c r="S14" s="50">
        <v>67.900270000000006</v>
      </c>
      <c r="T14" s="50">
        <v>43.236429999999999</v>
      </c>
      <c r="U14" s="50">
        <v>36.439050000000002</v>
      </c>
      <c r="V14" s="50">
        <v>30.874700000000001</v>
      </c>
      <c r="W14" s="50">
        <v>30.7165</v>
      </c>
      <c r="X14" s="50">
        <v>31.7575</v>
      </c>
    </row>
    <row r="15" spans="1:24">
      <c r="A15" t="s">
        <v>246</v>
      </c>
      <c r="B15" s="17">
        <f>IFERROR(YEAR(VLOOKUP($A15,'01_ipo_master'!$A:$C,3,FALSE)),YEAR(VLOOKUP("0"&amp;$A15,'01_ipo_master'!$A:$C,3,FALSE)))</f>
        <v>2023</v>
      </c>
      <c r="C15" s="73">
        <f>[1]!wss($A15:$A15,"hks_stm_is","item=83","rptDate="&amp;($B15-3)&amp;"1231","rptType=1","currencyType=Cur=CNY","WssConvert=0","WssDivide=8","showcodes=N","cols=1;rows=1")</f>
        <v>100.184945825</v>
      </c>
      <c r="D15" s="73">
        <f>[1]!wss($A15:$A15,"hks_stm_is","item=83","rptDate="&amp;($B15-2)&amp;"1231","rptType=1","currencyType=Cur=CNY","WssConvert=0","WssDivide=8","showcodes=N","cols=1;rows=1")</f>
        <v>309.33621260000001</v>
      </c>
      <c r="E15" s="73">
        <f>[1]!wss($A15:$A15,"hks_stm_is","item=83","rptDate="&amp;($B15-1)&amp;"1231","rptType=1","currencyType=Cur=CNY","WssConvert=0","WssDivide=8","showcodes=N","cols=1;rows=1")</f>
        <v>506.14729048800007</v>
      </c>
      <c r="F15" s="73">
        <f>[1]!wss($A15:$A15,"hks_stm_is","item=61","rptDate="&amp;($B15-3)&amp;"1231","rptType=1","currencyType=Cur=CNY","WssConvert=0","WssDivide=8","showcodes=N","cols=1;rows=1")</f>
        <v>-36.854984163999994</v>
      </c>
      <c r="G15" s="73">
        <f>[1]!wss($A15:$A15,"hks_stm_is","item=61","rptDate="&amp;($B15-2)&amp;"1231","rptType=1","currencyType=Cur=CNY","WssConvert=0","WssDivide=8","showcodes=N","cols=1;rows=1")</f>
        <v>-385.53749513100001</v>
      </c>
      <c r="H15" s="73">
        <f>[1]!wss($A15:$A15,"hks_stm_is","item=61","rptDate="&amp;($B15-1)&amp;"1231","rptType=1","currencyType=Cur=CNY","WssConvert=0","WssDivide=8","showcodes=N","cols=1;rows=1")</f>
        <v>115.34547652800002</v>
      </c>
      <c r="I15" s="73">
        <f>[1]!wss($A15:$A15,"hks_fa_grossprofitmargin","rptDate="&amp;($B15-3)&amp;"1231","WssConvert=0","showcodes=N","cols=1;rows=1")</f>
        <v>-17.0303</v>
      </c>
      <c r="J15" s="43">
        <f>[1]!wss($A15:$A15,"hks_fa_grossprofitmargin","rptDate="&amp;($B15-2)&amp;"1231","WssConvert=0","showcodes=N","cols=1;rows=1")</f>
        <v>-11.2277</v>
      </c>
      <c r="K15" s="43">
        <f>[1]!wss($A15:$A15,"hks_fa_grossprofitmargin","rptDate="&amp;($B15-1)&amp;"1231","WssConvert=0","showcodes=N","cols=1;rows=1")</f>
        <v>-3.7185000000000001</v>
      </c>
      <c r="L15" s="73" t="str">
        <f>[1]!wss($A15:$A15,"hks_fa_roe","rptDate="&amp;($B15-1)&amp;"1231","WssConvert=0","showcodes=N","cols=1;rows=1")</f>
        <v/>
      </c>
      <c r="M15" s="43">
        <f>[1]!wss($A15:$A15,"hks_fa_debttoassets","rptDate="&amp;($B15-1)&amp;"1231","WssConvert=0","showcodes=N","cols=1;rows=1")</f>
        <v>183.9727</v>
      </c>
      <c r="P15" s="50">
        <v>626.76590057700002</v>
      </c>
      <c r="Q15" s="50">
        <v>737.46543193599996</v>
      </c>
      <c r="R15" s="50">
        <v>854.547868128</v>
      </c>
      <c r="S15" s="50">
        <v>-77.979677076000002</v>
      </c>
      <c r="T15" s="50">
        <v>7.228583156</v>
      </c>
      <c r="U15" s="50">
        <v>13.945982656</v>
      </c>
      <c r="V15" s="50">
        <v>5.3428000000000004</v>
      </c>
      <c r="W15" s="50">
        <v>10.5098</v>
      </c>
      <c r="X15" s="50">
        <v>12.0307</v>
      </c>
    </row>
    <row r="16" spans="1:24">
      <c r="A16" t="s">
        <v>248</v>
      </c>
      <c r="B16" s="17">
        <f>IFERROR(YEAR(VLOOKUP($A16,'01_ipo_master'!$A:$C,3,FALSE)),YEAR(VLOOKUP("0"&amp;$A16,'01_ipo_master'!$A:$C,3,FALSE)))</f>
        <v>2025</v>
      </c>
      <c r="C16" s="73">
        <f>[1]!wss($A16:$A16,"hks_stm_is","item=83","rptDate="&amp;($B16-3)&amp;"1231","rptType=1","currencyType=Cur=CNY","WssConvert=0","WssDivide=8","showcodes=N","cols=1;rows=1")</f>
        <v>497.93351999999999</v>
      </c>
      <c r="D16" s="73">
        <f>[1]!wss($A16:$A16,"hks_stm_is","item=83","rptDate="&amp;($B16-2)&amp;"1231","rptType=1","currencyType=Cur=CNY","WssConvert=0","WssDivide=8","showcodes=N","cols=1;rows=1")</f>
        <v>557.28476000000001</v>
      </c>
      <c r="E16" s="73">
        <f>[1]!wss($A16:$A16,"hks_stm_is","item=83","rptDate="&amp;($B16-1)&amp;"1231","rptType=1","currencyType=Cur=CNY","WssConvert=0","WssDivide=8","showcodes=N","cols=1;rows=1")</f>
        <v>558.63576999999998</v>
      </c>
      <c r="F16" s="73">
        <f>[1]!wss($A16:$A16,"hks_stm_is","item=61","rptDate="&amp;($B16-3)&amp;"1231","rptType=1","currencyType=Cur=CNY","WssConvert=0","WssDivide=8","showcodes=N","cols=1;rows=1")</f>
        <v>3.94184</v>
      </c>
      <c r="G16" s="73">
        <f>[1]!wss($A16:$A16,"hks_stm_is","item=61","rptDate="&amp;($B16-2)&amp;"1231","rptType=1","currencyType=Cur=CNY","WssConvert=0","WssDivide=8","showcodes=N","cols=1;rows=1")</f>
        <v>10.831910000000001</v>
      </c>
      <c r="H16" s="73">
        <f>[1]!wss($A16:$A16,"hks_stm_is","item=61","rptDate="&amp;($B16-1)&amp;"1231","rptType=1","currencyType=Cur=CNY","WssConvert=0","WssDivide=8","showcodes=N","cols=1;rows=1")</f>
        <v>9.6046999999999993</v>
      </c>
      <c r="I16" s="73">
        <f>[1]!wss($A16:$A16,"hks_fa_grossprofitmargin","rptDate="&amp;($B16-3)&amp;"1231","WssConvert=0","showcodes=N","cols=1;rows=1")</f>
        <v>11.13</v>
      </c>
      <c r="J16" s="43">
        <f>[1]!wss($A16:$A16,"hks_fa_grossprofitmargin","rptDate="&amp;($B16-2)&amp;"1231","WssConvert=0","showcodes=N","cols=1;rows=1")</f>
        <v>14.4575</v>
      </c>
      <c r="K16" s="43">
        <f>[1]!wss($A16:$A16,"hks_fa_grossprofitmargin","rptDate="&amp;($B16-1)&amp;"1231","WssConvert=0","showcodes=N","cols=1;rows=1")</f>
        <v>16.224799999999998</v>
      </c>
      <c r="L16" s="73">
        <f>[1]!wss($A16:$A16,"hks_fa_roe","rptDate="&amp;($B16-1)&amp;"1231","WssConvert=0","showcodes=N","cols=1;rows=1")</f>
        <v>7.0785999999999998</v>
      </c>
      <c r="M16" s="43">
        <f>[1]!wss($A16:$A16,"hks_fa_debttoassets","rptDate="&amp;($B16-1)&amp;"1231","WssConvert=0","showcodes=N","cols=1;rows=1")</f>
        <v>69.0715</v>
      </c>
      <c r="P16" s="50">
        <v>557.28476000000001</v>
      </c>
      <c r="Q16" s="50">
        <v>558.63576999999998</v>
      </c>
      <c r="R16" s="50">
        <v>611.82689000000005</v>
      </c>
      <c r="S16" s="50">
        <v>10.831910000000001</v>
      </c>
      <c r="T16" s="50">
        <v>9.6046999999999993</v>
      </c>
      <c r="U16" s="50">
        <v>13.3582</v>
      </c>
      <c r="V16" s="50">
        <v>14.4575</v>
      </c>
      <c r="W16" s="50">
        <v>16.224799999999998</v>
      </c>
      <c r="X16" s="50">
        <v>18.299399999999999</v>
      </c>
    </row>
    <row r="17" spans="1:24">
      <c r="A17" t="s">
        <v>251</v>
      </c>
      <c r="B17" s="17">
        <f>IFERROR(YEAR(VLOOKUP($A17,'01_ipo_master'!$A:$C,3,FALSE)),YEAR(VLOOKUP("0"&amp;$A17,'01_ipo_master'!$A:$C,3,FALSE)))</f>
        <v>2022</v>
      </c>
      <c r="C17" s="73">
        <f>[1]!wss($A17:$A17,"hks_stm_is","item=83","rptDate="&amp;($B17-3)&amp;"1231","rptType=1","currencyType=Cur=CNY","WssConvert=0","WssDivide=8","showcodes=N","cols=1;rows=1")</f>
        <v>78.249040000000008</v>
      </c>
      <c r="D17" s="73">
        <f>[1]!wss($A17:$A17,"hks_stm_is","item=83","rptDate="&amp;($B17-2)&amp;"1231","rptType=1","currencyType=Cur=CNY","WssConvert=0","WssDivide=8","showcodes=N","cols=1;rows=1")</f>
        <v>162.57933</v>
      </c>
      <c r="E17" s="73">
        <f>[1]!wss($A17:$A17,"hks_stm_is","item=83","rptDate="&amp;($B17-1)&amp;"1231","rptType=1","currencyType=Cur=CNY","WssConvert=0","WssDivide=8","showcodes=N","cols=1;rows=1")</f>
        <v>361.36423000000002</v>
      </c>
      <c r="F17" s="73">
        <f>[1]!wss($A17:$A17,"hks_stm_is","item=61","rptDate="&amp;($B17-3)&amp;"1231","rptType=1","currencyType=Cur=CNY","WssConvert=0","WssDivide=8","showcodes=N","cols=1;rows=1")</f>
        <v>-114.13101</v>
      </c>
      <c r="G17" s="73">
        <f>[1]!wss($A17:$A17,"hks_stm_is","item=61","rptDate="&amp;($B17-2)&amp;"1231","rptType=1","currencyType=Cur=CNY","WssConvert=0","WssDivide=8","showcodes=N","cols=1;rows=1")</f>
        <v>-56.107900000000001</v>
      </c>
      <c r="H17" s="73">
        <f>[1]!wss($A17:$A17,"hks_stm_is","item=61","rptDate="&amp;($B17-1)&amp;"1231","rptType=1","currencyType=Cur=CNY","WssConvert=0","WssDivide=8","showcodes=N","cols=1;rows=1")</f>
        <v>-105.72309</v>
      </c>
      <c r="I17" s="73">
        <f>[1]!wss($A17:$A17,"hks_fa_grossprofitmargin","rptDate="&amp;($B17-3)&amp;"1231","WssConvert=0","showcodes=N","cols=1;rows=1")</f>
        <v>-15.320600000000001</v>
      </c>
      <c r="J17" s="43">
        <f>[1]!wss($A17:$A17,"hks_fa_grossprofitmargin","rptDate="&amp;($B17-2)&amp;"1231","WssConvert=0","showcodes=N","cols=1;rows=1")</f>
        <v>11.523099999999999</v>
      </c>
      <c r="K17" s="43">
        <f>[1]!wss($A17:$A17,"hks_fa_grossprofitmargin","rptDate="&amp;($B17-1)&amp;"1231","WssConvert=0","showcodes=N","cols=1;rows=1")</f>
        <v>18.876899999999999</v>
      </c>
      <c r="L17" s="73">
        <f>[1]!wss($A17:$A17,"hks_fa_roe","rptDate="&amp;($B17-1)&amp;"1231","WssConvert=0","showcodes=N","cols=1;rows=1")</f>
        <v>-34.170999999999999</v>
      </c>
      <c r="M17" s="43">
        <f>[1]!wss($A17:$A17,"hks_fa_debttoassets","rptDate="&amp;($B17-1)&amp;"1231","WssConvert=0","showcodes=N","cols=1;rows=1")</f>
        <v>54.076099999999997</v>
      </c>
      <c r="P17" s="50">
        <v>556.17933000000005</v>
      </c>
      <c r="Q17" s="50">
        <v>657.31559000000004</v>
      </c>
      <c r="R17" s="50">
        <v>874.87509999999997</v>
      </c>
      <c r="S17" s="50">
        <v>-211.46967000000001</v>
      </c>
      <c r="T17" s="50">
        <v>-226.57692</v>
      </c>
      <c r="U17" s="50">
        <v>-155.70678000000001</v>
      </c>
      <c r="V17" s="50">
        <v>5.4870999999999999</v>
      </c>
      <c r="W17" s="50">
        <v>9.8777000000000008</v>
      </c>
      <c r="X17" s="50">
        <v>13.619899999999999</v>
      </c>
    </row>
    <row r="18" spans="1:24">
      <c r="A18" t="s">
        <v>253</v>
      </c>
      <c r="B18" s="17">
        <f>IFERROR(YEAR(VLOOKUP($A18,'01_ipo_master'!$A:$C,3,FALSE)),YEAR(VLOOKUP("0"&amp;$A18,'01_ipo_master'!$A:$C,3,FALSE)))</f>
        <v>2025</v>
      </c>
      <c r="C18" s="73">
        <f>[1]!wss($A18:$A18,"hks_stm_is","item=83","rptDate="&amp;($B18-3)&amp;"1231","rptType=1","currencyType=Cur=CNY","WssConvert=0","WssDivide=8","showcodes=N","cols=1;rows=1")</f>
        <v>466.98545999999999</v>
      </c>
      <c r="D18" s="73">
        <f>[1]!wss($A18:$A18,"hks_stm_is","item=83","rptDate="&amp;($B18-2)&amp;"1231","rptType=1","currencyType=Cur=CNY","WssConvert=0","WssDivide=8","showcodes=N","cols=1;rows=1")</f>
        <v>544.90733999999998</v>
      </c>
      <c r="E18" s="73">
        <f>[1]!wss($A18:$A18,"hks_stm_is","item=83","rptDate="&amp;($B18-1)&amp;"1231","rptType=1","currencyType=Cur=CNY","WssConvert=0","WssDivide=8","showcodes=N","cols=1;rows=1")</f>
        <v>698.96776</v>
      </c>
      <c r="F18" s="73">
        <f>[1]!wss($A18:$A18,"hks_stm_is","item=61","rptDate="&amp;($B18-3)&amp;"1231","rptType=1","currencyType=Cur=CNY","WssConvert=0","WssDivide=8","showcodes=N","cols=1;rows=1")</f>
        <v>24.480370000000001</v>
      </c>
      <c r="G18" s="73">
        <f>[1]!wss($A18:$A18,"hks_stm_is","item=61","rptDate="&amp;($B18-2)&amp;"1231","rptType=1","currencyType=Cur=CNY","WssConvert=0","WssDivide=8","showcodes=N","cols=1;rows=1")</f>
        <v>30.213419999999999</v>
      </c>
      <c r="H18" s="73">
        <f>[1]!wss($A18:$A18,"hks_stm_is","item=61","rptDate="&amp;($B18-1)&amp;"1231","rptType=1","currencyType=Cur=CNY","WssConvert=0","WssDivide=8","showcodes=N","cols=1;rows=1")</f>
        <v>36.23901</v>
      </c>
      <c r="I18" s="73">
        <f>[1]!wss($A18:$A18,"hks_fa_grossprofitmargin","rptDate="&amp;($B18-3)&amp;"1231","WssConvert=0","showcodes=N","cols=1;rows=1")</f>
        <v>18.302299999999999</v>
      </c>
      <c r="J18" s="43">
        <f>[1]!wss($A18:$A18,"hks_fa_grossprofitmargin","rptDate="&amp;($B18-2)&amp;"1231","WssConvert=0","showcodes=N","cols=1;rows=1")</f>
        <v>15.584099999999999</v>
      </c>
      <c r="K18" s="43">
        <f>[1]!wss($A18:$A18,"hks_fa_grossprofitmargin","rptDate="&amp;($B18-1)&amp;"1231","WssConvert=0","showcodes=N","cols=1;rows=1")</f>
        <v>14.5693</v>
      </c>
      <c r="L18" s="73">
        <f>[1]!wss($A18:$A18,"hks_fa_roe","rptDate="&amp;($B18-1)&amp;"1231","WssConvert=0","showcodes=N","cols=1;rows=1")</f>
        <v>7.6295999999999999</v>
      </c>
      <c r="M18" s="43">
        <f>[1]!wss($A18:$A18,"hks_fa_debttoassets","rptDate="&amp;($B18-1)&amp;"1231","WssConvert=0","showcodes=N","cols=1;rows=1")</f>
        <v>39.708399999999997</v>
      </c>
      <c r="P18" s="50">
        <v>544.90733999999998</v>
      </c>
      <c r="Q18" s="50">
        <v>698.96776</v>
      </c>
      <c r="R18" s="50">
        <v>744.09731999999997</v>
      </c>
      <c r="S18" s="50">
        <v>30.213419999999999</v>
      </c>
      <c r="T18" s="50">
        <v>36.23901</v>
      </c>
      <c r="U18" s="50">
        <v>40.178269999999998</v>
      </c>
      <c r="V18" s="50">
        <v>15.584099999999999</v>
      </c>
      <c r="W18" s="50">
        <v>14.5693</v>
      </c>
      <c r="X18" s="50">
        <v>14.931800000000001</v>
      </c>
    </row>
    <row r="19" spans="1:24">
      <c r="A19" t="s">
        <v>256</v>
      </c>
      <c r="B19" s="17">
        <f>IFERROR(YEAR(VLOOKUP($A19,'01_ipo_master'!$A:$C,3,FALSE)),YEAR(VLOOKUP("0"&amp;$A19,'01_ipo_master'!$A:$C,3,FALSE)))</f>
        <v>2022</v>
      </c>
      <c r="C19" s="73">
        <f>[1]!wss($A19:$A19,"hks_stm_is","item=83","rptDate="&amp;($B19-3)&amp;"1231","rptType=1","currencyType=Cur=CNY","WssConvert=0","WssDivide=8","showcodes=N","cols=1;rows=1")</f>
        <v>48.163609999999998</v>
      </c>
      <c r="D19" s="73">
        <f>[1]!wss($A19:$A19,"hks_stm_is","item=83","rptDate="&amp;($B19-2)&amp;"1231","rptType=1","currencyType=Cur=CNY","WssConvert=0","WssDivide=8","showcodes=N","cols=1;rows=1")</f>
        <v>32.15231</v>
      </c>
      <c r="E19" s="73">
        <f>[1]!wss($A19:$A19,"hks_stm_is","item=83","rptDate="&amp;($B19-1)&amp;"1231","rptType=1","currencyType=Cur=CNY","WssConvert=0","WssDivide=8","showcodes=N","cols=1;rows=1")</f>
        <v>75.978629999999995</v>
      </c>
      <c r="F19" s="73">
        <f>[1]!wss($A19:$A19,"hks_stm_is","item=61","rptDate="&amp;($B19-3)&amp;"1231","rptType=1","currencyType=Cur=CNY","WssConvert=0","WssDivide=8","showcodes=N","cols=1;rows=1")</f>
        <v>-59.814350000000005</v>
      </c>
      <c r="G19" s="73">
        <f>[1]!wss($A19:$A19,"hks_stm_is","item=61","rptDate="&amp;($B19-2)&amp;"1231","rptType=1","currencyType=Cur=CNY","WssConvert=0","WssDivide=8","showcodes=N","cols=1;rows=1")</f>
        <v>-18.309200000000001</v>
      </c>
      <c r="H19" s="73">
        <f>[1]!wss($A19:$A19,"hks_stm_is","item=61","rptDate="&amp;($B19-1)&amp;"1231","rptType=1","currencyType=Cur=CNY","WssConvert=0","WssDivide=8","showcodes=N","cols=1;rows=1")</f>
        <v>36.491849999999999</v>
      </c>
      <c r="I19" s="73">
        <f>[1]!wss($A19:$A19,"hks_fa_grossprofitmargin","rptDate="&amp;($B19-3)&amp;"1231","WssConvert=0","showcodes=N","cols=1;rows=1")</f>
        <v>56.002400000000002</v>
      </c>
      <c r="J19" s="43">
        <f>[1]!wss($A19:$A19,"hks_fa_grossprofitmargin","rptDate="&amp;($B19-2)&amp;"1231","WssConvert=0","showcodes=N","cols=1;rows=1")</f>
        <v>41.272100000000002</v>
      </c>
      <c r="K19" s="43">
        <f>[1]!wss($A19:$A19,"hks_fa_grossprofitmargin","rptDate="&amp;($B19-1)&amp;"1231","WssConvert=0","showcodes=N","cols=1;rows=1")</f>
        <v>61.7</v>
      </c>
      <c r="L19" s="73">
        <f>[1]!wss($A19:$A19,"hks_fa_roe","rptDate="&amp;($B19-1)&amp;"1231","WssConvert=0","showcodes=N","cols=1;rows=1")</f>
        <v>37.315600000000003</v>
      </c>
      <c r="M19" s="43">
        <f>[1]!wss($A19:$A19,"hks_fa_debttoassets","rptDate="&amp;($B19-1)&amp;"1231","WssConvert=0","showcodes=N","cols=1;rows=1")</f>
        <v>56.784199999999998</v>
      </c>
      <c r="P19" s="50">
        <v>404.48302999999999</v>
      </c>
      <c r="Q19" s="50">
        <v>130.29739000000001</v>
      </c>
      <c r="R19" s="50">
        <v>103.22472</v>
      </c>
      <c r="S19" s="50">
        <v>72.783429999999996</v>
      </c>
      <c r="T19" s="50">
        <v>-87.270210000000006</v>
      </c>
      <c r="U19" s="50">
        <v>4.5842999999999998</v>
      </c>
      <c r="V19" s="50">
        <v>84.9178</v>
      </c>
      <c r="W19" s="50">
        <v>45.9818</v>
      </c>
      <c r="X19" s="50">
        <v>39.316600000000001</v>
      </c>
    </row>
    <row r="20" spans="1:24">
      <c r="A20" t="s">
        <v>259</v>
      </c>
      <c r="B20" s="17">
        <f>IFERROR(YEAR(VLOOKUP($A20,'01_ipo_master'!$A:$C,3,FALSE)),YEAR(VLOOKUP("0"&amp;$A20,'01_ipo_master'!$A:$C,3,FALSE)))</f>
        <v>2025</v>
      </c>
      <c r="C20" s="73">
        <f>[1]!wss($A20:$A20,"hks_stm_is","item=83","rptDate="&amp;($B20-3)&amp;"1231","rptType=1","currencyType=Cur=CNY","WssConvert=0","WssDivide=8","showcodes=N","cols=1;rows=1")</f>
        <v>340.56074000000001</v>
      </c>
      <c r="D20" s="73">
        <f>[1]!wss($A20:$A20,"hks_stm_is","item=83","rptDate="&amp;($B20-2)&amp;"1231","rptType=1","currencyType=Cur=CNY","WssConvert=0","WssDivide=8","showcodes=N","cols=1;rows=1")</f>
        <v>357.88884999999999</v>
      </c>
      <c r="E20" s="73">
        <f>[1]!wss($A20:$A20,"hks_stm_is","item=83","rptDate="&amp;($B20-1)&amp;"1231","rptType=1","currencyType=Cur=CNY","WssConvert=0","WssDivide=8","showcodes=N","cols=1;rows=1")</f>
        <v>1451.1362300000001</v>
      </c>
      <c r="F20" s="73">
        <f>[1]!wss($A20:$A20,"hks_stm_is","item=61","rptDate="&amp;($B20-3)&amp;"1231","rptType=1","currencyType=Cur=CNY","WssConvert=0","WssDivide=8","showcodes=N","cols=1;rows=1")</f>
        <v>-38.318660000000001</v>
      </c>
      <c r="G20" s="73">
        <f>[1]!wss($A20:$A20,"hks_stm_is","item=61","rptDate="&amp;($B20-2)&amp;"1231","rptType=1","currencyType=Cur=CNY","WssConvert=0","WssDivide=8","showcodes=N","cols=1;rows=1")</f>
        <v>-24.496870000000001</v>
      </c>
      <c r="H20" s="73">
        <f>[1]!wss($A20:$A20,"hks_stm_is","item=61","rptDate="&amp;($B20-1)&amp;"1231","rptType=1","currencyType=Cur=CNY","WssConvert=0","WssDivide=8","showcodes=N","cols=1;rows=1")</f>
        <v>59.459450000000004</v>
      </c>
      <c r="I20" s="73">
        <f>[1]!wss($A20:$A20,"hks_fa_grossprofitmargin","rptDate="&amp;($B20-3)&amp;"1231","WssConvert=0","showcodes=N","cols=1;rows=1")</f>
        <v>8.0091999999999999</v>
      </c>
      <c r="J20" s="43">
        <f>[1]!wss($A20:$A20,"hks_fa_grossprofitmargin","rptDate="&amp;($B20-2)&amp;"1231","WssConvert=0","showcodes=N","cols=1;rows=1")</f>
        <v>7.1840999999999999</v>
      </c>
      <c r="K20" s="43">
        <f>[1]!wss($A20:$A20,"hks_fa_grossprofitmargin","rptDate="&amp;($B20-1)&amp;"1231","WssConvert=0","showcodes=N","cols=1;rows=1")</f>
        <v>23.8093</v>
      </c>
      <c r="L20" s="73">
        <f>[1]!wss($A20:$A20,"hks_fa_roe","rptDate="&amp;($B20-1)&amp;"1231","WssConvert=0","showcodes=N","cols=1;rows=1")</f>
        <v>50.240200000000002</v>
      </c>
      <c r="M20" s="43">
        <f>[1]!wss($A20:$A20,"hks_fa_debttoassets","rptDate="&amp;($B20-1)&amp;"1231","WssConvert=0","showcodes=N","cols=1;rows=1")</f>
        <v>87.383399999999995</v>
      </c>
      <c r="P20" s="50">
        <v>357.88884999999999</v>
      </c>
      <c r="Q20" s="50">
        <v>1451.1362300000001</v>
      </c>
      <c r="R20" s="50">
        <v>1648.88013</v>
      </c>
      <c r="S20" s="50">
        <v>-24.496870000000001</v>
      </c>
      <c r="T20" s="50">
        <v>59.459449999999997</v>
      </c>
      <c r="U20" s="50">
        <v>59.567869999999999</v>
      </c>
      <c r="V20" s="50">
        <v>7.1840999999999999</v>
      </c>
      <c r="W20" s="50">
        <v>23.8093</v>
      </c>
      <c r="X20" s="50">
        <v>26.8813</v>
      </c>
    </row>
    <row r="21" spans="1:24">
      <c r="A21" t="s">
        <v>262</v>
      </c>
      <c r="B21" s="17">
        <f>IFERROR(YEAR(VLOOKUP($A21,'01_ipo_master'!$A:$C,3,FALSE)),YEAR(VLOOKUP("0"&amp;$A21,'01_ipo_master'!$A:$C,3,FALSE)))</f>
        <v>2025</v>
      </c>
      <c r="C21" s="73">
        <f>[1]!wss($A21:$A21,"hks_stm_is","item=83","rptDate="&amp;($B21-3)&amp;"1231","rptType=1","currencyType=Cur=CNY","WssConvert=0","WssDivide=8","showcodes=N","cols=1;rows=1")</f>
        <v>303.43742000000003</v>
      </c>
      <c r="D21" s="73">
        <f>[1]!wss($A21:$A21,"hks_stm_is","item=83","rptDate="&amp;($B21-2)&amp;"1231","rptType=1","currencyType=Cur=CNY","WssConvert=0","WssDivide=8","showcodes=N","cols=1;rows=1")</f>
        <v>342.73223000000002</v>
      </c>
      <c r="E21" s="73">
        <f>[1]!wss($A21:$A21,"hks_stm_is","item=83","rptDate="&amp;($B21-1)&amp;"1231","rptType=1","currencyType=Cur=CNY","WssConvert=0","WssDivide=8","showcodes=N","cols=1;rows=1")</f>
        <v>402.22890000000001</v>
      </c>
      <c r="F21" s="73">
        <f>[1]!wss($A21:$A21,"hks_stm_is","item=61","rptDate="&amp;($B21-3)&amp;"1231","rptType=1","currencyType=Cur=CNY","WssConvert=0","WssDivide=8","showcodes=N","cols=1;rows=1")</f>
        <v>15.48644</v>
      </c>
      <c r="G21" s="73">
        <f>[1]!wss($A21:$A21,"hks_stm_is","item=61","rptDate="&amp;($B21-2)&amp;"1231","rptType=1","currencyType=Cur=CNY","WssConvert=0","WssDivide=8","showcodes=N","cols=1;rows=1")</f>
        <v>19.47559</v>
      </c>
      <c r="H21" s="73">
        <f>[1]!wss($A21:$A21,"hks_stm_is","item=61","rptDate="&amp;($B21-1)&amp;"1231","rptType=1","currencyType=Cur=CNY","WssConvert=0","WssDivide=8","showcodes=N","cols=1;rows=1")</f>
        <v>14.67224</v>
      </c>
      <c r="I21" s="73">
        <f>[1]!wss($A21:$A21,"hks_fa_grossprofitmargin","rptDate="&amp;($B21-3)&amp;"1231","WssConvert=0","showcodes=N","cols=1;rows=1")</f>
        <v>11.141</v>
      </c>
      <c r="J21" s="43">
        <f>[1]!wss($A21:$A21,"hks_fa_grossprofitmargin","rptDate="&amp;($B21-2)&amp;"1231","WssConvert=0","showcodes=N","cols=1;rows=1")</f>
        <v>13.3529</v>
      </c>
      <c r="K21" s="43">
        <f>[1]!wss($A21:$A21,"hks_fa_grossprofitmargin","rptDate="&amp;($B21-1)&amp;"1231","WssConvert=0","showcodes=N","cols=1;rows=1")</f>
        <v>12.0382</v>
      </c>
      <c r="L21" s="73">
        <f>[1]!wss($A21:$A21,"hks_fa_roe","rptDate="&amp;($B21-1)&amp;"1231","WssConvert=0","showcodes=N","cols=1;rows=1")</f>
        <v>7.3419999999999996</v>
      </c>
      <c r="M21" s="43">
        <f>[1]!wss($A21:$A21,"hks_fa_debttoassets","rptDate="&amp;($B21-1)&amp;"1231","WssConvert=0","showcodes=N","cols=1;rows=1")</f>
        <v>59.546599999999998</v>
      </c>
      <c r="P21" s="50">
        <v>342.73223000000002</v>
      </c>
      <c r="Q21" s="50">
        <v>402.22890000000001</v>
      </c>
      <c r="R21" s="50">
        <v>481.39976999999999</v>
      </c>
      <c r="S21" s="50">
        <v>19.47559</v>
      </c>
      <c r="T21" s="50">
        <v>14.67224</v>
      </c>
      <c r="U21" s="50">
        <v>15.707000000000001</v>
      </c>
      <c r="V21" s="50">
        <v>13.3529</v>
      </c>
      <c r="W21" s="50">
        <v>12.0382</v>
      </c>
      <c r="X21" s="50">
        <v>12.0024</v>
      </c>
    </row>
    <row r="22" spans="1:24">
      <c r="A22" t="s">
        <v>265</v>
      </c>
      <c r="B22" s="17">
        <f>IFERROR(YEAR(VLOOKUP($A22,'01_ipo_master'!$A:$C,3,FALSE)),YEAR(VLOOKUP("0"&amp;$A22,'01_ipo_master'!$A:$C,3,FALSE)))</f>
        <v>2022</v>
      </c>
      <c r="C22" s="73">
        <f>[1]!wss($A22:$A22,"hks_stm_is","item=83","rptDate="&amp;($B22-3)&amp;"1231","rptType=1","currencyType=Cur=CNY","WssConvert=0","WssDivide=8","showcodes=N","cols=1;rows=1")</f>
        <v>314.39214600000003</v>
      </c>
      <c r="D22" s="73">
        <f>[1]!wss($A22:$A22,"hks_stm_is","item=83","rptDate="&amp;($B22-2)&amp;"1231","rptType=1","currencyType=Cur=CNY","WssConvert=0","WssDivide=8","showcodes=N","cols=1;rows=1")</f>
        <v>293.56515690999998</v>
      </c>
      <c r="E22" s="73">
        <f>[1]!wss($A22:$A22,"hks_stm_is","item=83","rptDate="&amp;($B22-1)&amp;"1231","rptType=1","currencyType=Cur=CNY","WssConvert=0","WssDivide=8","showcodes=N","cols=1;rows=1")</f>
        <v>324.64083378999999</v>
      </c>
      <c r="F22" s="73">
        <f>[1]!wss($A22:$A22,"hks_stm_is","item=61","rptDate="&amp;($B22-3)&amp;"1231","rptType=1","currencyType=Cur=CNY","WssConvert=0","WssDivide=8","showcodes=N","cols=1;rows=1")</f>
        <v>63.42304317</v>
      </c>
      <c r="G22" s="73">
        <f>[1]!wss($A22:$A22,"hks_stm_is","item=61","rptDate="&amp;($B22-2)&amp;"1231","rptType=1","currencyType=Cur=CNY","WssConvert=0","WssDivide=8","showcodes=N","cols=1;rows=1")</f>
        <v>56.305988120000002</v>
      </c>
      <c r="H22" s="73">
        <f>[1]!wss($A22:$A22,"hks_stm_is","item=61","rptDate="&amp;($B22-1)&amp;"1231","rptType=1","currencyType=Cur=CNY","WssConvert=0","WssDivide=8","showcodes=N","cols=1;rows=1")</f>
        <v>53.635256920000003</v>
      </c>
      <c r="I22" s="73">
        <f>[1]!wss($A22:$A22,"hks_fa_grossprofitmargin","rptDate="&amp;($B22-3)&amp;"1231","WssConvert=0","showcodes=N","cols=1;rows=1")</f>
        <v>40.7577</v>
      </c>
      <c r="J22" s="43">
        <f>[1]!wss($A22:$A22,"hks_fa_grossprofitmargin","rptDate="&amp;($B22-2)&amp;"1231","WssConvert=0","showcodes=N","cols=1;rows=1")</f>
        <v>40.5916</v>
      </c>
      <c r="K22" s="43">
        <f>[1]!wss($A22:$A22,"hks_fa_grossprofitmargin","rptDate="&amp;($B22-1)&amp;"1231","WssConvert=0","showcodes=N","cols=1;rows=1")</f>
        <v>34.104100000000003</v>
      </c>
      <c r="L22" s="73">
        <f>[1]!wss($A22:$A22,"hks_fa_roe","rptDate="&amp;($B22-1)&amp;"1231","WssConvert=0","showcodes=N","cols=1;rows=1")</f>
        <v>21.325600000000001</v>
      </c>
      <c r="M22" s="43">
        <f>[1]!wss($A22:$A22,"hks_fa_debttoassets","rptDate="&amp;($B22-1)&amp;"1231","WssConvert=0","showcodes=N","cols=1;rows=1")</f>
        <v>44.095100000000002</v>
      </c>
      <c r="P22" s="50">
        <v>337.57087272000001</v>
      </c>
      <c r="Q22" s="50">
        <v>342.17347726999998</v>
      </c>
      <c r="R22" s="50">
        <v>353.48279760000003</v>
      </c>
      <c r="S22" s="50">
        <v>27.621167150000002</v>
      </c>
      <c r="T22" s="50">
        <v>24.162804869999999</v>
      </c>
      <c r="U22" s="50">
        <v>28.533320400000001</v>
      </c>
      <c r="V22" s="50">
        <v>26.7075</v>
      </c>
      <c r="W22" s="50">
        <v>24.6858</v>
      </c>
      <c r="X22" s="50">
        <v>30.2194</v>
      </c>
    </row>
    <row r="23" spans="1:24">
      <c r="A23" t="s">
        <v>268</v>
      </c>
      <c r="B23" s="17">
        <f>IFERROR(YEAR(VLOOKUP($A23,'01_ipo_master'!$A:$C,3,FALSE)),YEAR(VLOOKUP("0"&amp;$A23,'01_ipo_master'!$A:$C,3,FALSE)))</f>
        <v>2022</v>
      </c>
      <c r="C23" s="73">
        <f>[1]!wss($A23:$A23,"hks_stm_is","item=83","rptDate="&amp;($B23-3)&amp;"1231","rptType=1","currencyType=Cur=CNY","WssConvert=0","WssDivide=8","showcodes=N","cols=1;rows=1")</f>
        <v>139.27288999999999</v>
      </c>
      <c r="D23" s="73">
        <f>[1]!wss($A23:$A23,"hks_stm_is","item=83","rptDate="&amp;($B23-2)&amp;"1231","rptType=1","currencyType=Cur=CNY","WssConvert=0","WssDivide=8","showcodes=N","cols=1;rows=1")</f>
        <v>181.45464000000001</v>
      </c>
      <c r="E23" s="73">
        <f>[1]!wss($A23:$A23,"hks_stm_is","item=83","rptDate="&amp;($B23-1)&amp;"1231","rptType=1","currencyType=Cur=CNY","WssConvert=0","WssDivide=8","showcodes=N","cols=1;rows=1")</f>
        <v>237.04539</v>
      </c>
      <c r="F23" s="73">
        <f>[1]!wss($A23:$A23,"hks_stm_is","item=61","rptDate="&amp;($B23-3)&amp;"1231","rptType=1","currencyType=Cur=CNY","WssConvert=0","WssDivide=8","showcodes=N","cols=1;rows=1")</f>
        <v>10.19894</v>
      </c>
      <c r="G23" s="73">
        <f>[1]!wss($A23:$A23,"hks_stm_is","item=61","rptDate="&amp;($B23-2)&amp;"1231","rptType=1","currencyType=Cur=CNY","WssConvert=0","WssDivide=8","showcodes=N","cols=1;rows=1")</f>
        <v>14.64039</v>
      </c>
      <c r="H23" s="73">
        <f>[1]!wss($A23:$A23,"hks_stm_is","item=61","rptDate="&amp;($B23-1)&amp;"1231","rptType=1","currencyType=Cur=CNY","WssConvert=0","WssDivide=8","showcodes=N","cols=1;rows=1")</f>
        <v>16.67642</v>
      </c>
      <c r="I23" s="73">
        <f>[1]!wss($A23:$A23,"hks_fa_grossprofitmargin","rptDate="&amp;($B23-3)&amp;"1231","WssConvert=0","showcodes=N","cols=1;rows=1")</f>
        <v>17.723400000000002</v>
      </c>
      <c r="J23" s="43">
        <f>[1]!wss($A23:$A23,"hks_fa_grossprofitmargin","rptDate="&amp;($B23-2)&amp;"1231","WssConvert=0","showcodes=N","cols=1;rows=1")</f>
        <v>18.543099999999999</v>
      </c>
      <c r="K23" s="43">
        <f>[1]!wss($A23:$A23,"hks_fa_grossprofitmargin","rptDate="&amp;($B23-1)&amp;"1231","WssConvert=0","showcodes=N","cols=1;rows=1")</f>
        <v>16.9588</v>
      </c>
      <c r="L23" s="73">
        <f>[1]!wss($A23:$A23,"hks_fa_roe","rptDate="&amp;($B23-1)&amp;"1231","WssConvert=0","showcodes=N","cols=1;rows=1")</f>
        <v>20.6539</v>
      </c>
      <c r="M23" s="43">
        <f>[1]!wss($A23:$A23,"hks_fa_debttoassets","rptDate="&amp;($B23-1)&amp;"1231","WssConvert=0","showcodes=N","cols=1;rows=1")</f>
        <v>64.097999999999999</v>
      </c>
      <c r="P23" s="50">
        <v>331.83458000000002</v>
      </c>
      <c r="Q23" s="50">
        <v>362.23827999999997</v>
      </c>
      <c r="R23" s="50">
        <v>372.71859999999998</v>
      </c>
      <c r="S23" s="50">
        <v>19.546959999999999</v>
      </c>
      <c r="T23" s="50">
        <v>11.49578</v>
      </c>
      <c r="U23" s="50">
        <v>6.9455900000000002</v>
      </c>
      <c r="V23" s="50">
        <v>14.500500000000001</v>
      </c>
      <c r="W23" s="50">
        <v>12.9663</v>
      </c>
      <c r="X23" s="50">
        <v>12.2333</v>
      </c>
    </row>
    <row r="24" spans="1:24">
      <c r="A24" t="s">
        <v>270</v>
      </c>
      <c r="B24" s="17">
        <f>IFERROR(YEAR(VLOOKUP($A24,'01_ipo_master'!$A:$C,3,FALSE)),YEAR(VLOOKUP("0"&amp;$A24,'01_ipo_master'!$A:$C,3,FALSE)))</f>
        <v>2022</v>
      </c>
      <c r="C24" s="73">
        <f>[1]!wss($A24:$A24,"hks_stm_is","item=83","rptDate="&amp;($B24-3)&amp;"1231","rptType=1","currencyType=Cur=CNY","WssConvert=0","WssDivide=8","showcodes=N","cols=1;rows=1")</f>
        <v>254.34</v>
      </c>
      <c r="D24" s="73">
        <f>[1]!wss($A24:$A24,"hks_stm_is","item=83","rptDate="&amp;($B24-2)&amp;"1231","rptType=1","currencyType=Cur=CNY","WssConvert=0","WssDivide=8","showcodes=N","cols=1;rows=1")</f>
        <v>291.53000000000003</v>
      </c>
      <c r="E24" s="73">
        <f>[1]!wss($A24:$A24,"hks_stm_is","item=83","rptDate="&amp;($B24-1)&amp;"1231","rptType=1","currencyType=Cur=CNY","WssConvert=0","WssDivide=8","showcodes=N","cols=1;rows=1")</f>
        <v>312.44</v>
      </c>
      <c r="F24" s="73">
        <f>[1]!wss($A24:$A24,"hks_stm_is","item=61","rptDate="&amp;($B24-3)&amp;"1231","rptType=1","currencyType=Cur=CNY","WssConvert=0","WssDivide=8","showcodes=N","cols=1;rows=1")</f>
        <v>39.82</v>
      </c>
      <c r="G24" s="73">
        <f>[1]!wss($A24:$A24,"hks_stm_is","item=61","rptDate="&amp;($B24-2)&amp;"1231","rptType=1","currencyType=Cur=CNY","WssConvert=0","WssDivide=8","showcodes=N","cols=1;rows=1")</f>
        <v>41.550000000000004</v>
      </c>
      <c r="H24" s="73">
        <f>[1]!wss($A24:$A24,"hks_stm_is","item=61","rptDate="&amp;($B24-1)&amp;"1231","rptType=1","currencyType=Cur=CNY","WssConvert=0","WssDivide=8","showcodes=N","cols=1;rows=1")</f>
        <v>30.29</v>
      </c>
      <c r="I24" s="73">
        <f>[1]!wss($A24:$A24,"hks_fa_grossprofitmargin","rptDate="&amp;($B24-3)&amp;"1231","WssConvert=0","showcodes=N","cols=1;rows=1")</f>
        <v>34.1</v>
      </c>
      <c r="J24" s="43">
        <f>[1]!wss($A24:$A24,"hks_fa_grossprofitmargin","rptDate="&amp;($B24-2)&amp;"1231","WssConvert=0","showcodes=N","cols=1;rows=1")</f>
        <v>31.907499999999999</v>
      </c>
      <c r="K24" s="43">
        <f>[1]!wss($A24:$A24,"hks_fa_grossprofitmargin","rptDate="&amp;($B24-1)&amp;"1231","WssConvert=0","showcodes=N","cols=1;rows=1")</f>
        <v>30.098600000000001</v>
      </c>
      <c r="L24" s="73">
        <f>[1]!wss($A24:$A24,"hks_fa_roe","rptDate="&amp;($B24-1)&amp;"1231","WssConvert=0","showcodes=N","cols=1;rows=1")</f>
        <v>5.9066999999999998</v>
      </c>
      <c r="M24" s="43">
        <f>[1]!wss($A24:$A24,"hks_fa_debttoassets","rptDate="&amp;($B24-1)&amp;"1231","WssConvert=0","showcodes=N","cols=1;rows=1")</f>
        <v>24.086300000000001</v>
      </c>
      <c r="P24" s="50">
        <v>277.52</v>
      </c>
      <c r="Q24" s="50">
        <v>284.01</v>
      </c>
      <c r="R24" s="50">
        <v>329.02</v>
      </c>
      <c r="S24" s="50">
        <v>49.2</v>
      </c>
      <c r="T24" s="50">
        <v>66.44</v>
      </c>
      <c r="U24" s="50">
        <v>110.56</v>
      </c>
      <c r="V24" s="50">
        <v>35.294800000000002</v>
      </c>
      <c r="W24" s="50">
        <v>42.3401</v>
      </c>
      <c r="X24" s="50">
        <v>44.176600000000001</v>
      </c>
    </row>
    <row r="25" spans="1:24">
      <c r="A25" t="s">
        <v>272</v>
      </c>
      <c r="B25" s="17">
        <f>IFERROR(YEAR(VLOOKUP($A25,'01_ipo_master'!$A:$C,3,FALSE)),YEAR(VLOOKUP("0"&amp;$A25,'01_ipo_master'!$A:$C,3,FALSE)))</f>
        <v>2026</v>
      </c>
      <c r="C25" s="73">
        <f>[1]!wss($A25:$A25,"hks_stm_is","item=83","rptDate="&amp;($B25-3)&amp;"1231","rptType=1","currencyType=Cur=CNY","WssConvert=0","WssDivide=8","showcodes=N","cols=1;rows=1")</f>
        <v>271.85064</v>
      </c>
      <c r="D25" s="73">
        <f>[1]!wss($A25:$A25,"hks_stm_is","item=83","rptDate="&amp;($B25-2)&amp;"1231","rptType=1","currencyType=Cur=CNY","WssConvert=0","WssDivide=8","showcodes=N","cols=1;rows=1")</f>
        <v>463.82472000000001</v>
      </c>
      <c r="E25" s="73">
        <f>[1]!wss($A25:$A25,"hks_stm_is","item=83","rptDate="&amp;($B25-1)&amp;"1231","rptType=1","currencyType=Cur=CNY","WssConvert=0","WssDivide=8","showcodes=N","cols=1;rows=1")</f>
        <v>421.24808999999999</v>
      </c>
      <c r="F25" s="73">
        <f>[1]!wss($A25:$A25,"hks_stm_is","item=61","rptDate="&amp;($B25-3)&amp;"1231","rptType=1","currencyType=Cur=CNY","WssConvert=0","WssDivide=8","showcodes=N","cols=1;rows=1")</f>
        <v>6.0531600000000001</v>
      </c>
      <c r="G25" s="73">
        <f>[1]!wss($A25:$A25,"hks_stm_is","item=61","rptDate="&amp;($B25-2)&amp;"1231","rptType=1","currencyType=Cur=CNY","WssConvert=0","WssDivide=8","showcodes=N","cols=1;rows=1")</f>
        <v>5.0113200000000004</v>
      </c>
      <c r="H25" s="73">
        <f>[1]!wss($A25:$A25,"hks_stm_is","item=61","rptDate="&amp;($B25-1)&amp;"1231","rptType=1","currencyType=Cur=CNY","WssConvert=0","WssDivide=8","showcodes=N","cols=1;rows=1")</f>
        <v>5.8511699999999998</v>
      </c>
      <c r="I25" s="73">
        <f>[1]!wss($A25:$A25,"hks_fa_grossprofitmargin","rptDate="&amp;($B25-3)&amp;"1231","WssConvert=0","showcodes=N","cols=1;rows=1")</f>
        <v>9.5279000000000007</v>
      </c>
      <c r="J25" s="43">
        <f>[1]!wss($A25:$A25,"hks_fa_grossprofitmargin","rptDate="&amp;($B25-2)&amp;"1231","WssConvert=0","showcodes=N","cols=1;rows=1")</f>
        <v>5.8349000000000002</v>
      </c>
      <c r="K25" s="43">
        <f>[1]!wss($A25:$A25,"hks_fa_grossprofitmargin","rptDate="&amp;($B25-1)&amp;"1231","WssConvert=0","showcodes=N","cols=1;rows=1")</f>
        <v>8.5277999999999992</v>
      </c>
      <c r="L25" s="73">
        <f>[1]!wss($A25:$A25,"hks_fa_roe","rptDate="&amp;($B25-1)&amp;"1231","WssConvert=0","showcodes=N","cols=1;rows=1")</f>
        <v>10.237</v>
      </c>
      <c r="M25" s="43">
        <f>[1]!wss($A25:$A25,"hks_fa_debttoassets","rptDate="&amp;($B25-1)&amp;"1231","WssConvert=0","showcodes=N","cols=1;rows=1")</f>
        <v>77.665199999999999</v>
      </c>
      <c r="P25" s="50">
        <v>271.85064</v>
      </c>
      <c r="Q25" s="50">
        <v>463.82472000000001</v>
      </c>
      <c r="R25" s="50">
        <v>421.24808999999999</v>
      </c>
      <c r="S25" s="50">
        <v>6.0531600000000001</v>
      </c>
      <c r="T25" s="50">
        <v>5.0113200000000004</v>
      </c>
      <c r="U25" s="50">
        <v>5.8511699999999998</v>
      </c>
      <c r="V25" s="50">
        <v>9.5279000000000007</v>
      </c>
      <c r="W25" s="50">
        <v>5.8349000000000002</v>
      </c>
      <c r="X25" s="50">
        <v>8.5277999999999992</v>
      </c>
    </row>
    <row r="26" spans="1:24">
      <c r="A26" t="s">
        <v>275</v>
      </c>
      <c r="B26" s="17">
        <f>IFERROR(YEAR(VLOOKUP($A26,'01_ipo_master'!$A:$C,3,FALSE)),YEAR(VLOOKUP("0"&amp;$A26,'01_ipo_master'!$A:$C,3,FALSE)))</f>
        <v>2022</v>
      </c>
      <c r="C26" s="73">
        <f>[1]!wss($A26:$A26,"hks_stm_is","item=83","rptDate="&amp;($B26-3)&amp;"1231","rptType=1","currencyType=Cur=CNY","WssConvert=0","WssDivide=8","showcodes=N","cols=1;rows=1")</f>
        <v>17.342929999999999</v>
      </c>
      <c r="D26" s="73">
        <f>[1]!wss($A26:$A26,"hks_stm_is","item=83","rptDate="&amp;($B26-2)&amp;"1231","rptType=1","currencyType=Cur=CNY","WssConvert=0","WssDivide=8","showcodes=N","cols=1;rows=1")</f>
        <v>28.254190000000001</v>
      </c>
      <c r="E26" s="73">
        <f>[1]!wss($A26:$A26,"hks_stm_is","item=83","rptDate="&amp;($B26-1)&amp;"1231","rptType=1","currencyType=Cur=CNY","WssConvert=0","WssDivide=8","showcodes=N","cols=1;rows=1")</f>
        <v>68.171149999999997</v>
      </c>
      <c r="F26" s="73">
        <f>[1]!wss($A26:$A26,"hks_stm_is","item=61","rptDate="&amp;($B26-3)&amp;"1231","rptType=1","currencyType=Cur=CNY","WssConvert=0","WssDivide=8","showcodes=N","cols=1;rows=1")</f>
        <v>-1.1869000000000001</v>
      </c>
      <c r="G26" s="73">
        <f>[1]!wss($A26:$A26,"hks_stm_is","item=61","rptDate="&amp;($B26-2)&amp;"1231","rptType=1","currencyType=Cur=CNY","WssConvert=0","WssDivide=8","showcodes=N","cols=1;rows=1")</f>
        <v>5.1569999999999998E-2</v>
      </c>
      <c r="H26" s="73">
        <f>[1]!wss($A26:$A26,"hks_stm_is","item=61","rptDate="&amp;($B26-1)&amp;"1231","rptType=1","currencyType=Cur=CNY","WssConvert=0","WssDivide=8","showcodes=N","cols=1;rows=1")</f>
        <v>1.40029</v>
      </c>
      <c r="I26" s="73">
        <f>[1]!wss($A26:$A26,"hks_fa_grossprofitmargin","rptDate="&amp;($B26-3)&amp;"1231","WssConvert=0","showcodes=N","cols=1;rows=1")</f>
        <v>4.8019999999999996</v>
      </c>
      <c r="J26" s="43">
        <f>[1]!wss($A26:$A26,"hks_fa_grossprofitmargin","rptDate="&amp;($B26-2)&amp;"1231","WssConvert=0","showcodes=N","cols=1;rows=1")</f>
        <v>13.614800000000001</v>
      </c>
      <c r="K26" s="43">
        <f>[1]!wss($A26:$A26,"hks_fa_grossprofitmargin","rptDate="&amp;($B26-1)&amp;"1231","WssConvert=0","showcodes=N","cols=1;rows=1")</f>
        <v>5.5488999999999997</v>
      </c>
      <c r="L26" s="73">
        <f>[1]!wss($A26:$A26,"hks_fa_roe","rptDate="&amp;($B26-1)&amp;"1231","WssConvert=0","showcodes=N","cols=1;rows=1")</f>
        <v>0.77090000000000003</v>
      </c>
      <c r="M26" s="43">
        <f>[1]!wss($A26:$A26,"hks_fa_debttoassets","rptDate="&amp;($B26-1)&amp;"1231","WssConvert=0","showcodes=N","cols=1;rows=1")</f>
        <v>35.435499999999998</v>
      </c>
      <c r="P26" s="50">
        <v>270.05885000000001</v>
      </c>
      <c r="Q26" s="50">
        <v>277.51526000000001</v>
      </c>
      <c r="R26" s="50">
        <v>444.00067000000001</v>
      </c>
      <c r="S26" s="50">
        <v>2.9437700000000002</v>
      </c>
      <c r="T26" s="50">
        <v>5.9119599999999997</v>
      </c>
      <c r="U26" s="50">
        <v>14.756320000000001</v>
      </c>
      <c r="V26" s="50">
        <v>13.002800000000001</v>
      </c>
      <c r="W26" s="50">
        <v>15.890599999999999</v>
      </c>
      <c r="X26" s="50">
        <v>16.6936</v>
      </c>
    </row>
    <row r="27" spans="1:24">
      <c r="A27" t="s">
        <v>277</v>
      </c>
      <c r="B27" s="17">
        <f>IFERROR(YEAR(VLOOKUP($A27,'01_ipo_master'!$A:$C,3,FALSE)),YEAR(VLOOKUP("0"&amp;$A27,'01_ipo_master'!$A:$C,3,FALSE)))</f>
        <v>2025</v>
      </c>
      <c r="C27" s="73">
        <f>[1]!wss($A27:$A27,"hks_stm_is","item=83","rptDate="&amp;($B27-3)&amp;"1231","rptType=1","currencyType=Cur=CNY","WssConvert=0","WssDivide=8","showcodes=N","cols=1;rows=1")</f>
        <v>195.27584999999999</v>
      </c>
      <c r="D27" s="73">
        <f>[1]!wss($A27:$A27,"hks_stm_is","item=83","rptDate="&amp;($B27-2)&amp;"1231","rptType=1","currencyType=Cur=CNY","WssConvert=0","WssDivide=8","showcodes=N","cols=1;rows=1")</f>
        <v>248.31833</v>
      </c>
      <c r="E27" s="73">
        <f>[1]!wss($A27:$A27,"hks_stm_is","item=83","rptDate="&amp;($B27-1)&amp;"1231","rptType=1","currencyType=Cur=CNY","WssConvert=0","WssDivide=8","showcodes=N","cols=1;rows=1")</f>
        <v>297.59318999999999</v>
      </c>
      <c r="F27" s="73">
        <f>[1]!wss($A27:$A27,"hks_stm_is","item=61","rptDate="&amp;($B27-3)&amp;"1231","rptType=1","currencyType=Cur=CNY","WssConvert=0","WssDivide=8","showcodes=N","cols=1;rows=1")</f>
        <v>14.41738</v>
      </c>
      <c r="G27" s="73">
        <f>[1]!wss($A27:$A27,"hks_stm_is","item=61","rptDate="&amp;($B27-2)&amp;"1231","rptType=1","currencyType=Cur=CNY","WssConvert=0","WssDivide=8","showcodes=N","cols=1;rows=1")</f>
        <v>24.867940000000001</v>
      </c>
      <c r="H27" s="73">
        <f>[1]!wss($A27:$A27,"hks_stm_is","item=61","rptDate="&amp;($B27-1)&amp;"1231","rptType=1","currencyType=Cur=CNY","WssConvert=0","WssDivide=8","showcodes=N","cols=1;rows=1")</f>
        <v>29.101710000000001</v>
      </c>
      <c r="I27" s="73">
        <f>[1]!wss($A27:$A27,"hks_fa_grossprofitmargin","rptDate="&amp;($B27-3)&amp;"1231","WssConvert=0","showcodes=N","cols=1;rows=1")</f>
        <v>21.2515</v>
      </c>
      <c r="J27" s="43">
        <f>[1]!wss($A27:$A27,"hks_fa_grossprofitmargin","rptDate="&amp;($B27-2)&amp;"1231","WssConvert=0","showcodes=N","cols=1;rows=1")</f>
        <v>21.835599999999999</v>
      </c>
      <c r="K27" s="43">
        <f>[1]!wss($A27:$A27,"hks_fa_grossprofitmargin","rptDate="&amp;($B27-1)&amp;"1231","WssConvert=0","showcodes=N","cols=1;rows=1")</f>
        <v>20.9693</v>
      </c>
      <c r="L27" s="73">
        <f>[1]!wss($A27:$A27,"hks_fa_roe","rptDate="&amp;($B27-1)&amp;"1231","WssConvert=0","showcodes=N","cols=1;rows=1")</f>
        <v>72.051900000000003</v>
      </c>
      <c r="M27" s="43">
        <f>[1]!wss($A27:$A27,"hks_fa_debttoassets","rptDate="&amp;($B27-1)&amp;"1231","WssConvert=0","showcodes=N","cols=1;rows=1")</f>
        <v>84.130899999999997</v>
      </c>
      <c r="P27" s="50">
        <v>248.31833</v>
      </c>
      <c r="Q27" s="50">
        <v>297.59318999999999</v>
      </c>
      <c r="R27" s="50">
        <v>300.48579999999998</v>
      </c>
      <c r="S27" s="50">
        <v>24.867940000000001</v>
      </c>
      <c r="T27" s="50">
        <v>29.101710000000001</v>
      </c>
      <c r="U27" s="50">
        <v>22.349830000000001</v>
      </c>
      <c r="V27" s="50">
        <v>21.835599999999999</v>
      </c>
      <c r="W27" s="50">
        <v>20.9693</v>
      </c>
      <c r="X27" s="50">
        <v>18.835000000000001</v>
      </c>
    </row>
    <row r="28" spans="1:24">
      <c r="A28" t="s">
        <v>279</v>
      </c>
      <c r="B28" s="17">
        <f>IFERROR(YEAR(VLOOKUP($A28,'01_ipo_master'!$A:$C,3,FALSE)),YEAR(VLOOKUP("0"&amp;$A28,'01_ipo_master'!$A:$C,3,FALSE)))</f>
        <v>2025</v>
      </c>
      <c r="C28" s="73">
        <f>[1]!wss($A28:$A28,"hks_stm_is","item=83","rptDate="&amp;($B28-3)&amp;"1231","rptType=1","currencyType=Cur=CNY","WssConvert=0","WssDivide=8","showcodes=N","cols=1;rows=1")</f>
        <v>256.09652</v>
      </c>
      <c r="D28" s="73">
        <f>[1]!wss($A28:$A28,"hks_stm_is","item=83","rptDate="&amp;($B28-2)&amp;"1231","rptType=1","currencyType=Cur=CNY","WssConvert=0","WssDivide=8","showcodes=N","cols=1;rows=1")</f>
        <v>245.59312</v>
      </c>
      <c r="E28" s="73">
        <f>[1]!wss($A28:$A28,"hks_stm_is","item=83","rptDate="&amp;($B28-1)&amp;"1231","rptType=1","currencyType=Cur=CNY","WssConvert=0","WssDivide=8","showcodes=N","cols=1;rows=1")</f>
        <v>269.00977999999998</v>
      </c>
      <c r="F28" s="73">
        <f>[1]!wss($A28:$A28,"hks_stm_is","item=61","rptDate="&amp;($B28-3)&amp;"1231","rptType=1","currencyType=Cur=CNY","WssConvert=0","WssDivide=8","showcodes=N","cols=1;rows=1")</f>
        <v>61.977170000000001</v>
      </c>
      <c r="G28" s="73">
        <f>[1]!wss($A28:$A28,"hks_stm_is","item=61","rptDate="&amp;($B28-2)&amp;"1231","rptType=1","currencyType=Cur=CNY","WssConvert=0","WssDivide=8","showcodes=N","cols=1;rows=1")</f>
        <v>56.266249999999999</v>
      </c>
      <c r="H28" s="73">
        <f>[1]!wss($A28:$A28,"hks_stm_is","item=61","rptDate="&amp;($B28-1)&amp;"1231","rptType=1","currencyType=Cur=CNY","WssConvert=0","WssDivide=8","showcodes=N","cols=1;rows=1")</f>
        <v>63.44126</v>
      </c>
      <c r="I28" s="73">
        <f>[1]!wss($A28:$A28,"hks_fa_grossprofitmargin","rptDate="&amp;($B28-3)&amp;"1231","WssConvert=0","showcodes=N","cols=1;rows=1")</f>
        <v>34.872100000000003</v>
      </c>
      <c r="J28" s="43">
        <f>[1]!wss($A28:$A28,"hks_fa_grossprofitmargin","rptDate="&amp;($B28-2)&amp;"1231","WssConvert=0","showcodes=N","cols=1;rows=1")</f>
        <v>33.945399999999999</v>
      </c>
      <c r="K28" s="43">
        <f>[1]!wss($A28:$A28,"hks_fa_grossprofitmargin","rptDate="&amp;($B28-1)&amp;"1231","WssConvert=0","showcodes=N","cols=1;rows=1")</f>
        <v>36.151400000000002</v>
      </c>
      <c r="L28" s="73">
        <f>[1]!wss($A28:$A28,"hks_fa_roe","rptDate="&amp;($B28-1)&amp;"1231","WssConvert=0","showcodes=N","cols=1;rows=1")</f>
        <v>21.351299999999998</v>
      </c>
      <c r="M28" s="43">
        <f>[1]!wss($A28:$A28,"hks_fa_debttoassets","rptDate="&amp;($B28-1)&amp;"1231","WssConvert=0","showcodes=N","cols=1;rows=1")</f>
        <v>23.144500000000001</v>
      </c>
      <c r="P28" s="50">
        <v>245.59312</v>
      </c>
      <c r="Q28" s="50">
        <v>269.00977999999998</v>
      </c>
      <c r="R28" s="50">
        <v>288.73379999999997</v>
      </c>
      <c r="S28" s="50">
        <v>56.266249999999999</v>
      </c>
      <c r="T28" s="50">
        <v>63.44126</v>
      </c>
      <c r="U28" s="50">
        <v>70.384649999999993</v>
      </c>
      <c r="V28" s="50">
        <v>33.945399999999999</v>
      </c>
      <c r="W28" s="50">
        <v>36.151400000000002</v>
      </c>
      <c r="X28" s="50">
        <v>39.364199999999997</v>
      </c>
    </row>
    <row r="29" spans="1:24">
      <c r="A29" t="s">
        <v>282</v>
      </c>
      <c r="B29" s="17">
        <f>IFERROR(YEAR(VLOOKUP($A29,'01_ipo_master'!$A:$C,3,FALSE)),YEAR(VLOOKUP("0"&amp;$A29,'01_ipo_master'!$A:$C,3,FALSE)))</f>
        <v>2025</v>
      </c>
      <c r="C29" s="73">
        <f>[1]!wss($A29:$A29,"hks_stm_is","item=83","rptDate="&amp;($B29-3)&amp;"1231","rptType=1","currencyType=Cur=CNY","WssConvert=0","WssDivide=8","showcodes=N","cols=1;rows=1")</f>
        <v>213.47550000000001</v>
      </c>
      <c r="D29" s="73">
        <f>[1]!wss($A29:$A29,"hks_stm_is","item=83","rptDate="&amp;($B29-2)&amp;"1231","rptType=1","currencyType=Cur=CNY","WssConvert=0","WssDivide=8","showcodes=N","cols=1;rows=1")</f>
        <v>245.57802000000001</v>
      </c>
      <c r="E29" s="73">
        <f>[1]!wss($A29:$A29,"hks_stm_is","item=83","rptDate="&amp;($B29-1)&amp;"1231","rptType=1","currencyType=Cur=CNY","WssConvert=0","WssDivide=8","showcodes=N","cols=1;rows=1")</f>
        <v>279.47165000000001</v>
      </c>
      <c r="F29" s="73">
        <f>[1]!wss($A29:$A29,"hks_stm_is","item=61","rptDate="&amp;($B29-3)&amp;"1231","rptType=1","currencyType=Cur=CNY","WssConvert=0","WssDivide=8","showcodes=N","cols=1;rows=1")</f>
        <v>25.733440000000002</v>
      </c>
      <c r="G29" s="73">
        <f>[1]!wss($A29:$A29,"hks_stm_is","item=61","rptDate="&amp;($B29-2)&amp;"1231","rptType=1","currencyType=Cur=CNY","WssConvert=0","WssDivide=8","showcodes=N","cols=1;rows=1")</f>
        <v>29.20993</v>
      </c>
      <c r="H29" s="73">
        <f>[1]!wss($A29:$A29,"hks_stm_is","item=61","rptDate="&amp;($B29-1)&amp;"1231","rptType=1","currencyType=Cur=CNY","WssConvert=0","WssDivide=8","showcodes=N","cols=1;rows=1")</f>
        <v>30.99165</v>
      </c>
      <c r="I29" s="73">
        <f>[1]!wss($A29:$A29,"hks_fa_grossprofitmargin","rptDate="&amp;($B29-3)&amp;"1231","WssConvert=0","showcodes=N","cols=1;rows=1")</f>
        <v>25.584299999999999</v>
      </c>
      <c r="J29" s="43">
        <f>[1]!wss($A29:$A29,"hks_fa_grossprofitmargin","rptDate="&amp;($B29-2)&amp;"1231","WssConvert=0","showcodes=N","cols=1;rows=1")</f>
        <v>27.427099999999999</v>
      </c>
      <c r="K29" s="43">
        <f>[1]!wss($A29:$A29,"hks_fa_grossprofitmargin","rptDate="&amp;($B29-1)&amp;"1231","WssConvert=0","showcodes=N","cols=1;rows=1")</f>
        <v>27.268699999999999</v>
      </c>
      <c r="L29" s="73">
        <f>[1]!wss($A29:$A29,"hks_fa_roe","rptDate="&amp;($B29-1)&amp;"1231","WssConvert=0","showcodes=N","cols=1;rows=1")</f>
        <v>16.665700000000001</v>
      </c>
      <c r="M29" s="43">
        <f>[1]!wss($A29:$A29,"hks_fa_debttoassets","rptDate="&amp;($B29-1)&amp;"1231","WssConvert=0","showcodes=N","cols=1;rows=1")</f>
        <v>46.307899999999997</v>
      </c>
      <c r="P29" s="50">
        <v>245.57802000000001</v>
      </c>
      <c r="Q29" s="50">
        <v>279.47165000000001</v>
      </c>
      <c r="R29" s="50">
        <v>310.11745000000002</v>
      </c>
      <c r="S29" s="50">
        <v>29.20993</v>
      </c>
      <c r="T29" s="50">
        <v>30.99165</v>
      </c>
      <c r="U29" s="50">
        <v>40.628920000000001</v>
      </c>
      <c r="V29" s="50">
        <v>27.427099999999999</v>
      </c>
      <c r="W29" s="50">
        <v>27.268699999999999</v>
      </c>
      <c r="X29" s="50">
        <v>28.3979</v>
      </c>
    </row>
    <row r="30" spans="1:24">
      <c r="A30" t="s">
        <v>285</v>
      </c>
      <c r="B30" s="17">
        <f>IFERROR(YEAR(VLOOKUP($A30,'01_ipo_master'!$A:$C,3,FALSE)),YEAR(VLOOKUP("0"&amp;$A30,'01_ipo_master'!$A:$C,3,FALSE)))</f>
        <v>2025</v>
      </c>
      <c r="C30" s="73">
        <f>[1]!wss($A30:$A30,"hks_stm_is","item=83","rptDate="&amp;($B30-3)&amp;"1231","rptType=1","currencyType=Cur=CNY","WssConvert=0","WssDivide=8","showcodes=N","cols=1;rows=1")</f>
        <v>212.75271000000001</v>
      </c>
      <c r="D30" s="73">
        <f>[1]!wss($A30:$A30,"hks_stm_is","item=83","rptDate="&amp;($B30-2)&amp;"1231","rptType=1","currencyType=Cur=CNY","WssConvert=0","WssDivide=8","showcodes=N","cols=1;rows=1")</f>
        <v>228.19785000000002</v>
      </c>
      <c r="E30" s="73">
        <f>[1]!wss($A30:$A30,"hks_stm_is","item=83","rptDate="&amp;($B30-1)&amp;"1231","rptType=1","currencyType=Cur=CNY","WssConvert=0","WssDivide=8","showcodes=N","cols=1;rows=1")</f>
        <v>279.84604999999999</v>
      </c>
      <c r="F30" s="73">
        <f>[1]!wss($A30:$A30,"hks_stm_is","item=61","rptDate="&amp;($B30-3)&amp;"1231","rptType=1","currencyType=Cur=CNY","WssConvert=0","WssDivide=8","showcodes=N","cols=1;rows=1")</f>
        <v>39.063740000000003</v>
      </c>
      <c r="G30" s="73">
        <f>[1]!wss($A30:$A30,"hks_stm_is","item=61","rptDate="&amp;($B30-2)&amp;"1231","rptType=1","currencyType=Cur=CNY","WssConvert=0","WssDivide=8","showcodes=N","cols=1;rows=1")</f>
        <v>43.024360000000001</v>
      </c>
      <c r="H30" s="73">
        <f>[1]!wss($A30:$A30,"hks_stm_is","item=61","rptDate="&amp;($B30-1)&amp;"1231","rptType=1","currencyType=Cur=CNY","WssConvert=0","WssDivide=8","showcodes=N","cols=1;rows=1")</f>
        <v>63.365270000000002</v>
      </c>
      <c r="I30" s="73">
        <f>[1]!wss($A30:$A30,"hks_fa_grossprofitmargin","rptDate="&amp;($B30-3)&amp;"1231","WssConvert=0","showcodes=N","cols=1;rows=1")</f>
        <v>83.611800000000002</v>
      </c>
      <c r="J30" s="43">
        <f>[1]!wss($A30:$A30,"hks_fa_grossprofitmargin","rptDate="&amp;($B30-2)&amp;"1231","WssConvert=0","showcodes=N","cols=1;rows=1")</f>
        <v>84.5518</v>
      </c>
      <c r="K30" s="43">
        <f>[1]!wss($A30:$A30,"hks_fa_grossprofitmargin","rptDate="&amp;($B30-1)&amp;"1231","WssConvert=0","showcodes=N","cols=1;rows=1")</f>
        <v>86.248999999999995</v>
      </c>
      <c r="L30" s="73">
        <f>[1]!wss($A30:$A30,"hks_fa_roe","rptDate="&amp;($B30-1)&amp;"1231","WssConvert=0","showcodes=N","cols=1;rows=1")</f>
        <v>14.7386</v>
      </c>
      <c r="M30" s="43">
        <f>[1]!wss($A30:$A30,"hks_fa_debttoassets","rptDate="&amp;($B30-1)&amp;"1231","WssConvert=0","showcodes=N","cols=1;rows=1")</f>
        <v>8.0688999999999993</v>
      </c>
      <c r="P30" s="50">
        <v>228.19784999999999</v>
      </c>
      <c r="Q30" s="50">
        <v>279.84604999999999</v>
      </c>
      <c r="R30" s="50">
        <v>316.29415999999998</v>
      </c>
      <c r="S30" s="50">
        <v>43.024360000000001</v>
      </c>
      <c r="T30" s="50">
        <v>63.365270000000002</v>
      </c>
      <c r="U30" s="50">
        <v>77.110550000000003</v>
      </c>
      <c r="V30" s="50">
        <v>84.5518</v>
      </c>
      <c r="W30" s="50">
        <v>86.248999999999995</v>
      </c>
      <c r="X30" s="50">
        <v>86.206999999999994</v>
      </c>
    </row>
    <row r="31" spans="1:24">
      <c r="A31" t="s">
        <v>288</v>
      </c>
      <c r="B31" s="17">
        <f>IFERROR(YEAR(VLOOKUP($A31,'01_ipo_master'!$A:$C,3,FALSE)),YEAR(VLOOKUP("0"&amp;$A31,'01_ipo_master'!$A:$C,3,FALSE)))</f>
        <v>2023</v>
      </c>
      <c r="C31" s="73">
        <f>[1]!wss($A31:$A31,"hks_stm_is","item=83","rptDate="&amp;($B31-3)&amp;"1231","rptType=1","currencyType=Cur=CNY","WssConvert=0","WssDivide=8","showcodes=N","cols=1;rows=1")</f>
        <v>461.30045000000001</v>
      </c>
      <c r="D31" s="73">
        <f>[1]!wss($A31:$A31,"hks_stm_is","item=83","rptDate="&amp;($B31-2)&amp;"1231","rptType=1","currencyType=Cur=CNY","WssConvert=0","WssDivide=8","showcodes=N","cols=1;rows=1")</f>
        <v>542.26808000000005</v>
      </c>
      <c r="E31" s="73">
        <f>[1]!wss($A31:$A31,"hks_stm_is","item=83","rptDate="&amp;($B31-1)&amp;"1231","rptType=1","currencyType=Cur=CNY","WssConvert=0","WssDivide=8","showcodes=N","cols=1;rows=1")</f>
        <v>403.26489000000004</v>
      </c>
      <c r="F31" s="73">
        <f>[1]!wss($A31:$A31,"hks_stm_is","item=61","rptDate="&amp;($B31-3)&amp;"1231","rptType=1","currencyType=Cur=CNY","WssConvert=0","WssDivide=8","showcodes=N","cols=1;rows=1")</f>
        <v>123.54114</v>
      </c>
      <c r="G31" s="73">
        <f>[1]!wss($A31:$A31,"hks_stm_is","item=61","rptDate="&amp;($B31-2)&amp;"1231","rptType=1","currencyType=Cur=CNY","WssConvert=0","WssDivide=8","showcodes=N","cols=1;rows=1")</f>
        <v>168.0438</v>
      </c>
      <c r="H31" s="73">
        <f>[1]!wss($A31:$A31,"hks_stm_is","item=61","rptDate="&amp;($B31-1)&amp;"1231","rptType=1","currencyType=Cur=CNY","WssConvert=0","WssDivide=8","showcodes=N","cols=1;rows=1")</f>
        <v>86.993690000000001</v>
      </c>
      <c r="I31" s="73" t="str">
        <f>[1]!wss($A31:$A31,"hks_fa_grossprofitmargin","rptDate="&amp;($B31-3)&amp;"1231","WssConvert=0","showcodes=N","cols=1;rows=1")</f>
        <v/>
      </c>
      <c r="J31" s="43" t="str">
        <f>[1]!wss($A31:$A31,"hks_fa_grossprofitmargin","rptDate="&amp;($B31-2)&amp;"1231","WssConvert=0","showcodes=N","cols=1;rows=1")</f>
        <v/>
      </c>
      <c r="K31" s="43" t="str">
        <f>[1]!wss($A31:$A31,"hks_fa_grossprofitmargin","rptDate="&amp;($B31-1)&amp;"1231","WssConvert=0","showcodes=N","cols=1;rows=1")</f>
        <v/>
      </c>
      <c r="L31" s="73">
        <f>[1]!wss($A31:$A31,"hks_fa_roe","rptDate="&amp;($B31-1)&amp;"1231","WssConvert=0","showcodes=N","cols=1;rows=1")</f>
        <v>9.3419000000000008</v>
      </c>
      <c r="M31" s="43">
        <f>[1]!wss($A31:$A31,"hks_fa_debttoassets","rptDate="&amp;($B31-1)&amp;"1231","WssConvert=0","showcodes=N","cols=1;rows=1")</f>
        <v>72.860900000000001</v>
      </c>
      <c r="P31" s="50">
        <v>211.49450999999999</v>
      </c>
      <c r="Q31" s="50">
        <v>118.16373</v>
      </c>
      <c r="R31" s="50">
        <v>13.70955</v>
      </c>
      <c r="S31" s="50">
        <v>8.8686500000000006</v>
      </c>
      <c r="T31" s="50">
        <v>-38.706200000000003</v>
      </c>
      <c r="U31" s="50">
        <v>-20.976780000000002</v>
      </c>
      <c r="V31" s="50"/>
      <c r="W31" s="50"/>
      <c r="X31" s="50"/>
    </row>
    <row r="32" spans="1:24">
      <c r="A32" t="s">
        <v>290</v>
      </c>
      <c r="B32" s="17">
        <f>IFERROR(YEAR(VLOOKUP($A32,'01_ipo_master'!$A:$C,3,FALSE)),YEAR(VLOOKUP("0"&amp;$A32,'01_ipo_master'!$A:$C,3,FALSE)))</f>
        <v>2022</v>
      </c>
      <c r="C32" s="73">
        <f>[1]!wss($A32:$A32,"hks_stm_is","item=83","rptDate="&amp;($B32-3)&amp;"1231","rptType=1","currencyType=Cur=CNY","WssConvert=0","WssDivide=8","showcodes=N","cols=1;rows=1")</f>
        <v>93.504410000000007</v>
      </c>
      <c r="D32" s="73">
        <f>[1]!wss($A32:$A32,"hks_stm_is","item=83","rptDate="&amp;($B32-2)&amp;"1231","rptType=1","currencyType=Cur=CNY","WssConvert=0","WssDivide=8","showcodes=N","cols=1;rows=1")</f>
        <v>77.551739999999995</v>
      </c>
      <c r="E32" s="73">
        <f>[1]!wss($A32:$A32,"hks_stm_is","item=83","rptDate="&amp;($B32-1)&amp;"1231","rptType=1","currencyType=Cur=CNY","WssConvert=0","WssDivide=8","showcodes=N","cols=1;rows=1")</f>
        <v>124.49318000000001</v>
      </c>
      <c r="F32" s="73">
        <f>[1]!wss($A32:$A32,"hks_stm_is","item=61","rptDate="&amp;($B32-3)&amp;"1231","rptType=1","currencyType=Cur=CNY","WssConvert=0","WssDivide=8","showcodes=N","cols=1;rows=1")</f>
        <v>5.6558400000000004</v>
      </c>
      <c r="G32" s="73">
        <f>[1]!wss($A32:$A32,"hks_stm_is","item=61","rptDate="&amp;($B32-2)&amp;"1231","rptType=1","currencyType=Cur=CNY","WssConvert=0","WssDivide=8","showcodes=N","cols=1;rows=1")</f>
        <v>5.2015599999999997</v>
      </c>
      <c r="H32" s="73">
        <f>[1]!wss($A32:$A32,"hks_stm_is","item=61","rptDate="&amp;($B32-1)&amp;"1231","rptType=1","currencyType=Cur=CNY","WssConvert=0","WssDivide=8","showcodes=N","cols=1;rows=1")</f>
        <v>10.99508</v>
      </c>
      <c r="I32" s="73">
        <f>[1]!wss($A32:$A32,"hks_fa_grossprofitmargin","rptDate="&amp;($B32-3)&amp;"1231","WssConvert=0","showcodes=N","cols=1;rows=1")</f>
        <v>10.8918</v>
      </c>
      <c r="J32" s="43">
        <f>[1]!wss($A32:$A32,"hks_fa_grossprofitmargin","rptDate="&amp;($B32-2)&amp;"1231","WssConvert=0","showcodes=N","cols=1;rows=1")</f>
        <v>12.2842</v>
      </c>
      <c r="K32" s="43">
        <f>[1]!wss($A32:$A32,"hks_fa_grossprofitmargin","rptDate="&amp;($B32-1)&amp;"1231","WssConvert=0","showcodes=N","cols=1;rows=1")</f>
        <v>12.1768</v>
      </c>
      <c r="L32" s="73">
        <f>[1]!wss($A32:$A32,"hks_fa_roe","rptDate="&amp;($B32-1)&amp;"1231","WssConvert=0","showcodes=N","cols=1;rows=1")</f>
        <v>48.560600000000001</v>
      </c>
      <c r="M32" s="43">
        <f>[1]!wss($A32:$A32,"hks_fa_debttoassets","rptDate="&amp;($B32-1)&amp;"1231","WssConvert=0","showcodes=N","cols=1;rows=1")</f>
        <v>57.874000000000002</v>
      </c>
      <c r="P32" s="50">
        <v>210.59316000000001</v>
      </c>
      <c r="Q32" s="50">
        <v>292.32958000000002</v>
      </c>
      <c r="R32" s="50">
        <v>402.39785999999998</v>
      </c>
      <c r="S32" s="50">
        <v>10.51365</v>
      </c>
      <c r="T32" s="50">
        <v>17.7315</v>
      </c>
      <c r="U32" s="50">
        <v>28.574210000000001</v>
      </c>
      <c r="V32" s="50">
        <v>16.059200000000001</v>
      </c>
      <c r="W32" s="50">
        <v>18.309699999999999</v>
      </c>
      <c r="X32" s="50">
        <v>19.172899999999998</v>
      </c>
    </row>
    <row r="33" spans="1:24">
      <c r="A33" t="s">
        <v>292</v>
      </c>
      <c r="B33" s="17">
        <f>IFERROR(YEAR(VLOOKUP($A33,'01_ipo_master'!$A:$C,3,FALSE)),YEAR(VLOOKUP("0"&amp;$A33,'01_ipo_master'!$A:$C,3,FALSE)))</f>
        <v>2026</v>
      </c>
      <c r="C33" s="73">
        <f>[1]!wss($A33:$A33,"hks_stm_is","item=83","rptDate="&amp;($B33-3)&amp;"1231","rptType=1","currencyType=Cur=CNY","WssConvert=0","WssDivide=8","showcodes=N","cols=1;rows=1")</f>
        <v>209.84259</v>
      </c>
      <c r="D33" s="73">
        <f>[1]!wss($A33:$A33,"hks_stm_is","item=83","rptDate="&amp;($B33-2)&amp;"1231","rptType=1","currencyType=Cur=CNY","WssConvert=0","WssDivide=8","showcodes=N","cols=1;rows=1")</f>
        <v>257.06819000000002</v>
      </c>
      <c r="E33" s="73">
        <f>[1]!wss($A33:$A33,"hks_stm_is","item=83","rptDate="&amp;($B33-1)&amp;"1231","rptType=1","currencyType=Cur=CNY","WssConvert=0","WssDivide=8","showcodes=N","cols=1;rows=1")</f>
        <v>288.54805517490001</v>
      </c>
      <c r="F33" s="73">
        <f>[1]!wss($A33:$A33,"hks_stm_is","item=61","rptDate="&amp;($B33-3)&amp;"1231","rptType=1","currencyType=Cur=CNY","WssConvert=0","WssDivide=8","showcodes=N","cols=1;rows=1")</f>
        <v>5.5575099999999997</v>
      </c>
      <c r="G33" s="73">
        <f>[1]!wss($A33:$A33,"hks_stm_is","item=61","rptDate="&amp;($B33-2)&amp;"1231","rptType=1","currencyType=Cur=CNY","WssConvert=0","WssDivide=8","showcodes=N","cols=1;rows=1")</f>
        <v>33.175820000000002</v>
      </c>
      <c r="H33" s="73">
        <f>[1]!wss($A33:$A33,"hks_stm_is","item=61","rptDate="&amp;($B33-1)&amp;"1231","rptType=1","currencyType=Cur=CNY","WssConvert=0","WssDivide=8","showcodes=N","cols=1;rows=1")</f>
        <v>40.454165303300002</v>
      </c>
      <c r="I33" s="73">
        <f>[1]!wss($A33:$A33,"hks_fa_grossprofitmargin","rptDate="&amp;($B33-3)&amp;"1231","WssConvert=0","showcodes=N","cols=1;rows=1")</f>
        <v>19.936399999999999</v>
      </c>
      <c r="J33" s="43">
        <f>[1]!wss($A33:$A33,"hks_fa_grossprofitmargin","rptDate="&amp;($B33-2)&amp;"1231","WssConvert=0","showcodes=N","cols=1;rows=1")</f>
        <v>28.160599999999999</v>
      </c>
      <c r="K33" s="43">
        <f>[1]!wss($A33:$A33,"hks_fa_grossprofitmargin","rptDate="&amp;($B33-1)&amp;"1231","WssConvert=0","showcodes=N","cols=1;rows=1")</f>
        <v>30.634899999999998</v>
      </c>
      <c r="L33" s="73">
        <f>[1]!wss($A33:$A33,"hks_fa_roe","rptDate="&amp;($B33-1)&amp;"1231","WssConvert=0","showcodes=N","cols=1;rows=1")</f>
        <v>15.448399999999999</v>
      </c>
      <c r="M33" s="43">
        <f>[1]!wss($A33:$A33,"hks_fa_debttoassets","rptDate="&amp;($B33-1)&amp;"1231","WssConvert=0","showcodes=N","cols=1;rows=1")</f>
        <v>35.427700000000002</v>
      </c>
      <c r="P33" s="50">
        <v>209.84259</v>
      </c>
      <c r="Q33" s="50">
        <v>257.06819000000002</v>
      </c>
      <c r="R33" s="50">
        <v>288.54805517490001</v>
      </c>
      <c r="S33" s="50">
        <v>5.5575099999999997</v>
      </c>
      <c r="T33" s="50">
        <v>33.175820000000002</v>
      </c>
      <c r="U33" s="50">
        <v>40.454165303300002</v>
      </c>
      <c r="V33" s="50">
        <v>19.936399999999999</v>
      </c>
      <c r="W33" s="50">
        <v>28.160599999999999</v>
      </c>
      <c r="X33" s="50">
        <v>30.634899999999998</v>
      </c>
    </row>
    <row r="34" spans="1:24">
      <c r="A34" t="s">
        <v>295</v>
      </c>
      <c r="B34" s="17">
        <f>IFERROR(YEAR(VLOOKUP($A34,'01_ipo_master'!$A:$C,3,FALSE)),YEAR(VLOOKUP("0"&amp;$A34,'01_ipo_master'!$A:$C,3,FALSE)))</f>
        <v>2025</v>
      </c>
      <c r="C34" s="73">
        <f>[1]!wss($A34:$A34,"hks_stm_is","item=83","rptDate="&amp;($B34-3)&amp;"1231","rptType=1","currencyType=Cur=CNY","WssConvert=0","WssDivide=8","showcodes=N","cols=1;rows=1")</f>
        <v>135.75577000000001</v>
      </c>
      <c r="D34" s="73">
        <f>[1]!wss($A34:$A34,"hks_stm_is","item=83","rptDate="&amp;($B34-2)&amp;"1231","rptType=1","currencyType=Cur=CNY","WssConvert=0","WssDivide=8","showcodes=N","cols=1;rows=1")</f>
        <v>203.02465000000001</v>
      </c>
      <c r="E34" s="73">
        <f>[1]!wss($A34:$A34,"hks_stm_is","item=83","rptDate="&amp;($B34-1)&amp;"1231","rptType=1","currencyType=Cur=CNY","WssConvert=0","WssDivide=8","showcodes=N","cols=1;rows=1")</f>
        <v>248.28874000000002</v>
      </c>
      <c r="F34" s="73">
        <f>[1]!wss($A34:$A34,"hks_stm_is","item=61","rptDate="&amp;($B34-3)&amp;"1231","rptType=1","currencyType=Cur=CNY","WssConvert=0","WssDivide=8","showcodes=N","cols=1;rows=1")</f>
        <v>19.96715</v>
      </c>
      <c r="G34" s="73">
        <f>[1]!wss($A34:$A34,"hks_stm_is","item=61","rptDate="&amp;($B34-2)&amp;"1231","rptType=1","currencyType=Cur=CNY","WssConvert=0","WssDivide=8","showcodes=N","cols=1;rows=1")</f>
        <v>31.37341</v>
      </c>
      <c r="H34" s="73">
        <f>[1]!wss($A34:$A34,"hks_stm_is","item=61","rptDate="&amp;($B34-1)&amp;"1231","rptType=1","currencyType=Cur=CNY","WssConvert=0","WssDivide=8","showcodes=N","cols=1;rows=1")</f>
        <v>44.36504</v>
      </c>
      <c r="I34" s="73">
        <f>[1]!wss($A34:$A34,"hks_fa_grossprofitmargin","rptDate="&amp;($B34-3)&amp;"1231","WssConvert=0","showcodes=N","cols=1;rows=1")</f>
        <v>28.336500000000001</v>
      </c>
      <c r="J34" s="43">
        <f>[1]!wss($A34:$A34,"hks_fa_grossprofitmargin","rptDate="&amp;($B34-2)&amp;"1231","WssConvert=0","showcodes=N","cols=1;rows=1")</f>
        <v>29.547999999999998</v>
      </c>
      <c r="K34" s="43">
        <f>[1]!wss($A34:$A34,"hks_fa_grossprofitmargin","rptDate="&amp;($B34-1)&amp;"1231","WssConvert=0","showcodes=N","cols=1;rows=1")</f>
        <v>32.463000000000001</v>
      </c>
      <c r="L34" s="73">
        <f>[1]!wss($A34:$A34,"hks_fa_roe","rptDate="&amp;($B34-1)&amp;"1231","WssConvert=0","showcodes=N","cols=1;rows=1")</f>
        <v>34.847299999999997</v>
      </c>
      <c r="M34" s="43">
        <f>[1]!wss($A34:$A34,"hks_fa_debttoassets","rptDate="&amp;($B34-1)&amp;"1231","WssConvert=0","showcodes=N","cols=1;rows=1")</f>
        <v>23.871099999999998</v>
      </c>
      <c r="P34" s="50">
        <v>203.02465000000001</v>
      </c>
      <c r="Q34" s="50">
        <v>248.28873999999999</v>
      </c>
      <c r="R34" s="50">
        <v>335.59922999999998</v>
      </c>
      <c r="S34" s="50">
        <v>31.37341</v>
      </c>
      <c r="T34" s="50">
        <v>44.36504</v>
      </c>
      <c r="U34" s="50">
        <v>58.867040000000003</v>
      </c>
      <c r="V34" s="50">
        <v>29.547999999999998</v>
      </c>
      <c r="W34" s="50">
        <v>32.463000000000001</v>
      </c>
      <c r="X34" s="50">
        <v>31.143599999999999</v>
      </c>
    </row>
    <row r="35" spans="1:24">
      <c r="A35" t="s">
        <v>297</v>
      </c>
      <c r="B35" s="17">
        <f>IFERROR(YEAR(VLOOKUP($A35,'01_ipo_master'!$A:$C,3,FALSE)),YEAR(VLOOKUP("0"&amp;$A35,'01_ipo_master'!$A:$C,3,FALSE)))</f>
        <v>2024</v>
      </c>
      <c r="C35" s="73">
        <f>[1]!wss($A35:$A35,"hks_stm_is","item=83","rptDate="&amp;($B35-3)&amp;"1231","rptType=1","currencyType=Cur=CNY","WssConvert=0","WssDivide=8","showcodes=N","cols=1;rows=1")</f>
        <v>168.71</v>
      </c>
      <c r="D35" s="73">
        <f>[1]!wss($A35:$A35,"hks_stm_is","item=83","rptDate="&amp;($B35-2)&amp;"1231","rptType=1","currencyType=Cur=CNY","WssConvert=0","WssDivide=8","showcodes=N","cols=1;rows=1")</f>
        <v>157.24215000000001</v>
      </c>
      <c r="E35" s="73">
        <f>[1]!wss($A35:$A35,"hks_stm_is","item=83","rptDate="&amp;($B35-1)&amp;"1231","rptType=1","currencyType=Cur=CNY","WssConvert=0","WssDivide=8","showcodes=N","cols=1;rows=1")</f>
        <v>202.08599000000001</v>
      </c>
      <c r="F35" s="73">
        <f>[1]!wss($A35:$A35,"hks_stm_is","item=61","rptDate="&amp;($B35-3)&amp;"1231","rptType=1","currencyType=Cur=CNY","WssConvert=0","WssDivide=8","showcodes=N","cols=1;rows=1")</f>
        <v>2.2061800000000003</v>
      </c>
      <c r="G35" s="73">
        <f>[1]!wss($A35:$A35,"hks_stm_is","item=61","rptDate="&amp;($B35-2)&amp;"1231","rptType=1","currencyType=Cur=CNY","WssConvert=0","WssDivide=8","showcodes=N","cols=1;rows=1")</f>
        <v>1.8082500000000001</v>
      </c>
      <c r="H35" s="73">
        <f>[1]!wss($A35:$A35,"hks_stm_is","item=61","rptDate="&amp;($B35-1)&amp;"1231","rptType=1","currencyType=Cur=CNY","WssConvert=0","WssDivide=8","showcodes=N","cols=1;rows=1")</f>
        <v>2.30375</v>
      </c>
      <c r="I35" s="73">
        <f>[1]!wss($A35:$A35,"hks_fa_grossprofitmargin","rptDate="&amp;($B35-3)&amp;"1231","WssConvert=0","showcodes=N","cols=1;rows=1")</f>
        <v>3.1797</v>
      </c>
      <c r="J35" s="43">
        <f>[1]!wss($A35:$A35,"hks_fa_grossprofitmargin","rptDate="&amp;($B35-2)&amp;"1231","WssConvert=0","showcodes=N","cols=1;rows=1")</f>
        <v>4.8285</v>
      </c>
      <c r="K35" s="43">
        <f>[1]!wss($A35:$A35,"hks_fa_grossprofitmargin","rptDate="&amp;($B35-1)&amp;"1231","WssConvert=0","showcodes=N","cols=1;rows=1")</f>
        <v>5.3316999999999997</v>
      </c>
      <c r="L35" s="73">
        <f>[1]!wss($A35:$A35,"hks_fa_roe","rptDate="&amp;($B35-1)&amp;"1231","WssConvert=0","showcodes=N","cols=1;rows=1")</f>
        <v>12.804500000000001</v>
      </c>
      <c r="M35" s="43">
        <f>[1]!wss($A35:$A35,"hks_fa_debttoassets","rptDate="&amp;($B35-1)&amp;"1231","WssConvert=0","showcodes=N","cols=1;rows=1")</f>
        <v>52.1785</v>
      </c>
      <c r="P35" s="50">
        <v>202.08599000000001</v>
      </c>
      <c r="Q35" s="50">
        <v>197.12885</v>
      </c>
      <c r="R35" s="50">
        <v>207.09567000000001</v>
      </c>
      <c r="S35" s="50">
        <v>2.30375</v>
      </c>
      <c r="T35" s="50">
        <v>1.89361</v>
      </c>
      <c r="U35" s="50">
        <v>0.96521000000000001</v>
      </c>
      <c r="V35" s="50">
        <v>5.3316999999999997</v>
      </c>
      <c r="W35" s="50">
        <v>6.7511999999999999</v>
      </c>
      <c r="X35" s="50">
        <v>7.6246</v>
      </c>
    </row>
    <row r="36" spans="1:24">
      <c r="A36" t="s">
        <v>299</v>
      </c>
      <c r="B36" s="17">
        <f>IFERROR(YEAR(VLOOKUP($A36,'01_ipo_master'!$A:$C,3,FALSE)),YEAR(VLOOKUP("0"&amp;$A36,'01_ipo_master'!$A:$C,3,FALSE)))</f>
        <v>2025</v>
      </c>
      <c r="C36" s="73">
        <f>[1]!wss($A36:$A36,"hks_stm_is","item=83","rptDate="&amp;($B36-3)&amp;"1231","rptType=1","currencyType=Cur=CNY","WssConvert=0","WssDivide=8","showcodes=N","cols=1;rows=1")</f>
        <v>138.03837200000001</v>
      </c>
      <c r="D36" s="73">
        <f>[1]!wss($A36:$A36,"hks_stm_is","item=83","rptDate="&amp;($B36-2)&amp;"1231","rptType=1","currencyType=Cur=CNY","WssConvert=0","WssDivide=8","showcodes=N","cols=1;rows=1")</f>
        <v>199.94462100000001</v>
      </c>
      <c r="E36" s="73">
        <f>[1]!wss($A36:$A36,"hks_stm_is","item=83","rptDate="&amp;($B36-1)&amp;"1231","rptType=1","currencyType=Cur=CNY","WssConvert=0","WssDivide=8","showcodes=N","cols=1;rows=1")</f>
        <v>278.04731200000003</v>
      </c>
      <c r="F36" s="73">
        <f>[1]!wss($A36:$A36,"hks_stm_is","item=61","rptDate="&amp;($B36-3)&amp;"1231","rptType=1","currencyType=Cur=CNY","WssConvert=0","WssDivide=8","showcodes=N","cols=1;rows=1")</f>
        <v>-15.252474000000003</v>
      </c>
      <c r="G36" s="73">
        <f>[1]!wss($A36:$A36,"hks_stm_is","item=61","rptDate="&amp;($B36-2)&amp;"1231","rptType=1","currencyType=Cur=CNY","WssConvert=0","WssDivide=8","showcodes=N","cols=1;rows=1")</f>
        <v>-50.712132000000004</v>
      </c>
      <c r="H36" s="73">
        <f>[1]!wss($A36:$A36,"hks_stm_is","item=61","rptDate="&amp;($B36-1)&amp;"1231","rptType=1","currencyType=Cur=CNY","WssConvert=0","WssDivide=8","showcodes=N","cols=1;rows=1")</f>
        <v>1.7252160000000001</v>
      </c>
      <c r="I36" s="73" t="str">
        <f>[1]!wss($A36:$A36,"hks_fa_grossprofitmargin","rptDate="&amp;($B36-3)&amp;"1231","WssConvert=0","showcodes=N","cols=1;rows=1")</f>
        <v/>
      </c>
      <c r="J36" s="43" t="str">
        <f>[1]!wss($A36:$A36,"hks_fa_grossprofitmargin","rptDate="&amp;($B36-2)&amp;"1231","WssConvert=0","showcodes=N","cols=1;rows=1")</f>
        <v/>
      </c>
      <c r="K36" s="43" t="str">
        <f>[1]!wss($A36:$A36,"hks_fa_grossprofitmargin","rptDate="&amp;($B36-1)&amp;"1231","WssConvert=0","showcodes=N","cols=1;rows=1")</f>
        <v/>
      </c>
      <c r="L36" s="73">
        <f>[1]!wss($A36:$A36,"hks_fa_roe","rptDate="&amp;($B36-1)&amp;"1231","WssConvert=0","showcodes=N","cols=1;rows=1")</f>
        <v>0.33479999999999999</v>
      </c>
      <c r="M36" s="43">
        <f>[1]!wss($A36:$A36,"hks_fa_debttoassets","rptDate="&amp;($B36-1)&amp;"1231","WssConvert=0","showcodes=N","cols=1;rows=1")</f>
        <v>87.313800000000001</v>
      </c>
      <c r="P36" s="50">
        <v>199.94462100000001</v>
      </c>
      <c r="Q36" s="50">
        <v>278.04731199999998</v>
      </c>
      <c r="R36" s="50">
        <v>336.11721599999998</v>
      </c>
      <c r="S36" s="50">
        <v>-50.712131999999997</v>
      </c>
      <c r="T36" s="50">
        <v>1.7252160000000001</v>
      </c>
      <c r="U36" s="50">
        <v>11.667808000000001</v>
      </c>
      <c r="V36" s="50"/>
      <c r="W36" s="50"/>
      <c r="X36" s="50"/>
    </row>
    <row r="37" spans="1:24">
      <c r="A37" t="s">
        <v>301</v>
      </c>
      <c r="B37" s="17">
        <f>IFERROR(YEAR(VLOOKUP($A37,'01_ipo_master'!$A:$C,3,FALSE)),YEAR(VLOOKUP("0"&amp;$A37,'01_ipo_master'!$A:$C,3,FALSE)))</f>
        <v>2025</v>
      </c>
      <c r="C37" s="73">
        <f>[1]!wss($A37:$A37,"hks_stm_is","item=83","rptDate="&amp;($B37-3)&amp;"1231","rptType=1","currencyType=Cur=CNY","WssConvert=0","WssDivide=8","showcodes=N","cols=1;rows=1")</f>
        <v>110.85713</v>
      </c>
      <c r="D37" s="73">
        <f>[1]!wss($A37:$A37,"hks_stm_is","item=83","rptDate="&amp;($B37-2)&amp;"1231","rptType=1","currencyType=Cur=CNY","WssConvert=0","WssDivide=8","showcodes=N","cols=1;rows=1")</f>
        <v>186.10794000000001</v>
      </c>
      <c r="E37" s="73">
        <f>[1]!wss($A37:$A37,"hks_stm_is","item=83","rptDate="&amp;($B37-1)&amp;"1231","rptType=1","currencyType=Cur=CNY","WssConvert=0","WssDivide=8","showcodes=N","cols=1;rows=1")</f>
        <v>99.238939999999999</v>
      </c>
      <c r="F37" s="73">
        <f>[1]!wss($A37:$A37,"hks_stm_is","item=61","rptDate="&amp;($B37-3)&amp;"1231","rptType=1","currencyType=Cur=CNY","WssConvert=0","WssDivide=8","showcodes=N","cols=1;rows=1")</f>
        <v>7.1694500000000003</v>
      </c>
      <c r="G37" s="73">
        <f>[1]!wss($A37:$A37,"hks_stm_is","item=61","rptDate="&amp;($B37-2)&amp;"1231","rptType=1","currencyType=Cur=CNY","WssConvert=0","WssDivide=8","showcodes=N","cols=1;rows=1")</f>
        <v>8.1564200000000007</v>
      </c>
      <c r="H37" s="73">
        <f>[1]!wss($A37:$A37,"hks_stm_is","item=61","rptDate="&amp;($B37-1)&amp;"1231","rptType=1","currencyType=Cur=CNY","WssConvert=0","WssDivide=8","showcodes=N","cols=1;rows=1")</f>
        <v>-5.91113</v>
      </c>
      <c r="I37" s="73">
        <f>[1]!wss($A37:$A37,"hks_fa_grossprofitmargin","rptDate="&amp;($B37-3)&amp;"1231","WssConvert=0","showcodes=N","cols=1;rows=1")</f>
        <v>10.963100000000001</v>
      </c>
      <c r="J37" s="43">
        <f>[1]!wss($A37:$A37,"hks_fa_grossprofitmargin","rptDate="&amp;($B37-2)&amp;"1231","WssConvert=0","showcodes=N","cols=1;rows=1")</f>
        <v>9.1135999999999999</v>
      </c>
      <c r="K37" s="43">
        <f>[1]!wss($A37:$A37,"hks_fa_grossprofitmargin","rptDate="&amp;($B37-1)&amp;"1231","WssConvert=0","showcodes=N","cols=1;rows=1")</f>
        <v>-0.85709999999999997</v>
      </c>
      <c r="L37" s="73">
        <f>[1]!wss($A37:$A37,"hks_fa_roe","rptDate="&amp;($B37-1)&amp;"1231","WssConvert=0","showcodes=N","cols=1;rows=1")</f>
        <v>-13.752800000000001</v>
      </c>
      <c r="M37" s="43">
        <f>[1]!wss($A37:$A37,"hks_fa_debttoassets","rptDate="&amp;($B37-1)&amp;"1231","WssConvert=0","showcodes=N","cols=1;rows=1")</f>
        <v>76.362499999999997</v>
      </c>
      <c r="P37" s="50">
        <v>186.10794000000001</v>
      </c>
      <c r="Q37" s="50">
        <v>99.238939999999999</v>
      </c>
      <c r="R37" s="50">
        <v>75.978459999999998</v>
      </c>
      <c r="S37" s="50">
        <v>8.1564200000000007</v>
      </c>
      <c r="T37" s="50">
        <v>-5.91113</v>
      </c>
      <c r="U37" s="50">
        <v>-14.15788</v>
      </c>
      <c r="V37" s="50">
        <v>9.1135999999999999</v>
      </c>
      <c r="W37" s="50">
        <v>-0.85709999999999997</v>
      </c>
      <c r="X37" s="50">
        <v>-6.8103999999999996</v>
      </c>
    </row>
    <row r="38" spans="1:24">
      <c r="A38" t="s">
        <v>304</v>
      </c>
      <c r="B38" s="17">
        <f>IFERROR(YEAR(VLOOKUP($A38,'01_ipo_master'!$A:$C,3,FALSE)),YEAR(VLOOKUP("0"&amp;$A38,'01_ipo_master'!$A:$C,3,FALSE)))</f>
        <v>2026</v>
      </c>
      <c r="C38" s="73">
        <f>[1]!wss($A38:$A38,"hks_stm_is","item=83","rptDate="&amp;($B38-3)&amp;"1231","rptType=1","currencyType=Cur=CNY","WssConvert=0","WssDivide=8","showcodes=N","cols=1;rows=1")</f>
        <v>174.38779</v>
      </c>
      <c r="D38" s="73">
        <f>[1]!wss($A38:$A38,"hks_stm_is","item=83","rptDate="&amp;($B38-2)&amp;"1231","rptType=1","currencyType=Cur=CNY","WssConvert=0","WssDivide=8","showcodes=N","cols=1;rows=1")</f>
        <v>191.87511000000001</v>
      </c>
      <c r="E38" s="73">
        <f>[1]!wss($A38:$A38,"hks_stm_is","item=83","rptDate="&amp;($B38-1)&amp;"1231","rptType=1","currencyType=Cur=CNY","WssConvert=0","WssDivide=8","showcodes=N","cols=1;rows=1")</f>
        <v>212.51231000000001</v>
      </c>
      <c r="F38" s="73">
        <f>[1]!wss($A38:$A38,"hks_stm_is","item=61","rptDate="&amp;($B38-3)&amp;"1231","rptType=1","currencyType=Cur=CNY","WssConvert=0","WssDivide=8","showcodes=N","cols=1;rows=1")</f>
        <v>4.7147800000000002</v>
      </c>
      <c r="G38" s="73">
        <f>[1]!wss($A38:$A38,"hks_stm_is","item=61","rptDate="&amp;($B38-2)&amp;"1231","rptType=1","currencyType=Cur=CNY","WssConvert=0","WssDivide=8","showcodes=N","cols=1;rows=1")</f>
        <v>6.8523199999999997</v>
      </c>
      <c r="H38" s="73">
        <f>[1]!wss($A38:$A38,"hks_stm_is","item=61","rptDate="&amp;($B38-1)&amp;"1231","rptType=1","currencyType=Cur=CNY","WssConvert=0","WssDivide=8","showcodes=N","cols=1;rows=1")</f>
        <v>8.5199400000000001</v>
      </c>
      <c r="I38" s="73">
        <f>[1]!wss($A38:$A38,"hks_fa_grossprofitmargin","rptDate="&amp;($B38-3)&amp;"1231","WssConvert=0","showcodes=N","cols=1;rows=1")</f>
        <v>9.1792999999999996</v>
      </c>
      <c r="J38" s="43">
        <f>[1]!wss($A38:$A38,"hks_fa_grossprofitmargin","rptDate="&amp;($B38-2)&amp;"1231","WssConvert=0","showcodes=N","cols=1;rows=1")</f>
        <v>8.298</v>
      </c>
      <c r="K38" s="43">
        <f>[1]!wss($A38:$A38,"hks_fa_grossprofitmargin","rptDate="&amp;($B38-1)&amp;"1231","WssConvert=0","showcodes=N","cols=1;rows=1")</f>
        <v>10.401199999999999</v>
      </c>
      <c r="L38" s="73">
        <f>[1]!wss($A38:$A38,"hks_fa_roe","rptDate="&amp;($B38-1)&amp;"1231","WssConvert=0","showcodes=N","cols=1;rows=1")</f>
        <v>15.945499999999999</v>
      </c>
      <c r="M38" s="43">
        <f>[1]!wss($A38:$A38,"hks_fa_debttoassets","rptDate="&amp;($B38-1)&amp;"1231","WssConvert=0","showcodes=N","cols=1;rows=1")</f>
        <v>61.085500000000003</v>
      </c>
      <c r="P38" s="50">
        <v>174.38779</v>
      </c>
      <c r="Q38" s="50">
        <v>191.87511000000001</v>
      </c>
      <c r="R38" s="50">
        <v>212.51231000000001</v>
      </c>
      <c r="S38" s="50">
        <v>4.7147800000000002</v>
      </c>
      <c r="T38" s="50">
        <v>6.8523199999999997</v>
      </c>
      <c r="U38" s="50">
        <v>8.5199400000000001</v>
      </c>
      <c r="V38" s="50">
        <v>9.1792999999999996</v>
      </c>
      <c r="W38" s="50">
        <v>8.298</v>
      </c>
      <c r="X38" s="50">
        <v>10.401199999999999</v>
      </c>
    </row>
    <row r="39" spans="1:24">
      <c r="A39" t="s">
        <v>307</v>
      </c>
      <c r="B39" s="17">
        <f>IFERROR(YEAR(VLOOKUP($A39,'01_ipo_master'!$A:$C,3,FALSE)),YEAR(VLOOKUP("0"&amp;$A39,'01_ipo_master'!$A:$C,3,FALSE)))</f>
        <v>2025</v>
      </c>
      <c r="C39" s="73">
        <f>[1]!wss($A39:$A39,"hks_stm_is","item=83","rptDate="&amp;($B39-3)&amp;"1231","rptType=1","currencyType=Cur=CNY","WssConvert=0","WssDivide=8","showcodes=N","cols=1;rows=1")</f>
        <v>141.34694999999999</v>
      </c>
      <c r="D39" s="73">
        <f>[1]!wss($A39:$A39,"hks_stm_is","item=83","rptDate="&amp;($B39-2)&amp;"1231","rptType=1","currencyType=Cur=CNY","WssConvert=0","WssDivide=8","showcodes=N","cols=1;rows=1")</f>
        <v>173.35883000000001</v>
      </c>
      <c r="E39" s="73">
        <f>[1]!wss($A39:$A39,"hks_stm_is","item=83","rptDate="&amp;($B39-1)&amp;"1231","rptType=1","currencyType=Cur=CNY","WssConvert=0","WssDivide=8","showcodes=N","cols=1;rows=1")</f>
        <v>203.97740999999999</v>
      </c>
      <c r="F39" s="73">
        <f>[1]!wss($A39:$A39,"hks_stm_is","item=61","rptDate="&amp;($B39-3)&amp;"1231","rptType=1","currencyType=Cur=CNY","WssConvert=0","WssDivide=8","showcodes=N","cols=1;rows=1")</f>
        <v>-13.341280000000001</v>
      </c>
      <c r="G39" s="73">
        <f>[1]!wss($A39:$A39,"hks_stm_is","item=61","rptDate="&amp;($B39-2)&amp;"1231","rptType=1","currencyType=Cur=CNY","WssConvert=0","WssDivide=8","showcodes=N","cols=1;rows=1")</f>
        <v>4.7989999999999998E-2</v>
      </c>
      <c r="H39" s="73">
        <f>[1]!wss($A39:$A39,"hks_stm_is","item=61","rptDate="&amp;($B39-1)&amp;"1231","rptType=1","currencyType=Cur=CNY","WssConvert=0","WssDivide=8","showcodes=N","cols=1;rows=1")</f>
        <v>7.6160800000000002</v>
      </c>
      <c r="I39" s="73">
        <f>[1]!wss($A39:$A39,"hks_fa_grossprofitmargin","rptDate="&amp;($B39-3)&amp;"1231","WssConvert=0","showcodes=N","cols=1;rows=1")</f>
        <v>17.976400000000002</v>
      </c>
      <c r="J39" s="43">
        <f>[1]!wss($A39:$A39,"hks_fa_grossprofitmargin","rptDate="&amp;($B39-2)&amp;"1231","WssConvert=0","showcodes=N","cols=1;rows=1")</f>
        <v>16.143799999999999</v>
      </c>
      <c r="K39" s="43">
        <f>[1]!wss($A39:$A39,"hks_fa_grossprofitmargin","rptDate="&amp;($B39-1)&amp;"1231","WssConvert=0","showcodes=N","cols=1;rows=1")</f>
        <v>16.2439</v>
      </c>
      <c r="L39" s="73">
        <f>[1]!wss($A39:$A39,"hks_fa_roe","rptDate="&amp;($B39-1)&amp;"1231","WssConvert=0","showcodes=N","cols=1;rows=1")</f>
        <v>1054.1214</v>
      </c>
      <c r="M39" s="43">
        <f>[1]!wss($A39:$A39,"hks_fa_debttoassets","rptDate="&amp;($B39-1)&amp;"1231","WssConvert=0","showcodes=N","cols=1;rows=1")</f>
        <v>96.677400000000006</v>
      </c>
      <c r="P39" s="50">
        <v>173.35883000000001</v>
      </c>
      <c r="Q39" s="50">
        <v>203.97740999999999</v>
      </c>
      <c r="R39" s="50">
        <v>239.51788999999999</v>
      </c>
      <c r="S39" s="50">
        <v>4.7989999999999998E-2</v>
      </c>
      <c r="T39" s="50">
        <v>7.6160800000000002</v>
      </c>
      <c r="U39" s="50">
        <v>23.137229999999999</v>
      </c>
      <c r="V39" s="50">
        <v>16.143799999999999</v>
      </c>
      <c r="W39" s="50">
        <v>16.2439</v>
      </c>
      <c r="X39" s="50">
        <v>17.399999999999999</v>
      </c>
    </row>
    <row r="40" spans="1:24">
      <c r="A40" t="s">
        <v>309</v>
      </c>
      <c r="B40" s="17">
        <f>IFERROR(YEAR(VLOOKUP($A40,'01_ipo_master'!$A:$C,3,FALSE)),YEAR(VLOOKUP("0"&amp;$A40,'01_ipo_master'!$A:$C,3,FALSE)))</f>
        <v>2023</v>
      </c>
      <c r="C40" s="73">
        <f>[1]!wss($A40:$A40,"hks_stm_is","item=83","rptDate="&amp;($B40-3)&amp;"1231","rptType=1","currencyType=Cur=CNY","WssConvert=0","WssDivide=8","showcodes=N","cols=1;rows=1")</f>
        <v>60.649070000000002</v>
      </c>
      <c r="D40" s="73">
        <f>[1]!wss($A40:$A40,"hks_stm_is","item=83","rptDate="&amp;($B40-2)&amp;"1231","rptType=1","currencyType=Cur=CNY","WssConvert=0","WssDivide=8","showcodes=N","cols=1;rows=1")</f>
        <v>100.93538000000001</v>
      </c>
      <c r="E40" s="73">
        <f>[1]!wss($A40:$A40,"hks_stm_is","item=83","rptDate="&amp;($B40-1)&amp;"1231","rptType=1","currencyType=Cur=CNY","WssConvert=0","WssDivide=8","showcodes=N","cols=1;rows=1")</f>
        <v>142.74809999999999</v>
      </c>
      <c r="F40" s="73">
        <f>[1]!wss($A40:$A40,"hks_stm_is","item=61","rptDate="&amp;($B40-3)&amp;"1231","rptType=1","currencyType=Cur=CNY","WssConvert=0","WssDivide=8","showcodes=N","cols=1;rows=1")</f>
        <v>-5.7171099999999999</v>
      </c>
      <c r="G40" s="73">
        <f>[1]!wss($A40:$A40,"hks_stm_is","item=61","rptDate="&amp;($B40-2)&amp;"1231","rptType=1","currencyType=Cur=CNY","WssConvert=0","WssDivide=8","showcodes=N","cols=1;rows=1")</f>
        <v>-4.94041</v>
      </c>
      <c r="H40" s="73">
        <f>[1]!wss($A40:$A40,"hks_stm_is","item=61","rptDate="&amp;($B40-1)&amp;"1231","rptType=1","currencyType=Cur=CNY","WssConvert=0","WssDivide=8","showcodes=N","cols=1;rows=1")</f>
        <v>-14.88688</v>
      </c>
      <c r="I40" s="73">
        <f>[1]!wss($A40:$A40,"hks_fa_grossprofitmargin","rptDate="&amp;($B40-3)&amp;"1231","WssConvert=0","showcodes=N","cols=1;rows=1")</f>
        <v>10.0379</v>
      </c>
      <c r="J40" s="43">
        <f>[1]!wss($A40:$A40,"hks_fa_grossprofitmargin","rptDate="&amp;($B40-2)&amp;"1231","WssConvert=0","showcodes=N","cols=1;rows=1")</f>
        <v>9.0535999999999994</v>
      </c>
      <c r="K40" s="43">
        <f>[1]!wss($A40:$A40,"hks_fa_grossprofitmargin","rptDate="&amp;($B40-1)&amp;"1231","WssConvert=0","showcodes=N","cols=1;rows=1")</f>
        <v>10.050700000000001</v>
      </c>
      <c r="L40" s="73" t="str">
        <f>[1]!wss($A40:$A40,"hks_fa_roe","rptDate="&amp;($B40-1)&amp;"1231","WssConvert=0","showcodes=N","cols=1;rows=1")</f>
        <v/>
      </c>
      <c r="M40" s="43">
        <f>[1]!wss($A40:$A40,"hks_fa_debttoassets","rptDate="&amp;($B40-1)&amp;"1231","WssConvert=0","showcodes=N","cols=1;rows=1")</f>
        <v>206.35159999999999</v>
      </c>
      <c r="P40" s="50">
        <v>169.72275999999999</v>
      </c>
      <c r="Q40" s="50">
        <v>179.03608</v>
      </c>
      <c r="R40" s="50">
        <v>209.69649999999999</v>
      </c>
      <c r="S40" s="50">
        <v>-31.892119999999998</v>
      </c>
      <c r="T40" s="50">
        <v>0.30013000000000001</v>
      </c>
      <c r="U40" s="50">
        <v>1.52965</v>
      </c>
      <c r="V40" s="50">
        <v>10.2575</v>
      </c>
      <c r="W40" s="50">
        <v>10.129</v>
      </c>
      <c r="X40" s="50">
        <v>11.0015</v>
      </c>
    </row>
    <row r="41" spans="1:24">
      <c r="A41" t="s">
        <v>311</v>
      </c>
      <c r="B41" s="17">
        <f>IFERROR(YEAR(VLOOKUP($A41,'01_ipo_master'!$A:$C,3,FALSE)),YEAR(VLOOKUP("0"&amp;$A41,'01_ipo_master'!$A:$C,3,FALSE)))</f>
        <v>2022</v>
      </c>
      <c r="C41" s="73">
        <f>[1]!wss($A41:$A41,"hks_stm_is","item=83","rptDate="&amp;($B41-3)&amp;"1231","rptType=1","currencyType=Cur=CNY","WssConvert=0","WssDivide=8","showcodes=N","cols=1;rows=1")</f>
        <v>1.1696299999999999</v>
      </c>
      <c r="D41" s="73">
        <f>[1]!wss($A41:$A41,"hks_stm_is","item=83","rptDate="&amp;($B41-2)&amp;"1231","rptType=1","currencyType=Cur=CNY","WssConvert=0","WssDivide=8","showcodes=N","cols=1;rows=1")</f>
        <v>6.3130100000000002</v>
      </c>
      <c r="E41" s="73">
        <f>[1]!wss($A41:$A41,"hks_stm_is","item=83","rptDate="&amp;($B41-1)&amp;"1231","rptType=1","currencyType=Cur=CNY","WssConvert=0","WssDivide=8","showcodes=N","cols=1;rows=1")</f>
        <v>31.320589999999999</v>
      </c>
      <c r="F41" s="73">
        <f>[1]!wss($A41:$A41,"hks_stm_is","item=61","rptDate="&amp;($B41-3)&amp;"1231","rptType=1","currencyType=Cur=CNY","WssConvert=0","WssDivide=8","showcodes=N","cols=1;rows=1")</f>
        <v>-9.0113099999999999</v>
      </c>
      <c r="G41" s="73">
        <f>[1]!wss($A41:$A41,"hks_stm_is","item=61","rptDate="&amp;($B41-2)&amp;"1231","rptType=1","currencyType=Cur=CNY","WssConvert=0","WssDivide=8","showcodes=N","cols=1;rows=1")</f>
        <v>-11.00093</v>
      </c>
      <c r="H41" s="73">
        <f>[1]!wss($A41:$A41,"hks_stm_is","item=61","rptDate="&amp;($B41-1)&amp;"1231","rptType=1","currencyType=Cur=CNY","WssConvert=0","WssDivide=8","showcodes=N","cols=1;rows=1")</f>
        <v>-28.457730000000002</v>
      </c>
      <c r="I41" s="73">
        <f>[1]!wss($A41:$A41,"hks_fa_grossprofitmargin","rptDate="&amp;($B41-3)&amp;"1231","WssConvert=0","showcodes=N","cols=1;rows=1")</f>
        <v>-95.727699999999999</v>
      </c>
      <c r="J41" s="43">
        <f>[1]!wss($A41:$A41,"hks_fa_grossprofitmargin","rptDate="&amp;($B41-2)&amp;"1231","WssConvert=0","showcodes=N","cols=1;rows=1")</f>
        <v>-50.625799999999998</v>
      </c>
      <c r="K41" s="43">
        <f>[1]!wss($A41:$A41,"hks_fa_grossprofitmargin","rptDate="&amp;($B41-1)&amp;"1231","WssConvert=0","showcodes=N","cols=1;rows=1")</f>
        <v>-44.304099999999998</v>
      </c>
      <c r="L41" s="73">
        <f>[1]!wss($A41:$A41,"hks_fa_roe","rptDate="&amp;($B41-1)&amp;"1231","WssConvert=0","showcodes=N","cols=1;rows=1")</f>
        <v>-85.368700000000004</v>
      </c>
      <c r="M41" s="43">
        <f>[1]!wss($A41:$A41,"hks_fa_debttoassets","rptDate="&amp;($B41-1)&amp;"1231","WssConvert=0","showcodes=N","cols=1;rows=1")</f>
        <v>42.280500000000004</v>
      </c>
      <c r="P41" s="50">
        <v>167.46689000000001</v>
      </c>
      <c r="Q41" s="50">
        <v>321.64184</v>
      </c>
      <c r="R41" s="50">
        <v>647.31859999999995</v>
      </c>
      <c r="S41" s="50">
        <v>-42.162739999999999</v>
      </c>
      <c r="T41" s="50">
        <v>-28.20796</v>
      </c>
      <c r="U41" s="50">
        <v>5.3839199999999998</v>
      </c>
      <c r="V41" s="50">
        <v>0.48049999999999998</v>
      </c>
      <c r="W41" s="50">
        <v>8.3771000000000004</v>
      </c>
      <c r="X41" s="50">
        <v>14.539899999999999</v>
      </c>
    </row>
    <row r="42" spans="1:24">
      <c r="A42" t="s">
        <v>313</v>
      </c>
      <c r="B42" s="17">
        <f>IFERROR(YEAR(VLOOKUP($A42,'01_ipo_master'!$A:$C,3,FALSE)),YEAR(VLOOKUP("0"&amp;$A42,'01_ipo_master'!$A:$C,3,FALSE)))</f>
        <v>2026</v>
      </c>
      <c r="C42" s="73">
        <f>[1]!wss($A42:$A42,"hks_stm_is","item=83","rptDate="&amp;($B42-3)&amp;"1231","rptType=1","currencyType=Cur=CNY","WssConvert=0","WssDivide=8","showcodes=N","cols=1;rows=1")</f>
        <v>164.83341000000001</v>
      </c>
      <c r="D42" s="73">
        <f>[1]!wss($A42:$A42,"hks_stm_is","item=83","rptDate="&amp;($B42-2)&amp;"1231","rptType=1","currencyType=Cur=CNY","WssConvert=0","WssDivide=8","showcodes=N","cols=1;rows=1")</f>
        <v>117.73350000000001</v>
      </c>
      <c r="E42" s="73">
        <f>[1]!wss($A42:$A42,"hks_stm_is","item=83","rptDate="&amp;($B42-1)&amp;"1231","rptType=1","currencyType=Cur=CNY","WssConvert=0","WssDivide=8","showcodes=N","cols=1;rows=1")</f>
        <v>143.58016000000001</v>
      </c>
      <c r="F42" s="73">
        <f>[1]!wss($A42:$A42,"hks_stm_is","item=61","rptDate="&amp;($B42-3)&amp;"1231","rptType=1","currencyType=Cur=CNY","WssConvert=0","WssDivide=8","showcodes=N","cols=1;rows=1")</f>
        <v>17.745660000000001</v>
      </c>
      <c r="G42" s="73">
        <f>[1]!wss($A42:$A42,"hks_stm_is","item=61","rptDate="&amp;($B42-2)&amp;"1231","rptType=1","currencyType=Cur=CNY","WssConvert=0","WssDivide=8","showcodes=N","cols=1;rows=1")</f>
        <v>2.8610000000000002</v>
      </c>
      <c r="H42" s="73">
        <f>[1]!wss($A42:$A42,"hks_stm_is","item=61","rptDate="&amp;($B42-1)&amp;"1231","rptType=1","currencyType=Cur=CNY","WssConvert=0","WssDivide=8","showcodes=N","cols=1;rows=1")</f>
        <v>15.637780000000001</v>
      </c>
      <c r="I42" s="73">
        <f>[1]!wss($A42:$A42,"hks_fa_grossprofitmargin","rptDate="&amp;($B42-3)&amp;"1231","WssConvert=0","showcodes=N","cols=1;rows=1")</f>
        <v>32.721200000000003</v>
      </c>
      <c r="J42" s="43">
        <f>[1]!wss($A42:$A42,"hks_fa_grossprofitmargin","rptDate="&amp;($B42-2)&amp;"1231","WssConvert=0","showcodes=N","cols=1;rows=1")</f>
        <v>30.0471</v>
      </c>
      <c r="K42" s="43">
        <f>[1]!wss($A42:$A42,"hks_fa_grossprofitmargin","rptDate="&amp;($B42-1)&amp;"1231","WssConvert=0","showcodes=N","cols=1;rows=1")</f>
        <v>30.696899999999999</v>
      </c>
      <c r="L42" s="73">
        <f>[1]!wss($A42:$A42,"hks_fa_roe","rptDate="&amp;($B42-1)&amp;"1231","WssConvert=0","showcodes=N","cols=1;rows=1")</f>
        <v>12.643000000000001</v>
      </c>
      <c r="M42" s="43">
        <f>[1]!wss($A42:$A42,"hks_fa_debttoassets","rptDate="&amp;($B42-1)&amp;"1231","WssConvert=0","showcodes=N","cols=1;rows=1")</f>
        <v>66.342799999999997</v>
      </c>
      <c r="P42" s="50">
        <v>164.83340999999999</v>
      </c>
      <c r="Q42" s="50">
        <v>117.73350000000001</v>
      </c>
      <c r="R42" s="50">
        <v>143.58016000000001</v>
      </c>
      <c r="S42" s="50">
        <v>17.745660000000001</v>
      </c>
      <c r="T42" s="50">
        <v>2.8610000000000002</v>
      </c>
      <c r="U42" s="50">
        <v>15.637779999999999</v>
      </c>
      <c r="V42" s="50">
        <v>32.721200000000003</v>
      </c>
      <c r="W42" s="50">
        <v>30.0471</v>
      </c>
      <c r="X42" s="50">
        <v>30.696899999999999</v>
      </c>
    </row>
    <row r="43" spans="1:24">
      <c r="A43" t="s">
        <v>316</v>
      </c>
      <c r="B43" s="17">
        <f>IFERROR(YEAR(VLOOKUP($A43,'01_ipo_master'!$A:$C,3,FALSE)),YEAR(VLOOKUP("0"&amp;$A43,'01_ipo_master'!$A:$C,3,FALSE)))</f>
        <v>2023</v>
      </c>
      <c r="C43" s="73">
        <f>[1]!wss($A43:$A43,"hks_stm_is","item=83","rptDate="&amp;($B43-3)&amp;"1231","rptType=1","currencyType=Cur=CNY","WssConvert=0","WssDivide=8","showcodes=N","cols=1;rows=1")</f>
        <v>81.453490000000002</v>
      </c>
      <c r="D43" s="73">
        <f>[1]!wss($A43:$A43,"hks_stm_is","item=83","rptDate="&amp;($B43-2)&amp;"1231","rptType=1","currencyType=Cur=CNY","WssConvert=0","WssDivide=8","showcodes=N","cols=1;rows=1")</f>
        <v>99.015659999999997</v>
      </c>
      <c r="E43" s="73">
        <f>[1]!wss($A43:$A43,"hks_stm_is","item=83","rptDate="&amp;($B43-1)&amp;"1231","rptType=1","currencyType=Cur=CNY","WssConvert=0","WssDivide=8","showcodes=N","cols=1;rows=1")</f>
        <v>150.37027</v>
      </c>
      <c r="F43" s="73">
        <f>[1]!wss($A43:$A43,"hks_stm_is","item=61","rptDate="&amp;($B43-3)&amp;"1231","rptType=1","currencyType=Cur=CNY","WssConvert=0","WssDivide=8","showcodes=N","cols=1;rows=1")</f>
        <v>34.881729999999997</v>
      </c>
      <c r="G43" s="73">
        <f>[1]!wss($A43:$A43,"hks_stm_is","item=61","rptDate="&amp;($B43-2)&amp;"1231","rptType=1","currencyType=Cur=CNY","WssConvert=0","WssDivide=8","showcodes=N","cols=1;rows=1")</f>
        <v>-29.973030000000001</v>
      </c>
      <c r="H43" s="73">
        <f>[1]!wss($A43:$A43,"hks_stm_is","item=61","rptDate="&amp;($B43-1)&amp;"1231","rptType=1","currencyType=Cur=CNY","WssConvert=0","WssDivide=8","showcodes=N","cols=1;rows=1")</f>
        <v>9.9286600000000007</v>
      </c>
      <c r="I43" s="73">
        <f>[1]!wss($A43:$A43,"hks_fa_grossprofitmargin","rptDate="&amp;($B43-3)&amp;"1231","WssConvert=0","showcodes=N","cols=1;rows=1")</f>
        <v>38.8429</v>
      </c>
      <c r="J43" s="43">
        <f>[1]!wss($A43:$A43,"hks_fa_grossprofitmargin","rptDate="&amp;($B43-2)&amp;"1231","WssConvert=0","showcodes=N","cols=1;rows=1")</f>
        <v>7.7169999999999996</v>
      </c>
      <c r="K43" s="43">
        <f>[1]!wss($A43:$A43,"hks_fa_grossprofitmargin","rptDate="&amp;($B43-1)&amp;"1231","WssConvert=0","showcodes=N","cols=1;rows=1")</f>
        <v>13.7539</v>
      </c>
      <c r="L43" s="73">
        <f>[1]!wss($A43:$A43,"hks_fa_roe","rptDate="&amp;($B43-1)&amp;"1231","WssConvert=0","showcodes=N","cols=1;rows=1")</f>
        <v>22.205500000000001</v>
      </c>
      <c r="M43" s="43">
        <f>[1]!wss($A43:$A43,"hks_fa_debttoassets","rptDate="&amp;($B43-1)&amp;"1231","WssConvert=0","showcodes=N","cols=1;rows=1")</f>
        <v>73.763300000000001</v>
      </c>
      <c r="P43" s="50">
        <v>161.55412000000001</v>
      </c>
      <c r="Q43" s="50">
        <v>224.63038</v>
      </c>
      <c r="R43" s="50">
        <v>231.59023899389999</v>
      </c>
      <c r="S43" s="50">
        <v>-17.751259999999998</v>
      </c>
      <c r="T43" s="50">
        <v>41.015590000000003</v>
      </c>
      <c r="U43" s="50">
        <v>14.332493550200001</v>
      </c>
      <c r="V43" s="50">
        <v>0.74080000000000001</v>
      </c>
      <c r="W43" s="50">
        <v>21.659099999999999</v>
      </c>
      <c r="X43" s="50">
        <v>13.742100000000001</v>
      </c>
    </row>
    <row r="44" spans="1:24">
      <c r="A44" t="s">
        <v>318</v>
      </c>
      <c r="B44" s="17">
        <f>IFERROR(YEAR(VLOOKUP($A44,'01_ipo_master'!$A:$C,3,FALSE)),YEAR(VLOOKUP("0"&amp;$A44,'01_ipo_master'!$A:$C,3,FALSE)))</f>
        <v>2025</v>
      </c>
      <c r="C44" s="73">
        <f>[1]!wss($A44:$A44,"hks_stm_is","item=83","rptDate="&amp;($B44-3)&amp;"1231","rptType=1","currencyType=Cur=CNY","WssConvert=0","WssDivide=8","showcodes=N","cols=1;rows=1")</f>
        <v>126.61510472600003</v>
      </c>
      <c r="D44" s="73">
        <f>[1]!wss($A44:$A44,"hks_stm_is","item=83","rptDate="&amp;($B44-2)&amp;"1231","rptType=1","currencyType=Cur=CNY","WssConvert=0","WssDivide=8","showcodes=N","cols=1;rows=1")</f>
        <v>160.236525855</v>
      </c>
      <c r="E44" s="73">
        <f>[1]!wss($A44:$A44,"hks_stm_is","item=83","rptDate="&amp;($B44-1)&amp;"1231","rptType=1","currencyType=Cur=CNY","WssConvert=0","WssDivide=8","showcodes=N","cols=1;rows=1")</f>
        <v>214.92848753999999</v>
      </c>
      <c r="F44" s="73">
        <f>[1]!wss($A44:$A44,"hks_stm_is","item=61","rptDate="&amp;($B44-3)&amp;"1231","rptType=1","currencyType=Cur=CNY","WssConvert=0","WssDivide=8","showcodes=N","cols=1;rows=1")</f>
        <v>12.792577280000003</v>
      </c>
      <c r="G44" s="73">
        <f>[1]!wss($A44:$A44,"hks_stm_is","item=61","rptDate="&amp;($B44-2)&amp;"1231","rptType=1","currencyType=Cur=CNY","WssConvert=0","WssDivide=8","showcodes=N","cols=1;rows=1")</f>
        <v>16.317336740999998</v>
      </c>
      <c r="H44" s="73">
        <f>[1]!wss($A44:$A44,"hks_stm_is","item=61","rptDate="&amp;($B44-1)&amp;"1231","rptType=1","currencyType=Cur=CNY","WssConvert=0","WssDivide=8","showcodes=N","cols=1;rows=1")</f>
        <v>34.602872963999999</v>
      </c>
      <c r="I44" s="73">
        <f>[1]!wss($A44:$A44,"hks_fa_grossprofitmargin","rptDate="&amp;($B44-3)&amp;"1231","WssConvert=0","showcodes=N","cols=1;rows=1")</f>
        <v>34.128700000000002</v>
      </c>
      <c r="J44" s="43">
        <f>[1]!wss($A44:$A44,"hks_fa_grossprofitmargin","rptDate="&amp;($B44-2)&amp;"1231","WssConvert=0","showcodes=N","cols=1;rows=1")</f>
        <v>26.197199999999999</v>
      </c>
      <c r="K44" s="43">
        <f>[1]!wss($A44:$A44,"hks_fa_grossprofitmargin","rptDate="&amp;($B44-1)&amp;"1231","WssConvert=0","showcodes=N","cols=1;rows=1")</f>
        <v>37.938099999999999</v>
      </c>
      <c r="L44" s="73">
        <f>[1]!wss($A44:$A44,"hks_fa_roe","rptDate="&amp;($B44-1)&amp;"1231","WssConvert=0","showcodes=N","cols=1;rows=1")</f>
        <v>22.192299999999999</v>
      </c>
      <c r="M44" s="43">
        <f>[1]!wss($A44:$A44,"hks_fa_debttoassets","rptDate="&amp;($B44-1)&amp;"1231","WssConvert=0","showcodes=N","cols=1;rows=1")</f>
        <v>46.284799999999997</v>
      </c>
      <c r="P44" s="50">
        <v>160.236525855</v>
      </c>
      <c r="Q44" s="50">
        <v>214.92848753999999</v>
      </c>
      <c r="R44" s="50">
        <v>378.39404223999998</v>
      </c>
      <c r="S44" s="50">
        <v>16.317336740999998</v>
      </c>
      <c r="T44" s="50">
        <v>34.602872963999999</v>
      </c>
      <c r="U44" s="50">
        <v>112.57016812800001</v>
      </c>
      <c r="V44" s="50">
        <v>26.197199999999999</v>
      </c>
      <c r="W44" s="50">
        <v>37.938099999999999</v>
      </c>
      <c r="X44" s="50">
        <v>52.6965</v>
      </c>
    </row>
    <row r="45" spans="1:24">
      <c r="A45" t="s">
        <v>320</v>
      </c>
      <c r="B45" s="17">
        <f>IFERROR(YEAR(VLOOKUP($A45,'01_ipo_master'!$A:$C,3,FALSE)),YEAR(VLOOKUP("0"&amp;$A45,'01_ipo_master'!$A:$C,3,FALSE)))</f>
        <v>2022</v>
      </c>
      <c r="C45" s="73">
        <f>[1]!wss($A45:$A45,"hks_stm_is","item=83","rptDate="&amp;($B45-3)&amp;"1231","rptType=1","currencyType=Cur=CNY","WssConvert=0","WssDivide=8","showcodes=N","cols=1;rows=1")</f>
        <v>86.911490000000001</v>
      </c>
      <c r="D45" s="73">
        <f>[1]!wss($A45:$A45,"hks_stm_is","item=83","rptDate="&amp;($B45-2)&amp;"1231","rptType=1","currencyType=Cur=CNY","WssConvert=0","WssDivide=8","showcodes=N","cols=1;rows=1")</f>
        <v>129.42421999999999</v>
      </c>
      <c r="E45" s="73">
        <f>[1]!wss($A45:$A45,"hks_stm_is","item=83","rptDate="&amp;($B45-1)&amp;"1231","rptType=1","currencyType=Cur=CNY","WssConvert=0","WssDivide=8","showcodes=N","cols=1;rows=1")</f>
        <v>157.96482</v>
      </c>
      <c r="F45" s="73">
        <f>[1]!wss($A45:$A45,"hks_stm_is","item=61","rptDate="&amp;($B45-3)&amp;"1231","rptType=1","currencyType=Cur=CNY","WssConvert=0","WssDivide=8","showcodes=N","cols=1;rows=1")</f>
        <v>25.01595</v>
      </c>
      <c r="G45" s="73">
        <f>[1]!wss($A45:$A45,"hks_stm_is","item=61","rptDate="&amp;($B45-2)&amp;"1231","rptType=1","currencyType=Cur=CNY","WssConvert=0","WssDivide=8","showcodes=N","cols=1;rows=1")</f>
        <v>34.966059999999999</v>
      </c>
      <c r="H45" s="73">
        <f>[1]!wss($A45:$A45,"hks_stm_is","item=61","rptDate="&amp;($B45-1)&amp;"1231","rptType=1","currencyType=Cur=CNY","WssConvert=0","WssDivide=8","showcodes=N","cols=1;rows=1")</f>
        <v>57.817250000000001</v>
      </c>
      <c r="I45" s="73" t="str">
        <f>[1]!wss($A45:$A45,"hks_fa_grossprofitmargin","rptDate="&amp;($B45-3)&amp;"1231","WssConvert=0","showcodes=N","cols=1;rows=1")</f>
        <v/>
      </c>
      <c r="J45" s="43" t="str">
        <f>[1]!wss($A45:$A45,"hks_fa_grossprofitmargin","rptDate="&amp;($B45-2)&amp;"1231","WssConvert=0","showcodes=N","cols=1;rows=1")</f>
        <v/>
      </c>
      <c r="K45" s="43" t="str">
        <f>[1]!wss($A45:$A45,"hks_fa_grossprofitmargin","rptDate="&amp;($B45-1)&amp;"1231","WssConvert=0","showcodes=N","cols=1;rows=1")</f>
        <v/>
      </c>
      <c r="L45" s="73">
        <f>[1]!wss($A45:$A45,"hks_fa_roe","rptDate="&amp;($B45-1)&amp;"1231","WssConvert=0","showcodes=N","cols=1;rows=1")</f>
        <v>46.845100000000002</v>
      </c>
      <c r="M45" s="43">
        <f>[1]!wss($A45:$A45,"hks_fa_debttoassets","rptDate="&amp;($B45-1)&amp;"1231","WssConvert=0","showcodes=N","cols=1;rows=1")</f>
        <v>54.584099999999999</v>
      </c>
      <c r="P45" s="50">
        <v>143.56288000000001</v>
      </c>
      <c r="Q45" s="50">
        <v>146.29347999999999</v>
      </c>
      <c r="R45" s="50">
        <v>158.58643000000001</v>
      </c>
      <c r="S45" s="50">
        <v>42.853360000000002</v>
      </c>
      <c r="T45" s="50">
        <v>62.643140000000002</v>
      </c>
      <c r="U45" s="50">
        <v>59.896909999999998</v>
      </c>
      <c r="V45" s="50"/>
      <c r="W45" s="50"/>
      <c r="X45" s="50"/>
    </row>
    <row r="46" spans="1:24">
      <c r="A46" t="s">
        <v>322</v>
      </c>
      <c r="B46" s="17">
        <f>IFERROR(YEAR(VLOOKUP($A46,'01_ipo_master'!$A:$C,3,FALSE)),YEAR(VLOOKUP("0"&amp;$A46,'01_ipo_master'!$A:$C,3,FALSE)))</f>
        <v>2025</v>
      </c>
      <c r="C46" s="73">
        <f>[1]!wss($A46:$A46,"hks_stm_is","item=83","rptDate="&amp;($B46-3)&amp;"1231","rptType=1","currencyType=Cur=CNY","WssConvert=0","WssDivide=8","showcodes=N","cols=1;rows=1")</f>
        <v>121.05618</v>
      </c>
      <c r="D46" s="73">
        <f>[1]!wss($A46:$A46,"hks_stm_is","item=83","rptDate="&amp;($B46-2)&amp;"1231","rptType=1","currencyType=Cur=CNY","WssConvert=0","WssDivide=8","showcodes=N","cols=1;rows=1")</f>
        <v>139.64878000000002</v>
      </c>
      <c r="E46" s="73">
        <f>[1]!wss($A46:$A46,"hks_stm_is","item=83","rptDate="&amp;($B46-1)&amp;"1231","rptType=1","currencyType=Cur=CNY","WssConvert=0","WssDivide=8","showcodes=N","cols=1;rows=1")</f>
        <v>150.29588000000001</v>
      </c>
      <c r="F46" s="73">
        <f>[1]!wss($A46:$A46,"hks_stm_is","item=61","rptDate="&amp;($B46-3)&amp;"1231","rptType=1","currencyType=Cur=CNY","WssConvert=0","WssDivide=8","showcodes=N","cols=1;rows=1")</f>
        <v>11.010300000000001</v>
      </c>
      <c r="G46" s="73">
        <f>[1]!wss($A46:$A46,"hks_stm_is","item=61","rptDate="&amp;($B46-2)&amp;"1231","rptType=1","currencyType=Cur=CNY","WssConvert=0","WssDivide=8","showcodes=N","cols=1;rows=1")</f>
        <v>14.780670000000001</v>
      </c>
      <c r="H46" s="73">
        <f>[1]!wss($A46:$A46,"hks_stm_is","item=61","rptDate="&amp;($B46-1)&amp;"1231","rptType=1","currencyType=Cur=CNY","WssConvert=0","WssDivide=8","showcodes=N","cols=1;rows=1")</f>
        <v>14.84831</v>
      </c>
      <c r="I46" s="73">
        <f>[1]!wss($A46:$A46,"hks_fa_grossprofitmargin","rptDate="&amp;($B46-3)&amp;"1231","WssConvert=0","showcodes=N","cols=1;rows=1")</f>
        <v>21.151599999999998</v>
      </c>
      <c r="J46" s="43">
        <f>[1]!wss($A46:$A46,"hks_fa_grossprofitmargin","rptDate="&amp;($B46-2)&amp;"1231","WssConvert=0","showcodes=N","cols=1;rows=1")</f>
        <v>22.607800000000001</v>
      </c>
      <c r="K46" s="43">
        <f>[1]!wss($A46:$A46,"hks_fa_grossprofitmargin","rptDate="&amp;($B46-1)&amp;"1231","WssConvert=0","showcodes=N","cols=1;rows=1")</f>
        <v>22.677099999999999</v>
      </c>
      <c r="L46" s="73">
        <f>[1]!wss($A46:$A46,"hks_fa_roe","rptDate="&amp;($B46-1)&amp;"1231","WssConvert=0","showcodes=N","cols=1;rows=1")</f>
        <v>11.6091</v>
      </c>
      <c r="M46" s="43">
        <f>[1]!wss($A46:$A46,"hks_fa_debttoassets","rptDate="&amp;($B46-1)&amp;"1231","WssConvert=0","showcodes=N","cols=1;rows=1")</f>
        <v>23.624400000000001</v>
      </c>
      <c r="P46" s="50">
        <v>139.64877999999999</v>
      </c>
      <c r="Q46" s="50">
        <v>150.29588000000001</v>
      </c>
      <c r="R46" s="50">
        <v>161.92613033590001</v>
      </c>
      <c r="S46" s="50">
        <v>14.780670000000001</v>
      </c>
      <c r="T46" s="50">
        <v>14.84831</v>
      </c>
      <c r="U46" s="50">
        <v>13.592371396200001</v>
      </c>
      <c r="V46" s="50">
        <v>22.607800000000001</v>
      </c>
      <c r="W46" s="50">
        <v>22.677099999999999</v>
      </c>
      <c r="X46" s="50">
        <v>21.600999999999999</v>
      </c>
    </row>
    <row r="47" spans="1:24">
      <c r="A47" t="s">
        <v>325</v>
      </c>
      <c r="B47" s="17">
        <f>IFERROR(YEAR(VLOOKUP($A47,'01_ipo_master'!$A:$C,3,FALSE)),YEAR(VLOOKUP("0"&amp;$A47,'01_ipo_master'!$A:$C,3,FALSE)))</f>
        <v>2025</v>
      </c>
      <c r="C47" s="73">
        <f>[1]!wss($A47:$A47,"hks_stm_is","item=83","rptDate="&amp;($B47-3)&amp;"1231","rptType=1","currencyType=Cur=CNY","WssConvert=0","WssDivide=8","showcodes=N","cols=1;rows=1")</f>
        <v>134.89725999999999</v>
      </c>
      <c r="D47" s="73">
        <f>[1]!wss($A47:$A47,"hks_stm_is","item=83","rptDate="&amp;($B47-2)&amp;"1231","rptType=1","currencyType=Cur=CNY","WssConvert=0","WssDivide=8","showcodes=N","cols=1;rows=1")</f>
        <v>138.14657</v>
      </c>
      <c r="E47" s="73">
        <f>[1]!wss($A47:$A47,"hks_stm_is","item=83","rptDate="&amp;($B47-1)&amp;"1231","rptType=1","currencyType=Cur=CNY","WssConvert=0","WssDivide=8","showcodes=N","cols=1;rows=1")</f>
        <v>151.63182</v>
      </c>
      <c r="F47" s="73">
        <f>[1]!wss($A47:$A47,"hks_stm_is","item=61","rptDate="&amp;($B47-3)&amp;"1231","rptType=1","currencyType=Cur=CNY","WssConvert=0","WssDivide=8","showcodes=N","cols=1;rows=1")</f>
        <v>8.8128600000000006</v>
      </c>
      <c r="G47" s="73">
        <f>[1]!wss($A47:$A47,"hks_stm_is","item=61","rptDate="&amp;($B47-2)&amp;"1231","rptType=1","currencyType=Cur=CNY","WssConvert=0","WssDivide=8","showcodes=N","cols=1;rows=1")</f>
        <v>10.03572</v>
      </c>
      <c r="H47" s="73">
        <f>[1]!wss($A47:$A47,"hks_stm_is","item=61","rptDate="&amp;($B47-1)&amp;"1231","rptType=1","currencyType=Cur=CNY","WssConvert=0","WssDivide=8","showcodes=N","cols=1;rows=1")</f>
        <v>20.562270000000002</v>
      </c>
      <c r="I47" s="73">
        <f>[1]!wss($A47:$A47,"hks_fa_grossprofitmargin","rptDate="&amp;($B47-3)&amp;"1231","WssConvert=0","showcodes=N","cols=1;rows=1")</f>
        <v>15.1311</v>
      </c>
      <c r="J47" s="43">
        <f>[1]!wss($A47:$A47,"hks_fa_grossprofitmargin","rptDate="&amp;($B47-2)&amp;"1231","WssConvert=0","showcodes=N","cols=1;rows=1")</f>
        <v>16.9117</v>
      </c>
      <c r="K47" s="43">
        <f>[1]!wss($A47:$A47,"hks_fa_grossprofitmargin","rptDate="&amp;($B47-1)&amp;"1231","WssConvert=0","showcodes=N","cols=1;rows=1")</f>
        <v>28.2029</v>
      </c>
      <c r="L47" s="73">
        <f>[1]!wss($A47:$A47,"hks_fa_roe","rptDate="&amp;($B47-1)&amp;"1231","WssConvert=0","showcodes=N","cols=1;rows=1")</f>
        <v>97.797499999999999</v>
      </c>
      <c r="M47" s="43">
        <f>[1]!wss($A47:$A47,"hks_fa_debttoassets","rptDate="&amp;($B47-1)&amp;"1231","WssConvert=0","showcodes=N","cols=1;rows=1")</f>
        <v>87.301900000000003</v>
      </c>
      <c r="P47" s="50">
        <v>138.14657</v>
      </c>
      <c r="Q47" s="50">
        <v>151.63182</v>
      </c>
      <c r="R47" s="50">
        <v>186.80566999999999</v>
      </c>
      <c r="S47" s="50">
        <v>10.03572</v>
      </c>
      <c r="T47" s="50">
        <v>20.562270000000002</v>
      </c>
      <c r="U47" s="50">
        <v>27.308109999999999</v>
      </c>
      <c r="V47" s="50">
        <v>16.9117</v>
      </c>
      <c r="W47" s="50">
        <v>28.2029</v>
      </c>
      <c r="X47" s="50">
        <v>24.7563</v>
      </c>
    </row>
    <row r="48" spans="1:24">
      <c r="A48" t="s">
        <v>327</v>
      </c>
      <c r="B48" s="17">
        <f>IFERROR(YEAR(VLOOKUP($A48,'01_ipo_master'!$A:$C,3,FALSE)),YEAR(VLOOKUP("0"&amp;$A48,'01_ipo_master'!$A:$C,3,FALSE)))</f>
        <v>2023</v>
      </c>
      <c r="C48" s="73">
        <f>[1]!wss($A48:$A48,"hks_stm_is","item=83","rptDate="&amp;($B48-3)&amp;"1231","rptType=1","currencyType=Cur=CNY","WssConvert=0","WssDivide=8","showcodes=N","cols=1;rows=1")</f>
        <v>9.0698600000000003</v>
      </c>
      <c r="D48" s="73">
        <f>[1]!wss($A48:$A48,"hks_stm_is","item=83","rptDate="&amp;($B48-2)&amp;"1231","rptType=1","currencyType=Cur=CNY","WssConvert=0","WssDivide=8","showcodes=N","cols=1;rows=1")</f>
        <v>21.091440000000002</v>
      </c>
      <c r="E48" s="73">
        <f>[1]!wss($A48:$A48,"hks_stm_is","item=83","rptDate="&amp;($B48-1)&amp;"1231","rptType=1","currencyType=Cur=CNY","WssConvert=0","WssDivide=8","showcodes=N","cols=1;rows=1")</f>
        <v>146.47778</v>
      </c>
      <c r="F48" s="73">
        <f>[1]!wss($A48:$A48,"hks_stm_is","item=61","rptDate="&amp;($B48-3)&amp;"1231","rptType=1","currencyType=Cur=CNY","WssConvert=0","WssDivide=8","showcodes=N","cols=1;rows=1")</f>
        <v>-0.40843000000000002</v>
      </c>
      <c r="G48" s="73">
        <f>[1]!wss($A48:$A48,"hks_stm_is","item=61","rptDate="&amp;($B48-2)&amp;"1231","rptType=1","currencyType=Cur=CNY","WssConvert=0","WssDivide=8","showcodes=N","cols=1;rows=1")</f>
        <v>-7.1722700000000001</v>
      </c>
      <c r="H48" s="73">
        <f>[1]!wss($A48:$A48,"hks_stm_is","item=61","rptDate="&amp;($B48-1)&amp;"1231","rptType=1","currencyType=Cur=CNY","WssConvert=0","WssDivide=8","showcodes=N","cols=1;rows=1")</f>
        <v>-3.54121</v>
      </c>
      <c r="I48" s="73">
        <f>[1]!wss($A48:$A48,"hks_fa_grossprofitmargin","rptDate="&amp;($B48-3)&amp;"1231","WssConvert=0","showcodes=N","cols=1;rows=1")</f>
        <v>12.2491</v>
      </c>
      <c r="J48" s="43">
        <f>[1]!wss($A48:$A48,"hks_fa_grossprofitmargin","rptDate="&amp;($B48-2)&amp;"1231","WssConvert=0","showcodes=N","cols=1;rows=1")</f>
        <v>-15.4034</v>
      </c>
      <c r="K48" s="43">
        <f>[1]!wss($A48:$A48,"hks_fa_grossprofitmargin","rptDate="&amp;($B48-1)&amp;"1231","WssConvert=0","showcodes=N","cols=1;rows=1")</f>
        <v>7.4297000000000004</v>
      </c>
      <c r="L48" s="73">
        <f>[1]!wss($A48:$A48,"hks_fa_roe","rptDate="&amp;($B48-1)&amp;"1231","WssConvert=0","showcodes=N","cols=1;rows=1")</f>
        <v>-5.5427</v>
      </c>
      <c r="M48" s="43">
        <f>[1]!wss($A48:$A48,"hks_fa_debttoassets","rptDate="&amp;($B48-1)&amp;"1231","WssConvert=0","showcodes=N","cols=1;rows=1")</f>
        <v>56.690800000000003</v>
      </c>
      <c r="P48" s="50">
        <v>137.48913999999999</v>
      </c>
      <c r="Q48" s="50">
        <v>177.95913999999999</v>
      </c>
      <c r="R48" s="50">
        <v>243.33984000000001</v>
      </c>
      <c r="S48" s="50">
        <v>-14.718019999999999</v>
      </c>
      <c r="T48" s="50">
        <v>-11.630890000000001</v>
      </c>
      <c r="U48" s="50">
        <v>6.2299199999999999</v>
      </c>
      <c r="V48" s="50">
        <v>2.1335999999999999</v>
      </c>
      <c r="W48" s="50">
        <v>4.141</v>
      </c>
      <c r="X48" s="50">
        <v>11.1821</v>
      </c>
    </row>
    <row r="49" spans="1:24">
      <c r="A49" t="s">
        <v>329</v>
      </c>
      <c r="B49" s="17">
        <f>IFERROR(YEAR(VLOOKUP($A49,'01_ipo_master'!$A:$C,3,FALSE)),YEAR(VLOOKUP("0"&amp;$A49,'01_ipo_master'!$A:$C,3,FALSE)))</f>
        <v>2023</v>
      </c>
      <c r="C49" s="73">
        <f>[1]!wss($A49:$A49,"hks_stm_is","item=83","rptDate="&amp;($B49-3)&amp;"1231","rptType=1","currencyType=Cur=CNY","WssConvert=0","WssDivide=8","showcodes=N","cols=1;rows=1")</f>
        <v>87.533159999999995</v>
      </c>
      <c r="D49" s="73">
        <f>[1]!wss($A49:$A49,"hks_stm_is","item=83","rptDate="&amp;($B49-2)&amp;"1231","rptType=1","currencyType=Cur=CNY","WssConvert=0","WssDivide=8","showcodes=N","cols=1;rows=1")</f>
        <v>117.24263000000001</v>
      </c>
      <c r="E49" s="73">
        <f>[1]!wss($A49:$A49,"hks_stm_is","item=83","rptDate="&amp;($B49-1)&amp;"1231","rptType=1","currencyType=Cur=CNY","WssConvert=0","WssDivide=8","showcodes=N","cols=1;rows=1")</f>
        <v>115.46851000000001</v>
      </c>
      <c r="F49" s="73">
        <f>[1]!wss($A49:$A49,"hks_stm_is","item=61","rptDate="&amp;($B49-3)&amp;"1231","rptType=1","currencyType=Cur=CNY","WssConvert=0","WssDivide=8","showcodes=N","cols=1;rows=1")</f>
        <v>-39.282090000000004</v>
      </c>
      <c r="G49" s="73">
        <f>[1]!wss($A49:$A49,"hks_stm_is","item=61","rptDate="&amp;($B49-2)&amp;"1231","rptType=1","currencyType=Cur=CNY","WssConvert=0","WssDivide=8","showcodes=N","cols=1;rows=1")</f>
        <v>-58.405770000000004</v>
      </c>
      <c r="H49" s="73">
        <f>[1]!wss($A49:$A49,"hks_stm_is","item=61","rptDate="&amp;($B49-1)&amp;"1231","rptType=1","currencyType=Cur=CNY","WssConvert=0","WssDivide=8","showcodes=N","cols=1;rows=1")</f>
        <v>-21.361730000000001</v>
      </c>
      <c r="I49" s="73">
        <f>[1]!wss($A49:$A49,"hks_fa_grossprofitmargin","rptDate="&amp;($B49-3)&amp;"1231","WssConvert=0","showcodes=N","cols=1;rows=1")</f>
        <v>12.3384</v>
      </c>
      <c r="J49" s="43">
        <f>[1]!wss($A49:$A49,"hks_fa_grossprofitmargin","rptDate="&amp;($B49-2)&amp;"1231","WssConvert=0","showcodes=N","cols=1;rows=1")</f>
        <v>15.952400000000001</v>
      </c>
      <c r="K49" s="43">
        <f>[1]!wss($A49:$A49,"hks_fa_grossprofitmargin","rptDate="&amp;($B49-1)&amp;"1231","WssConvert=0","showcodes=N","cols=1;rows=1")</f>
        <v>19.660599999999999</v>
      </c>
      <c r="L49" s="73" t="str">
        <f>[1]!wss($A49:$A49,"hks_fa_roe","rptDate="&amp;($B49-1)&amp;"1231","WssConvert=0","showcodes=N","cols=1;rows=1")</f>
        <v/>
      </c>
      <c r="M49" s="43">
        <f>[1]!wss($A49:$A49,"hks_fa_debttoassets","rptDate="&amp;($B49-1)&amp;"1231","WssConvert=0","showcodes=N","cols=1;rows=1")</f>
        <v>310.29860000000002</v>
      </c>
      <c r="P49" s="50">
        <v>136.01085</v>
      </c>
      <c r="Q49" s="50">
        <v>147.58694</v>
      </c>
      <c r="R49" s="50">
        <v>164.61610999999999</v>
      </c>
      <c r="S49" s="50">
        <v>67.029349999999994</v>
      </c>
      <c r="T49" s="50">
        <v>4.8379399999999997</v>
      </c>
      <c r="U49" s="50">
        <v>4.2039400000000002</v>
      </c>
      <c r="V49" s="50">
        <v>24.699200000000001</v>
      </c>
      <c r="W49" s="50">
        <v>25.381499999999999</v>
      </c>
      <c r="X49" s="50">
        <v>24.101700000000001</v>
      </c>
    </row>
    <row r="50" spans="1:24">
      <c r="A50" t="s">
        <v>331</v>
      </c>
      <c r="B50" s="17">
        <f>IFERROR(YEAR(VLOOKUP($A50,'01_ipo_master'!$A:$C,3,FALSE)),YEAR(VLOOKUP("0"&amp;$A50,'01_ipo_master'!$A:$C,3,FALSE)))</f>
        <v>2024</v>
      </c>
      <c r="C50" s="73">
        <f>[1]!wss($A50:$A50,"hks_stm_is","item=83","rptDate="&amp;($B50-3)&amp;"1231","rptType=1","currencyType=Cur=CNY","WssConvert=0","WssDivide=8","showcodes=N","cols=1;rows=1")</f>
        <v>113.39881</v>
      </c>
      <c r="D50" s="73">
        <f>[1]!wss($A50:$A50,"hks_stm_is","item=83","rptDate="&amp;($B50-2)&amp;"1231","rptType=1","currencyType=Cur=CNY","WssConvert=0","WssDivide=8","showcodes=N","cols=1;rows=1")</f>
        <v>126.22776</v>
      </c>
      <c r="E50" s="73">
        <f>[1]!wss($A50:$A50,"hks_stm_is","item=83","rptDate="&amp;($B50-1)&amp;"1231","rptType=1","currencyType=Cur=CNY","WssConvert=0","WssDivide=8","showcodes=N","cols=1;rows=1")</f>
        <v>135.14727999999999</v>
      </c>
      <c r="F50" s="73">
        <f>[1]!wss($A50:$A50,"hks_stm_is","item=61","rptDate="&amp;($B50-3)&amp;"1231","rptType=1","currencyType=Cur=CNY","WssConvert=0","WssDivide=8","showcodes=N","cols=1;rows=1")</f>
        <v>8.58141</v>
      </c>
      <c r="G50" s="73">
        <f>[1]!wss($A50:$A50,"hks_stm_is","item=61","rptDate="&amp;($B50-2)&amp;"1231","rptType=1","currencyType=Cur=CNY","WssConvert=0","WssDivide=8","showcodes=N","cols=1;rows=1")</f>
        <v>9.8980800000000002</v>
      </c>
      <c r="H50" s="73">
        <f>[1]!wss($A50:$A50,"hks_stm_is","item=61","rptDate="&amp;($B50-1)&amp;"1231","rptType=1","currencyType=Cur=CNY","WssConvert=0","WssDivide=8","showcodes=N","cols=1;rows=1")</f>
        <v>13.29341</v>
      </c>
      <c r="I50" s="73">
        <f>[1]!wss($A50:$A50,"hks_fa_grossprofitmargin","rptDate="&amp;($B50-3)&amp;"1231","WssConvert=0","showcodes=N","cols=1;rows=1")</f>
        <v>43.839700000000001</v>
      </c>
      <c r="J50" s="43">
        <f>[1]!wss($A50:$A50,"hks_fa_grossprofitmargin","rptDate="&amp;($B50-2)&amp;"1231","WssConvert=0","showcodes=N","cols=1;rows=1")</f>
        <v>41.663600000000002</v>
      </c>
      <c r="K50" s="43">
        <f>[1]!wss($A50:$A50,"hks_fa_grossprofitmargin","rptDate="&amp;($B50-1)&amp;"1231","WssConvert=0","showcodes=N","cols=1;rows=1")</f>
        <v>44.656599999999997</v>
      </c>
      <c r="L50" s="73">
        <f>[1]!wss($A50:$A50,"hks_fa_roe","rptDate="&amp;($B50-1)&amp;"1231","WssConvert=0","showcodes=N","cols=1;rows=1")</f>
        <v>21.309000000000001</v>
      </c>
      <c r="M50" s="43">
        <f>[1]!wss($A50:$A50,"hks_fa_debttoassets","rptDate="&amp;($B50-1)&amp;"1231","WssConvert=0","showcodes=N","cols=1;rows=1")</f>
        <v>43.293999999999997</v>
      </c>
      <c r="P50" s="50">
        <v>135.14727999999999</v>
      </c>
      <c r="Q50" s="50">
        <v>135.21245999999999</v>
      </c>
      <c r="R50" s="50">
        <v>110.02110999999999</v>
      </c>
      <c r="S50" s="50">
        <v>13.29341</v>
      </c>
      <c r="T50" s="50">
        <v>16.36694</v>
      </c>
      <c r="U50" s="50">
        <v>9.8534100000000002</v>
      </c>
      <c r="V50" s="50">
        <v>44.656599999999997</v>
      </c>
      <c r="W50" s="50">
        <v>47.3127</v>
      </c>
      <c r="X50" s="50">
        <v>45.676200000000001</v>
      </c>
    </row>
    <row r="51" spans="1:24">
      <c r="A51" t="s">
        <v>333</v>
      </c>
      <c r="B51" s="17">
        <f>IFERROR(YEAR(VLOOKUP($A51,'01_ipo_master'!$A:$C,3,FALSE)),YEAR(VLOOKUP("0"&amp;$A51,'01_ipo_master'!$A:$C,3,FALSE)))</f>
        <v>2026</v>
      </c>
      <c r="C51" s="73">
        <f>[1]!wss($A51:$A51,"hks_stm_is","item=83","rptDate="&amp;($B51-3)&amp;"1231","rptType=1","currencyType=Cur=CNY","WssConvert=0","WssDivide=8","showcodes=N","cols=1;rows=1")</f>
        <v>127.49380000000001</v>
      </c>
      <c r="D51" s="73">
        <f>[1]!wss($A51:$A51,"hks_stm_is","item=83","rptDate="&amp;($B51-2)&amp;"1231","rptType=1","currencyType=Cur=CNY","WssConvert=0","WssDivide=8","showcodes=N","cols=1;rows=1")</f>
        <v>193.60642000000001</v>
      </c>
      <c r="E51" s="73">
        <f>[1]!wss($A51:$A51,"hks_stm_is","item=83","rptDate="&amp;($B51-1)&amp;"1231","rptType=1","currencyType=Cur=CNY","WssConvert=0","WssDivide=8","showcodes=N","cols=1;rows=1")</f>
        <v>348.64814999999999</v>
      </c>
      <c r="F51" s="73">
        <f>[1]!wss($A51:$A51,"hks_stm_is","item=61","rptDate="&amp;($B51-3)&amp;"1231","rptType=1","currencyType=Cur=CNY","WssConvert=0","WssDivide=8","showcodes=N","cols=1;rows=1")</f>
        <v>-14.955310000000001</v>
      </c>
      <c r="G51" s="73">
        <f>[1]!wss($A51:$A51,"hks_stm_is","item=61","rptDate="&amp;($B51-2)&amp;"1231","rptType=1","currencyType=Cur=CNY","WssConvert=0","WssDivide=8","showcodes=N","cols=1;rows=1")</f>
        <v>-0.90459000000000001</v>
      </c>
      <c r="H51" s="73">
        <f>[1]!wss($A51:$A51,"hks_stm_is","item=61","rptDate="&amp;($B51-1)&amp;"1231","rptType=1","currencyType=Cur=CNY","WssConvert=0","WssDivide=8","showcodes=N","cols=1;rows=1")</f>
        <v>10.173780000000001</v>
      </c>
      <c r="I51" s="73">
        <f>[1]!wss($A51:$A51,"hks_fa_grossprofitmargin","rptDate="&amp;($B51-3)&amp;"1231","WssConvert=0","showcodes=N","cols=1;rows=1")</f>
        <v>13.9061</v>
      </c>
      <c r="J51" s="43">
        <f>[1]!wss($A51:$A51,"hks_fa_grossprofitmargin","rptDate="&amp;($B51-2)&amp;"1231","WssConvert=0","showcodes=N","cols=1;rows=1")</f>
        <v>20.9741</v>
      </c>
      <c r="K51" s="43">
        <f>[1]!wss($A51:$A51,"hks_fa_grossprofitmargin","rptDate="&amp;($B51-1)&amp;"1231","WssConvert=0","showcodes=N","cols=1;rows=1")</f>
        <v>20.903199999999998</v>
      </c>
      <c r="L51" s="73">
        <f>[1]!wss($A51:$A51,"hks_fa_roe","rptDate="&amp;($B51-1)&amp;"1231","WssConvert=0","showcodes=N","cols=1;rows=1")</f>
        <v>14.698600000000001</v>
      </c>
      <c r="M51" s="43">
        <f>[1]!wss($A51:$A51,"hks_fa_debttoassets","rptDate="&amp;($B51-1)&amp;"1231","WssConvert=0","showcodes=N","cols=1;rows=1")</f>
        <v>73.519499999999994</v>
      </c>
      <c r="P51" s="50">
        <v>127.49379999999999</v>
      </c>
      <c r="Q51" s="50">
        <v>193.60642000000001</v>
      </c>
      <c r="R51" s="50">
        <v>348.64814999999999</v>
      </c>
      <c r="S51" s="50">
        <v>-14.955310000000001</v>
      </c>
      <c r="T51" s="50">
        <v>-0.90459000000000001</v>
      </c>
      <c r="U51" s="50">
        <v>10.173780000000001</v>
      </c>
      <c r="V51" s="50">
        <v>13.9061</v>
      </c>
      <c r="W51" s="50">
        <v>20.9741</v>
      </c>
      <c r="X51" s="50">
        <v>20.903199999999998</v>
      </c>
    </row>
    <row r="52" spans="1:24">
      <c r="A52" t="s">
        <v>335</v>
      </c>
      <c r="B52" s="17">
        <f>IFERROR(YEAR(VLOOKUP($A52,'01_ipo_master'!$A:$C,3,FALSE)),YEAR(VLOOKUP("0"&amp;$A52,'01_ipo_master'!$A:$C,3,FALSE)))</f>
        <v>2022</v>
      </c>
      <c r="C52" s="73">
        <f>[1]!wss($A52:$A52,"hks_stm_is","item=83","rptDate="&amp;($B52-3)&amp;"1231","rptType=1","currencyType=Cur=CNY","WssConvert=0","WssDivide=8","showcodes=N","cols=1;rows=1")</f>
        <v>93.949110000000005</v>
      </c>
      <c r="D52" s="73">
        <f>[1]!wss($A52:$A52,"hks_stm_is","item=83","rptDate="&amp;($B52-2)&amp;"1231","rptType=1","currencyType=Cur=CNY","WssConvert=0","WssDivide=8","showcodes=N","cols=1;rows=1")</f>
        <v>89.789860000000004</v>
      </c>
      <c r="E52" s="73">
        <f>[1]!wss($A52:$A52,"hks_stm_is","item=83","rptDate="&amp;($B52-1)&amp;"1231","rptType=1","currencyType=Cur=CNY","WssConvert=0","WssDivide=8","showcodes=N","cols=1;rows=1")</f>
        <v>90.716589999999997</v>
      </c>
      <c r="F52" s="73">
        <f>[1]!wss($A52:$A52,"hks_stm_is","item=61","rptDate="&amp;($B52-3)&amp;"1231","rptType=1","currencyType=Cur=CNY","WssConvert=0","WssDivide=8","showcodes=N","cols=1;rows=1")</f>
        <v>-2.9064700000000001</v>
      </c>
      <c r="G52" s="73">
        <f>[1]!wss($A52:$A52,"hks_stm_is","item=61","rptDate="&amp;($B52-2)&amp;"1231","rptType=1","currencyType=Cur=CNY","WssConvert=0","WssDivide=8","showcodes=N","cols=1;rows=1")</f>
        <v>-2.6226699999999998</v>
      </c>
      <c r="H52" s="73">
        <f>[1]!wss($A52:$A52,"hks_stm_is","item=61","rptDate="&amp;($B52-1)&amp;"1231","rptType=1","currencyType=Cur=CNY","WssConvert=0","WssDivide=8","showcodes=N","cols=1;rows=1")</f>
        <v>-14.1501</v>
      </c>
      <c r="I52" s="73">
        <f>[1]!wss($A52:$A52,"hks_fa_grossprofitmargin","rptDate="&amp;($B52-3)&amp;"1231","WssConvert=0","showcodes=N","cols=1;rows=1")</f>
        <v>26.727</v>
      </c>
      <c r="J52" s="43">
        <f>[1]!wss($A52:$A52,"hks_fa_grossprofitmargin","rptDate="&amp;($B52-2)&amp;"1231","WssConvert=0","showcodes=N","cols=1;rows=1")</f>
        <v>30.432099999999998</v>
      </c>
      <c r="K52" s="43">
        <f>[1]!wss($A52:$A52,"hks_fa_grossprofitmargin","rptDate="&amp;($B52-1)&amp;"1231","WssConvert=0","showcodes=N","cols=1;rows=1")</f>
        <v>26.7943</v>
      </c>
      <c r="L52" s="73">
        <f>[1]!wss($A52:$A52,"hks_fa_roe","rptDate="&amp;($B52-1)&amp;"1231","WssConvert=0","showcodes=N","cols=1;rows=1")</f>
        <v>-44.7622</v>
      </c>
      <c r="M52" s="43">
        <f>[1]!wss($A52:$A52,"hks_fa_debttoassets","rptDate="&amp;($B52-1)&amp;"1231","WssConvert=0","showcodes=N","cols=1;rows=1")</f>
        <v>37.859499999999997</v>
      </c>
      <c r="P52" s="50">
        <v>114.73208</v>
      </c>
      <c r="Q52" s="50">
        <v>169.94024999999999</v>
      </c>
      <c r="R52" s="50">
        <v>214.43826999999999</v>
      </c>
      <c r="S52" s="50">
        <v>17.689260000000001</v>
      </c>
      <c r="T52" s="50">
        <v>26.175599999999999</v>
      </c>
      <c r="U52" s="50">
        <v>12.05045</v>
      </c>
      <c r="V52" s="50">
        <v>38.725499999999997</v>
      </c>
      <c r="W52" s="50">
        <v>44.939700000000002</v>
      </c>
      <c r="X52" s="50">
        <v>44.9925</v>
      </c>
    </row>
    <row r="53" spans="1:24">
      <c r="A53" t="s">
        <v>337</v>
      </c>
      <c r="B53" s="17">
        <f>IFERROR(YEAR(VLOOKUP($A53,'01_ipo_master'!$A:$C,3,FALSE)),YEAR(VLOOKUP("0"&amp;$A53,'01_ipo_master'!$A:$C,3,FALSE)))</f>
        <v>2023</v>
      </c>
      <c r="C53" s="73">
        <f>[1]!wss($A53:$A53,"hks_stm_is","item=83","rptDate="&amp;($B53-3)&amp;"1231","rptType=1","currencyType=Cur=CNY","WssConvert=0","WssDivide=8","showcodes=N","cols=1;rows=1")</f>
        <v>88.561250000000001</v>
      </c>
      <c r="D53" s="73">
        <f>[1]!wss($A53:$A53,"hks_stm_is","item=83","rptDate="&amp;($B53-2)&amp;"1231","rptType=1","currencyType=Cur=CNY","WssConvert=0","WssDivide=8","showcodes=N","cols=1;rows=1")</f>
        <v>102.91548</v>
      </c>
      <c r="E53" s="73">
        <f>[1]!wss($A53:$A53,"hks_stm_is","item=83","rptDate="&amp;($B53-1)&amp;"1231","rptType=1","currencyType=Cur=CNY","WssConvert=0","WssDivide=8","showcodes=N","cols=1;rows=1")</f>
        <v>113.13983</v>
      </c>
      <c r="F53" s="73">
        <f>[1]!wss($A53:$A53,"hks_stm_is","item=61","rptDate="&amp;($B53-3)&amp;"1231","rptType=1","currencyType=Cur=CNY","WssConvert=0","WssDivide=8","showcodes=N","cols=1;rows=1")</f>
        <v>0.49063000000000001</v>
      </c>
      <c r="G53" s="73">
        <f>[1]!wss($A53:$A53,"hks_stm_is","item=61","rptDate="&amp;($B53-2)&amp;"1231","rptType=1","currencyType=Cur=CNY","WssConvert=0","WssDivide=8","showcodes=N","cols=1;rows=1")</f>
        <v>2.3034500000000002</v>
      </c>
      <c r="H53" s="73">
        <f>[1]!wss($A53:$A53,"hks_stm_is","item=61","rptDate="&amp;($B53-1)&amp;"1231","rptType=1","currencyType=Cur=CNY","WssConvert=0","WssDivide=8","showcodes=N","cols=1;rows=1")</f>
        <v>3.2329699999999999</v>
      </c>
      <c r="I53" s="73">
        <f>[1]!wss($A53:$A53,"hks_fa_grossprofitmargin","rptDate="&amp;($B53-3)&amp;"1231","WssConvert=0","showcodes=N","cols=1;rows=1")</f>
        <v>9.1196999999999999</v>
      </c>
      <c r="J53" s="43">
        <f>[1]!wss($A53:$A53,"hks_fa_grossprofitmargin","rptDate="&amp;($B53-2)&amp;"1231","WssConvert=0","showcodes=N","cols=1;rows=1")</f>
        <v>11.239100000000001</v>
      </c>
      <c r="K53" s="43">
        <f>[1]!wss($A53:$A53,"hks_fa_grossprofitmargin","rptDate="&amp;($B53-1)&amp;"1231","WssConvert=0","showcodes=N","cols=1;rows=1")</f>
        <v>11.618499999999999</v>
      </c>
      <c r="L53" s="73">
        <f>[1]!wss($A53:$A53,"hks_fa_roe","rptDate="&amp;($B53-1)&amp;"1231","WssConvert=0","showcodes=N","cols=1;rows=1")</f>
        <v>11.565799999999999</v>
      </c>
      <c r="M53" s="43">
        <f>[1]!wss($A53:$A53,"hks_fa_debttoassets","rptDate="&amp;($B53-1)&amp;"1231","WssConvert=0","showcodes=N","cols=1;rows=1")</f>
        <v>55.659199999999998</v>
      </c>
      <c r="P53" s="50">
        <v>113.92256999999999</v>
      </c>
      <c r="Q53" s="50">
        <v>102.73253</v>
      </c>
      <c r="R53" s="50">
        <v>81.744380000000007</v>
      </c>
      <c r="S53" s="50">
        <v>3.6171700000000002</v>
      </c>
      <c r="T53" s="50">
        <v>-3.8602699999999999</v>
      </c>
      <c r="U53" s="50">
        <v>-3.1748699999999999</v>
      </c>
      <c r="V53" s="50">
        <v>11.543200000000001</v>
      </c>
      <c r="W53" s="50">
        <v>7.4401999999999999</v>
      </c>
      <c r="X53" s="50">
        <v>7.3057999999999996</v>
      </c>
    </row>
    <row r="54" spans="1:24">
      <c r="A54" t="s">
        <v>339</v>
      </c>
      <c r="B54" s="17">
        <f>IFERROR(YEAR(VLOOKUP($A54,'01_ipo_master'!$A:$C,3,FALSE)),YEAR(VLOOKUP("0"&amp;$A54,'01_ipo_master'!$A:$C,3,FALSE)))</f>
        <v>2026</v>
      </c>
      <c r="C54" s="73">
        <f>[1]!wss($A54:$A54,"hks_stm_is","item=83","rptDate="&amp;($B54-3)&amp;"1231","rptType=1","currencyType=Cur=CNY","WssConvert=0","WssDivide=8","showcodes=N","cols=1;rows=1")</f>
        <v>112.57135</v>
      </c>
      <c r="D54" s="73">
        <f>[1]!wss($A54:$A54,"hks_stm_is","item=83","rptDate="&amp;($B54-2)&amp;"1231","rptType=1","currencyType=Cur=CNY","WssConvert=0","WssDivide=8","showcodes=N","cols=1;rows=1")</f>
        <v>158.30336</v>
      </c>
      <c r="E54" s="73">
        <f>[1]!wss($A54:$A54,"hks_stm_is","item=83","rptDate="&amp;($B54-1)&amp;"1231","rptType=1","currencyType=Cur=CNY","WssConvert=0","WssDivide=8","showcodes=N","cols=1;rows=1")</f>
        <v>208.66019</v>
      </c>
      <c r="F54" s="73">
        <f>[1]!wss($A54:$A54,"hks_stm_is","item=61","rptDate="&amp;($B54-3)&amp;"1231","rptType=1","currencyType=Cur=CNY","WssConvert=0","WssDivide=8","showcodes=N","cols=1;rows=1")</f>
        <v>20.39772</v>
      </c>
      <c r="G54" s="73">
        <f>[1]!wss($A54:$A54,"hks_stm_is","item=61","rptDate="&amp;($B54-2)&amp;"1231","rptType=1","currencyType=Cur=CNY","WssConvert=0","WssDivide=8","showcodes=N","cols=1;rows=1")</f>
        <v>33.267099999999999</v>
      </c>
      <c r="H54" s="73">
        <f>[1]!wss($A54:$A54,"hks_stm_is","item=61","rptDate="&amp;($B54-1)&amp;"1231","rptType=1","currencyType=Cur=CNY","WssConvert=0","WssDivide=8","showcodes=N","cols=1;rows=1")</f>
        <v>44.152630000000002</v>
      </c>
      <c r="I54" s="73">
        <f>[1]!wss($A54:$A54,"hks_fa_grossprofitmargin","rptDate="&amp;($B54-3)&amp;"1231","WssConvert=0","showcodes=N","cols=1;rows=1")</f>
        <v>42.291200000000003</v>
      </c>
      <c r="J54" s="43">
        <f>[1]!wss($A54:$A54,"hks_fa_grossprofitmargin","rptDate="&amp;($B54-2)&amp;"1231","WssConvert=0","showcodes=N","cols=1;rows=1")</f>
        <v>44.113500000000002</v>
      </c>
      <c r="K54" s="43">
        <f>[1]!wss($A54:$A54,"hks_fa_grossprofitmargin","rptDate="&amp;($B54-1)&amp;"1231","WssConvert=0","showcodes=N","cols=1;rows=1")</f>
        <v>44.130600000000001</v>
      </c>
      <c r="L54" s="73">
        <f>[1]!wss($A54:$A54,"hks_fa_roe","rptDate="&amp;($B54-1)&amp;"1231","WssConvert=0","showcodes=N","cols=1;rows=1")</f>
        <v>51.614100000000001</v>
      </c>
      <c r="M54" s="43">
        <f>[1]!wss($A54:$A54,"hks_fa_debttoassets","rptDate="&amp;($B54-1)&amp;"1231","WssConvert=0","showcodes=N","cols=1;rows=1")</f>
        <v>64.732299999999995</v>
      </c>
      <c r="P54" s="50">
        <v>112.57135</v>
      </c>
      <c r="Q54" s="50">
        <v>158.30336</v>
      </c>
      <c r="R54" s="50">
        <v>208.66019</v>
      </c>
      <c r="S54" s="50">
        <v>20.39772</v>
      </c>
      <c r="T54" s="50">
        <v>33.267099999999999</v>
      </c>
      <c r="U54" s="50">
        <v>44.152630000000002</v>
      </c>
      <c r="V54" s="50">
        <v>42.291200000000003</v>
      </c>
      <c r="W54" s="50">
        <v>44.113500000000002</v>
      </c>
      <c r="X54" s="50">
        <v>44.130600000000001</v>
      </c>
    </row>
    <row r="55" spans="1:24">
      <c r="A55" t="s">
        <v>342</v>
      </c>
      <c r="B55" s="17">
        <f>IFERROR(YEAR(VLOOKUP($A55,'01_ipo_master'!$A:$C,3,FALSE)),YEAR(VLOOKUP("0"&amp;$A55,'01_ipo_master'!$A:$C,3,FALSE)))</f>
        <v>2023</v>
      </c>
      <c r="C55" s="73">
        <f>[1]!wss($A55:$A55,"hks_stm_is","item=83","rptDate="&amp;($B55-3)&amp;"1231","rptType=1","currencyType=Cur=CNY","WssConvert=0","WssDivide=8","showcodes=N","cols=1;rows=1")</f>
        <v>101.4862</v>
      </c>
      <c r="D55" s="73">
        <f>[1]!wss($A55:$A55,"hks_stm_is","item=83","rptDate="&amp;($B55-2)&amp;"1231","rptType=1","currencyType=Cur=CNY","WssConvert=0","WssDivide=8","showcodes=N","cols=1;rows=1")</f>
        <v>132.78369000000001</v>
      </c>
      <c r="E55" s="73">
        <f>[1]!wss($A55:$A55,"hks_stm_is","item=83","rptDate="&amp;($B55-1)&amp;"1231","rptType=1","currencyType=Cur=CNY","WssConvert=0","WssDivide=8","showcodes=N","cols=1;rows=1")</f>
        <v>128.44821999999999</v>
      </c>
      <c r="F55" s="73">
        <f>[1]!wss($A55:$A55,"hks_stm_is","item=61","rptDate="&amp;($B55-3)&amp;"1231","rptType=1","currencyType=Cur=CNY","WssConvert=0","WssDivide=8","showcodes=N","cols=1;rows=1")</f>
        <v>2.1635599999999999</v>
      </c>
      <c r="G55" s="73">
        <f>[1]!wss($A55:$A55,"hks_stm_is","item=61","rptDate="&amp;($B55-2)&amp;"1231","rptType=1","currencyType=Cur=CNY","WssConvert=0","WssDivide=8","showcodes=N","cols=1;rows=1")</f>
        <v>1.2483</v>
      </c>
      <c r="H55" s="73">
        <f>[1]!wss($A55:$A55,"hks_stm_is","item=61","rptDate="&amp;($B55-1)&amp;"1231","rptType=1","currencyType=Cur=CNY","WssConvert=0","WssDivide=8","showcodes=N","cols=1;rows=1")</f>
        <v>1.5088200000000001</v>
      </c>
      <c r="I55" s="73">
        <f>[1]!wss($A55:$A55,"hks_fa_grossprofitmargin","rptDate="&amp;($B55-3)&amp;"1231","WssConvert=0","showcodes=N","cols=1;rows=1")</f>
        <v>14.0718</v>
      </c>
      <c r="J55" s="43">
        <f>[1]!wss($A55:$A55,"hks_fa_grossprofitmargin","rptDate="&amp;($B55-2)&amp;"1231","WssConvert=0","showcodes=N","cols=1;rows=1")</f>
        <v>13.1637</v>
      </c>
      <c r="K55" s="43">
        <f>[1]!wss($A55:$A55,"hks_fa_grossprofitmargin","rptDate="&amp;($B55-1)&amp;"1231","WssConvert=0","showcodes=N","cols=1;rows=1")</f>
        <v>14.3408</v>
      </c>
      <c r="L55" s="73">
        <f>[1]!wss($A55:$A55,"hks_fa_roe","rptDate="&amp;($B55-1)&amp;"1231","WssConvert=0","showcodes=N","cols=1;rows=1")</f>
        <v>8.6593</v>
      </c>
      <c r="M55" s="43">
        <f>[1]!wss($A55:$A55,"hks_fa_debttoassets","rptDate="&amp;($B55-1)&amp;"1231","WssConvert=0","showcodes=N","cols=1;rows=1")</f>
        <v>89.588700000000003</v>
      </c>
      <c r="P55" s="50">
        <v>111.50176</v>
      </c>
      <c r="Q55" s="50">
        <v>122.4288944836</v>
      </c>
      <c r="R55" s="50">
        <v>105.31095999999999</v>
      </c>
      <c r="S55" s="50">
        <v>1.54942</v>
      </c>
      <c r="T55" s="50">
        <v>1.5341168325000001</v>
      </c>
      <c r="U55" s="50">
        <v>1.38432</v>
      </c>
      <c r="V55" s="50">
        <v>14.1549</v>
      </c>
      <c r="W55" s="50">
        <v>12.4186</v>
      </c>
      <c r="X55" s="50">
        <v>11.410299999999999</v>
      </c>
    </row>
    <row r="56" spans="1:24">
      <c r="A56" t="s">
        <v>344</v>
      </c>
      <c r="B56" s="17">
        <f>IFERROR(YEAR(VLOOKUP($A56,'01_ipo_master'!$A:$C,3,FALSE)),YEAR(VLOOKUP("0"&amp;$A56,'01_ipo_master'!$A:$C,3,FALSE)))</f>
        <v>2025</v>
      </c>
      <c r="C56" s="73">
        <f>[1]!wss($A56:$A56,"hks_stm_is","item=83","rptDate="&amp;($B56-3)&amp;"1231","rptType=1","currencyType=Cur=CNY","WssConvert=0","WssDivide=8","showcodes=N","cols=1;rows=1")</f>
        <v>76.309610000000006</v>
      </c>
      <c r="D56" s="73">
        <f>[1]!wss($A56:$A56,"hks_stm_is","item=83","rptDate="&amp;($B56-2)&amp;"1231","rptType=1","currencyType=Cur=CNY","WssConvert=0","WssDivide=8","showcodes=N","cols=1;rows=1")</f>
        <v>106.67894</v>
      </c>
      <c r="E56" s="73">
        <f>[1]!wss($A56:$A56,"hks_stm_is","item=83","rptDate="&amp;($B56-1)&amp;"1231","rptType=1","currencyType=Cur=CNY","WssConvert=0","WssDivide=8","showcodes=N","cols=1;rows=1")</f>
        <v>146.57499000000001</v>
      </c>
      <c r="F56" s="73">
        <f>[1]!wss($A56:$A56,"hks_stm_is","item=61","rptDate="&amp;($B56-3)&amp;"1231","rptType=1","currencyType=Cur=CNY","WssConvert=0","WssDivide=8","showcodes=N","cols=1;rows=1")</f>
        <v>-19.720649999999999</v>
      </c>
      <c r="G56" s="73">
        <f>[1]!wss($A56:$A56,"hks_stm_is","item=61","rptDate="&amp;($B56-2)&amp;"1231","rptType=1","currencyType=Cur=CNY","WssConvert=0","WssDivide=8","showcodes=N","cols=1;rows=1")</f>
        <v>-19.164830000000002</v>
      </c>
      <c r="H56" s="73">
        <f>[1]!wss($A56:$A56,"hks_stm_is","item=61","rptDate="&amp;($B56-1)&amp;"1231","rptType=1","currencyType=Cur=CNY","WssConvert=0","WssDivide=8","showcodes=N","cols=1;rows=1")</f>
        <v>-12.50769</v>
      </c>
      <c r="I56" s="73">
        <f>[1]!wss($A56:$A56,"hks_fa_grossprofitmargin","rptDate="&amp;($B56-3)&amp;"1231","WssConvert=0","showcodes=N","cols=1;rows=1")</f>
        <v>-4.4423000000000004</v>
      </c>
      <c r="J56" s="43">
        <f>[1]!wss($A56:$A56,"hks_fa_grossprofitmargin","rptDate="&amp;($B56-2)&amp;"1231","WssConvert=0","showcodes=N","cols=1;rows=1")</f>
        <v>5.7686999999999999</v>
      </c>
      <c r="K56" s="43">
        <f>[1]!wss($A56:$A56,"hks_fa_grossprofitmargin","rptDate="&amp;($B56-1)&amp;"1231","WssConvert=0","showcodes=N","cols=1;rows=1")</f>
        <v>8.0913000000000004</v>
      </c>
      <c r="L56" s="73" t="str">
        <f>[1]!wss($A56:$A56,"hks_fa_roe","rptDate="&amp;($B56-1)&amp;"1231","WssConvert=0","showcodes=N","cols=1;rows=1")</f>
        <v/>
      </c>
      <c r="M56" s="43">
        <f>[1]!wss($A56:$A56,"hks_fa_debttoassets","rptDate="&amp;($B56-1)&amp;"1231","WssConvert=0","showcodes=N","cols=1;rows=1")</f>
        <v>276.709</v>
      </c>
      <c r="P56" s="50">
        <v>106.67894</v>
      </c>
      <c r="Q56" s="50">
        <v>146.57499000000001</v>
      </c>
      <c r="R56" s="50">
        <v>201.89816999999999</v>
      </c>
      <c r="S56" s="50">
        <v>-19.164829999999998</v>
      </c>
      <c r="T56" s="50">
        <v>-12.50769</v>
      </c>
      <c r="U56" s="50">
        <v>-6.3538100000000002</v>
      </c>
      <c r="V56" s="50">
        <v>5.7686999999999999</v>
      </c>
      <c r="W56" s="50">
        <v>8.0913000000000004</v>
      </c>
      <c r="X56" s="50">
        <v>9.3597000000000001</v>
      </c>
    </row>
    <row r="57" spans="1:24">
      <c r="A57" t="s">
        <v>346</v>
      </c>
      <c r="B57" s="17">
        <f>IFERROR(YEAR(VLOOKUP($A57,'01_ipo_master'!$A:$C,3,FALSE)),YEAR(VLOOKUP("0"&amp;$A57,'01_ipo_master'!$A:$C,3,FALSE)))</f>
        <v>2026</v>
      </c>
      <c r="C57" s="73">
        <f>[1]!wss($A57:$A57,"hks_stm_is","item=83","rptDate="&amp;($B57-3)&amp;"1231","rptType=1","currencyType=Cur=CNY","WssConvert=0","WssDivide=8","showcodes=N","cols=1;rows=1")</f>
        <v>102.95318</v>
      </c>
      <c r="D57" s="73">
        <f>[1]!wss($A57:$A57,"hks_stm_is","item=83","rptDate="&amp;($B57-2)&amp;"1231","rptType=1","currencyType=Cur=CNY","WssConvert=0","WssDivide=8","showcodes=N","cols=1;rows=1")</f>
        <v>393.43511000000001</v>
      </c>
      <c r="E57" s="73">
        <f>[1]!wss($A57:$A57,"hks_stm_is","item=83","rptDate="&amp;($B57-1)&amp;"1231","rptType=1","currencyType=Cur=CNY","WssConvert=0","WssDivide=8","showcodes=N","cols=1;rows=1")</f>
        <v>661.70335999999998</v>
      </c>
      <c r="F57" s="73">
        <f>[1]!wss($A57:$A57,"hks_stm_is","item=61","rptDate="&amp;($B57-3)&amp;"1231","rptType=1","currencyType=Cur=CNY","WssConvert=0","WssDivide=8","showcodes=N","cols=1;rows=1")</f>
        <v>2.17428</v>
      </c>
      <c r="G57" s="73">
        <f>[1]!wss($A57:$A57,"hks_stm_is","item=61","rptDate="&amp;($B57-2)&amp;"1231","rptType=1","currencyType=Cur=CNY","WssConvert=0","WssDivide=8","showcodes=N","cols=1;rows=1")</f>
        <v>8.3370099999999994</v>
      </c>
      <c r="H57" s="73">
        <f>[1]!wss($A57:$A57,"hks_stm_is","item=61","rptDate="&amp;($B57-1)&amp;"1231","rptType=1","currencyType=Cur=CNY","WssConvert=0","WssDivide=8","showcodes=N","cols=1;rows=1")</f>
        <v>23.291409999999999</v>
      </c>
      <c r="I57" s="73">
        <f>[1]!wss($A57:$A57,"hks_fa_grossprofitmargin","rptDate="&amp;($B57-3)&amp;"1231","WssConvert=0","showcodes=N","cols=1;rows=1")</f>
        <v>7.5018000000000002</v>
      </c>
      <c r="J57" s="43">
        <f>[1]!wss($A57:$A57,"hks_fa_grossprofitmargin","rptDate="&amp;($B57-2)&amp;"1231","WssConvert=0","showcodes=N","cols=1;rows=1")</f>
        <v>7.6227</v>
      </c>
      <c r="K57" s="43">
        <f>[1]!wss($A57:$A57,"hks_fa_grossprofitmargin","rptDate="&amp;($B57-1)&amp;"1231","WssConvert=0","showcodes=N","cols=1;rows=1")</f>
        <v>9.8315000000000001</v>
      </c>
      <c r="L57" s="73">
        <f>[1]!wss($A57:$A57,"hks_fa_roe","rptDate="&amp;($B57-1)&amp;"1231","WssConvert=0","showcodes=N","cols=1;rows=1")</f>
        <v>33.726599999999998</v>
      </c>
      <c r="M57" s="43">
        <f>[1]!wss($A57:$A57,"hks_fa_debttoassets","rptDate="&amp;($B57-1)&amp;"1231","WssConvert=0","showcodes=N","cols=1;rows=1")</f>
        <v>35.844799999999999</v>
      </c>
      <c r="P57" s="50">
        <v>102.95318</v>
      </c>
      <c r="Q57" s="50">
        <v>393.43511000000001</v>
      </c>
      <c r="R57" s="50">
        <v>661.70335999999998</v>
      </c>
      <c r="S57" s="50">
        <v>2.17428</v>
      </c>
      <c r="T57" s="50">
        <v>8.3370099999999994</v>
      </c>
      <c r="U57" s="50">
        <v>23.291409999999999</v>
      </c>
      <c r="V57" s="50">
        <v>7.5018000000000002</v>
      </c>
      <c r="W57" s="50">
        <v>7.6227</v>
      </c>
      <c r="X57" s="50">
        <v>9.8315000000000001</v>
      </c>
    </row>
    <row r="58" spans="1:24">
      <c r="A58" t="s">
        <v>348</v>
      </c>
      <c r="B58" s="17">
        <f>IFERROR(YEAR(VLOOKUP($A58,'01_ipo_master'!$A:$C,3,FALSE)),YEAR(VLOOKUP("0"&amp;$A58,'01_ipo_master'!$A:$C,3,FALSE)))</f>
        <v>2023</v>
      </c>
      <c r="C58" s="73">
        <f>[1]!wss($A58:$A58,"hks_stm_is","item=83","rptDate="&amp;($B58-3)&amp;"1231","rptType=1","currencyType=Cur=CNY","WssConvert=0","WssDivide=8","showcodes=N","cols=1;rows=1")</f>
        <v>36.769440000000003</v>
      </c>
      <c r="D58" s="73">
        <f>[1]!wss($A58:$A58,"hks_stm_is","item=83","rptDate="&amp;($B58-2)&amp;"1231","rptType=1","currencyType=Cur=CNY","WssConvert=0","WssDivide=8","showcodes=N","cols=1;rows=1")</f>
        <v>61.445550000000004</v>
      </c>
      <c r="E58" s="73">
        <f>[1]!wss($A58:$A58,"hks_stm_is","item=83","rptDate="&amp;($B58-1)&amp;"1231","rptType=1","currencyType=Cur=CNY","WssConvert=0","WssDivide=8","showcodes=N","cols=1;rows=1")</f>
        <v>78.80838</v>
      </c>
      <c r="F58" s="73">
        <f>[1]!wss($A58:$A58,"hks_stm_is","item=61","rptDate="&amp;($B58-3)&amp;"1231","rptType=1","currencyType=Cur=CNY","WssConvert=0","WssDivide=8","showcodes=N","cols=1;rows=1")</f>
        <v>4.4837300000000004</v>
      </c>
      <c r="G58" s="73">
        <f>[1]!wss($A58:$A58,"hks_stm_is","item=61","rptDate="&amp;($B58-2)&amp;"1231","rptType=1","currencyType=Cur=CNY","WssConvert=0","WssDivide=8","showcodes=N","cols=1;rows=1")</f>
        <v>7.0963799999999999</v>
      </c>
      <c r="H58" s="73">
        <f>[1]!wss($A58:$A58,"hks_stm_is","item=61","rptDate="&amp;($B58-1)&amp;"1231","rptType=1","currencyType=Cur=CNY","WssConvert=0","WssDivide=8","showcodes=N","cols=1;rows=1")</f>
        <v>6.6656200000000005</v>
      </c>
      <c r="I58" s="73">
        <f>[1]!wss($A58:$A58,"hks_fa_grossprofitmargin","rptDate="&amp;($B58-3)&amp;"1231","WssConvert=0","showcodes=N","cols=1;rows=1")</f>
        <v>44.993000000000002</v>
      </c>
      <c r="J58" s="43">
        <f>[1]!wss($A58:$A58,"hks_fa_grossprofitmargin","rptDate="&amp;($B58-2)&amp;"1231","WssConvert=0","showcodes=N","cols=1;rows=1")</f>
        <v>46.341900000000003</v>
      </c>
      <c r="K58" s="43">
        <f>[1]!wss($A58:$A58,"hks_fa_grossprofitmargin","rptDate="&amp;($B58-1)&amp;"1231","WssConvert=0","showcodes=N","cols=1;rows=1")</f>
        <v>39.770800000000001</v>
      </c>
      <c r="L58" s="73">
        <f>[1]!wss($A58:$A58,"hks_fa_roe","rptDate="&amp;($B58-1)&amp;"1231","WssConvert=0","showcodes=N","cols=1;rows=1")</f>
        <v>10.5085</v>
      </c>
      <c r="M58" s="43">
        <f>[1]!wss($A58:$A58,"hks_fa_debttoassets","rptDate="&amp;($B58-1)&amp;"1231","WssConvert=0","showcodes=N","cols=1;rows=1")</f>
        <v>77.9636</v>
      </c>
      <c r="P58" s="50">
        <v>96.158330000000007</v>
      </c>
      <c r="Q58" s="50">
        <v>115.81062</v>
      </c>
      <c r="R58" s="50">
        <v>93.591920000000002</v>
      </c>
      <c r="S58" s="50">
        <v>9.6240699999999997</v>
      </c>
      <c r="T58" s="50">
        <v>8.9632199999999997</v>
      </c>
      <c r="U58" s="50">
        <v>1.46976</v>
      </c>
      <c r="V58" s="50">
        <v>39.138100000000001</v>
      </c>
      <c r="W58" s="50">
        <v>32.592799999999997</v>
      </c>
      <c r="X58" s="50">
        <v>26.353100000000001</v>
      </c>
    </row>
    <row r="59" spans="1:24">
      <c r="A59" t="s">
        <v>350</v>
      </c>
      <c r="B59" s="17">
        <f>IFERROR(YEAR(VLOOKUP($A59,'01_ipo_master'!$A:$C,3,FALSE)),YEAR(VLOOKUP("0"&amp;$A59,'01_ipo_master'!$A:$C,3,FALSE)))</f>
        <v>2022</v>
      </c>
      <c r="C59" s="73">
        <f>[1]!wss($A59:$A59,"hks_stm_is","item=83","rptDate="&amp;($B59-3)&amp;"1231","rptType=1","currencyType=Cur=CNY","WssConvert=0","WssDivide=8","showcodes=N","cols=1;rows=1")</f>
        <v>53.361654884999993</v>
      </c>
      <c r="D59" s="73">
        <f>[1]!wss($A59:$A59,"hks_stm_is","item=83","rptDate="&amp;($B59-2)&amp;"1231","rptType=1","currencyType=Cur=CNY","WssConvert=0","WssDivide=8","showcodes=N","cols=1;rows=1")</f>
        <v>51.215068500000001</v>
      </c>
      <c r="E59" s="73">
        <f>[1]!wss($A59:$A59,"hks_stm_is","item=83","rptDate="&amp;($B59-1)&amp;"1231","rptType=1","currencyType=Cur=CNY","WssConvert=0","WssDivide=8","showcodes=N","cols=1;rows=1")</f>
        <v>66.961056969000012</v>
      </c>
      <c r="F59" s="73">
        <f>[1]!wss($A59:$A59,"hks_stm_is","item=61","rptDate="&amp;($B59-3)&amp;"1231","rptType=1","currencyType=Cur=CNY","WssConvert=0","WssDivide=8","showcodes=N","cols=1;rows=1")</f>
        <v>2.0811113399999996</v>
      </c>
      <c r="G59" s="73">
        <f>[1]!wss($A59:$A59,"hks_stm_is","item=61","rptDate="&amp;($B59-2)&amp;"1231","rptType=1","currencyType=Cur=CNY","WssConvert=0","WssDivide=8","showcodes=N","cols=1;rows=1")</f>
        <v>1.7659815000000001</v>
      </c>
      <c r="H59" s="73">
        <f>[1]!wss($A59:$A59,"hks_stm_is","item=61","rptDate="&amp;($B59-1)&amp;"1231","rptType=1","currencyType=Cur=CNY","WssConvert=0","WssDivide=8","showcodes=N","cols=1;rows=1")</f>
        <v>2.710636365</v>
      </c>
      <c r="I59" s="73">
        <f>[1]!wss($A59:$A59,"hks_fa_grossprofitmargin","rptDate="&amp;($B59-3)&amp;"1231","WssConvert=0","showcodes=N","cols=1;rows=1")</f>
        <v>85.288799999999995</v>
      </c>
      <c r="J59" s="43">
        <f>[1]!wss($A59:$A59,"hks_fa_grossprofitmargin","rptDate="&amp;($B59-2)&amp;"1231","WssConvert=0","showcodes=N","cols=1;rows=1")</f>
        <v>84.851600000000005</v>
      </c>
      <c r="K59" s="43">
        <f>[1]!wss($A59:$A59,"hks_fa_grossprofitmargin","rptDate="&amp;($B59-1)&amp;"1231","WssConvert=0","showcodes=N","cols=1;rows=1")</f>
        <v>86.603200000000001</v>
      </c>
      <c r="L59" s="73">
        <f>[1]!wss($A59:$A59,"hks_fa_roe","rptDate="&amp;($B59-1)&amp;"1231","WssConvert=0","showcodes=N","cols=1;rows=1")</f>
        <v>7.8083999999999998</v>
      </c>
      <c r="M59" s="43">
        <f>[1]!wss($A59:$A59,"hks_fa_debttoassets","rptDate="&amp;($B59-1)&amp;"1231","WssConvert=0","showcodes=N","cols=1;rows=1")</f>
        <v>52.3872</v>
      </c>
      <c r="P59" s="50">
        <v>94.023696384000004</v>
      </c>
      <c r="Q59" s="50">
        <v>97.956242110999995</v>
      </c>
      <c r="R59" s="50">
        <v>110.89841945000001</v>
      </c>
      <c r="S59" s="50">
        <v>6.5269084160000004</v>
      </c>
      <c r="T59" s="50">
        <v>6.6164449259999998</v>
      </c>
      <c r="U59" s="50">
        <v>7.4125264849999999</v>
      </c>
      <c r="V59" s="50">
        <v>84.972200000000001</v>
      </c>
      <c r="W59" s="50">
        <v>86.117999999999995</v>
      </c>
      <c r="X59" s="50">
        <v>86.076599999999999</v>
      </c>
    </row>
    <row r="60" spans="1:24">
      <c r="A60" t="s">
        <v>352</v>
      </c>
      <c r="B60" s="17">
        <f>IFERROR(YEAR(VLOOKUP($A60,'01_ipo_master'!$A:$C,3,FALSE)),YEAR(VLOOKUP("0"&amp;$A60,'01_ipo_master'!$A:$C,3,FALSE)))</f>
        <v>2024</v>
      </c>
      <c r="C60" s="73">
        <f>[1]!wss($A60:$A60,"hks_stm_is","item=83","rptDate="&amp;($B60-3)&amp;"1231","rptType=1","currencyType=Cur=CNY","WssConvert=0","WssDivide=8","showcodes=N","cols=1;rows=1")</f>
        <v>40.535049999999998</v>
      </c>
      <c r="D60" s="73">
        <f>[1]!wss($A60:$A60,"hks_stm_is","item=83","rptDate="&amp;($B60-2)&amp;"1231","rptType=1","currencyType=Cur=CNY","WssConvert=0","WssDivide=8","showcodes=N","cols=1;rows=1")</f>
        <v>140.71643</v>
      </c>
      <c r="E60" s="73">
        <f>[1]!wss($A60:$A60,"hks_stm_is","item=83","rptDate="&amp;($B60-1)&amp;"1231","rptType=1","currencyType=Cur=CNY","WssConvert=0","WssDivide=8","showcodes=N","cols=1;rows=1")</f>
        <v>87.294790000000006</v>
      </c>
      <c r="F60" s="73">
        <f>[1]!wss($A60:$A60,"hks_stm_is","item=61","rptDate="&amp;($B60-3)&amp;"1231","rptType=1","currencyType=Cur=CNY","WssConvert=0","WssDivide=8","showcodes=N","cols=1;rows=1")</f>
        <v>3.5110299999999999</v>
      </c>
      <c r="G60" s="73">
        <f>[1]!wss($A60:$A60,"hks_stm_is","item=61","rptDate="&amp;($B60-2)&amp;"1231","rptType=1","currencyType=Cur=CNY","WssConvert=0","WssDivide=8","showcodes=N","cols=1;rows=1")</f>
        <v>7.5289700000000002</v>
      </c>
      <c r="H60" s="73">
        <f>[1]!wss($A60:$A60,"hks_stm_is","item=61","rptDate="&amp;($B60-1)&amp;"1231","rptType=1","currencyType=Cur=CNY","WssConvert=0","WssDivide=8","showcodes=N","cols=1;rows=1")</f>
        <v>-12.33291</v>
      </c>
      <c r="I60" s="73">
        <f>[1]!wss($A60:$A60,"hks_fa_grossprofitmargin","rptDate="&amp;($B60-3)&amp;"1231","WssConvert=0","showcodes=N","cols=1;rows=1")</f>
        <v>26.637599999999999</v>
      </c>
      <c r="J60" s="43">
        <f>[1]!wss($A60:$A60,"hks_fa_grossprofitmargin","rptDate="&amp;($B60-2)&amp;"1231","WssConvert=0","showcodes=N","cols=1;rows=1")</f>
        <v>17.292300000000001</v>
      </c>
      <c r="K60" s="43">
        <f>[1]!wss($A60:$A60,"hks_fa_grossprofitmargin","rptDate="&amp;($B60-1)&amp;"1231","WssConvert=0","showcodes=N","cols=1;rows=1")</f>
        <v>-0.65849999999999997</v>
      </c>
      <c r="L60" s="73">
        <f>[1]!wss($A60:$A60,"hks_fa_roe","rptDate="&amp;($B60-1)&amp;"1231","WssConvert=0","showcodes=N","cols=1;rows=1")</f>
        <v>-30.1722</v>
      </c>
      <c r="M60" s="43">
        <f>[1]!wss($A60:$A60,"hks_fa_debttoassets","rptDate="&amp;($B60-1)&amp;"1231","WssConvert=0","showcodes=N","cols=1;rows=1")</f>
        <v>75.732200000000006</v>
      </c>
      <c r="P60" s="50">
        <v>87.294790000000006</v>
      </c>
      <c r="Q60" s="50">
        <v>76.730509999999995</v>
      </c>
      <c r="R60" s="50">
        <v>89.377769999999998</v>
      </c>
      <c r="S60" s="50">
        <v>-12.33291</v>
      </c>
      <c r="T60" s="50">
        <v>-6.3304200000000002</v>
      </c>
      <c r="U60" s="50">
        <v>-1.7057800000000001</v>
      </c>
      <c r="V60" s="50">
        <v>-0.65849999999999997</v>
      </c>
      <c r="W60" s="50">
        <v>8.7408000000000001</v>
      </c>
      <c r="X60" s="50">
        <v>12.7056</v>
      </c>
    </row>
    <row r="61" spans="1:24">
      <c r="A61" t="s">
        <v>355</v>
      </c>
      <c r="B61" s="17">
        <f>IFERROR(YEAR(VLOOKUP($A61,'01_ipo_master'!$A:$C,3,FALSE)),YEAR(VLOOKUP("0"&amp;$A61,'01_ipo_master'!$A:$C,3,FALSE)))</f>
        <v>2024</v>
      </c>
      <c r="C61" s="73">
        <f>[1]!wss($A61:$A61,"hks_stm_is","item=83","rptDate="&amp;($B61-3)&amp;"1231","rptType=1","currencyType=Cur=CNY","WssConvert=0","WssDivide=8","showcodes=N","cols=1;rows=1")</f>
        <v>90.711929999999995</v>
      </c>
      <c r="D61" s="73">
        <f>[1]!wss($A61:$A61,"hks_stm_is","item=83","rptDate="&amp;($B61-2)&amp;"1231","rptType=1","currencyType=Cur=CNY","WssConvert=0","WssDivide=8","showcodes=N","cols=1;rows=1")</f>
        <v>71.002300000000005</v>
      </c>
      <c r="E61" s="73">
        <f>[1]!wss($A61:$A61,"hks_stm_is","item=83","rptDate="&amp;($B61-1)&amp;"1231","rptType=1","currencyType=Cur=CNY","WssConvert=0","WssDivide=8","showcodes=N","cols=1;rows=1")</f>
        <v>86.829769999999996</v>
      </c>
      <c r="F61" s="73">
        <f>[1]!wss($A61:$A61,"hks_stm_is","item=61","rptDate="&amp;($B61-3)&amp;"1231","rptType=1","currencyType=Cur=CNY","WssConvert=0","WssDivide=8","showcodes=N","cols=1;rows=1")</f>
        <v>-5.8079700000000001</v>
      </c>
      <c r="G61" s="73">
        <f>[1]!wss($A61:$A61,"hks_stm_is","item=61","rptDate="&amp;($B61-2)&amp;"1231","rptType=1","currencyType=Cur=CNY","WssConvert=0","WssDivide=8","showcodes=N","cols=1;rows=1")</f>
        <v>2.1905399999999999</v>
      </c>
      <c r="H61" s="73">
        <f>[1]!wss($A61:$A61,"hks_stm_is","item=61","rptDate="&amp;($B61-1)&amp;"1231","rptType=1","currencyType=Cur=CNY","WssConvert=0","WssDivide=8","showcodes=N","cols=1;rows=1")</f>
        <v>5.3201000000000001</v>
      </c>
      <c r="I61" s="73">
        <f>[1]!wss($A61:$A61,"hks_fa_grossprofitmargin","rptDate="&amp;($B61-3)&amp;"1231","WssConvert=0","showcodes=N","cols=1;rows=1")</f>
        <v>20.891400000000001</v>
      </c>
      <c r="J61" s="43">
        <f>[1]!wss($A61:$A61,"hks_fa_grossprofitmargin","rptDate="&amp;($B61-2)&amp;"1231","WssConvert=0","showcodes=N","cols=1;rows=1")</f>
        <v>34.915100000000002</v>
      </c>
      <c r="K61" s="43">
        <f>[1]!wss($A61:$A61,"hks_fa_grossprofitmargin","rptDate="&amp;($B61-1)&amp;"1231","WssConvert=0","showcodes=N","cols=1;rows=1")</f>
        <v>34.477699999999999</v>
      </c>
      <c r="L61" s="73">
        <f>[1]!wss($A61:$A61,"hks_fa_roe","rptDate="&amp;($B61-1)&amp;"1231","WssConvert=0","showcodes=N","cols=1;rows=1")</f>
        <v>26.437200000000001</v>
      </c>
      <c r="M61" s="43">
        <f>[1]!wss($A61:$A61,"hks_fa_debttoassets","rptDate="&amp;($B61-1)&amp;"1231","WssConvert=0","showcodes=N","cols=1;rows=1")</f>
        <v>56.103200000000001</v>
      </c>
      <c r="P61" s="50">
        <v>86.829769999999996</v>
      </c>
      <c r="Q61" s="50">
        <v>107.09648</v>
      </c>
      <c r="R61" s="50">
        <v>136.98738</v>
      </c>
      <c r="S61" s="50">
        <v>5.3201000000000001</v>
      </c>
      <c r="T61" s="50">
        <v>5.0429899999999996</v>
      </c>
      <c r="U61" s="50">
        <v>1.6113900000000001</v>
      </c>
      <c r="V61" s="50">
        <v>34.477699999999999</v>
      </c>
      <c r="W61" s="50">
        <v>30.7865</v>
      </c>
      <c r="X61" s="50">
        <v>26.339400000000001</v>
      </c>
    </row>
    <row r="62" spans="1:24">
      <c r="A62" t="s">
        <v>357</v>
      </c>
      <c r="B62" s="17">
        <f>IFERROR(YEAR(VLOOKUP($A62,'01_ipo_master'!$A:$C,3,FALSE)),YEAR(VLOOKUP("0"&amp;$A62,'01_ipo_master'!$A:$C,3,FALSE)))</f>
        <v>2026</v>
      </c>
      <c r="C62" s="73">
        <f>[1]!wss($A62:$A62,"hks_stm_is","item=83","rptDate="&amp;($B62-3)&amp;"1231","rptType=1","currencyType=Cur=CNY","WssConvert=0","WssDivide=8","showcodes=N","cols=1;rows=1")</f>
        <v>79.312480000000008</v>
      </c>
      <c r="D62" s="73">
        <f>[1]!wss($A62:$A62,"hks_stm_is","item=83","rptDate="&amp;($B62-2)&amp;"1231","rptType=1","currencyType=Cur=CNY","WssConvert=0","WssDivide=8","showcodes=N","cols=1;rows=1")</f>
        <v>107.31469</v>
      </c>
      <c r="E62" s="73">
        <f>[1]!wss($A62:$A62,"hks_stm_is","item=83","rptDate="&amp;($B62-1)&amp;"1231","rptType=1","currencyType=Cur=CNY","WssConvert=0","WssDivide=8","showcodes=N","cols=1;rows=1")</f>
        <v>192.92313000000001</v>
      </c>
      <c r="F62" s="73">
        <f>[1]!wss($A62:$A62,"hks_stm_is","item=61","rptDate="&amp;($B62-3)&amp;"1231","rptType=1","currencyType=Cur=CNY","WssConvert=0","WssDivide=8","showcodes=N","cols=1;rows=1")</f>
        <v>6.7134600000000004</v>
      </c>
      <c r="G62" s="73">
        <f>[1]!wss($A62:$A62,"hks_stm_is","item=61","rptDate="&amp;($B62-2)&amp;"1231","rptType=1","currencyType=Cur=CNY","WssConvert=0","WssDivide=8","showcodes=N","cols=1;rows=1")</f>
        <v>11.544309999999999</v>
      </c>
      <c r="H62" s="73">
        <f>[1]!wss($A62:$A62,"hks_stm_is","item=61","rptDate="&amp;($B62-1)&amp;"1231","rptType=1","currencyType=Cur=CNY","WssConvert=0","WssDivide=8","showcodes=N","cols=1;rows=1")</f>
        <v>43.119880000000002</v>
      </c>
      <c r="I62" s="73">
        <f>[1]!wss($A62:$A62,"hks_fa_grossprofitmargin","rptDate="&amp;($B62-3)&amp;"1231","WssConvert=0","showcodes=N","cols=1;rows=1")</f>
        <v>20.7193</v>
      </c>
      <c r="J62" s="43">
        <f>[1]!wss($A62:$A62,"hks_fa_grossprofitmargin","rptDate="&amp;($B62-2)&amp;"1231","WssConvert=0","showcodes=N","cols=1;rows=1")</f>
        <v>22.724399999999999</v>
      </c>
      <c r="K62" s="43">
        <f>[1]!wss($A62:$A62,"hks_fa_grossprofitmargin","rptDate="&amp;($B62-1)&amp;"1231","WssConvert=0","showcodes=N","cols=1;rows=1")</f>
        <v>35.223500000000001</v>
      </c>
      <c r="L62" s="73">
        <f>[1]!wss($A62:$A62,"hks_fa_roe","rptDate="&amp;($B62-1)&amp;"1231","WssConvert=0","showcodes=N","cols=1;rows=1")</f>
        <v>33.7592</v>
      </c>
      <c r="M62" s="43">
        <f>[1]!wss($A62:$A62,"hks_fa_debttoassets","rptDate="&amp;($B62-1)&amp;"1231","WssConvert=0","showcodes=N","cols=1;rows=1")</f>
        <v>52.850499999999997</v>
      </c>
      <c r="P62" s="50">
        <v>79.312479999999994</v>
      </c>
      <c r="Q62" s="50">
        <v>107.31469</v>
      </c>
      <c r="R62" s="50">
        <v>192.92312999999999</v>
      </c>
      <c r="S62" s="50">
        <v>6.7134600000000004</v>
      </c>
      <c r="T62" s="50">
        <v>11.544309999999999</v>
      </c>
      <c r="U62" s="50">
        <v>43.119880000000002</v>
      </c>
      <c r="V62" s="50">
        <v>20.7193</v>
      </c>
      <c r="W62" s="50">
        <v>22.724399999999999</v>
      </c>
      <c r="X62" s="50">
        <v>35.223500000000001</v>
      </c>
    </row>
    <row r="63" spans="1:24">
      <c r="A63" t="s">
        <v>360</v>
      </c>
      <c r="B63" s="17">
        <f>IFERROR(YEAR(VLOOKUP($A63,'01_ipo_master'!$A:$C,3,FALSE)),YEAR(VLOOKUP("0"&amp;$A63,'01_ipo_master'!$A:$C,3,FALSE)))</f>
        <v>2025</v>
      </c>
      <c r="C63" s="73">
        <f>[1]!wss($A63:$A63,"hks_stm_is","item=83","rptDate="&amp;($B63-3)&amp;"1231","rptType=1","currencyType=Cur=CNY","WssConvert=0","WssDivide=8","showcodes=N","cols=1;rows=1")</f>
        <v>55.592220000000005</v>
      </c>
      <c r="D63" s="73">
        <f>[1]!wss($A63:$A63,"hks_stm_is","item=83","rptDate="&amp;($B63-2)&amp;"1231","rptType=1","currencyType=Cur=CNY","WssConvert=0","WssDivide=8","showcodes=N","cols=1;rows=1")</f>
        <v>76.756650000000008</v>
      </c>
      <c r="E63" s="73">
        <f>[1]!wss($A63:$A63,"hks_stm_is","item=83","rptDate="&amp;($B63-1)&amp;"1231","rptType=1","currencyType=Cur=CNY","WssConvert=0","WssDivide=8","showcodes=N","cols=1;rows=1")</f>
        <v>87.913550000000001</v>
      </c>
      <c r="F63" s="73">
        <f>[1]!wss($A63:$A63,"hks_stm_is","item=61","rptDate="&amp;($B63-3)&amp;"1231","rptType=1","currencyType=Cur=CNY","WssConvert=0","WssDivide=8","showcodes=N","cols=1;rows=1")</f>
        <v>3.6661900000000003</v>
      </c>
      <c r="G63" s="73">
        <f>[1]!wss($A63:$A63,"hks_stm_is","item=61","rptDate="&amp;($B63-2)&amp;"1231","rptType=1","currencyType=Cur=CNY","WssConvert=0","WssDivide=8","showcodes=N","cols=1;rows=1")</f>
        <v>10.796279999999999</v>
      </c>
      <c r="H63" s="73">
        <f>[1]!wss($A63:$A63,"hks_stm_is","item=61","rptDate="&amp;($B63-1)&amp;"1231","rptType=1","currencyType=Cur=CNY","WssConvert=0","WssDivide=8","showcodes=N","cols=1;rows=1")</f>
        <v>14.785070000000001</v>
      </c>
      <c r="I63" s="73">
        <f>[1]!wss($A63:$A63,"hks_fa_grossprofitmargin","rptDate="&amp;($B63-3)&amp;"1231","WssConvert=0","showcodes=N","cols=1;rows=1")</f>
        <v>28.1142</v>
      </c>
      <c r="J63" s="43">
        <f>[1]!wss($A63:$A63,"hks_fa_grossprofitmargin","rptDate="&amp;($B63-2)&amp;"1231","WssConvert=0","showcodes=N","cols=1;rows=1")</f>
        <v>31.311</v>
      </c>
      <c r="K63" s="43">
        <f>[1]!wss($A63:$A63,"hks_fa_grossprofitmargin","rptDate="&amp;($B63-1)&amp;"1231","WssConvert=0","showcodes=N","cols=1;rows=1")</f>
        <v>30.569600000000001</v>
      </c>
      <c r="L63" s="73">
        <f>[1]!wss($A63:$A63,"hks_fa_roe","rptDate="&amp;($B63-1)&amp;"1231","WssConvert=0","showcodes=N","cols=1;rows=1")</f>
        <v>111.6155</v>
      </c>
      <c r="M63" s="43">
        <f>[1]!wss($A63:$A63,"hks_fa_debttoassets","rptDate="&amp;($B63-1)&amp;"1231","WssConvert=0","showcodes=N","cols=1;rows=1")</f>
        <v>69.278099999999995</v>
      </c>
      <c r="P63" s="50">
        <v>76.756649999999993</v>
      </c>
      <c r="Q63" s="50">
        <v>87.913550000000001</v>
      </c>
      <c r="R63" s="50">
        <v>129.13774000000001</v>
      </c>
      <c r="S63" s="50">
        <v>10.796279999999999</v>
      </c>
      <c r="T63" s="50">
        <v>14.785069999999999</v>
      </c>
      <c r="U63" s="50">
        <v>31.091180000000001</v>
      </c>
      <c r="V63" s="50">
        <v>31.311</v>
      </c>
      <c r="W63" s="50">
        <v>30.569600000000001</v>
      </c>
      <c r="X63" s="50">
        <v>33.004899999999999</v>
      </c>
    </row>
    <row r="64" spans="1:24">
      <c r="A64" t="s">
        <v>362</v>
      </c>
      <c r="B64" s="17">
        <f>IFERROR(YEAR(VLOOKUP($A64,'01_ipo_master'!$A:$C,3,FALSE)),YEAR(VLOOKUP("0"&amp;$A64,'01_ipo_master'!$A:$C,3,FALSE)))</f>
        <v>2024</v>
      </c>
      <c r="C64" s="73">
        <f>[1]!wss($A64:$A64,"hks_stm_is","item=83","rptDate="&amp;($B64-3)&amp;"1231","rptType=1","currencyType=Cur=CNY","WssConvert=0","WssDivide=8","showcodes=N","cols=1;rows=1")</f>
        <v>47.060954410000001</v>
      </c>
      <c r="D64" s="73">
        <f>[1]!wss($A64:$A64,"hks_stm_is","item=83","rptDate="&amp;($B64-2)&amp;"1231","rptType=1","currencyType=Cur=CNY","WssConvert=0","WssDivide=8","showcodes=N","cols=1;rows=1")</f>
        <v>62.269234972000007</v>
      </c>
      <c r="E64" s="73">
        <f>[1]!wss($A64:$A64,"hks_stm_is","item=83","rptDate="&amp;($B64-1)&amp;"1231","rptType=1","currencyType=Cur=CNY","WssConvert=0","WssDivide=8","showcodes=N","cols=1;rows=1")</f>
        <v>75.622554516000008</v>
      </c>
      <c r="F64" s="73">
        <f>[1]!wss($A64:$A64,"hks_stm_is","item=61","rptDate="&amp;($B64-3)&amp;"1231","rptType=1","currencyType=Cur=CNY","WssConvert=0","WssDivide=8","showcodes=N","cols=1;rows=1")</f>
        <v>4.6161980710000003</v>
      </c>
      <c r="G64" s="73">
        <f>[1]!wss($A64:$A64,"hks_stm_is","item=61","rptDate="&amp;($B64-2)&amp;"1231","rptType=1","currencyType=Cur=CNY","WssConvert=0","WssDivide=8","showcodes=N","cols=1;rows=1")</f>
        <v>6.1341410960000005</v>
      </c>
      <c r="H64" s="73">
        <f>[1]!wss($A64:$A64,"hks_stm_is","item=61","rptDate="&amp;($B64-1)&amp;"1231","rptType=1","currencyType=Cur=CNY","WssConvert=0","WssDivide=8","showcodes=N","cols=1;rows=1")</f>
        <v>6.455385261</v>
      </c>
      <c r="I64" s="73">
        <f>[1]!wss($A64:$A64,"hks_fa_grossprofitmargin","rptDate="&amp;($B64-3)&amp;"1231","WssConvert=0","showcodes=N","cols=1;rows=1")</f>
        <v>32.822800000000001</v>
      </c>
      <c r="J64" s="43">
        <f>[1]!wss($A64:$A64,"hks_fa_grossprofitmargin","rptDate="&amp;($B64-2)&amp;"1231","WssConvert=0","showcodes=N","cols=1;rows=1")</f>
        <v>33.344799999999999</v>
      </c>
      <c r="K64" s="43">
        <f>[1]!wss($A64:$A64,"hks_fa_grossprofitmargin","rptDate="&amp;($B64-1)&amp;"1231","WssConvert=0","showcodes=N","cols=1;rows=1")</f>
        <v>34.156500000000001</v>
      </c>
      <c r="L64" s="73">
        <f>[1]!wss($A64:$A64,"hks_fa_roe","rptDate="&amp;($B64-1)&amp;"1231","WssConvert=0","showcodes=N","cols=1;rows=1")</f>
        <v>21.144200000000001</v>
      </c>
      <c r="M64" s="43">
        <f>[1]!wss($A64:$A64,"hks_fa_debttoassets","rptDate="&amp;($B64-1)&amp;"1231","WssConvert=0","showcodes=N","cols=1;rows=1")</f>
        <v>53.0351</v>
      </c>
      <c r="P64" s="50">
        <v>75.622554515999994</v>
      </c>
      <c r="Q64" s="50">
        <v>86.054708571999996</v>
      </c>
      <c r="R64" s="50">
        <v>95.195607120000005</v>
      </c>
      <c r="S64" s="50">
        <v>6.455385261</v>
      </c>
      <c r="T64" s="50">
        <v>8.6797054639999995</v>
      </c>
      <c r="U64" s="50">
        <v>9.7614568639999995</v>
      </c>
      <c r="V64" s="50">
        <v>34.156500000000001</v>
      </c>
      <c r="W64" s="50">
        <v>34.545000000000002</v>
      </c>
      <c r="X64" s="50">
        <v>35.228200000000001</v>
      </c>
    </row>
    <row r="65" spans="1:24">
      <c r="A65" t="s">
        <v>364</v>
      </c>
      <c r="B65" s="17">
        <f>IFERROR(YEAR(VLOOKUP($A65,'01_ipo_master'!$A:$C,3,FALSE)),YEAR(VLOOKUP("0"&amp;$A65,'01_ipo_master'!$A:$C,3,FALSE)))</f>
        <v>2025</v>
      </c>
      <c r="C65" s="73">
        <f>[1]!wss($A65:$A65,"hks_stm_is","item=83","rptDate="&amp;($B65-3)&amp;"1231","rptType=1","currencyType=Cur=CNY","WssConvert=0","WssDivide=8","showcodes=N","cols=1;rows=1")</f>
        <v>62.667870000000001</v>
      </c>
      <c r="D65" s="73">
        <f>[1]!wss($A65:$A65,"hks_stm_is","item=83","rptDate="&amp;($B65-2)&amp;"1231","rptType=1","currencyType=Cur=CNY","WssConvert=0","WssDivide=8","showcodes=N","cols=1;rows=1")</f>
        <v>72.209519999999998</v>
      </c>
      <c r="E65" s="73">
        <f>[1]!wss($A65:$A65,"hks_stm_is","item=83","rptDate="&amp;($B65-1)&amp;"1231","rptType=1","currencyType=Cur=CNY","WssConvert=0","WssDivide=8","showcodes=N","cols=1;rows=1")</f>
        <v>90.2582182222</v>
      </c>
      <c r="F65" s="73">
        <f>[1]!wss($A65:$A65,"hks_stm_is","item=61","rptDate="&amp;($B65-3)&amp;"1231","rptType=1","currencyType=Cur=CNY","WssConvert=0","WssDivide=8","showcodes=N","cols=1;rows=1")</f>
        <v>4.50976</v>
      </c>
      <c r="G65" s="73">
        <f>[1]!wss($A65:$A65,"hks_stm_is","item=61","rptDate="&amp;($B65-2)&amp;"1231","rptType=1","currencyType=Cur=CNY","WssConvert=0","WssDivide=8","showcodes=N","cols=1;rows=1")</f>
        <v>8.0447100000000002</v>
      </c>
      <c r="H65" s="73">
        <f>[1]!wss($A65:$A65,"hks_stm_is","item=61","rptDate="&amp;($B65-1)&amp;"1231","rptType=1","currencyType=Cur=CNY","WssConvert=0","WssDivide=8","showcodes=N","cols=1;rows=1")</f>
        <v>17.643396509900001</v>
      </c>
      <c r="I65" s="73">
        <f>[1]!wss($A65:$A65,"hks_fa_grossprofitmargin","rptDate="&amp;($B65-3)&amp;"1231","WssConvert=0","showcodes=N","cols=1;rows=1")</f>
        <v>28.6418</v>
      </c>
      <c r="J65" s="43">
        <f>[1]!wss($A65:$A65,"hks_fa_grossprofitmargin","rptDate="&amp;($B65-2)&amp;"1231","WssConvert=0","showcodes=N","cols=1;rows=1")</f>
        <v>32.584000000000003</v>
      </c>
      <c r="K65" s="43">
        <f>[1]!wss($A65:$A65,"hks_fa_grossprofitmargin","rptDate="&amp;($B65-1)&amp;"1231","WssConvert=0","showcodes=N","cols=1;rows=1")</f>
        <v>43.841500000000003</v>
      </c>
      <c r="L65" s="73">
        <f>[1]!wss($A65:$A65,"hks_fa_roe","rptDate="&amp;($B65-1)&amp;"1231","WssConvert=0","showcodes=N","cols=1;rows=1")</f>
        <v>25.081600000000002</v>
      </c>
      <c r="M65" s="43">
        <f>[1]!wss($A65:$A65,"hks_fa_debttoassets","rptDate="&amp;($B65-1)&amp;"1231","WssConvert=0","showcodes=N","cols=1;rows=1")</f>
        <v>47.250999999999998</v>
      </c>
      <c r="P65" s="50">
        <v>72.209519999999998</v>
      </c>
      <c r="Q65" s="50">
        <v>90.2582182222</v>
      </c>
      <c r="R65" s="50">
        <v>126.3850622912</v>
      </c>
      <c r="S65" s="50">
        <v>8.0447100000000002</v>
      </c>
      <c r="T65" s="50">
        <v>17.643396509900001</v>
      </c>
      <c r="U65" s="50">
        <v>30.823677916800001</v>
      </c>
      <c r="V65" s="50">
        <v>32.584000000000003</v>
      </c>
      <c r="W65" s="50">
        <v>43.841500000000003</v>
      </c>
      <c r="X65" s="50">
        <v>52.459499999999998</v>
      </c>
    </row>
    <row r="66" spans="1:24">
      <c r="A66" t="s">
        <v>367</v>
      </c>
      <c r="B66" s="17">
        <f>IFERROR(YEAR(VLOOKUP($A66,'01_ipo_master'!$A:$C,3,FALSE)),YEAR(VLOOKUP("0"&amp;$A66,'01_ipo_master'!$A:$C,3,FALSE)))</f>
        <v>2022</v>
      </c>
      <c r="C66" s="73">
        <f>[1]!wss($A66:$A66,"hks_stm_is","item=83","rptDate="&amp;($B66-3)&amp;"1231","rptType=1","currencyType=Cur=CNY","WssConvert=0","WssDivide=8","showcodes=N","cols=1;rows=1")</f>
        <v>39.56353</v>
      </c>
      <c r="D66" s="73">
        <f>[1]!wss($A66:$A66,"hks_stm_is","item=83","rptDate="&amp;($B66-2)&amp;"1231","rptType=1","currencyType=Cur=CNY","WssConvert=0","WssDivide=8","showcodes=N","cols=1;rows=1")</f>
        <v>65.773070000000004</v>
      </c>
      <c r="E66" s="73">
        <f>[1]!wss($A66:$A66,"hks_stm_is","item=83","rptDate="&amp;($B66-1)&amp;"1231","rptType=1","currencyType=Cur=CNY","WssConvert=0","WssDivide=8","showcodes=N","cols=1;rows=1")</f>
        <v>90.607839999999996</v>
      </c>
      <c r="F66" s="73">
        <f>[1]!wss($A66:$A66,"hks_stm_is","item=61","rptDate="&amp;($B66-3)&amp;"1231","rptType=1","currencyType=Cur=CNY","WssConvert=0","WssDivide=8","showcodes=N","cols=1;rows=1")</f>
        <v>-11.11199</v>
      </c>
      <c r="G66" s="73">
        <f>[1]!wss($A66:$A66,"hks_stm_is","item=61","rptDate="&amp;($B66-2)&amp;"1231","rptType=1","currencyType=Cur=CNY","WssConvert=0","WssDivide=8","showcodes=N","cols=1;rows=1")</f>
        <v>-9.6225900000000006</v>
      </c>
      <c r="H66" s="73">
        <f>[1]!wss($A66:$A66,"hks_stm_is","item=61","rptDate="&amp;($B66-1)&amp;"1231","rptType=1","currencyType=Cur=CNY","WssConvert=0","WssDivide=8","showcodes=N","cols=1;rows=1")</f>
        <v>-15.887119999999999</v>
      </c>
      <c r="I66" s="73">
        <f>[1]!wss($A66:$A66,"hks_fa_grossprofitmargin","rptDate="&amp;($B66-3)&amp;"1231","WssConvert=0","showcodes=N","cols=1;rows=1")</f>
        <v>0.19489999999999999</v>
      </c>
      <c r="J66" s="43">
        <f>[1]!wss($A66:$A66,"hks_fa_grossprofitmargin","rptDate="&amp;($B66-2)&amp;"1231","WssConvert=0","showcodes=N","cols=1;rows=1")</f>
        <v>5.4275000000000002</v>
      </c>
      <c r="K66" s="43">
        <f>[1]!wss($A66:$A66,"hks_fa_grossprofitmargin","rptDate="&amp;($B66-1)&amp;"1231","WssConvert=0","showcodes=N","cols=1;rows=1")</f>
        <v>3.8769999999999998</v>
      </c>
      <c r="L66" s="73">
        <f>[1]!wss($A66:$A66,"hks_fa_roe","rptDate="&amp;($B66-1)&amp;"1231","WssConvert=0","showcodes=N","cols=1;rows=1")</f>
        <v>-16.861799999999999</v>
      </c>
      <c r="M66" s="43">
        <f>[1]!wss($A66:$A66,"hks_fa_debttoassets","rptDate="&amp;($B66-1)&amp;"1231","WssConvert=0","showcodes=N","cols=1;rows=1")</f>
        <v>45.476799999999997</v>
      </c>
      <c r="P66" s="50">
        <v>70.474609999999998</v>
      </c>
      <c r="Q66" s="50">
        <v>77.851799999999997</v>
      </c>
      <c r="R66" s="50">
        <v>95.586190000000002</v>
      </c>
      <c r="S66" s="50">
        <v>-21.763400000000001</v>
      </c>
      <c r="T66" s="50">
        <v>-19.666799999999999</v>
      </c>
      <c r="U66" s="50">
        <v>-9.3625100000000003</v>
      </c>
      <c r="V66" s="50">
        <v>12.063499999999999</v>
      </c>
      <c r="W66" s="50">
        <v>17.2241</v>
      </c>
      <c r="X66" s="50">
        <v>15.728300000000001</v>
      </c>
    </row>
    <row r="67" spans="1:24">
      <c r="A67" t="s">
        <v>369</v>
      </c>
      <c r="B67" s="17">
        <f>IFERROR(YEAR(VLOOKUP($A67,'01_ipo_master'!$A:$C,3,FALSE)),YEAR(VLOOKUP("0"&amp;$A67,'01_ipo_master'!$A:$C,3,FALSE)))</f>
        <v>2023</v>
      </c>
      <c r="C67" s="73">
        <f>[1]!wss($A67:$A67,"hks_stm_is","item=83","rptDate="&amp;($B67-3)&amp;"1231","rptType=1","currencyType=Cur=CNY","WssConvert=0","WssDivide=8","showcodes=N","cols=1;rows=1")</f>
        <v>23.989150000000002</v>
      </c>
      <c r="D67" s="73">
        <f>[1]!wss($A67:$A67,"hks_stm_is","item=83","rptDate="&amp;($B67-2)&amp;"1231","rptType=1","currencyType=Cur=CNY","WssConvert=0","WssDivide=8","showcodes=N","cols=1;rows=1")</f>
        <v>51.015930000000004</v>
      </c>
      <c r="E67" s="73">
        <f>[1]!wss($A67:$A67,"hks_stm_is","item=83","rptDate="&amp;($B67-1)&amp;"1231","rptType=1","currencyType=Cur=CNY","WssConvert=0","WssDivide=8","showcodes=N","cols=1;rows=1")</f>
        <v>58.559170000000002</v>
      </c>
      <c r="F67" s="73">
        <f>[1]!wss($A67:$A67,"hks_stm_is","item=61","rptDate="&amp;($B67-3)&amp;"1231","rptType=1","currencyType=Cur=CNY","WssConvert=0","WssDivide=8","showcodes=N","cols=1;rows=1")</f>
        <v>5.2008799999999997</v>
      </c>
      <c r="G67" s="73">
        <f>[1]!wss($A67:$A67,"hks_stm_is","item=61","rptDate="&amp;($B67-2)&amp;"1231","rptType=1","currencyType=Cur=CNY","WssConvert=0","WssDivide=8","showcodes=N","cols=1;rows=1")</f>
        <v>10.32197</v>
      </c>
      <c r="H67" s="73">
        <f>[1]!wss($A67:$A67,"hks_stm_is","item=61","rptDate="&amp;($B67-1)&amp;"1231","rptType=1","currencyType=Cur=CNY","WssConvert=0","WssDivide=8","showcodes=N","cols=1;rows=1")</f>
        <v>10.29866</v>
      </c>
      <c r="I67" s="73">
        <f>[1]!wss($A67:$A67,"hks_fa_grossprofitmargin","rptDate="&amp;($B67-3)&amp;"1231","WssConvert=0","showcodes=N","cols=1;rows=1")</f>
        <v>52.237000000000002</v>
      </c>
      <c r="J67" s="43">
        <f>[1]!wss($A67:$A67,"hks_fa_grossprofitmargin","rptDate="&amp;($B67-2)&amp;"1231","WssConvert=0","showcodes=N","cols=1;rows=1")</f>
        <v>53.5077</v>
      </c>
      <c r="K67" s="43">
        <f>[1]!wss($A67:$A67,"hks_fa_grossprofitmargin","rptDate="&amp;($B67-1)&amp;"1231","WssConvert=0","showcodes=N","cols=1;rows=1")</f>
        <v>55.310400000000001</v>
      </c>
      <c r="L67" s="73" t="str">
        <f>[1]!wss($A67:$A67,"hks_fa_roe","rptDate="&amp;($B67-1)&amp;"1231","WssConvert=0","showcodes=N","cols=1;rows=1")</f>
        <v/>
      </c>
      <c r="M67" s="43">
        <f>[1]!wss($A67:$A67,"hks_fa_debttoassets","rptDate="&amp;($B67-1)&amp;"1231","WssConvert=0","showcodes=N","cols=1;rows=1")</f>
        <v>134.4991</v>
      </c>
      <c r="P67" s="50">
        <v>70.304670000000002</v>
      </c>
      <c r="Q67" s="50">
        <v>70.667839999999998</v>
      </c>
      <c r="R67" s="50">
        <v>36.50459</v>
      </c>
      <c r="S67" s="50">
        <v>23.27083</v>
      </c>
      <c r="T67" s="50">
        <v>13.236219999999999</v>
      </c>
      <c r="U67" s="50">
        <v>5.38469</v>
      </c>
      <c r="V67" s="50">
        <v>58.032400000000003</v>
      </c>
      <c r="W67" s="50">
        <v>58.627000000000002</v>
      </c>
      <c r="X67" s="50">
        <v>58.473700000000001</v>
      </c>
    </row>
    <row r="68" spans="1:24">
      <c r="A68" t="s">
        <v>371</v>
      </c>
      <c r="B68" s="17">
        <f>IFERROR(YEAR(VLOOKUP($A68,'01_ipo_master'!$A:$C,3,FALSE)),YEAR(VLOOKUP("0"&amp;$A68,'01_ipo_master'!$A:$C,3,FALSE)))</f>
        <v>2025</v>
      </c>
      <c r="C68" s="73">
        <f>[1]!wss($A68:$A68,"hks_stm_is","item=83","rptDate="&amp;($B68-3)&amp;"1231","rptType=1","currencyType=Cur=CNY","WssConvert=0","WssDivide=8","showcodes=N","cols=1;rows=1")</f>
        <v>53.758839999999999</v>
      </c>
      <c r="D68" s="73">
        <f>[1]!wss($A68:$A68,"hks_stm_is","item=83","rptDate="&amp;($B68-2)&amp;"1231","rptType=1","currencyType=Cur=CNY","WssConvert=0","WssDivide=8","showcodes=N","cols=1;rows=1")</f>
        <v>66.946809999999999</v>
      </c>
      <c r="E68" s="73">
        <f>[1]!wss($A68:$A68,"hks_stm_is","item=83","rptDate="&amp;($B68-1)&amp;"1231","rptType=1","currencyType=Cur=CNY","WssConvert=0","WssDivide=8","showcodes=N","cols=1;rows=1")</f>
        <v>55.292590000000004</v>
      </c>
      <c r="F68" s="73">
        <f>[1]!wss($A68:$A68,"hks_stm_is","item=61","rptDate="&amp;($B68-3)&amp;"1231","rptType=1","currencyType=Cur=CNY","WssConvert=0","WssDivide=8","showcodes=N","cols=1;rows=1")</f>
        <v>1.8398000000000001</v>
      </c>
      <c r="G68" s="73">
        <f>[1]!wss($A68:$A68,"hks_stm_is","item=61","rptDate="&amp;($B68-2)&amp;"1231","rptType=1","currencyType=Cur=CNY","WssConvert=0","WssDivide=8","showcodes=N","cols=1;rows=1")</f>
        <v>3.45099</v>
      </c>
      <c r="H68" s="73">
        <f>[1]!wss($A68:$A68,"hks_stm_is","item=61","rptDate="&amp;($B68-1)&amp;"1231","rptType=1","currencyType=Cur=CNY","WssConvert=0","WssDivide=8","showcodes=N","cols=1;rows=1")</f>
        <v>1.81931</v>
      </c>
      <c r="I68" s="73">
        <f>[1]!wss($A68:$A68,"hks_fa_grossprofitmargin","rptDate="&amp;($B68-3)&amp;"1231","WssConvert=0","showcodes=N","cols=1;rows=1")</f>
        <v>40.530099999999997</v>
      </c>
      <c r="J68" s="43">
        <f>[1]!wss($A68:$A68,"hks_fa_grossprofitmargin","rptDate="&amp;($B68-2)&amp;"1231","WssConvert=0","showcodes=N","cols=1;rows=1")</f>
        <v>46.369700000000002</v>
      </c>
      <c r="K68" s="43">
        <f>[1]!wss($A68:$A68,"hks_fa_grossprofitmargin","rptDate="&amp;($B68-1)&amp;"1231","WssConvert=0","showcodes=N","cols=1;rows=1")</f>
        <v>43.754800000000003</v>
      </c>
      <c r="L68" s="73">
        <f>[1]!wss($A68:$A68,"hks_fa_roe","rptDate="&amp;($B68-1)&amp;"1231","WssConvert=0","showcodes=N","cols=1;rows=1")</f>
        <v>8.1174999999999997</v>
      </c>
      <c r="M68" s="43">
        <f>[1]!wss($A68:$A68,"hks_fa_debttoassets","rptDate="&amp;($B68-1)&amp;"1231","WssConvert=0","showcodes=N","cols=1;rows=1")</f>
        <v>36.955300000000001</v>
      </c>
      <c r="P68" s="50">
        <v>66.946809999999999</v>
      </c>
      <c r="Q68" s="50">
        <v>55.292589999999997</v>
      </c>
      <c r="R68" s="50">
        <v>67.216120000000004</v>
      </c>
      <c r="S68" s="50">
        <v>3.45099</v>
      </c>
      <c r="T68" s="50">
        <v>1.81931</v>
      </c>
      <c r="U68" s="50">
        <v>2.7683200000000001</v>
      </c>
      <c r="V68" s="50">
        <v>46.369700000000002</v>
      </c>
      <c r="W68" s="50">
        <v>43.754800000000003</v>
      </c>
      <c r="X68" s="50">
        <v>46.753599999999999</v>
      </c>
    </row>
    <row r="69" spans="1:24">
      <c r="A69" t="s">
        <v>374</v>
      </c>
      <c r="B69" s="17">
        <f>IFERROR(YEAR(VLOOKUP($A69,'01_ipo_master'!$A:$C,3,FALSE)),YEAR(VLOOKUP("0"&amp;$A69,'01_ipo_master'!$A:$C,3,FALSE)))</f>
        <v>2022</v>
      </c>
      <c r="C69" s="73">
        <f>[1]!wss($A69:$A69,"hks_stm_is","item=83","rptDate="&amp;($B69-3)&amp;"1231","rptType=1","currencyType=Cur=CNY","WssConvert=0","WssDivide=8","showcodes=N","cols=1;rows=1")</f>
        <v>16.301169999999999</v>
      </c>
      <c r="D69" s="73">
        <f>[1]!wss($A69:$A69,"hks_stm_is","item=83","rptDate="&amp;($B69-2)&amp;"1231","rptType=1","currencyType=Cur=CNY","WssConvert=0","WssDivide=8","showcodes=N","cols=1;rows=1")</f>
        <v>22.88664</v>
      </c>
      <c r="E69" s="73">
        <f>[1]!wss($A69:$A69,"hks_stm_is","item=83","rptDate="&amp;($B69-1)&amp;"1231","rptType=1","currencyType=Cur=CNY","WssConvert=0","WssDivide=8","showcodes=N","cols=1;rows=1")</f>
        <v>40.800719999999998</v>
      </c>
      <c r="F69" s="73">
        <f>[1]!wss($A69:$A69,"hks_stm_is","item=61","rptDate="&amp;($B69-3)&amp;"1231","rptType=1","currencyType=Cur=CNY","WssConvert=0","WssDivide=8","showcodes=N","cols=1;rows=1")</f>
        <v>1.5688900000000001</v>
      </c>
      <c r="G69" s="73">
        <f>[1]!wss($A69:$A69,"hks_stm_is","item=61","rptDate="&amp;($B69-2)&amp;"1231","rptType=1","currencyType=Cur=CNY","WssConvert=0","WssDivide=8","showcodes=N","cols=1;rows=1")</f>
        <v>2.44502</v>
      </c>
      <c r="H69" s="73">
        <f>[1]!wss($A69:$A69,"hks_stm_is","item=61","rptDate="&amp;($B69-1)&amp;"1231","rptType=1","currencyType=Cur=CNY","WssConvert=0","WssDivide=8","showcodes=N","cols=1;rows=1")</f>
        <v>4.5322399999999998</v>
      </c>
      <c r="I69" s="73">
        <f>[1]!wss($A69:$A69,"hks_fa_grossprofitmargin","rptDate="&amp;($B69-3)&amp;"1231","WssConvert=0","showcodes=N","cols=1;rows=1")</f>
        <v>21.1127</v>
      </c>
      <c r="J69" s="43">
        <f>[1]!wss($A69:$A69,"hks_fa_grossprofitmargin","rptDate="&amp;($B69-2)&amp;"1231","WssConvert=0","showcodes=N","cols=1;rows=1")</f>
        <v>23.725000000000001</v>
      </c>
      <c r="K69" s="43">
        <f>[1]!wss($A69:$A69,"hks_fa_grossprofitmargin","rptDate="&amp;($B69-1)&amp;"1231","WssConvert=0","showcodes=N","cols=1;rows=1")</f>
        <v>22.424600000000002</v>
      </c>
      <c r="L69" s="73">
        <f>[1]!wss($A69:$A69,"hks_fa_roe","rptDate="&amp;($B69-1)&amp;"1231","WssConvert=0","showcodes=N","cols=1;rows=1")</f>
        <v>19.998000000000001</v>
      </c>
      <c r="M69" s="43">
        <f>[1]!wss($A69:$A69,"hks_fa_debttoassets","rptDate="&amp;($B69-1)&amp;"1231","WssConvert=0","showcodes=N","cols=1;rows=1")</f>
        <v>50.9758</v>
      </c>
      <c r="P69" s="50">
        <v>66.878640000000004</v>
      </c>
      <c r="Q69" s="50">
        <v>67.632890000000003</v>
      </c>
      <c r="R69" s="50">
        <v>77.175219999999996</v>
      </c>
      <c r="S69" s="50">
        <v>5.6369300000000004</v>
      </c>
      <c r="T69" s="50">
        <v>2.9104299999999999</v>
      </c>
      <c r="U69" s="50">
        <v>7.0560700000000001</v>
      </c>
      <c r="V69" s="50">
        <v>16.072700000000001</v>
      </c>
      <c r="W69" s="50">
        <v>11.1279</v>
      </c>
      <c r="X69" s="50">
        <v>21.175899999999999</v>
      </c>
    </row>
    <row r="70" spans="1:24">
      <c r="A70" t="s">
        <v>377</v>
      </c>
      <c r="B70" s="17">
        <f>IFERROR(YEAR(VLOOKUP($A70,'01_ipo_master'!$A:$C,3,FALSE)),YEAR(VLOOKUP("0"&amp;$A70,'01_ipo_master'!$A:$C,3,FALSE)))</f>
        <v>2023</v>
      </c>
      <c r="C70" s="73">
        <f>[1]!wss($A70:$A70,"hks_stm_is","item=83","rptDate="&amp;($B70-3)&amp;"1231","rptType=1","currencyType=Cur=CNY","WssConvert=0","WssDivide=8","showcodes=N","cols=1;rows=1")</f>
        <v>28.723929999999999</v>
      </c>
      <c r="D70" s="73">
        <f>[1]!wss($A70:$A70,"hks_stm_is","item=83","rptDate="&amp;($B70-2)&amp;"1231","rptType=1","currencyType=Cur=CNY","WssConvert=0","WssDivide=8","showcodes=N","cols=1;rows=1")</f>
        <v>57.35718</v>
      </c>
      <c r="E70" s="73">
        <f>[1]!wss($A70:$A70,"hks_stm_is","item=83","rptDate="&amp;($B70-1)&amp;"1231","rptType=1","currencyType=Cur=CNY","WssConvert=0","WssDivide=8","showcodes=N","cols=1;rows=1")</f>
        <v>88.172210000000007</v>
      </c>
      <c r="F70" s="73">
        <f>[1]!wss($A70:$A70,"hks_stm_is","item=61","rptDate="&amp;($B70-3)&amp;"1231","rptType=1","currencyType=Cur=CNY","WssConvert=0","WssDivide=8","showcodes=N","cols=1;rows=1")</f>
        <v>-13.01103</v>
      </c>
      <c r="G70" s="73">
        <f>[1]!wss($A70:$A70,"hks_stm_is","item=61","rptDate="&amp;($B70-2)&amp;"1231","rptType=1","currencyType=Cur=CNY","WssConvert=0","WssDivide=8","showcodes=N","cols=1;rows=1")</f>
        <v>6.1591100000000001</v>
      </c>
      <c r="H70" s="73">
        <f>[1]!wss($A70:$A70,"hks_stm_is","item=61","rptDate="&amp;($B70-1)&amp;"1231","rptType=1","currencyType=Cur=CNY","WssConvert=0","WssDivide=8","showcodes=N","cols=1;rows=1")</f>
        <v>5.1406700000000001</v>
      </c>
      <c r="I70" s="73">
        <f>[1]!wss($A70:$A70,"hks_fa_grossprofitmargin","rptDate="&amp;($B70-3)&amp;"1231","WssConvert=0","showcodes=N","cols=1;rows=1")</f>
        <v>84.924499999999995</v>
      </c>
      <c r="J70" s="43">
        <f>[1]!wss($A70:$A70,"hks_fa_grossprofitmargin","rptDate="&amp;($B70-2)&amp;"1231","WssConvert=0","showcodes=N","cols=1;rows=1")</f>
        <v>82.611400000000003</v>
      </c>
      <c r="K70" s="43">
        <f>[1]!wss($A70:$A70,"hks_fa_grossprofitmargin","rptDate="&amp;($B70-1)&amp;"1231","WssConvert=0","showcodes=N","cols=1;rows=1")</f>
        <v>72.695099999999996</v>
      </c>
      <c r="L70" s="73">
        <f>[1]!wss($A70:$A70,"hks_fa_roe","rptDate="&amp;($B70-1)&amp;"1231","WssConvert=0","showcodes=N","cols=1;rows=1")</f>
        <v>35.337499999999999</v>
      </c>
      <c r="M70" s="43">
        <f>[1]!wss($A70:$A70,"hks_fa_debttoassets","rptDate="&amp;($B70-1)&amp;"1231","WssConvert=0","showcodes=N","cols=1;rows=1")</f>
        <v>82.558899999999994</v>
      </c>
      <c r="P70" s="50">
        <v>65.145849999999996</v>
      </c>
      <c r="Q70" s="50">
        <v>55.801119999999997</v>
      </c>
      <c r="R70" s="50">
        <v>41.581989999999998</v>
      </c>
      <c r="S70" s="50">
        <v>2.35487</v>
      </c>
      <c r="T70" s="50">
        <v>-3.6240000000000001E-2</v>
      </c>
      <c r="U70" s="50">
        <v>14.86509</v>
      </c>
      <c r="V70" s="50">
        <v>70.2012</v>
      </c>
      <c r="W70" s="50">
        <v>72.119399999999999</v>
      </c>
      <c r="X70" s="50">
        <v>57.0886</v>
      </c>
    </row>
    <row r="71" spans="1:24">
      <c r="A71" t="s">
        <v>379</v>
      </c>
      <c r="B71" s="17">
        <f>IFERROR(YEAR(VLOOKUP($A71,'01_ipo_master'!$A:$C,3,FALSE)),YEAR(VLOOKUP("0"&amp;$A71,'01_ipo_master'!$A:$C,3,FALSE)))</f>
        <v>2025</v>
      </c>
      <c r="C71" s="73">
        <f>[1]!wss($A71:$A71,"hks_stm_is","item=83","rptDate="&amp;($B71-3)&amp;"1231","rptType=1","currencyType=Cur=CNY","WssConvert=0","WssDivide=8","showcodes=N","cols=1;rows=1")</f>
        <v>38.135660000000001</v>
      </c>
      <c r="D71" s="73">
        <f>[1]!wss($A71:$A71,"hks_stm_is","item=83","rptDate="&amp;($B71-2)&amp;"1231","rptType=1","currencyType=Cur=CNY","WssConvert=0","WssDivide=8","showcodes=N","cols=1;rows=1")</f>
        <v>63.856160000000003</v>
      </c>
      <c r="E71" s="73">
        <f>[1]!wss($A71:$A71,"hks_stm_is","item=83","rptDate="&amp;($B71-1)&amp;"1231","rptType=1","currencyType=Cur=CNY","WssConvert=0","WssDivide=8","showcodes=N","cols=1;rows=1")</f>
        <v>40.189050000000002</v>
      </c>
      <c r="F71" s="73">
        <f>[1]!wss($A71:$A71,"hks_stm_is","item=61","rptDate="&amp;($B71-3)&amp;"1231","rptType=1","currencyType=Cur=CNY","WssConvert=0","WssDivide=8","showcodes=N","cols=1;rows=1")</f>
        <v>-12.09205</v>
      </c>
      <c r="G71" s="73">
        <f>[1]!wss($A71:$A71,"hks_stm_is","item=61","rptDate="&amp;($B71-2)&amp;"1231","rptType=1","currencyType=Cur=CNY","WssConvert=0","WssDivide=8","showcodes=N","cols=1;rows=1")</f>
        <v>1.84924</v>
      </c>
      <c r="H71" s="73">
        <f>[1]!wss($A71:$A71,"hks_stm_is","item=61","rptDate="&amp;($B71-1)&amp;"1231","rptType=1","currencyType=Cur=CNY","WssConvert=0","WssDivide=8","showcodes=N","cols=1;rows=1")</f>
        <v>-2.0743399999999999</v>
      </c>
      <c r="I71" s="73">
        <f>[1]!wss($A71:$A71,"hks_fa_grossprofitmargin","rptDate="&amp;($B71-3)&amp;"1231","WssConvert=0","showcodes=N","cols=1;rows=1")</f>
        <v>76.626199999999997</v>
      </c>
      <c r="J71" s="43">
        <f>[1]!wss($A71:$A71,"hks_fa_grossprofitmargin","rptDate="&amp;($B71-2)&amp;"1231","WssConvert=0","showcodes=N","cols=1;rows=1")</f>
        <v>79.507599999999996</v>
      </c>
      <c r="K71" s="43">
        <f>[1]!wss($A71:$A71,"hks_fa_grossprofitmargin","rptDate="&amp;($B71-1)&amp;"1231","WssConvert=0","showcodes=N","cols=1;rows=1")</f>
        <v>76.106099999999998</v>
      </c>
      <c r="L71" s="73">
        <f>[1]!wss($A71:$A71,"hks_fa_roe","rptDate="&amp;($B71-1)&amp;"1231","WssConvert=0","showcodes=N","cols=1;rows=1")</f>
        <v>-61.729900000000001</v>
      </c>
      <c r="M71" s="43">
        <f>[1]!wss($A71:$A71,"hks_fa_debttoassets","rptDate="&amp;($B71-1)&amp;"1231","WssConvert=0","showcodes=N","cols=1;rows=1")</f>
        <v>62.557099999999998</v>
      </c>
      <c r="P71" s="50">
        <v>63.856160000000003</v>
      </c>
      <c r="Q71" s="50">
        <v>40.189050000000002</v>
      </c>
      <c r="R71" s="50">
        <v>48.150649999999999</v>
      </c>
      <c r="S71" s="50">
        <v>1.84924</v>
      </c>
      <c r="T71" s="50">
        <v>-2.0743399999999999</v>
      </c>
      <c r="U71" s="50">
        <v>2.7244199999999998</v>
      </c>
      <c r="V71" s="50">
        <v>79.507599999999996</v>
      </c>
      <c r="W71" s="50">
        <v>76.106099999999998</v>
      </c>
      <c r="X71" s="50">
        <v>76.538799999999995</v>
      </c>
    </row>
    <row r="72" spans="1:24">
      <c r="A72" t="s">
        <v>381</v>
      </c>
      <c r="B72" s="17">
        <f>IFERROR(YEAR(VLOOKUP($A72,'01_ipo_master'!$A:$C,3,FALSE)),YEAR(VLOOKUP("0"&amp;$A72,'01_ipo_master'!$A:$C,3,FALSE)))</f>
        <v>2024</v>
      </c>
      <c r="C72" s="73">
        <f>[1]!wss($A72:$A72,"hks_stm_is","item=83","rptDate="&amp;($B72-3)&amp;"1231","rptType=1","currencyType=Cur=CNY","WssConvert=0","WssDivide=8","showcodes=N","cols=1;rows=1")</f>
        <v>117.14940705200002</v>
      </c>
      <c r="D72" s="73">
        <f>[1]!wss($A72:$A72,"hks_stm_is","item=83","rptDate="&amp;($B72-2)&amp;"1231","rptType=1","currencyType=Cur=CNY","WssConvert=0","WssDivide=8","showcodes=N","cols=1;rows=1")</f>
        <v>170.17791162000003</v>
      </c>
      <c r="E72" s="73">
        <f>[1]!wss($A72:$A72,"hks_stm_is","item=83","rptDate="&amp;($B72-1)&amp;"1231","rptType=1","currencyType=Cur=CNY","WssConvert=0","WssDivide=8","showcodes=N","cols=1;rows=1")</f>
        <v>61.945435853999996</v>
      </c>
      <c r="F72" s="73">
        <f>[1]!wss($A72:$A72,"hks_stm_is","item=61","rptDate="&amp;($B72-3)&amp;"1231","rptType=1","currencyType=Cur=CNY","WssConvert=0","WssDivide=8","showcodes=N","cols=1;rows=1")</f>
        <v>68.712831609999995</v>
      </c>
      <c r="G72" s="73">
        <f>[1]!wss($A72:$A72,"hks_stm_is","item=61","rptDate="&amp;($B72-2)&amp;"1231","rptType=1","currencyType=Cur=CNY","WssConvert=0","WssDivide=8","showcodes=N","cols=1;rows=1")</f>
        <v>74.837482485999999</v>
      </c>
      <c r="H72" s="73">
        <f>[1]!wss($A72:$A72,"hks_stm_is","item=61","rptDate="&amp;($B72-1)&amp;"1231","rptType=1","currencyType=Cur=CNY","WssConvert=0","WssDivide=8","showcodes=N","cols=1;rows=1")</f>
        <v>1.4667563430000001</v>
      </c>
      <c r="I72" s="73">
        <f>[1]!wss($A72:$A72,"hks_fa_grossprofitmargin","rptDate="&amp;($B72-3)&amp;"1231","WssConvert=0","showcodes=N","cols=1;rows=1")</f>
        <v>50.693800000000003</v>
      </c>
      <c r="J72" s="43">
        <f>[1]!wss($A72:$A72,"hks_fa_grossprofitmargin","rptDate="&amp;($B72-2)&amp;"1231","WssConvert=0","showcodes=N","cols=1;rows=1")</f>
        <v>44.663499999999999</v>
      </c>
      <c r="K72" s="43">
        <f>[1]!wss($A72:$A72,"hks_fa_grossprofitmargin","rptDate="&amp;($B72-1)&amp;"1231","WssConvert=0","showcodes=N","cols=1;rows=1")</f>
        <v>-3.8633999999999999</v>
      </c>
      <c r="L72" s="73">
        <f>[1]!wss($A72:$A72,"hks_fa_roe","rptDate="&amp;($B72-1)&amp;"1231","WssConvert=0","showcodes=N","cols=1;rows=1")</f>
        <v>1.0561</v>
      </c>
      <c r="M72" s="43">
        <f>[1]!wss($A72:$A72,"hks_fa_debttoassets","rptDate="&amp;($B72-1)&amp;"1231","WssConvert=0","showcodes=N","cols=1;rows=1")</f>
        <v>17.973600000000001</v>
      </c>
      <c r="P72" s="50">
        <v>61.945435854000003</v>
      </c>
      <c r="Q72" s="50">
        <v>96.353169832000006</v>
      </c>
      <c r="R72" s="50">
        <v>90.303421744000005</v>
      </c>
      <c r="S72" s="50">
        <v>1.4667563429999999</v>
      </c>
      <c r="T72" s="50">
        <v>26.303290092000001</v>
      </c>
      <c r="U72" s="50">
        <v>23.117793488</v>
      </c>
      <c r="V72" s="50">
        <v>-3.8633999999999999</v>
      </c>
      <c r="W72" s="50">
        <v>23.502400000000002</v>
      </c>
      <c r="X72" s="50">
        <v>19.746400000000001</v>
      </c>
    </row>
    <row r="73" spans="1:24">
      <c r="A73" t="s">
        <v>383</v>
      </c>
      <c r="B73" s="17">
        <f>IFERROR(YEAR(VLOOKUP($A73,'01_ipo_master'!$A:$C,3,FALSE)),YEAR(VLOOKUP("0"&amp;$A73,'01_ipo_master'!$A:$C,3,FALSE)))</f>
        <v>2023</v>
      </c>
      <c r="C73" s="73">
        <f>[1]!wss($A73:$A73,"hks_stm_is","item=83","rptDate="&amp;($B73-3)&amp;"1231","rptType=1","currencyType=Cur=CNY","WssConvert=0","WssDivide=8","showcodes=N","cols=1;rows=1")</f>
        <v>29.717500000000001</v>
      </c>
      <c r="D73" s="73">
        <f>[1]!wss($A73:$A73,"hks_stm_is","item=83","rptDate="&amp;($B73-2)&amp;"1231","rptType=1","currencyType=Cur=CNY","WssConvert=0","WssDivide=8","showcodes=N","cols=1;rows=1")</f>
        <v>39.604399999999998</v>
      </c>
      <c r="E73" s="73">
        <f>[1]!wss($A73:$A73,"hks_stm_is","item=83","rptDate="&amp;($B73-1)&amp;"1231","rptType=1","currencyType=Cur=CNY","WssConvert=0","WssDivide=8","showcodes=N","cols=1;rows=1")</f>
        <v>71.817329999999998</v>
      </c>
      <c r="F73" s="73">
        <f>[1]!wss($A73:$A73,"hks_stm_is","item=61","rptDate="&amp;($B73-3)&amp;"1231","rptType=1","currencyType=Cur=CNY","WssConvert=0","WssDivide=8","showcodes=N","cols=1;rows=1")</f>
        <v>-0.43292000000000003</v>
      </c>
      <c r="G73" s="73">
        <f>[1]!wss($A73:$A73,"hks_stm_is","item=61","rptDate="&amp;($B73-2)&amp;"1231","rptType=1","currencyType=Cur=CNY","WssConvert=0","WssDivide=8","showcodes=N","cols=1;rows=1")</f>
        <v>-4.6199000000000003</v>
      </c>
      <c r="H73" s="73">
        <f>[1]!wss($A73:$A73,"hks_stm_is","item=61","rptDate="&amp;($B73-1)&amp;"1231","rptType=1","currencyType=Cur=CNY","WssConvert=0","WssDivide=8","showcodes=N","cols=1;rows=1")</f>
        <v>2.2990699999999999</v>
      </c>
      <c r="I73" s="73">
        <f>[1]!wss($A73:$A73,"hks_fa_grossprofitmargin","rptDate="&amp;($B73-3)&amp;"1231","WssConvert=0","showcodes=N","cols=1;rows=1")</f>
        <v>11.1058</v>
      </c>
      <c r="J73" s="43">
        <f>[1]!wss($A73:$A73,"hks_fa_grossprofitmargin","rptDate="&amp;($B73-2)&amp;"1231","WssConvert=0","showcodes=N","cols=1;rows=1")</f>
        <v>8.9768000000000008</v>
      </c>
      <c r="K73" s="43">
        <f>[1]!wss($A73:$A73,"hks_fa_grossprofitmargin","rptDate="&amp;($B73-1)&amp;"1231","WssConvert=0","showcodes=N","cols=1;rows=1")</f>
        <v>17.410900000000002</v>
      </c>
      <c r="L73" s="73">
        <f>[1]!wss($A73:$A73,"hks_fa_roe","rptDate="&amp;($B73-1)&amp;"1231","WssConvert=0","showcodes=N","cols=1;rows=1")</f>
        <v>9.8173999999999992</v>
      </c>
      <c r="M73" s="43">
        <f>[1]!wss($A73:$A73,"hks_fa_debttoassets","rptDate="&amp;($B73-1)&amp;"1231","WssConvert=0","showcodes=N","cols=1;rows=1")</f>
        <v>34.090499999999999</v>
      </c>
      <c r="P73" s="50">
        <v>60.995800000000003</v>
      </c>
      <c r="Q73" s="50">
        <v>64.698099999999997</v>
      </c>
      <c r="R73" s="50">
        <v>78.099919999999997</v>
      </c>
      <c r="S73" s="50">
        <v>2.39636</v>
      </c>
      <c r="T73" s="50">
        <v>2.30558</v>
      </c>
      <c r="U73" s="50">
        <v>4.3288599999999997</v>
      </c>
      <c r="V73" s="50">
        <v>22.167999999999999</v>
      </c>
      <c r="W73" s="50">
        <v>21.8979</v>
      </c>
      <c r="X73" s="50">
        <v>21.594999999999999</v>
      </c>
    </row>
    <row r="74" spans="1:24">
      <c r="A74" t="s">
        <v>385</v>
      </c>
      <c r="B74" s="17">
        <f>IFERROR(YEAR(VLOOKUP($A74,'01_ipo_master'!$A:$C,3,FALSE)),YEAR(VLOOKUP("0"&amp;$A74,'01_ipo_master'!$A:$C,3,FALSE)))</f>
        <v>2022</v>
      </c>
      <c r="C74" s="73">
        <f>[1]!wss($A74:$A74,"hks_stm_is","item=83","rptDate="&amp;($B74-3)&amp;"1231","rptType=1","currencyType=Cur=CNY","WssConvert=0","WssDivide=8","showcodes=N","cols=1;rows=1")</f>
        <v>9.9871999999999996</v>
      </c>
      <c r="D74" s="73">
        <f>[1]!wss($A74:$A74,"hks_stm_is","item=83","rptDate="&amp;($B74-2)&amp;"1231","rptType=1","currencyType=Cur=CNY","WssConvert=0","WssDivide=8","showcodes=N","cols=1;rows=1")</f>
        <v>19.44359</v>
      </c>
      <c r="E74" s="73">
        <f>[1]!wss($A74:$A74,"hks_stm_is","item=83","rptDate="&amp;($B74-1)&amp;"1231","rptType=1","currencyType=Cur=CNY","WssConvert=0","WssDivide=8","showcodes=N","cols=1;rows=1")</f>
        <v>42.591279999999998</v>
      </c>
      <c r="F74" s="73">
        <f>[1]!wss($A74:$A74,"hks_stm_is","item=61","rptDate="&amp;($B74-3)&amp;"1231","rptType=1","currencyType=Cur=CNY","WssConvert=0","WssDivide=8","showcodes=N","cols=1;rows=1")</f>
        <v>-5.0205500000000001</v>
      </c>
      <c r="G74" s="73">
        <f>[1]!wss($A74:$A74,"hks_stm_is","item=61","rptDate="&amp;($B74-2)&amp;"1231","rptType=1","currencyType=Cur=CNY","WssConvert=0","WssDivide=8","showcodes=N","cols=1;rows=1")</f>
        <v>-9.4189500000000006</v>
      </c>
      <c r="H74" s="73">
        <f>[1]!wss($A74:$A74,"hks_stm_is","item=61","rptDate="&amp;($B74-1)&amp;"1231","rptType=1","currencyType=Cur=CNY","WssConvert=0","WssDivide=8","showcodes=N","cols=1;rows=1")</f>
        <v>-10.710739999999999</v>
      </c>
      <c r="I74" s="73">
        <f>[1]!wss($A74:$A74,"hks_fa_grossprofitmargin","rptDate="&amp;($B74-3)&amp;"1231","WssConvert=0","showcodes=N","cols=1;rows=1")</f>
        <v>86.201099999999997</v>
      </c>
      <c r="J74" s="43">
        <f>[1]!wss($A74:$A74,"hks_fa_grossprofitmargin","rptDate="&amp;($B74-2)&amp;"1231","WssConvert=0","showcodes=N","cols=1;rows=1")</f>
        <v>87.645700000000005</v>
      </c>
      <c r="K74" s="43">
        <f>[1]!wss($A74:$A74,"hks_fa_grossprofitmargin","rptDate="&amp;($B74-1)&amp;"1231","WssConvert=0","showcodes=N","cols=1;rows=1")</f>
        <v>86.977400000000003</v>
      </c>
      <c r="L74" s="73">
        <f>[1]!wss($A74:$A74,"hks_fa_roe","rptDate="&amp;($B74-1)&amp;"1231","WssConvert=0","showcodes=N","cols=1;rows=1")</f>
        <v>-15.3439</v>
      </c>
      <c r="M74" s="43">
        <f>[1]!wss($A74:$A74,"hks_fa_debttoassets","rptDate="&amp;($B74-1)&amp;"1231","WssConvert=0","showcodes=N","cols=1;rows=1")</f>
        <v>21.753799999999998</v>
      </c>
      <c r="P74" s="50">
        <v>59.52028</v>
      </c>
      <c r="Q74" s="50">
        <v>73.55677</v>
      </c>
      <c r="R74" s="50">
        <v>82.675179999999997</v>
      </c>
      <c r="S74" s="50">
        <v>10.99227</v>
      </c>
      <c r="T74" s="50">
        <v>15.846640000000001</v>
      </c>
      <c r="U74" s="50">
        <v>27.353400000000001</v>
      </c>
      <c r="V74" s="50">
        <v>82.193299999999994</v>
      </c>
      <c r="W74" s="50">
        <v>83.146199999999993</v>
      </c>
      <c r="X74" s="50">
        <v>85.060199999999995</v>
      </c>
    </row>
    <row r="75" spans="1:24">
      <c r="A75" t="s">
        <v>387</v>
      </c>
      <c r="B75" s="17">
        <f>IFERROR(YEAR(VLOOKUP($A75,'01_ipo_master'!$A:$C,3,FALSE)),YEAR(VLOOKUP("0"&amp;$A75,'01_ipo_master'!$A:$C,3,FALSE)))</f>
        <v>2026</v>
      </c>
      <c r="C75" s="73">
        <f>[1]!wss($A75:$A75,"hks_stm_is","item=83","rptDate="&amp;($B75-3)&amp;"1231","rptType=1","currencyType=Cur=CNY","WssConvert=0","WssDivide=8","showcodes=N","cols=1;rows=1")</f>
        <v>57.608229999999999</v>
      </c>
      <c r="D75" s="73">
        <f>[1]!wss($A75:$A75,"hks_stm_is","item=83","rptDate="&amp;($B75-2)&amp;"1231","rptType=1","currencyType=Cur=CNY","WssConvert=0","WssDivide=8","showcodes=N","cols=1;rows=1")</f>
        <v>73.559780000000003</v>
      </c>
      <c r="E75" s="73">
        <f>[1]!wss($A75:$A75,"hks_stm_is","item=83","rptDate="&amp;($B75-1)&amp;"1231","rptType=1","currencyType=Cur=CNY","WssConvert=0","WssDivide=8","showcodes=N","cols=1;rows=1")</f>
        <v>92.034630000000007</v>
      </c>
      <c r="F75" s="73">
        <f>[1]!wss($A75:$A75,"hks_stm_is","item=61","rptDate="&amp;($B75-3)&amp;"1231","rptType=1","currencyType=Cur=CNY","WssConvert=0","WssDivide=8","showcodes=N","cols=1;rows=1")</f>
        <v>1.61141</v>
      </c>
      <c r="G75" s="73">
        <f>[1]!wss($A75:$A75,"hks_stm_is","item=61","rptDate="&amp;($B75-2)&amp;"1231","rptType=1","currencyType=Cur=CNY","WssConvert=0","WssDivide=8","showcodes=N","cols=1;rows=1")</f>
        <v>11.02543</v>
      </c>
      <c r="H75" s="73">
        <f>[1]!wss($A75:$A75,"hks_stm_is","item=61","rptDate="&amp;($B75-1)&amp;"1231","rptType=1","currencyType=Cur=CNY","WssConvert=0","WssDivide=8","showcodes=N","cols=1;rows=1")</f>
        <v>16.480219999999999</v>
      </c>
      <c r="I75" s="73">
        <f>[1]!wss($A75:$A75,"hks_fa_grossprofitmargin","rptDate="&amp;($B75-3)&amp;"1231","WssConvert=0","showcodes=N","cols=1;rows=1")</f>
        <v>30.313500000000001</v>
      </c>
      <c r="J75" s="43">
        <f>[1]!wss($A75:$A75,"hks_fa_grossprofitmargin","rptDate="&amp;($B75-2)&amp;"1231","WssConvert=0","showcodes=N","cols=1;rows=1")</f>
        <v>35.661000000000001</v>
      </c>
      <c r="K75" s="43">
        <f>[1]!wss($A75:$A75,"hks_fa_grossprofitmargin","rptDate="&amp;($B75-1)&amp;"1231","WssConvert=0","showcodes=N","cols=1;rows=1")</f>
        <v>39.137099999999997</v>
      </c>
      <c r="L75" s="73">
        <f>[1]!wss($A75:$A75,"hks_fa_roe","rptDate="&amp;($B75-1)&amp;"1231","WssConvert=0","showcodes=N","cols=1;rows=1")</f>
        <v>9.2829999999999995</v>
      </c>
      <c r="M75" s="43">
        <f>[1]!wss($A75:$A75,"hks_fa_debttoassets","rptDate="&amp;($B75-1)&amp;"1231","WssConvert=0","showcodes=N","cols=1;rows=1")</f>
        <v>10.1593</v>
      </c>
      <c r="P75" s="50">
        <v>57.608229999999999</v>
      </c>
      <c r="Q75" s="50">
        <v>73.559780000000003</v>
      </c>
      <c r="R75" s="50">
        <v>92.034630000000007</v>
      </c>
      <c r="S75" s="50">
        <v>1.61141</v>
      </c>
      <c r="T75" s="50">
        <v>11.02543</v>
      </c>
      <c r="U75" s="50">
        <v>16.480219999999999</v>
      </c>
      <c r="V75" s="50">
        <v>30.313500000000001</v>
      </c>
      <c r="W75" s="50">
        <v>35.661000000000001</v>
      </c>
      <c r="X75" s="50">
        <v>39.137099999999997</v>
      </c>
    </row>
    <row r="76" spans="1:24">
      <c r="A76" t="s">
        <v>390</v>
      </c>
      <c r="B76" s="17">
        <f>IFERROR(YEAR(VLOOKUP($A76,'01_ipo_master'!$A:$C,3,FALSE)),YEAR(VLOOKUP("0"&amp;$A76,'01_ipo_master'!$A:$C,3,FALSE)))</f>
        <v>2026</v>
      </c>
      <c r="C76" s="73">
        <f>[1]!wss($A76:$A76,"hks_stm_is","item=83","rptDate="&amp;($B76-3)&amp;"1231","rptType=1","currencyType=Cur=CNY","WssConvert=0","WssDivide=8","showcodes=N","cols=1;rows=1")</f>
        <v>57.188410000000005</v>
      </c>
      <c r="D76" s="73">
        <f>[1]!wss($A76:$A76,"hks_stm_is","item=83","rptDate="&amp;($B76-2)&amp;"1231","rptType=1","currencyType=Cur=CNY","WssConvert=0","WssDivide=8","showcodes=N","cols=1;rows=1")</f>
        <v>69.20102</v>
      </c>
      <c r="E76" s="73">
        <f>[1]!wss($A76:$A76,"hks_stm_is","item=83","rptDate="&amp;($B76-1)&amp;"1231","rptType=1","currencyType=Cur=CNY","WssConvert=0","WssDivide=8","showcodes=N","cols=1;rows=1")</f>
        <v>84.42483</v>
      </c>
      <c r="F76" s="73">
        <f>[1]!wss($A76:$A76,"hks_stm_is","item=61","rptDate="&amp;($B76-3)&amp;"1231","rptType=1","currencyType=Cur=CNY","WssConvert=0","WssDivide=8","showcodes=N","cols=1;rows=1")</f>
        <v>7.0048300000000001</v>
      </c>
      <c r="G76" s="73">
        <f>[1]!wss($A76:$A76,"hks_stm_is","item=61","rptDate="&amp;($B76-2)&amp;"1231","rptType=1","currencyType=Cur=CNY","WssConvert=0","WssDivide=8","showcodes=N","cols=1;rows=1")</f>
        <v>8.4755099999999999</v>
      </c>
      <c r="H76" s="73">
        <f>[1]!wss($A76:$A76,"hks_stm_is","item=61","rptDate="&amp;($B76-1)&amp;"1231","rptType=1","currencyType=Cur=CNY","WssConvert=0","WssDivide=8","showcodes=N","cols=1;rows=1")</f>
        <v>11.43868</v>
      </c>
      <c r="I76" s="73">
        <f>[1]!wss($A76:$A76,"hks_fa_grossprofitmargin","rptDate="&amp;($B76-3)&amp;"1231","WssConvert=0","showcodes=N","cols=1;rows=1")</f>
        <v>31.276299999999999</v>
      </c>
      <c r="J76" s="43">
        <f>[1]!wss($A76:$A76,"hks_fa_grossprofitmargin","rptDate="&amp;($B76-2)&amp;"1231","WssConvert=0","showcodes=N","cols=1;rows=1")</f>
        <v>30.496099999999998</v>
      </c>
      <c r="K76" s="43">
        <f>[1]!wss($A76:$A76,"hks_fa_grossprofitmargin","rptDate="&amp;($B76-1)&amp;"1231","WssConvert=0","showcodes=N","cols=1;rows=1")</f>
        <v>30.334399999999999</v>
      </c>
      <c r="L76" s="73">
        <f>[1]!wss($A76:$A76,"hks_fa_roe","rptDate="&amp;($B76-1)&amp;"1231","WssConvert=0","showcodes=N","cols=1;rows=1")</f>
        <v>19.0139</v>
      </c>
      <c r="M76" s="43">
        <f>[1]!wss($A76:$A76,"hks_fa_debttoassets","rptDate="&amp;($B76-1)&amp;"1231","WssConvert=0","showcodes=N","cols=1;rows=1")</f>
        <v>44.500999999999998</v>
      </c>
      <c r="P76" s="50">
        <v>57.188409999999998</v>
      </c>
      <c r="Q76" s="50">
        <v>69.20102</v>
      </c>
      <c r="R76" s="50">
        <v>84.42483</v>
      </c>
      <c r="S76" s="50">
        <v>7.0048300000000001</v>
      </c>
      <c r="T76" s="50">
        <v>8.4755099999999999</v>
      </c>
      <c r="U76" s="50">
        <v>11.43868</v>
      </c>
      <c r="V76" s="50">
        <v>31.276299999999999</v>
      </c>
      <c r="W76" s="50">
        <v>30.496099999999998</v>
      </c>
      <c r="X76" s="50">
        <v>30.334399999999999</v>
      </c>
    </row>
    <row r="77" spans="1:24">
      <c r="A77" t="s">
        <v>394</v>
      </c>
      <c r="B77" s="17">
        <f>IFERROR(YEAR(VLOOKUP($A77,'01_ipo_master'!$A:$C,3,FALSE)),YEAR(VLOOKUP("0"&amp;$A77,'01_ipo_master'!$A:$C,3,FALSE)))</f>
        <v>2025</v>
      </c>
      <c r="C77" s="73">
        <f>[1]!wss($A77:$A77,"hks_stm_is","item=83","rptDate="&amp;($B77-3)&amp;"1231","rptType=1","currencyType=Cur=CNY","WssConvert=0","WssDivide=8","showcodes=N","cols=1;rows=1")</f>
        <v>52.027360000000002</v>
      </c>
      <c r="D77" s="73">
        <f>[1]!wss($A77:$A77,"hks_stm_is","item=83","rptDate="&amp;($B77-2)&amp;"1231","rptType=1","currencyType=Cur=CNY","WssConvert=0","WssDivide=8","showcodes=N","cols=1;rows=1")</f>
        <v>56.518140000000002</v>
      </c>
      <c r="E77" s="73">
        <f>[1]!wss($A77:$A77,"hks_stm_is","item=83","rptDate="&amp;($B77-1)&amp;"1231","rptType=1","currencyType=Cur=CNY","WssConvert=0","WssDivide=8","showcodes=N","cols=1;rows=1")</f>
        <v>69.711889999999997</v>
      </c>
      <c r="F77" s="73">
        <f>[1]!wss($A77:$A77,"hks_stm_is","item=61","rptDate="&amp;($B77-3)&amp;"1231","rptType=1","currencyType=Cur=CNY","WssConvert=0","WssDivide=8","showcodes=N","cols=1;rows=1")</f>
        <v>3.6483300000000001</v>
      </c>
      <c r="G77" s="73">
        <f>[1]!wss($A77:$A77,"hks_stm_is","item=61","rptDate="&amp;($B77-2)&amp;"1231","rptType=1","currencyType=Cur=CNY","WssConvert=0","WssDivide=8","showcodes=N","cols=1;rows=1")</f>
        <v>5.6355399999999998</v>
      </c>
      <c r="H77" s="73">
        <f>[1]!wss($A77:$A77,"hks_stm_is","item=61","rptDate="&amp;($B77-1)&amp;"1231","rptType=1","currencyType=Cur=CNY","WssConvert=0","WssDivide=8","showcodes=N","cols=1;rows=1")</f>
        <v>6.67964</v>
      </c>
      <c r="I77" s="73">
        <f>[1]!wss($A77:$A77,"hks_fa_grossprofitmargin","rptDate="&amp;($B77-3)&amp;"1231","WssConvert=0","showcodes=N","cols=1;rows=1")</f>
        <v>20.484999999999999</v>
      </c>
      <c r="J77" s="43">
        <f>[1]!wss($A77:$A77,"hks_fa_grossprofitmargin","rptDate="&amp;($B77-2)&amp;"1231","WssConvert=0","showcodes=N","cols=1;rows=1")</f>
        <v>20.9999</v>
      </c>
      <c r="K77" s="43">
        <f>[1]!wss($A77:$A77,"hks_fa_grossprofitmargin","rptDate="&amp;($B77-1)&amp;"1231","WssConvert=0","showcodes=N","cols=1;rows=1")</f>
        <v>18.1736</v>
      </c>
      <c r="L77" s="73">
        <f>[1]!wss($A77:$A77,"hks_fa_roe","rptDate="&amp;($B77-1)&amp;"1231","WssConvert=0","showcodes=N","cols=1;rows=1")</f>
        <v>19.828499999999998</v>
      </c>
      <c r="M77" s="43">
        <f>[1]!wss($A77:$A77,"hks_fa_debttoassets","rptDate="&amp;($B77-1)&amp;"1231","WssConvert=0","showcodes=N","cols=1;rows=1")</f>
        <v>52.1402</v>
      </c>
      <c r="P77" s="50">
        <v>56.518140000000002</v>
      </c>
      <c r="Q77" s="50">
        <v>69.711889999999997</v>
      </c>
      <c r="R77" s="50">
        <v>69.876120966800002</v>
      </c>
      <c r="S77" s="50">
        <v>5.6355399999999998</v>
      </c>
      <c r="T77" s="50">
        <v>6.67964</v>
      </c>
      <c r="U77" s="50">
        <v>3.4704064050999999</v>
      </c>
      <c r="V77" s="50">
        <v>20.9999</v>
      </c>
      <c r="W77" s="50">
        <v>18.1736</v>
      </c>
      <c r="X77" s="50">
        <v>16.3872</v>
      </c>
    </row>
    <row r="78" spans="1:24">
      <c r="A78" t="s">
        <v>397</v>
      </c>
      <c r="B78" s="17">
        <f>IFERROR(YEAR(VLOOKUP($A78,'01_ipo_master'!$A:$C,3,FALSE)),YEAR(VLOOKUP("0"&amp;$A78,'01_ipo_master'!$A:$C,3,FALSE)))</f>
        <v>2023</v>
      </c>
      <c r="C78" s="73">
        <f>[1]!wss($A78:$A78,"hks_stm_is","item=83","rptDate="&amp;($B78-3)&amp;"1231","rptType=1","currencyType=Cur=CNY","WssConvert=0","WssDivide=8","showcodes=N","cols=1;rows=1")</f>
        <v>46.649940000000001</v>
      </c>
      <c r="D78" s="73">
        <f>[1]!wss($A78:$A78,"hks_stm_is","item=83","rptDate="&amp;($B78-2)&amp;"1231","rptType=1","currencyType=Cur=CNY","WssConvert=0","WssDivide=8","showcodes=N","cols=1;rows=1")</f>
        <v>63.020560000000003</v>
      </c>
      <c r="E78" s="73">
        <f>[1]!wss($A78:$A78,"hks_stm_is","item=83","rptDate="&amp;($B78-1)&amp;"1231","rptType=1","currencyType=Cur=CNY","WssConvert=0","WssDivide=8","showcodes=N","cols=1;rows=1")</f>
        <v>62.103630000000003</v>
      </c>
      <c r="F78" s="73">
        <f>[1]!wss($A78:$A78,"hks_stm_is","item=61","rptDate="&amp;($B78-3)&amp;"1231","rptType=1","currencyType=Cur=CNY","WssConvert=0","WssDivide=8","showcodes=N","cols=1;rows=1")</f>
        <v>0.26069999999999999</v>
      </c>
      <c r="G78" s="73">
        <f>[1]!wss($A78:$A78,"hks_stm_is","item=61","rptDate="&amp;($B78-2)&amp;"1231","rptType=1","currencyType=Cur=CNY","WssConvert=0","WssDivide=8","showcodes=N","cols=1;rows=1")</f>
        <v>0.50744</v>
      </c>
      <c r="H78" s="73">
        <f>[1]!wss($A78:$A78,"hks_stm_is","item=61","rptDate="&amp;($B78-1)&amp;"1231","rptType=1","currencyType=Cur=CNY","WssConvert=0","WssDivide=8","showcodes=N","cols=1;rows=1")</f>
        <v>1.393E-2</v>
      </c>
      <c r="I78" s="73">
        <f>[1]!wss($A78:$A78,"hks_fa_grossprofitmargin","rptDate="&amp;($B78-3)&amp;"1231","WssConvert=0","showcodes=N","cols=1;rows=1")</f>
        <v>6.452</v>
      </c>
      <c r="J78" s="43">
        <f>[1]!wss($A78:$A78,"hks_fa_grossprofitmargin","rptDate="&amp;($B78-2)&amp;"1231","WssConvert=0","showcodes=N","cols=1;rows=1")</f>
        <v>6.3498000000000001</v>
      </c>
      <c r="K78" s="43">
        <f>[1]!wss($A78:$A78,"hks_fa_grossprofitmargin","rptDate="&amp;($B78-1)&amp;"1231","WssConvert=0","showcodes=N","cols=1;rows=1")</f>
        <v>5.5084</v>
      </c>
      <c r="L78" s="73">
        <f>[1]!wss($A78:$A78,"hks_fa_roe","rptDate="&amp;($B78-1)&amp;"1231","WssConvert=0","showcodes=N","cols=1;rows=1")</f>
        <v>0.25559999999999999</v>
      </c>
      <c r="M78" s="43">
        <f>[1]!wss($A78:$A78,"hks_fa_debttoassets","rptDate="&amp;($B78-1)&amp;"1231","WssConvert=0","showcodes=N","cols=1;rows=1")</f>
        <v>74.482399999999998</v>
      </c>
      <c r="P78" s="50">
        <v>56.221640000000001</v>
      </c>
      <c r="Q78" s="50">
        <v>75.419259999999994</v>
      </c>
      <c r="R78" s="50">
        <v>45.30527</v>
      </c>
      <c r="S78" s="50">
        <v>-0.29564000000000001</v>
      </c>
      <c r="T78" s="50">
        <v>0.50034000000000001</v>
      </c>
      <c r="U78" s="50">
        <v>0.43478</v>
      </c>
      <c r="V78" s="50">
        <v>5.5777999999999999</v>
      </c>
      <c r="W78" s="50">
        <v>5.2765000000000004</v>
      </c>
      <c r="X78" s="50">
        <v>9.3909000000000002</v>
      </c>
    </row>
    <row r="79" spans="1:24">
      <c r="A79" t="s">
        <v>399</v>
      </c>
      <c r="B79" s="17">
        <f>IFERROR(YEAR(VLOOKUP($A79,'01_ipo_master'!$A:$C,3,FALSE)),YEAR(VLOOKUP("0"&amp;$A79,'01_ipo_master'!$A:$C,3,FALSE)))</f>
        <v>2025</v>
      </c>
      <c r="C79" s="73">
        <f>[1]!wss($A79:$A79,"hks_stm_is","item=83","rptDate="&amp;($B79-3)&amp;"1231","rptType=1","currencyType=Cur=CNY","WssConvert=0","WssDivide=8","showcodes=N","cols=1;rows=1")</f>
        <v>31.0169</v>
      </c>
      <c r="D79" s="73">
        <f>[1]!wss($A79:$A79,"hks_stm_is","item=83","rptDate="&amp;($B79-2)&amp;"1231","rptType=1","currencyType=Cur=CNY","WssConvert=0","WssDivide=8","showcodes=N","cols=1;rows=1")</f>
        <v>51.496009999999998</v>
      </c>
      <c r="E79" s="73">
        <f>[1]!wss($A79:$A79,"hks_stm_is","item=83","rptDate="&amp;($B79-1)&amp;"1231","rptType=1","currencyType=Cur=CNY","WssConvert=0","WssDivide=8","showcodes=N","cols=1;rows=1")</f>
        <v>57.181950000000001</v>
      </c>
      <c r="F79" s="73">
        <f>[1]!wss($A79:$A79,"hks_stm_is","item=61","rptDate="&amp;($B79-3)&amp;"1231","rptType=1","currencyType=Cur=CNY","WssConvert=0","WssDivide=8","showcodes=N","cols=1;rows=1")</f>
        <v>5.7524100000000002</v>
      </c>
      <c r="G79" s="73">
        <f>[1]!wss($A79:$A79,"hks_stm_is","item=61","rptDate="&amp;($B79-2)&amp;"1231","rptType=1","currencyType=Cur=CNY","WssConvert=0","WssDivide=8","showcodes=N","cols=1;rows=1")</f>
        <v>6.59694</v>
      </c>
      <c r="H79" s="73">
        <f>[1]!wss($A79:$A79,"hks_stm_is","item=61","rptDate="&amp;($B79-1)&amp;"1231","rptType=1","currencyType=Cur=CNY","WssConvert=0","WssDivide=8","showcodes=N","cols=1;rows=1")</f>
        <v>7.0631200000000005</v>
      </c>
      <c r="I79" s="73">
        <f>[1]!wss($A79:$A79,"hks_fa_grossprofitmargin","rptDate="&amp;($B79-3)&amp;"1231","WssConvert=0","showcodes=N","cols=1;rows=1")</f>
        <v>38.691400000000002</v>
      </c>
      <c r="J79" s="43">
        <f>[1]!wss($A79:$A79,"hks_fa_grossprofitmargin","rptDate="&amp;($B79-2)&amp;"1231","WssConvert=0","showcodes=N","cols=1;rows=1")</f>
        <v>26.233000000000001</v>
      </c>
      <c r="K79" s="43">
        <f>[1]!wss($A79:$A79,"hks_fa_grossprofitmargin","rptDate="&amp;($B79-1)&amp;"1231","WssConvert=0","showcodes=N","cols=1;rows=1")</f>
        <v>25.861999999999998</v>
      </c>
      <c r="L79" s="73">
        <f>[1]!wss($A79:$A79,"hks_fa_roe","rptDate="&amp;($B79-1)&amp;"1231","WssConvert=0","showcodes=N","cols=1;rows=1")</f>
        <v>29.178999999999998</v>
      </c>
      <c r="M79" s="43">
        <f>[1]!wss($A79:$A79,"hks_fa_debttoassets","rptDate="&amp;($B79-1)&amp;"1231","WssConvert=0","showcodes=N","cols=1;rows=1")</f>
        <v>34.869</v>
      </c>
      <c r="P79" s="50">
        <v>51.496009999999998</v>
      </c>
      <c r="Q79" s="50">
        <v>57.181950000000001</v>
      </c>
      <c r="R79" s="50">
        <v>58.342950000000002</v>
      </c>
      <c r="S79" s="50">
        <v>6.59694</v>
      </c>
      <c r="T79" s="50">
        <v>7.0631199999999996</v>
      </c>
      <c r="U79" s="50">
        <v>7.70296</v>
      </c>
      <c r="V79" s="50">
        <v>26.233000000000001</v>
      </c>
      <c r="W79" s="50">
        <v>25.861999999999998</v>
      </c>
      <c r="X79" s="50">
        <v>27.4971</v>
      </c>
    </row>
    <row r="80" spans="1:24">
      <c r="A80" t="s">
        <v>401</v>
      </c>
      <c r="B80" s="17">
        <f>IFERROR(YEAR(VLOOKUP($A80,'01_ipo_master'!$A:$C,3,FALSE)),YEAR(VLOOKUP("0"&amp;$A80,'01_ipo_master'!$A:$C,3,FALSE)))</f>
        <v>2023</v>
      </c>
      <c r="C80" s="73">
        <f>[1]!wss($A80:$A80,"hks_stm_is","item=83","rptDate="&amp;($B80-3)&amp;"1231","rptType=1","currencyType=Cur=CNY","WssConvert=0","WssDivide=8","showcodes=N","cols=1;rows=1")</f>
        <v>23.78332</v>
      </c>
      <c r="D80" s="73">
        <f>[1]!wss($A80:$A80,"hks_stm_is","item=83","rptDate="&amp;($B80-2)&amp;"1231","rptType=1","currencyType=Cur=CNY","WssConvert=0","WssDivide=8","showcodes=N","cols=1;rows=1")</f>
        <v>34.176870000000001</v>
      </c>
      <c r="E80" s="73">
        <f>[1]!wss($A80:$A80,"hks_stm_is","item=83","rptDate="&amp;($B80-1)&amp;"1231","rptType=1","currencyType=Cur=CNY","WssConvert=0","WssDivide=8","showcodes=N","cols=1;rows=1")</f>
        <v>47.83023</v>
      </c>
      <c r="F80" s="73">
        <f>[1]!wss($A80:$A80,"hks_stm_is","item=61","rptDate="&amp;($B80-3)&amp;"1231","rptType=1","currencyType=Cur=CNY","WssConvert=0","WssDivide=8","showcodes=N","cols=1;rows=1")</f>
        <v>0.40293000000000001</v>
      </c>
      <c r="G80" s="73">
        <f>[1]!wss($A80:$A80,"hks_stm_is","item=61","rptDate="&amp;($B80-2)&amp;"1231","rptType=1","currencyType=Cur=CNY","WssConvert=0","WssDivide=8","showcodes=N","cols=1;rows=1")</f>
        <v>0.59260000000000002</v>
      </c>
      <c r="H80" s="73">
        <f>[1]!wss($A80:$A80,"hks_stm_is","item=61","rptDate="&amp;($B80-1)&amp;"1231","rptType=1","currencyType=Cur=CNY","WssConvert=0","WssDivide=8","showcodes=N","cols=1;rows=1")</f>
        <v>1.1803000000000001</v>
      </c>
      <c r="I80" s="73">
        <f>[1]!wss($A80:$A80,"hks_fa_grossprofitmargin","rptDate="&amp;($B80-3)&amp;"1231","WssConvert=0","showcodes=N","cols=1;rows=1")</f>
        <v>12.034700000000001</v>
      </c>
      <c r="J80" s="43">
        <f>[1]!wss($A80:$A80,"hks_fa_grossprofitmargin","rptDate="&amp;($B80-2)&amp;"1231","WssConvert=0","showcodes=N","cols=1;rows=1")</f>
        <v>11.3268</v>
      </c>
      <c r="K80" s="43">
        <f>[1]!wss($A80:$A80,"hks_fa_grossprofitmargin","rptDate="&amp;($B80-1)&amp;"1231","WssConvert=0","showcodes=N","cols=1;rows=1")</f>
        <v>11.735900000000001</v>
      </c>
      <c r="L80" s="73">
        <f>[1]!wss($A80:$A80,"hks_fa_roe","rptDate="&amp;($B80-1)&amp;"1231","WssConvert=0","showcodes=N","cols=1;rows=1")</f>
        <v>19.038</v>
      </c>
      <c r="M80" s="43">
        <f>[1]!wss($A80:$A80,"hks_fa_debttoassets","rptDate="&amp;($B80-1)&amp;"1231","WssConvert=0","showcodes=N","cols=1;rows=1")</f>
        <v>78.648300000000006</v>
      </c>
      <c r="P80" s="50">
        <v>50.829819999999998</v>
      </c>
      <c r="Q80" s="50">
        <v>50.719560000000001</v>
      </c>
      <c r="R80" s="50">
        <v>59.068469999999998</v>
      </c>
      <c r="S80" s="50">
        <v>1.45607</v>
      </c>
      <c r="T80" s="50">
        <v>1.16757</v>
      </c>
      <c r="U80" s="50">
        <v>1.75101</v>
      </c>
      <c r="V80" s="50">
        <v>13.4023</v>
      </c>
      <c r="W80" s="50">
        <v>13.111599999999999</v>
      </c>
      <c r="X80" s="50">
        <v>13.7735</v>
      </c>
    </row>
    <row r="81" spans="1:24">
      <c r="A81" t="s">
        <v>403</v>
      </c>
      <c r="B81" s="17">
        <f>IFERROR(YEAR(VLOOKUP($A81,'01_ipo_master'!$A:$C,3,FALSE)),YEAR(VLOOKUP("0"&amp;$A81,'01_ipo_master'!$A:$C,3,FALSE)))</f>
        <v>2022</v>
      </c>
      <c r="C81" s="73">
        <f>[1]!wss($A81:$A81,"hks_stm_is","item=83","rptDate="&amp;($B81-3)&amp;"1231","rptType=1","currencyType=Cur=CNY","WssConvert=0","WssDivide=8","showcodes=N","cols=1;rows=1")</f>
        <v>16.328772768000004</v>
      </c>
      <c r="D81" s="73">
        <f>[1]!wss($A81:$A81,"hks_stm_is","item=83","rptDate="&amp;($B81-2)&amp;"1231","rptType=1","currencyType=Cur=CNY","WssConvert=0","WssDivide=8","showcodes=N","cols=1;rows=1")</f>
        <v>14.48854045</v>
      </c>
      <c r="E81" s="73">
        <f>[1]!wss($A81:$A81,"hks_stm_is","item=83","rptDate="&amp;($B81-1)&amp;"1231","rptType=1","currencyType=Cur=CNY","WssConvert=0","WssDivide=8","showcodes=N","cols=1;rows=1")</f>
        <v>20.191331844</v>
      </c>
      <c r="F81" s="73">
        <f>[1]!wss($A81:$A81,"hks_stm_is","item=61","rptDate="&amp;($B81-3)&amp;"1231","rptType=1","currencyType=Cur=CNY","WssConvert=0","WssDivide=8","showcodes=N","cols=1;rows=1")</f>
        <v>-2.3034714780000001</v>
      </c>
      <c r="G81" s="73">
        <f>[1]!wss($A81:$A81,"hks_stm_is","item=61","rptDate="&amp;($B81-2)&amp;"1231","rptType=1","currencyType=Cur=CNY","WssConvert=0","WssDivide=8","showcodes=N","cols=1;rows=1")</f>
        <v>-3.5077862400000002</v>
      </c>
      <c r="H81" s="73">
        <f>[1]!wss($A81:$A81,"hks_stm_is","item=61","rptDate="&amp;($B81-1)&amp;"1231","rptType=1","currencyType=Cur=CNY","WssConvert=0","WssDivide=8","showcodes=N","cols=1;rows=1")</f>
        <v>-9.6114952640000002</v>
      </c>
      <c r="I81" s="73" t="str">
        <f>[1]!wss($A81:$A81,"hks_fa_grossprofitmargin","rptDate="&amp;($B81-3)&amp;"1231","WssConvert=0","showcodes=N","cols=1;rows=1")</f>
        <v/>
      </c>
      <c r="J81" s="43" t="str">
        <f>[1]!wss($A81:$A81,"hks_fa_grossprofitmargin","rptDate="&amp;($B81-2)&amp;"1231","WssConvert=0","showcodes=N","cols=1;rows=1")</f>
        <v/>
      </c>
      <c r="K81" s="43" t="str">
        <f>[1]!wss($A81:$A81,"hks_fa_grossprofitmargin","rptDate="&amp;($B81-1)&amp;"1231","WssConvert=0","showcodes=N","cols=1;rows=1")</f>
        <v/>
      </c>
      <c r="L81" s="73" t="str">
        <f>[1]!wss($A81:$A81,"hks_fa_roe","rptDate="&amp;($B81-1)&amp;"1231","WssConvert=0","showcodes=N","cols=1;rows=1")</f>
        <v/>
      </c>
      <c r="M81" s="43">
        <f>[1]!wss($A81:$A81,"hks_fa_debttoassets","rptDate="&amp;($B81-1)&amp;"1231","WssConvert=0","showcodes=N","cols=1;rows=1")</f>
        <v>129.86680000000001</v>
      </c>
      <c r="P81" s="50">
        <v>48.752419736999997</v>
      </c>
      <c r="Q81" s="50">
        <v>55.947892271999997</v>
      </c>
      <c r="R81" s="50">
        <v>59.094987439999997</v>
      </c>
      <c r="S81" s="50">
        <v>1.816925031</v>
      </c>
      <c r="T81" s="50">
        <v>1.567143084</v>
      </c>
      <c r="U81" s="50">
        <v>2.560521552</v>
      </c>
      <c r="V81" s="50"/>
      <c r="W81" s="50"/>
      <c r="X81" s="50"/>
    </row>
    <row r="82" spans="1:24">
      <c r="A82" t="s">
        <v>405</v>
      </c>
      <c r="B82" s="17">
        <f>IFERROR(YEAR(VLOOKUP($A82,'01_ipo_master'!$A:$C,3,FALSE)),YEAR(VLOOKUP("0"&amp;$A82,'01_ipo_master'!$A:$C,3,FALSE)))</f>
        <v>2022</v>
      </c>
      <c r="C82" s="73">
        <f>[1]!wss($A82:$A82,"hks_stm_is","item=83","rptDate="&amp;($B82-3)&amp;"1231","rptType=1","currencyType=Cur=CNY","WssConvert=0","WssDivide=8","showcodes=N","cols=1;rows=1")</f>
        <v>33.847659999999998</v>
      </c>
      <c r="D82" s="73">
        <f>[1]!wss($A82:$A82,"hks_stm_is","item=83","rptDate="&amp;($B82-2)&amp;"1231","rptType=1","currencyType=Cur=CNY","WssConvert=0","WssDivide=8","showcodes=N","cols=1;rows=1")</f>
        <v>41.203569999999999</v>
      </c>
      <c r="E82" s="73">
        <f>[1]!wss($A82:$A82,"hks_stm_is","item=83","rptDate="&amp;($B82-1)&amp;"1231","rptType=1","currencyType=Cur=CNY","WssConvert=0","WssDivide=8","showcodes=N","cols=1;rows=1")</f>
        <v>48.002000000000002</v>
      </c>
      <c r="F82" s="73">
        <f>[1]!wss($A82:$A82,"hks_stm_is","item=61","rptDate="&amp;($B82-3)&amp;"1231","rptType=1","currencyType=Cur=CNY","WssConvert=0","WssDivide=8","showcodes=N","cols=1;rows=1")</f>
        <v>6.5809899999999999</v>
      </c>
      <c r="G82" s="73">
        <f>[1]!wss($A82:$A82,"hks_stm_is","item=61","rptDate="&amp;($B82-2)&amp;"1231","rptType=1","currencyType=Cur=CNY","WssConvert=0","WssDivide=8","showcodes=N","cols=1;rows=1")</f>
        <v>8.18764</v>
      </c>
      <c r="H82" s="73">
        <f>[1]!wss($A82:$A82,"hks_stm_is","item=61","rptDate="&amp;($B82-1)&amp;"1231","rptType=1","currencyType=Cur=CNY","WssConvert=0","WssDivide=8","showcodes=N","cols=1;rows=1")</f>
        <v>8.2672900000000009</v>
      </c>
      <c r="I82" s="73">
        <f>[1]!wss($A82:$A82,"hks_fa_grossprofitmargin","rptDate="&amp;($B82-3)&amp;"1231","WssConvert=0","showcodes=N","cols=1;rows=1")</f>
        <v>37.057299999999998</v>
      </c>
      <c r="J82" s="43">
        <f>[1]!wss($A82:$A82,"hks_fa_grossprofitmargin","rptDate="&amp;($B82-2)&amp;"1231","WssConvert=0","showcodes=N","cols=1;rows=1")</f>
        <v>37.9983</v>
      </c>
      <c r="K82" s="43">
        <f>[1]!wss($A82:$A82,"hks_fa_grossprofitmargin","rptDate="&amp;($B82-1)&amp;"1231","WssConvert=0","showcodes=N","cols=1;rows=1")</f>
        <v>37.353299999999997</v>
      </c>
      <c r="L82" s="73">
        <f>[1]!wss($A82:$A82,"hks_fa_roe","rptDate="&amp;($B82-1)&amp;"1231","WssConvert=0","showcodes=N","cols=1;rows=1")</f>
        <v>31.1844</v>
      </c>
      <c r="M82" s="43">
        <f>[1]!wss($A82:$A82,"hks_fa_debttoassets","rptDate="&amp;($B82-1)&amp;"1231","WssConvert=0","showcodes=N","cols=1;rows=1")</f>
        <v>29.296500000000002</v>
      </c>
      <c r="P82" s="50">
        <v>48.716659999999997</v>
      </c>
      <c r="Q82" s="50">
        <v>62.663260000000001</v>
      </c>
      <c r="R82" s="50">
        <v>72.237589999999997</v>
      </c>
      <c r="S82" s="50">
        <v>8.8035399999999999</v>
      </c>
      <c r="T82" s="50">
        <v>10.68512</v>
      </c>
      <c r="U82" s="50">
        <v>14.252039999999999</v>
      </c>
      <c r="V82" s="50">
        <v>47.677399999999999</v>
      </c>
      <c r="W82" s="50">
        <v>48.132399999999997</v>
      </c>
      <c r="X82" s="50">
        <v>47.985599999999998</v>
      </c>
    </row>
    <row r="83" spans="1:24">
      <c r="A83" t="s">
        <v>407</v>
      </c>
      <c r="B83" s="17">
        <f>IFERROR(YEAR(VLOOKUP($A83,'01_ipo_master'!$A:$C,3,FALSE)),YEAR(VLOOKUP("0"&amp;$A83,'01_ipo_master'!$A:$C,3,FALSE)))</f>
        <v>2023</v>
      </c>
      <c r="C83" s="73">
        <f>[1]!wss($A83:$A83,"hks_stm_is","item=83","rptDate="&amp;($B83-3)&amp;"1231","rptType=1","currencyType=Cur=CNY","WssConvert=0","WssDivide=8","showcodes=N","cols=1;rows=1")</f>
        <v>23.27008</v>
      </c>
      <c r="D83" s="73">
        <f>[1]!wss($A83:$A83,"hks_stm_is","item=83","rptDate="&amp;($B83-2)&amp;"1231","rptType=1","currencyType=Cur=CNY","WssConvert=0","WssDivide=8","showcodes=N","cols=1;rows=1")</f>
        <v>35.982509999999998</v>
      </c>
      <c r="E83" s="73">
        <f>[1]!wss($A83:$A83,"hks_stm_is","item=83","rptDate="&amp;($B83-1)&amp;"1231","rptType=1","currencyType=Cur=CNY","WssConvert=0","WssDivide=8","showcodes=N","cols=1;rows=1")</f>
        <v>45.3292</v>
      </c>
      <c r="F83" s="73">
        <f>[1]!wss($A83:$A83,"hks_stm_is","item=61","rptDate="&amp;($B83-3)&amp;"1231","rptType=1","currencyType=Cur=CNY","WssConvert=0","WssDivide=8","showcodes=N","cols=1;rows=1")</f>
        <v>0.13974</v>
      </c>
      <c r="G83" s="73">
        <f>[1]!wss($A83:$A83,"hks_stm_is","item=61","rptDate="&amp;($B83-2)&amp;"1231","rptType=1","currencyType=Cur=CNY","WssConvert=0","WssDivide=8","showcodes=N","cols=1;rows=1")</f>
        <v>-1.72864</v>
      </c>
      <c r="H83" s="73">
        <f>[1]!wss($A83:$A83,"hks_stm_is","item=61","rptDate="&amp;($B83-1)&amp;"1231","rptType=1","currencyType=Cur=CNY","WssConvert=0","WssDivide=8","showcodes=N","cols=1;rows=1")</f>
        <v>-5.6421900000000003</v>
      </c>
      <c r="I83" s="73">
        <f>[1]!wss($A83:$A83,"hks_fa_grossprofitmargin","rptDate="&amp;($B83-3)&amp;"1231","WssConvert=0","showcodes=N","cols=1;rows=1")</f>
        <v>17.3903</v>
      </c>
      <c r="J83" s="43">
        <f>[1]!wss($A83:$A83,"hks_fa_grossprofitmargin","rptDate="&amp;($B83-2)&amp;"1231","WssConvert=0","showcodes=N","cols=1;rows=1")</f>
        <v>14.9389</v>
      </c>
      <c r="K83" s="43">
        <f>[1]!wss($A83:$A83,"hks_fa_grossprofitmargin","rptDate="&amp;($B83-1)&amp;"1231","WssConvert=0","showcodes=N","cols=1;rows=1")</f>
        <v>17.197500000000002</v>
      </c>
      <c r="L83" s="73" t="str">
        <f>[1]!wss($A83:$A83,"hks_fa_roe","rptDate="&amp;($B83-1)&amp;"1231","WssConvert=0","showcodes=N","cols=1;rows=1")</f>
        <v/>
      </c>
      <c r="M83" s="43">
        <f>[1]!wss($A83:$A83,"hks_fa_debttoassets","rptDate="&amp;($B83-1)&amp;"1231","WssConvert=0","showcodes=N","cols=1;rows=1")</f>
        <v>103.47329999999999</v>
      </c>
      <c r="P83" s="50">
        <v>48.670259999999999</v>
      </c>
      <c r="Q83" s="50">
        <v>57.453150000000001</v>
      </c>
      <c r="R83" s="50">
        <v>68.099689999999995</v>
      </c>
      <c r="S83" s="50">
        <v>-0.64863000000000004</v>
      </c>
      <c r="T83" s="50">
        <v>2.04373</v>
      </c>
      <c r="U83" s="50">
        <v>4.2828799999999996</v>
      </c>
      <c r="V83" s="50">
        <v>12.712400000000001</v>
      </c>
      <c r="W83" s="50">
        <v>17.742699999999999</v>
      </c>
      <c r="X83" s="50">
        <v>19.872199999999999</v>
      </c>
    </row>
    <row r="84" spans="1:24">
      <c r="A84" t="s">
        <v>409</v>
      </c>
      <c r="B84" s="17">
        <f>IFERROR(YEAR(VLOOKUP($A84,'01_ipo_master'!$A:$C,3,FALSE)),YEAR(VLOOKUP("0"&amp;$A84,'01_ipo_master'!$A:$C,3,FALSE)))</f>
        <v>2022</v>
      </c>
      <c r="C84" s="73">
        <f>[1]!wss($A84:$A84,"hks_stm_is","item=83","rptDate="&amp;($B84-3)&amp;"1231","rptType=1","currencyType=Cur=CNY","WssConvert=0","WssDivide=8","showcodes=N","cols=1;rows=1")</f>
        <v>12.77191</v>
      </c>
      <c r="D84" s="73">
        <f>[1]!wss($A84:$A84,"hks_stm_is","item=83","rptDate="&amp;($B84-2)&amp;"1231","rptType=1","currencyType=Cur=CNY","WssConvert=0","WssDivide=8","showcodes=N","cols=1;rows=1")</f>
        <v>22.3139</v>
      </c>
      <c r="E84" s="73">
        <f>[1]!wss($A84:$A84,"hks_stm_is","item=83","rptDate="&amp;($B84-1)&amp;"1231","rptType=1","currencyType=Cur=CNY","WssConvert=0","WssDivide=8","showcodes=N","cols=1;rows=1")</f>
        <v>36.88203</v>
      </c>
      <c r="F84" s="73">
        <f>[1]!wss($A84:$A84,"hks_stm_is","item=61","rptDate="&amp;($B84-3)&amp;"1231","rptType=1","currencyType=Cur=CNY","WssConvert=0","WssDivide=8","showcodes=N","cols=1;rows=1")</f>
        <v>-2.7663500000000001</v>
      </c>
      <c r="G84" s="73">
        <f>[1]!wss($A84:$A84,"hks_stm_is","item=61","rptDate="&amp;($B84-2)&amp;"1231","rptType=1","currencyType=Cur=CNY","WssConvert=0","WssDivide=8","showcodes=N","cols=1;rows=1")</f>
        <v>-9.2424999999999997</v>
      </c>
      <c r="H84" s="73">
        <f>[1]!wss($A84:$A84,"hks_stm_is","item=61","rptDate="&amp;($B84-1)&amp;"1231","rptType=1","currencyType=Cur=CNY","WssConvert=0","WssDivide=8","showcodes=N","cols=1;rows=1")</f>
        <v>-15.78026</v>
      </c>
      <c r="I84" s="73">
        <f>[1]!wss($A84:$A84,"hks_fa_grossprofitmargin","rptDate="&amp;($B84-3)&amp;"1231","WssConvert=0","showcodes=N","cols=1;rows=1")</f>
        <v>36.842100000000002</v>
      </c>
      <c r="J84" s="43">
        <f>[1]!wss($A84:$A84,"hks_fa_grossprofitmargin","rptDate="&amp;($B84-2)&amp;"1231","WssConvert=0","showcodes=N","cols=1;rows=1")</f>
        <v>34.380600000000001</v>
      </c>
      <c r="K84" s="43">
        <f>[1]!wss($A84:$A84,"hks_fa_grossprofitmargin","rptDate="&amp;($B84-1)&amp;"1231","WssConvert=0","showcodes=N","cols=1;rows=1")</f>
        <v>31.595800000000001</v>
      </c>
      <c r="L84" s="73" t="str">
        <f>[1]!wss($A84:$A84,"hks_fa_roe","rptDate="&amp;($B84-1)&amp;"1231","WssConvert=0","showcodes=N","cols=1;rows=1")</f>
        <v/>
      </c>
      <c r="M84" s="43">
        <f>[1]!wss($A84:$A84,"hks_fa_debttoassets","rptDate="&amp;($B84-1)&amp;"1231","WssConvert=0","showcodes=N","cols=1;rows=1")</f>
        <v>187.90530000000001</v>
      </c>
      <c r="P84" s="50">
        <v>48.640900000000002</v>
      </c>
      <c r="Q84" s="50">
        <v>46.690779999999997</v>
      </c>
      <c r="R84" s="50">
        <v>48.877769999999998</v>
      </c>
      <c r="S84" s="50">
        <v>-2.2580900000000002</v>
      </c>
      <c r="T84" s="50">
        <v>-3.76498</v>
      </c>
      <c r="U84" s="50">
        <v>-0.49018</v>
      </c>
      <c r="V84" s="50">
        <v>31.104199999999999</v>
      </c>
      <c r="W84" s="50">
        <v>32.947600000000001</v>
      </c>
      <c r="X84" s="50">
        <v>35.261699999999998</v>
      </c>
    </row>
    <row r="85" spans="1:24">
      <c r="A85" t="s">
        <v>411</v>
      </c>
      <c r="B85" s="17">
        <f>IFERROR(YEAR(VLOOKUP($A85,'01_ipo_master'!$A:$C,3,FALSE)),YEAR(VLOOKUP("0"&amp;$A85,'01_ipo_master'!$A:$C,3,FALSE)))</f>
        <v>2025</v>
      </c>
      <c r="C85" s="73">
        <f>[1]!wss($A85:$A85,"hks_stm_is","item=83","rptDate="&amp;($B85-3)&amp;"1231","rptType=1","currencyType=Cur=CNY","WssConvert=0","WssDivide=8","showcodes=N","cols=1;rows=1")</f>
        <v>32.509150942000005</v>
      </c>
      <c r="D85" s="73">
        <f>[1]!wss($A85:$A85,"hks_stm_is","item=83","rptDate="&amp;($B85-2)&amp;"1231","rptType=1","currencyType=Cur=CNY","WssConvert=0","WssDivide=8","showcodes=N","cols=1;rows=1")</f>
        <v>48.005478195000002</v>
      </c>
      <c r="E85" s="73">
        <f>[1]!wss($A85:$A85,"hks_stm_is","item=83","rptDate="&amp;($B85-1)&amp;"1231","rptType=1","currencyType=Cur=CNY","WssConvert=0","WssDivide=8","showcodes=N","cols=1;rows=1")</f>
        <v>73.369698512000014</v>
      </c>
      <c r="F85" s="73">
        <f>[1]!wss($A85:$A85,"hks_stm_is","item=61","rptDate="&amp;($B85-3)&amp;"1231","rptType=1","currencyType=Cur=CNY","WssConvert=0","WssDivide=8","showcodes=N","cols=1;rows=1")</f>
        <v>4.7144770320000005</v>
      </c>
      <c r="G85" s="73">
        <f>[1]!wss($A85:$A85,"hks_stm_is","item=61","rptDate="&amp;($B85-2)&amp;"1231","rptType=1","currencyType=Cur=CNY","WssConvert=0","WssDivide=8","showcodes=N","cols=1;rows=1")</f>
        <v>8.6879939549999996</v>
      </c>
      <c r="H85" s="73">
        <f>[1]!wss($A85:$A85,"hks_stm_is","item=61","rptDate="&amp;($B85-1)&amp;"1231","rptType=1","currencyType=Cur=CNY","WssConvert=0","WssDivide=8","showcodes=N","cols=1;rows=1")</f>
        <v>28.883853808000001</v>
      </c>
      <c r="I85" s="73">
        <f>[1]!wss($A85:$A85,"hks_fa_grossprofitmargin","rptDate="&amp;($B85-3)&amp;"1231","WssConvert=0","showcodes=N","cols=1;rows=1")</f>
        <v>24.0091</v>
      </c>
      <c r="J85" s="43">
        <f>[1]!wss($A85:$A85,"hks_fa_grossprofitmargin","rptDate="&amp;($B85-2)&amp;"1231","WssConvert=0","showcodes=N","cols=1;rows=1")</f>
        <v>29.163799999999998</v>
      </c>
      <c r="K85" s="43">
        <f>[1]!wss($A85:$A85,"hks_fa_grossprofitmargin","rptDate="&amp;($B85-1)&amp;"1231","WssConvert=0","showcodes=N","cols=1;rows=1")</f>
        <v>50.622700000000002</v>
      </c>
      <c r="L85" s="73">
        <f>[1]!wss($A85:$A85,"hks_fa_roe","rptDate="&amp;($B85-1)&amp;"1231","WssConvert=0","showcodes=N","cols=1;rows=1")</f>
        <v>36.812399999999997</v>
      </c>
      <c r="M85" s="43">
        <f>[1]!wss($A85:$A85,"hks_fa_debttoassets","rptDate="&amp;($B85-1)&amp;"1231","WssConvert=0","showcodes=N","cols=1;rows=1")</f>
        <v>24.7745</v>
      </c>
      <c r="P85" s="50">
        <v>48.005478195000002</v>
      </c>
      <c r="Q85" s="50">
        <v>73.369698511999999</v>
      </c>
      <c r="R85" s="50">
        <v>80.255049263999993</v>
      </c>
      <c r="S85" s="50">
        <v>8.6879939549999996</v>
      </c>
      <c r="T85" s="50">
        <v>28.883853808000001</v>
      </c>
      <c r="U85" s="50">
        <v>28.707587264000001</v>
      </c>
      <c r="V85" s="50">
        <v>29.163799999999998</v>
      </c>
      <c r="W85" s="50">
        <v>50.622700000000002</v>
      </c>
      <c r="X85" s="50">
        <v>41.862400000000001</v>
      </c>
    </row>
    <row r="86" spans="1:24">
      <c r="A86" t="s">
        <v>413</v>
      </c>
      <c r="B86" s="17">
        <f>IFERROR(YEAR(VLOOKUP($A86,'01_ipo_master'!$A:$C,3,FALSE)),YEAR(VLOOKUP("0"&amp;$A86,'01_ipo_master'!$A:$C,3,FALSE)))</f>
        <v>2024</v>
      </c>
      <c r="C86" s="73">
        <f>[1]!wss($A86:$A86,"hks_stm_is","item=83","rptDate="&amp;($B86-3)&amp;"1231","rptType=1","currencyType=Cur=CNY","WssConvert=0","WssDivide=8","showcodes=N","cols=1;rows=1")</f>
        <v>20.81579</v>
      </c>
      <c r="D86" s="73">
        <f>[1]!wss($A86:$A86,"hks_stm_is","item=83","rptDate="&amp;($B86-2)&amp;"1231","rptType=1","currencyType=Cur=CNY","WssConvert=0","WssDivide=8","showcodes=N","cols=1;rows=1")</f>
        <v>38.414000000000001</v>
      </c>
      <c r="E86" s="73">
        <f>[1]!wss($A86:$A86,"hks_stm_is","item=83","rptDate="&amp;($B86-1)&amp;"1231","rptType=1","currencyType=Cur=CNY","WssConvert=0","WssDivide=8","showcodes=N","cols=1;rows=1")</f>
        <v>47.227490000000003</v>
      </c>
      <c r="F86" s="73">
        <f>[1]!wss($A86:$A86,"hks_stm_is","item=61","rptDate="&amp;($B86-3)&amp;"1231","rptType=1","currencyType=Cur=CNY","WssConvert=0","WssDivide=8","showcodes=N","cols=1;rows=1")</f>
        <v>2.0229400000000002</v>
      </c>
      <c r="G86" s="73">
        <f>[1]!wss($A86:$A86,"hks_stm_is","item=61","rptDate="&amp;($B86-2)&amp;"1231","rptType=1","currencyType=Cur=CNY","WssConvert=0","WssDivide=8","showcodes=N","cols=1;rows=1")</f>
        <v>3.9633700000000003</v>
      </c>
      <c r="H86" s="73">
        <f>[1]!wss($A86:$A86,"hks_stm_is","item=61","rptDate="&amp;($B86-1)&amp;"1231","rptType=1","currencyType=Cur=CNY","WssConvert=0","WssDivide=8","showcodes=N","cols=1;rows=1")</f>
        <v>4.0508899999999999</v>
      </c>
      <c r="I86" s="73">
        <f>[1]!wss($A86:$A86,"hks_fa_grossprofitmargin","rptDate="&amp;($B86-3)&amp;"1231","WssConvert=0","showcodes=N","cols=1;rows=1")</f>
        <v>12.0457</v>
      </c>
      <c r="J86" s="43">
        <f>[1]!wss($A86:$A86,"hks_fa_grossprofitmargin","rptDate="&amp;($B86-2)&amp;"1231","WssConvert=0","showcodes=N","cols=1;rows=1")</f>
        <v>16.4894</v>
      </c>
      <c r="K86" s="43">
        <f>[1]!wss($A86:$A86,"hks_fa_grossprofitmargin","rptDate="&amp;($B86-1)&amp;"1231","WssConvert=0","showcodes=N","cols=1;rows=1")</f>
        <v>16.251799999999999</v>
      </c>
      <c r="L86" s="73">
        <f>[1]!wss($A86:$A86,"hks_fa_roe","rptDate="&amp;($B86-1)&amp;"1231","WssConvert=0","showcodes=N","cols=1;rows=1")</f>
        <v>33.094200000000001</v>
      </c>
      <c r="M86" s="43">
        <f>[1]!wss($A86:$A86,"hks_fa_debttoassets","rptDate="&amp;($B86-1)&amp;"1231","WssConvert=0","showcodes=N","cols=1;rows=1")</f>
        <v>51.343499999999999</v>
      </c>
      <c r="P86" s="50">
        <v>47.227490000000003</v>
      </c>
      <c r="Q86" s="50">
        <v>37.70543</v>
      </c>
      <c r="R86" s="50">
        <v>49.65954</v>
      </c>
      <c r="S86" s="50">
        <v>4.0508899999999999</v>
      </c>
      <c r="T86" s="50">
        <v>2.5247899999999999</v>
      </c>
      <c r="U86" s="50">
        <v>3.0747100000000001</v>
      </c>
      <c r="V86" s="50">
        <v>16.251799999999999</v>
      </c>
      <c r="W86" s="50">
        <v>14.2288</v>
      </c>
      <c r="X86" s="50">
        <v>12.929</v>
      </c>
    </row>
    <row r="87" spans="1:24">
      <c r="A87" t="s">
        <v>415</v>
      </c>
      <c r="B87" s="17">
        <f>IFERROR(YEAR(VLOOKUP($A87,'01_ipo_master'!$A:$C,3,FALSE)),YEAR(VLOOKUP("0"&amp;$A87,'01_ipo_master'!$A:$C,3,FALSE)))</f>
        <v>2022</v>
      </c>
      <c r="C87" s="73">
        <f>[1]!wss($A87:$A87,"hks_stm_is","item=83","rptDate="&amp;($B87-3)&amp;"1231","rptType=1","currencyType=Cur=CNY","WssConvert=0","WssDivide=8","showcodes=N","cols=1;rows=1")</f>
        <v>10.397019999999999</v>
      </c>
      <c r="D87" s="73">
        <f>[1]!wss($A87:$A87,"hks_stm_is","item=83","rptDate="&amp;($B87-2)&amp;"1231","rptType=1","currencyType=Cur=CNY","WssConvert=0","WssDivide=8","showcodes=N","cols=1;rows=1")</f>
        <v>26.996470000000002</v>
      </c>
      <c r="E87" s="73">
        <f>[1]!wss($A87:$A87,"hks_stm_is","item=83","rptDate="&amp;($B87-1)&amp;"1231","rptType=1","currencyType=Cur=CNY","WssConvert=0","WssDivide=8","showcodes=N","cols=1;rows=1")</f>
        <v>34.7393</v>
      </c>
      <c r="F87" s="73">
        <f>[1]!wss($A87:$A87,"hks_stm_is","item=61","rptDate="&amp;($B87-3)&amp;"1231","rptType=1","currencyType=Cur=CNY","WssConvert=0","WssDivide=8","showcodes=N","cols=1;rows=1")</f>
        <v>-5.9459499999999998</v>
      </c>
      <c r="G87" s="73">
        <f>[1]!wss($A87:$A87,"hks_stm_is","item=61","rptDate="&amp;($B87-2)&amp;"1231","rptType=1","currencyType=Cur=CNY","WssConvert=0","WssDivide=8","showcodes=N","cols=1;rows=1")</f>
        <v>-10.427810000000001</v>
      </c>
      <c r="H87" s="73">
        <f>[1]!wss($A87:$A87,"hks_stm_is","item=61","rptDate="&amp;($B87-1)&amp;"1231","rptType=1","currencyType=Cur=CNY","WssConvert=0","WssDivide=8","showcodes=N","cols=1;rows=1")</f>
        <v>-37.40455</v>
      </c>
      <c r="I87" s="73">
        <f>[1]!wss($A87:$A87,"hks_fa_grossprofitmargin","rptDate="&amp;($B87-3)&amp;"1231","WssConvert=0","showcodes=N","cols=1;rows=1")</f>
        <v>7.8733000000000004</v>
      </c>
      <c r="J87" s="43">
        <f>[1]!wss($A87:$A87,"hks_fa_grossprofitmargin","rptDate="&amp;($B87-2)&amp;"1231","WssConvert=0","showcodes=N","cols=1;rows=1")</f>
        <v>6.9215999999999998</v>
      </c>
      <c r="K87" s="43">
        <f>[1]!wss($A87:$A87,"hks_fa_grossprofitmargin","rptDate="&amp;($B87-1)&amp;"1231","WssConvert=0","showcodes=N","cols=1;rows=1")</f>
        <v>8.1593</v>
      </c>
      <c r="L87" s="73" t="str">
        <f>[1]!wss($A87:$A87,"hks_fa_roe","rptDate="&amp;($B87-1)&amp;"1231","WssConvert=0","showcodes=N","cols=1;rows=1")</f>
        <v/>
      </c>
      <c r="M87" s="43">
        <f>[1]!wss($A87:$A87,"hks_fa_debttoassets","rptDate="&amp;($B87-1)&amp;"1231","WssConvert=0","showcodes=N","cols=1;rows=1")</f>
        <v>287.73759999999999</v>
      </c>
      <c r="P87" s="50">
        <v>47.121070000000003</v>
      </c>
      <c r="Q87" s="50">
        <v>45.654339999999998</v>
      </c>
      <c r="R87" s="50">
        <v>20.70984</v>
      </c>
      <c r="S87" s="50">
        <v>-2.55768</v>
      </c>
      <c r="T87" s="50">
        <v>-3.2373599999999998</v>
      </c>
      <c r="U87" s="50">
        <v>-1.2426699999999999</v>
      </c>
      <c r="V87" s="50">
        <v>8.8007000000000009</v>
      </c>
      <c r="W87" s="50">
        <v>8.4642999999999997</v>
      </c>
      <c r="X87" s="50">
        <v>15.0327</v>
      </c>
    </row>
    <row r="88" spans="1:24">
      <c r="A88" t="s">
        <v>417</v>
      </c>
      <c r="B88" s="17">
        <f>IFERROR(YEAR(VLOOKUP($A88,'01_ipo_master'!$A:$C,3,FALSE)),YEAR(VLOOKUP("0"&amp;$A88,'01_ipo_master'!$A:$C,3,FALSE)))</f>
        <v>2022</v>
      </c>
      <c r="C88" s="73">
        <f>[1]!wss($A88:$A88,"hks_stm_is","item=83","rptDate="&amp;($B88-3)&amp;"1231","rptType=1","currencyType=Cur=CNY","WssConvert=0","WssDivide=8","showcodes=N","cols=1;rows=1")</f>
        <v>33.011657448000001</v>
      </c>
      <c r="D88" s="73">
        <f>[1]!wss($A88:$A88,"hks_stm_is","item=83","rptDate="&amp;($B88-2)&amp;"1231","rptType=1","currencyType=Cur=CNY","WssConvert=0","WssDivide=8","showcodes=N","cols=1;rows=1")</f>
        <v>36.214108486000001</v>
      </c>
      <c r="E88" s="73">
        <f>[1]!wss($A88:$A88,"hks_stm_is","item=83","rptDate="&amp;($B88-1)&amp;"1231","rptType=1","currencyType=Cur=CNY","WssConvert=0","WssDivide=8","showcodes=N","cols=1;rows=1")</f>
        <v>44.388260969999997</v>
      </c>
      <c r="F88" s="73">
        <f>[1]!wss($A88:$A88,"hks_stm_is","item=61","rptDate="&amp;($B88-3)&amp;"1231","rptType=1","currencyType=Cur=CNY","WssConvert=0","WssDivide=8","showcodes=N","cols=1;rows=1")</f>
        <v>4.7136090540000009</v>
      </c>
      <c r="G88" s="73">
        <f>[1]!wss($A88:$A88,"hks_stm_is","item=61","rptDate="&amp;($B88-2)&amp;"1231","rptType=1","currencyType=Cur=CNY","WssConvert=0","WssDivide=8","showcodes=N","cols=1;rows=1")</f>
        <v>6.25346416</v>
      </c>
      <c r="H88" s="73">
        <f>[1]!wss($A88:$A88,"hks_stm_is","item=61","rptDate="&amp;($B88-1)&amp;"1231","rptType=1","currencyType=Cur=CNY","WssConvert=0","WssDivide=8","showcodes=N","cols=1;rows=1")</f>
        <v>6.6671970040000001</v>
      </c>
      <c r="I88" s="73">
        <f>[1]!wss($A88:$A88,"hks_fa_grossprofitmargin","rptDate="&amp;($B88-3)&amp;"1231","WssConvert=0","showcodes=N","cols=1;rows=1")</f>
        <v>25.694900000000001</v>
      </c>
      <c r="J88" s="43">
        <f>[1]!wss($A88:$A88,"hks_fa_grossprofitmargin","rptDate="&amp;($B88-2)&amp;"1231","WssConvert=0","showcodes=N","cols=1;rows=1")</f>
        <v>27.07</v>
      </c>
      <c r="K88" s="43">
        <f>[1]!wss($A88:$A88,"hks_fa_grossprofitmargin","rptDate="&amp;($B88-1)&amp;"1231","WssConvert=0","showcodes=N","cols=1;rows=1")</f>
        <v>25.2987</v>
      </c>
      <c r="L88" s="73">
        <f>[1]!wss($A88:$A88,"hks_fa_roe","rptDate="&amp;($B88-1)&amp;"1231","WssConvert=0","showcodes=N","cols=1;rows=1")</f>
        <v>14.545500000000001</v>
      </c>
      <c r="M88" s="43">
        <f>[1]!wss($A88:$A88,"hks_fa_debttoassets","rptDate="&amp;($B88-1)&amp;"1231","WssConvert=0","showcodes=N","cols=1;rows=1")</f>
        <v>42.8322</v>
      </c>
      <c r="P88" s="50">
        <v>46.543849999999999</v>
      </c>
      <c r="Q88" s="50">
        <v>41.578780000000002</v>
      </c>
      <c r="R88" s="50">
        <v>40.809460000000001</v>
      </c>
      <c r="S88" s="50">
        <v>-4.8879099999999998</v>
      </c>
      <c r="T88" s="50">
        <v>-12.692869999999999</v>
      </c>
      <c r="U88" s="50">
        <v>-7.5061900000000001</v>
      </c>
      <c r="V88" s="50">
        <v>15.352</v>
      </c>
      <c r="W88" s="50">
        <v>11.809799999999999</v>
      </c>
      <c r="X88" s="50">
        <v>15.543200000000001</v>
      </c>
    </row>
    <row r="89" spans="1:24">
      <c r="A89" t="s">
        <v>419</v>
      </c>
      <c r="B89" s="17">
        <f>IFERROR(YEAR(VLOOKUP($A89,'01_ipo_master'!$A:$C,3,FALSE)),YEAR(VLOOKUP("0"&amp;$A89,'01_ipo_master'!$A:$C,3,FALSE)))</f>
        <v>2026</v>
      </c>
      <c r="C89" s="73">
        <f>[1]!wss($A89:$A89,"hks_stm_is","item=83","rptDate="&amp;($B89-3)&amp;"1231","rptType=1","currencyType=Cur=CNY","WssConvert=0","WssDivide=8","showcodes=N","cols=1;rows=1")</f>
        <v>46.519489999999998</v>
      </c>
      <c r="D89" s="73">
        <f>[1]!wss($A89:$A89,"hks_stm_is","item=83","rptDate="&amp;($B89-2)&amp;"1231","rptType=1","currencyType=Cur=CNY","WssConvert=0","WssDivide=8","showcodes=N","cols=1;rows=1")</f>
        <v>40.087719999999997</v>
      </c>
      <c r="E89" s="73">
        <f>[1]!wss($A89:$A89,"hks_stm_is","item=83","rptDate="&amp;($B89-1)&amp;"1231","rptType=1","currencyType=Cur=CNY","WssConvert=0","WssDivide=8","showcodes=N","cols=1;rows=1")</f>
        <v>48.880110000000002</v>
      </c>
      <c r="F89" s="73">
        <f>[1]!wss($A89:$A89,"hks_stm_is","item=61","rptDate="&amp;($B89-3)&amp;"1231","rptType=1","currencyType=Cur=CNY","WssConvert=0","WssDivide=8","showcodes=N","cols=1;rows=1")</f>
        <v>1.3567199999999999</v>
      </c>
      <c r="G89" s="73">
        <f>[1]!wss($A89:$A89,"hks_stm_is","item=61","rptDate="&amp;($B89-2)&amp;"1231","rptType=1","currencyType=Cur=CNY","WssConvert=0","WssDivide=8","showcodes=N","cols=1;rows=1")</f>
        <v>-8.1092899999999997</v>
      </c>
      <c r="H89" s="73">
        <f>[1]!wss($A89:$A89,"hks_stm_is","item=61","rptDate="&amp;($B89-1)&amp;"1231","rptType=1","currencyType=Cur=CNY","WssConvert=0","WssDivide=8","showcodes=N","cols=1;rows=1")</f>
        <v>0.41341</v>
      </c>
      <c r="I89" s="73">
        <f>[1]!wss($A89:$A89,"hks_fa_grossprofitmargin","rptDate="&amp;($B89-3)&amp;"1231","WssConvert=0","showcodes=N","cols=1;rows=1")</f>
        <v>31.279299999999999</v>
      </c>
      <c r="J89" s="43">
        <f>[1]!wss($A89:$A89,"hks_fa_grossprofitmargin","rptDate="&amp;($B89-2)&amp;"1231","WssConvert=0","showcodes=N","cols=1;rows=1")</f>
        <v>28.288699999999999</v>
      </c>
      <c r="K89" s="43">
        <f>[1]!wss($A89:$A89,"hks_fa_grossprofitmargin","rptDate="&amp;($B89-1)&amp;"1231","WssConvert=0","showcodes=N","cols=1;rows=1")</f>
        <v>28.9526</v>
      </c>
      <c r="L89" s="73">
        <f>[1]!wss($A89:$A89,"hks_fa_roe","rptDate="&amp;($B89-1)&amp;"1231","WssConvert=0","showcodes=N","cols=1;rows=1")</f>
        <v>2.2048999999999999</v>
      </c>
      <c r="M89" s="43">
        <f>[1]!wss($A89:$A89,"hks_fa_debttoassets","rptDate="&amp;($B89-1)&amp;"1231","WssConvert=0","showcodes=N","cols=1;rows=1")</f>
        <v>78.561300000000003</v>
      </c>
      <c r="P89" s="50">
        <v>46.519489999999998</v>
      </c>
      <c r="Q89" s="50">
        <v>40.087719999999997</v>
      </c>
      <c r="R89" s="50">
        <v>48.880110000000002</v>
      </c>
      <c r="S89" s="50">
        <v>1.3567199999999999</v>
      </c>
      <c r="T89" s="50">
        <v>-8.1092899999999997</v>
      </c>
      <c r="U89" s="50">
        <v>0.41341</v>
      </c>
      <c r="V89" s="50">
        <v>31.279299999999999</v>
      </c>
      <c r="W89" s="50">
        <v>28.288699999999999</v>
      </c>
      <c r="X89" s="50">
        <v>28.9526</v>
      </c>
    </row>
    <row r="90" spans="1:24">
      <c r="A90" t="s">
        <v>422</v>
      </c>
      <c r="B90" s="17">
        <f>IFERROR(YEAR(VLOOKUP($A90,'01_ipo_master'!$A:$C,3,FALSE)),YEAR(VLOOKUP("0"&amp;$A90,'01_ipo_master'!$A:$C,3,FALSE)))</f>
        <v>2024</v>
      </c>
      <c r="C90" s="73">
        <f>[1]!wss($A90:$A90,"hks_stm_is","item=83","rptDate="&amp;($B90-3)&amp;"1231","rptType=1","currencyType=Cur=CNY","WssConvert=0","WssDivide=8","showcodes=N","cols=1;rows=1")</f>
        <v>26.457730000000002</v>
      </c>
      <c r="D90" s="73">
        <f>[1]!wss($A90:$A90,"hks_stm_is","item=83","rptDate="&amp;($B90-2)&amp;"1231","rptType=1","currencyType=Cur=CNY","WssConvert=0","WssDivide=8","showcodes=N","cols=1;rows=1")</f>
        <v>32.1342</v>
      </c>
      <c r="E90" s="73">
        <f>[1]!wss($A90:$A90,"hks_stm_is","item=83","rptDate="&amp;($B90-1)&amp;"1231","rptType=1","currencyType=Cur=CNY","WssConvert=0","WssDivide=8","showcodes=N","cols=1;rows=1")</f>
        <v>45.494149999999998</v>
      </c>
      <c r="F90" s="73">
        <f>[1]!wss($A90:$A90,"hks_stm_is","item=61","rptDate="&amp;($B90-3)&amp;"1231","rptType=1","currencyType=Cur=CNY","WssConvert=0","WssDivide=8","showcodes=N","cols=1;rows=1")</f>
        <v>2.2711900000000003</v>
      </c>
      <c r="G90" s="73">
        <f>[1]!wss($A90:$A90,"hks_stm_is","item=61","rptDate="&amp;($B90-2)&amp;"1231","rptType=1","currencyType=Cur=CNY","WssConvert=0","WssDivide=8","showcodes=N","cols=1;rows=1")</f>
        <v>2.37574</v>
      </c>
      <c r="H90" s="73">
        <f>[1]!wss($A90:$A90,"hks_stm_is","item=61","rptDate="&amp;($B90-1)&amp;"1231","rptType=1","currencyType=Cur=CNY","WssConvert=0","WssDivide=8","showcodes=N","cols=1;rows=1")</f>
        <v>5.3205900000000002</v>
      </c>
      <c r="I90" s="73">
        <f>[1]!wss($A90:$A90,"hks_fa_grossprofitmargin","rptDate="&amp;($B90-3)&amp;"1231","WssConvert=0","showcodes=N","cols=1;rows=1")</f>
        <v>65.490499999999997</v>
      </c>
      <c r="J90" s="43">
        <f>[1]!wss($A90:$A90,"hks_fa_grossprofitmargin","rptDate="&amp;($B90-2)&amp;"1231","WssConvert=0","showcodes=N","cols=1;rows=1")</f>
        <v>66.144499999999994</v>
      </c>
      <c r="K90" s="43">
        <f>[1]!wss($A90:$A90,"hks_fa_grossprofitmargin","rptDate="&amp;($B90-1)&amp;"1231","WssConvert=0","showcodes=N","cols=1;rows=1")</f>
        <v>68.493099999999998</v>
      </c>
      <c r="L90" s="73">
        <f>[1]!wss($A90:$A90,"hks_fa_roe","rptDate="&amp;($B90-1)&amp;"1231","WssConvert=0","showcodes=N","cols=1;rows=1")</f>
        <v>112.2509</v>
      </c>
      <c r="M90" s="43">
        <f>[1]!wss($A90:$A90,"hks_fa_debttoassets","rptDate="&amp;($B90-1)&amp;"1231","WssConvert=0","showcodes=N","cols=1;rows=1")</f>
        <v>73.373000000000005</v>
      </c>
      <c r="P90" s="50">
        <v>45.494149999999998</v>
      </c>
      <c r="Q90" s="50">
        <v>52.098739999999999</v>
      </c>
      <c r="R90" s="50">
        <v>53.45091</v>
      </c>
      <c r="S90" s="50">
        <v>5.3205900000000002</v>
      </c>
      <c r="T90" s="50">
        <v>5.8062199999999997</v>
      </c>
      <c r="U90" s="50">
        <v>7.1509200000000002</v>
      </c>
      <c r="V90" s="50">
        <v>68.493099999999998</v>
      </c>
      <c r="W90" s="50">
        <v>68.117800000000003</v>
      </c>
      <c r="X90" s="50">
        <v>70.398799999999994</v>
      </c>
    </row>
    <row r="91" spans="1:24">
      <c r="A91" t="s">
        <v>424</v>
      </c>
      <c r="B91" s="17">
        <f>IFERROR(YEAR(VLOOKUP($A91,'01_ipo_master'!$A:$C,3,FALSE)),YEAR(VLOOKUP("0"&amp;$A91,'01_ipo_master'!$A:$C,3,FALSE)))</f>
        <v>2025</v>
      </c>
      <c r="C91" s="73">
        <f>[1]!wss($A91:$A91,"hks_stm_is","item=83","rptDate="&amp;($B91-3)&amp;"1231","rptType=1","currencyType=Cur=CNY","WssConvert=0","WssDivide=8","showcodes=N","cols=1;rows=1")</f>
        <v>40.724800000000002</v>
      </c>
      <c r="D91" s="73">
        <f>[1]!wss($A91:$A91,"hks_stm_is","item=83","rptDate="&amp;($B91-2)&amp;"1231","rptType=1","currencyType=Cur=CNY","WssConvert=0","WssDivide=8","showcodes=N","cols=1;rows=1")</f>
        <v>42.597770000000004</v>
      </c>
      <c r="E91" s="73">
        <f>[1]!wss($A91:$A91,"hks_stm_is","item=83","rptDate="&amp;($B91-1)&amp;"1231","rptType=1","currencyType=Cur=CNY","WssConvert=0","WssDivide=8","showcodes=N","cols=1;rows=1")</f>
        <v>44.985219999999998</v>
      </c>
      <c r="F91" s="73">
        <f>[1]!wss($A91:$A91,"hks_stm_is","item=61","rptDate="&amp;($B91-3)&amp;"1231","rptType=1","currencyType=Cur=CNY","WssConvert=0","WssDivide=8","showcodes=N","cols=1;rows=1")</f>
        <v>2.81019</v>
      </c>
      <c r="G91" s="73">
        <f>[1]!wss($A91:$A91,"hks_stm_is","item=61","rptDate="&amp;($B91-2)&amp;"1231","rptType=1","currencyType=Cur=CNY","WssConvert=0","WssDivide=8","showcodes=N","cols=1;rows=1")</f>
        <v>3.8520300000000001</v>
      </c>
      <c r="H91" s="73">
        <f>[1]!wss($A91:$A91,"hks_stm_is","item=61","rptDate="&amp;($B91-1)&amp;"1231","rptType=1","currencyType=Cur=CNY","WssConvert=0","WssDivide=8","showcodes=N","cols=1;rows=1")</f>
        <v>3.5333100000000002</v>
      </c>
      <c r="I91" s="73">
        <f>[1]!wss($A91:$A91,"hks_fa_grossprofitmargin","rptDate="&amp;($B91-3)&amp;"1231","WssConvert=0","showcodes=N","cols=1;rows=1")</f>
        <v>16.9331</v>
      </c>
      <c r="J91" s="43">
        <f>[1]!wss($A91:$A91,"hks_fa_grossprofitmargin","rptDate="&amp;($B91-2)&amp;"1231","WssConvert=0","showcodes=N","cols=1;rows=1")</f>
        <v>20.3477</v>
      </c>
      <c r="K91" s="43">
        <f>[1]!wss($A91:$A91,"hks_fa_grossprofitmargin","rptDate="&amp;($B91-1)&amp;"1231","WssConvert=0","showcodes=N","cols=1;rows=1")</f>
        <v>16.691800000000001</v>
      </c>
      <c r="L91" s="73">
        <f>[1]!wss($A91:$A91,"hks_fa_roe","rptDate="&amp;($B91-1)&amp;"1231","WssConvert=0","showcodes=N","cols=1;rows=1")</f>
        <v>15.7997</v>
      </c>
      <c r="M91" s="43">
        <f>[1]!wss($A91:$A91,"hks_fa_debttoassets","rptDate="&amp;($B91-1)&amp;"1231","WssConvert=0","showcodes=N","cols=1;rows=1")</f>
        <v>53.739699999999999</v>
      </c>
      <c r="P91" s="50">
        <v>42.597769999999997</v>
      </c>
      <c r="Q91" s="50">
        <v>44.985219999999998</v>
      </c>
      <c r="R91" s="50">
        <v>50.834449999999997</v>
      </c>
      <c r="S91" s="50">
        <v>3.8520300000000001</v>
      </c>
      <c r="T91" s="50">
        <v>3.5333100000000002</v>
      </c>
      <c r="U91" s="50">
        <v>2.55524</v>
      </c>
      <c r="V91" s="50">
        <v>20.3477</v>
      </c>
      <c r="W91" s="50">
        <v>16.691800000000001</v>
      </c>
      <c r="X91" s="50">
        <v>13.9514</v>
      </c>
    </row>
    <row r="92" spans="1:24">
      <c r="A92" t="s">
        <v>426</v>
      </c>
      <c r="B92" s="17">
        <f>IFERROR(YEAR(VLOOKUP($A92,'01_ipo_master'!$A:$C,3,FALSE)),YEAR(VLOOKUP("0"&amp;$A92,'01_ipo_master'!$A:$C,3,FALSE)))</f>
        <v>2023</v>
      </c>
      <c r="C92" s="73">
        <f>[1]!wss($A92:$A92,"hks_stm_is","item=83","rptDate="&amp;($B92-3)&amp;"1231","rptType=1","currencyType=Cur=CNY","WssConvert=0","WssDivide=8","showcodes=N","cols=1;rows=1")</f>
        <v>9.4223800000000004</v>
      </c>
      <c r="D92" s="73">
        <f>[1]!wss($A92:$A92,"hks_stm_is","item=83","rptDate="&amp;($B92-2)&amp;"1231","rptType=1","currencyType=Cur=CNY","WssConvert=0","WssDivide=8","showcodes=N","cols=1;rows=1")</f>
        <v>20.183990000000001</v>
      </c>
      <c r="E92" s="73">
        <f>[1]!wss($A92:$A92,"hks_stm_is","item=83","rptDate="&amp;($B92-1)&amp;"1231","rptType=1","currencyType=Cur=CNY","WssConvert=0","WssDivide=8","showcodes=N","cols=1;rows=1")</f>
        <v>30.826370000000001</v>
      </c>
      <c r="F92" s="73">
        <f>[1]!wss($A92:$A92,"hks_stm_is","item=61","rptDate="&amp;($B92-3)&amp;"1231","rptType=1","currencyType=Cur=CNY","WssConvert=0","WssDivide=8","showcodes=N","cols=1;rows=1")</f>
        <v>-7.4965000000000002</v>
      </c>
      <c r="G92" s="73">
        <f>[1]!wss($A92:$A92,"hks_stm_is","item=61","rptDate="&amp;($B92-2)&amp;"1231","rptType=1","currencyType=Cur=CNY","WssConvert=0","WssDivide=8","showcodes=N","cols=1;rows=1")</f>
        <v>-17.856550000000002</v>
      </c>
      <c r="H92" s="73">
        <f>[1]!wss($A92:$A92,"hks_stm_is","item=61","rptDate="&amp;($B92-1)&amp;"1231","rptType=1","currencyType=Cur=CNY","WssConvert=0","WssDivide=8","showcodes=N","cols=1;rows=1")</f>
        <v>-16.448969999999999</v>
      </c>
      <c r="I92" s="73">
        <f>[1]!wss($A92:$A92,"hks_fa_grossprofitmargin","rptDate="&amp;($B92-3)&amp;"1231","WssConvert=0","showcodes=N","cols=1;rows=1")</f>
        <v>45.607900000000001</v>
      </c>
      <c r="J92" s="43">
        <f>[1]!wss($A92:$A92,"hks_fa_grossprofitmargin","rptDate="&amp;($B92-2)&amp;"1231","WssConvert=0","showcodes=N","cols=1;rows=1")</f>
        <v>47.239199999999997</v>
      </c>
      <c r="K92" s="43">
        <f>[1]!wss($A92:$A92,"hks_fa_grossprofitmargin","rptDate="&amp;($B92-1)&amp;"1231","WssConvert=0","showcodes=N","cols=1;rows=1")</f>
        <v>48.226399999999998</v>
      </c>
      <c r="L92" s="73" t="str">
        <f>[1]!wss($A92:$A92,"hks_fa_roe","rptDate="&amp;($B92-1)&amp;"1231","WssConvert=0","showcodes=N","cols=1;rows=1")</f>
        <v/>
      </c>
      <c r="M92" s="43">
        <f>[1]!wss($A92:$A92,"hks_fa_debttoassets","rptDate="&amp;($B92-1)&amp;"1231","WssConvert=0","showcodes=N","cols=1;rows=1")</f>
        <v>121.7445</v>
      </c>
      <c r="P92" s="50">
        <v>42.041420000000002</v>
      </c>
      <c r="Q92" s="50">
        <v>52.606499999999997</v>
      </c>
      <c r="R92" s="50">
        <v>71.352860000000007</v>
      </c>
      <c r="S92" s="50">
        <v>-9.0871700000000004</v>
      </c>
      <c r="T92" s="50">
        <v>-2.6878799999999998</v>
      </c>
      <c r="U92" s="50">
        <v>-0.26266</v>
      </c>
      <c r="V92" s="50">
        <v>47.085700000000003</v>
      </c>
      <c r="W92" s="50">
        <v>42.6721</v>
      </c>
      <c r="X92" s="50">
        <v>34.805</v>
      </c>
    </row>
    <row r="93" spans="1:24">
      <c r="A93" t="s">
        <v>428</v>
      </c>
      <c r="B93" s="17">
        <f>IFERROR(YEAR(VLOOKUP($A93,'01_ipo_master'!$A:$C,3,FALSE)),YEAR(VLOOKUP("0"&amp;$A93,'01_ipo_master'!$A:$C,3,FALSE)))</f>
        <v>2022</v>
      </c>
      <c r="C93" s="73">
        <f>[1]!wss($A93:$A93,"hks_stm_is","item=83","rptDate="&amp;($B93-3)&amp;"1231","rptType=1","currencyType=Cur=CNY","WssConvert=0","WssDivide=8","showcodes=N","cols=1;rows=1")</f>
        <v>6.7051100000000003</v>
      </c>
      <c r="D93" s="73">
        <f>[1]!wss($A93:$A93,"hks_stm_is","item=83","rptDate="&amp;($B93-2)&amp;"1231","rptType=1","currencyType=Cur=CNY","WssConvert=0","WssDivide=8","showcodes=N","cols=1;rows=1")</f>
        <v>13.52196</v>
      </c>
      <c r="E93" s="73">
        <f>[1]!wss($A93:$A93,"hks_stm_is","item=83","rptDate="&amp;($B93-1)&amp;"1231","rptType=1","currencyType=Cur=CNY","WssConvert=0","WssDivide=8","showcodes=N","cols=1;rows=1")</f>
        <v>29.593240000000002</v>
      </c>
      <c r="F93" s="73">
        <f>[1]!wss($A93:$A93,"hks_stm_is","item=61","rptDate="&amp;($B93-3)&amp;"1231","rptType=1","currencyType=Cur=CNY","WssConvert=0","WssDivide=8","showcodes=N","cols=1;rows=1")</f>
        <v>-10.042199999999999</v>
      </c>
      <c r="G93" s="73">
        <f>[1]!wss($A93:$A93,"hks_stm_is","item=61","rptDate="&amp;($B93-2)&amp;"1231","rptType=1","currencyType=Cur=CNY","WssConvert=0","WssDivide=8","showcodes=N","cols=1;rows=1")</f>
        <v>-5.1755000000000004</v>
      </c>
      <c r="H93" s="73">
        <f>[1]!wss($A93:$A93,"hks_stm_is","item=61","rptDate="&amp;($B93-1)&amp;"1231","rptType=1","currencyType=Cur=CNY","WssConvert=0","WssDivide=8","showcodes=N","cols=1;rows=1")</f>
        <v>-12.988799999999999</v>
      </c>
      <c r="I93" s="73">
        <f>[1]!wss($A93:$A93,"hks_fa_grossprofitmargin","rptDate="&amp;($B93-3)&amp;"1231","WssConvert=0","showcodes=N","cols=1;rows=1")</f>
        <v>46.571899999999999</v>
      </c>
      <c r="J93" s="43">
        <f>[1]!wss($A93:$A93,"hks_fa_grossprofitmargin","rptDate="&amp;($B93-2)&amp;"1231","WssConvert=0","showcodes=N","cols=1;rows=1")</f>
        <v>56.041899999999998</v>
      </c>
      <c r="K93" s="43">
        <f>[1]!wss($A93:$A93,"hks_fa_grossprofitmargin","rptDate="&amp;($B93-1)&amp;"1231","WssConvert=0","showcodes=N","cols=1;rows=1")</f>
        <v>52.508600000000001</v>
      </c>
      <c r="L93" s="73">
        <f>[1]!wss($A93:$A93,"hks_fa_roe","rptDate="&amp;($B93-1)&amp;"1231","WssConvert=0","showcodes=N","cols=1;rows=1")</f>
        <v>-27.409700000000001</v>
      </c>
      <c r="M93" s="43">
        <f>[1]!wss($A93:$A93,"hks_fa_debttoassets","rptDate="&amp;($B93-1)&amp;"1231","WssConvert=0","showcodes=N","cols=1;rows=1")</f>
        <v>23.475000000000001</v>
      </c>
      <c r="P93" s="50">
        <v>41.988889999999998</v>
      </c>
      <c r="Q93" s="50">
        <v>35.989049999999999</v>
      </c>
      <c r="R93" s="50">
        <v>27.49004</v>
      </c>
      <c r="S93" s="50">
        <v>-8.4364100000000004</v>
      </c>
      <c r="T93" s="50">
        <v>-1.7180200000000001</v>
      </c>
      <c r="U93" s="50">
        <v>-1.9290099999999999</v>
      </c>
      <c r="V93" s="50">
        <v>54.677500000000002</v>
      </c>
      <c r="W93" s="50">
        <v>60.597000000000001</v>
      </c>
      <c r="X93" s="50">
        <v>59.939700000000002</v>
      </c>
    </row>
    <row r="94" spans="1:24">
      <c r="A94" t="s">
        <v>430</v>
      </c>
      <c r="B94" s="17">
        <f>IFERROR(YEAR(VLOOKUP($A94,'01_ipo_master'!$A:$C,3,FALSE)),YEAR(VLOOKUP("0"&amp;$A94,'01_ipo_master'!$A:$C,3,FALSE)))</f>
        <v>2022</v>
      </c>
      <c r="C94" s="73">
        <f>[1]!wss($A94:$A94,"hks_stm_is","item=83","rptDate="&amp;($B94-3)&amp;"1231","rptType=1","currencyType=Cur=CNY","WssConvert=0","WssDivide=8","showcodes=N","cols=1;rows=1")</f>
        <v>28.776610000000002</v>
      </c>
      <c r="D94" s="73">
        <f>[1]!wss($A94:$A94,"hks_stm_is","item=83","rptDate="&amp;($B94-2)&amp;"1231","rptType=1","currencyType=Cur=CNY","WssConvert=0","WssDivide=8","showcodes=N","cols=1;rows=1")</f>
        <v>33.816330000000001</v>
      </c>
      <c r="E94" s="73">
        <f>[1]!wss($A94:$A94,"hks_stm_is","item=83","rptDate="&amp;($B94-1)&amp;"1231","rptType=1","currencyType=Cur=CNY","WssConvert=0","WssDivide=8","showcodes=N","cols=1;rows=1")</f>
        <v>36.18882</v>
      </c>
      <c r="F94" s="73">
        <f>[1]!wss($A94:$A94,"hks_stm_is","item=61","rptDate="&amp;($B94-3)&amp;"1231","rptType=1","currencyType=Cur=CNY","WssConvert=0","WssDivide=8","showcodes=N","cols=1;rows=1")</f>
        <v>0.62570999999999999</v>
      </c>
      <c r="G94" s="73">
        <f>[1]!wss($A94:$A94,"hks_stm_is","item=61","rptDate="&amp;($B94-2)&amp;"1231","rptType=1","currencyType=Cur=CNY","WssConvert=0","WssDivide=8","showcodes=N","cols=1;rows=1")</f>
        <v>2.03457</v>
      </c>
      <c r="H94" s="73">
        <f>[1]!wss($A94:$A94,"hks_stm_is","item=61","rptDate="&amp;($B94-1)&amp;"1231","rptType=1","currencyType=Cur=CNY","WssConvert=0","WssDivide=8","showcodes=N","cols=1;rows=1")</f>
        <v>3.3888700000000003</v>
      </c>
      <c r="I94" s="73">
        <f>[1]!wss($A94:$A94,"hks_fa_grossprofitmargin","rptDate="&amp;($B94-3)&amp;"1231","WssConvert=0","showcodes=N","cols=1;rows=1")</f>
        <v>60.862099999999998</v>
      </c>
      <c r="J94" s="43">
        <f>[1]!wss($A94:$A94,"hks_fa_grossprofitmargin","rptDate="&amp;($B94-2)&amp;"1231","WssConvert=0","showcodes=N","cols=1;rows=1")</f>
        <v>64.660799999999995</v>
      </c>
      <c r="K94" s="43">
        <f>[1]!wss($A94:$A94,"hks_fa_grossprofitmargin","rptDate="&amp;($B94-1)&amp;"1231","WssConvert=0","showcodes=N","cols=1;rows=1")</f>
        <v>65.231200000000001</v>
      </c>
      <c r="L94" s="73">
        <f>[1]!wss($A94:$A94,"hks_fa_roe","rptDate="&amp;($B94-1)&amp;"1231","WssConvert=0","showcodes=N","cols=1;rows=1")</f>
        <v>44.33</v>
      </c>
      <c r="M94" s="43">
        <f>[1]!wss($A94:$A94,"hks_fa_debttoassets","rptDate="&amp;($B94-1)&amp;"1231","WssConvert=0","showcodes=N","cols=1;rows=1")</f>
        <v>58.0122</v>
      </c>
      <c r="P94" s="50">
        <v>41.907269999999997</v>
      </c>
      <c r="Q94" s="50">
        <v>67.925179999999997</v>
      </c>
      <c r="R94" s="50">
        <v>91.777959999999993</v>
      </c>
      <c r="S94" s="50">
        <v>4.61104</v>
      </c>
      <c r="T94" s="50">
        <v>7.8120500000000002</v>
      </c>
      <c r="U94" s="50">
        <v>11.025740000000001</v>
      </c>
      <c r="V94" s="50">
        <v>72.050799999999995</v>
      </c>
      <c r="W94" s="50">
        <v>75.220799999999997</v>
      </c>
      <c r="X94" s="50">
        <v>76.430700000000002</v>
      </c>
    </row>
    <row r="95" spans="1:24">
      <c r="A95" t="s">
        <v>432</v>
      </c>
      <c r="B95" s="17">
        <f>IFERROR(YEAR(VLOOKUP($A95,'01_ipo_master'!$A:$C,3,FALSE)),YEAR(VLOOKUP("0"&amp;$A95,'01_ipo_master'!$A:$C,3,FALSE)))</f>
        <v>2025</v>
      </c>
      <c r="C95" s="73">
        <f>[1]!wss($A95:$A95,"hks_stm_is","item=83","rptDate="&amp;($B95-3)&amp;"1231","rptType=1","currencyType=Cur=CNY","WssConvert=0","WssDivide=8","showcodes=N","cols=1;rows=1")</f>
        <v>32.902529999999999</v>
      </c>
      <c r="D95" s="73">
        <f>[1]!wss($A95:$A95,"hks_stm_is","item=83","rptDate="&amp;($B95-2)&amp;"1231","rptType=1","currencyType=Cur=CNY","WssConvert=0","WssDivide=8","showcodes=N","cols=1;rows=1")</f>
        <v>41.616700000000002</v>
      </c>
      <c r="E95" s="73">
        <f>[1]!wss($A95:$A95,"hks_stm_is","item=83","rptDate="&amp;($B95-1)&amp;"1231","rptType=1","currencyType=Cur=CNY","WssConvert=0","WssDivide=8","showcodes=N","cols=1;rows=1")</f>
        <v>51.303170000000001</v>
      </c>
      <c r="F95" s="73">
        <f>[1]!wss($A95:$A95,"hks_stm_is","item=61","rptDate="&amp;($B95-3)&amp;"1231","rptType=1","currencyType=Cur=CNY","WssConvert=0","WssDivide=8","showcodes=N","cols=1;rows=1")</f>
        <v>-17.199809999999999</v>
      </c>
      <c r="G95" s="73">
        <f>[1]!wss($A95:$A95,"hks_stm_is","item=61","rptDate="&amp;($B95-2)&amp;"1231","rptType=1","currencyType=Cur=CNY","WssConvert=0","WssDivide=8","showcodes=N","cols=1;rows=1")</f>
        <v>-5.8986700000000001</v>
      </c>
      <c r="H95" s="73">
        <f>[1]!wss($A95:$A95,"hks_stm_is","item=61","rptDate="&amp;($B95-1)&amp;"1231","rptType=1","currencyType=Cur=CNY","WssConvert=0","WssDivide=8","showcodes=N","cols=1;rows=1")</f>
        <v>0.91014000000000006</v>
      </c>
      <c r="I95" s="73">
        <f>[1]!wss($A95:$A95,"hks_fa_grossprofitmargin","rptDate="&amp;($B95-3)&amp;"1231","WssConvert=0","showcodes=N","cols=1;rows=1")</f>
        <v>8.7828999999999997</v>
      </c>
      <c r="J95" s="43">
        <f>[1]!wss($A95:$A95,"hks_fa_grossprofitmargin","rptDate="&amp;($B95-2)&amp;"1231","WssConvert=0","showcodes=N","cols=1;rows=1")</f>
        <v>11.7964</v>
      </c>
      <c r="K95" s="43">
        <f>[1]!wss($A95:$A95,"hks_fa_grossprofitmargin","rptDate="&amp;($B95-1)&amp;"1231","WssConvert=0","showcodes=N","cols=1;rows=1")</f>
        <v>15.6684</v>
      </c>
      <c r="L95" s="73">
        <f>[1]!wss($A95:$A95,"hks_fa_roe","rptDate="&amp;($B95-1)&amp;"1231","WssConvert=0","showcodes=N","cols=1;rows=1")</f>
        <v>1.7101</v>
      </c>
      <c r="M95" s="43">
        <f>[1]!wss($A95:$A95,"hks_fa_debttoassets","rptDate="&amp;($B95-1)&amp;"1231","WssConvert=0","showcodes=N","cols=1;rows=1")</f>
        <v>62.183999999999997</v>
      </c>
      <c r="P95" s="50">
        <v>41.616700000000002</v>
      </c>
      <c r="Q95" s="50">
        <v>51.303170000000001</v>
      </c>
      <c r="R95" s="50">
        <v>81.009690000000006</v>
      </c>
      <c r="S95" s="50">
        <v>-5.8986700000000001</v>
      </c>
      <c r="T95" s="50">
        <v>0.91013999999999995</v>
      </c>
      <c r="U95" s="50">
        <v>8.0854999999999997</v>
      </c>
      <c r="V95" s="50">
        <v>11.7964</v>
      </c>
      <c r="W95" s="50">
        <v>15.6684</v>
      </c>
      <c r="X95" s="50">
        <v>18.410299999999999</v>
      </c>
    </row>
    <row r="96" spans="1:24">
      <c r="A96" t="s">
        <v>434</v>
      </c>
      <c r="B96" s="17">
        <f>IFERROR(YEAR(VLOOKUP($A96,'01_ipo_master'!$A:$C,3,FALSE)),YEAR(VLOOKUP("0"&amp;$A96,'01_ipo_master'!$A:$C,3,FALSE)))</f>
        <v>2022</v>
      </c>
      <c r="C96" s="73">
        <f>[1]!wss($A96:$A96,"hks_stm_is","item=83","rptDate="&amp;($B96-3)&amp;"1231","rptType=1","currencyType=Cur=CNY","WssConvert=0","WssDivide=8","showcodes=N","cols=1;rows=1")</f>
        <v>5.2443800000000005</v>
      </c>
      <c r="D96" s="73">
        <f>[1]!wss($A96:$A96,"hks_stm_is","item=83","rptDate="&amp;($B96-2)&amp;"1231","rptType=1","currencyType=Cur=CNY","WssConvert=0","WssDivide=8","showcodes=N","cols=1;rows=1")</f>
        <v>8.3912300000000002</v>
      </c>
      <c r="E96" s="73">
        <f>[1]!wss($A96:$A96,"hks_stm_is","item=83","rptDate="&amp;($B96-1)&amp;"1231","rptType=1","currencyType=Cur=CNY","WssConvert=0","WssDivide=8","showcodes=N","cols=1;rows=1")</f>
        <v>17.577380000000002</v>
      </c>
      <c r="F96" s="73">
        <f>[1]!wss($A96:$A96,"hks_stm_is","item=61","rptDate="&amp;($B96-3)&amp;"1231","rptType=1","currencyType=Cur=CNY","WssConvert=0","WssDivide=8","showcodes=N","cols=1;rows=1")</f>
        <v>-5.5739700000000001</v>
      </c>
      <c r="G96" s="73">
        <f>[1]!wss($A96:$A96,"hks_stm_is","item=61","rptDate="&amp;($B96-2)&amp;"1231","rptType=1","currencyType=Cur=CNY","WssConvert=0","WssDivide=8","showcodes=N","cols=1;rows=1")</f>
        <v>-28.669750000000001</v>
      </c>
      <c r="H96" s="73">
        <f>[1]!wss($A96:$A96,"hks_stm_is","item=61","rptDate="&amp;($B96-1)&amp;"1231","rptType=1","currencyType=Cur=CNY","WssConvert=0","WssDivide=8","showcodes=N","cols=1;rows=1")</f>
        <v>-41.389130000000002</v>
      </c>
      <c r="I96" s="73">
        <f>[1]!wss($A96:$A96,"hks_fa_grossprofitmargin","rptDate="&amp;($B96-3)&amp;"1231","WssConvert=0","showcodes=N","cols=1;rows=1")</f>
        <v>11.7402</v>
      </c>
      <c r="J96" s="43">
        <f>[1]!wss($A96:$A96,"hks_fa_grossprofitmargin","rptDate="&amp;($B96-2)&amp;"1231","WssConvert=0","showcodes=N","cols=1;rows=1")</f>
        <v>27.738</v>
      </c>
      <c r="K96" s="43">
        <f>[1]!wss($A96:$A96,"hks_fa_grossprofitmargin","rptDate="&amp;($B96-1)&amp;"1231","WssConvert=0","showcodes=N","cols=1;rows=1")</f>
        <v>32.448</v>
      </c>
      <c r="L96" s="73" t="str">
        <f>[1]!wss($A96:$A96,"hks_fa_roe","rptDate="&amp;($B96-1)&amp;"1231","WssConvert=0","showcodes=N","cols=1;rows=1")</f>
        <v/>
      </c>
      <c r="M96" s="43">
        <f>[1]!wss($A96:$A96,"hks_fa_debttoassets","rptDate="&amp;($B96-1)&amp;"1231","WssConvert=0","showcodes=N","cols=1;rows=1")</f>
        <v>385.2749</v>
      </c>
      <c r="P96" s="50">
        <v>36.905360000000002</v>
      </c>
      <c r="Q96" s="50">
        <v>34.880940000000002</v>
      </c>
      <c r="R96" s="50">
        <v>16.231770000000001</v>
      </c>
      <c r="S96" s="50">
        <v>-3.2306499999999998</v>
      </c>
      <c r="T96" s="50">
        <v>-5.1640899999999998</v>
      </c>
      <c r="U96" s="50">
        <v>-9.2415099999999999</v>
      </c>
      <c r="V96" s="50">
        <v>24.640899999999998</v>
      </c>
      <c r="W96" s="50">
        <v>24.703199999999999</v>
      </c>
      <c r="X96" s="50">
        <v>47.750799999999998</v>
      </c>
    </row>
    <row r="97" spans="1:24">
      <c r="A97" t="s">
        <v>436</v>
      </c>
      <c r="B97" s="17">
        <f>IFERROR(YEAR(VLOOKUP($A97,'01_ipo_master'!$A:$C,3,FALSE)),YEAR(VLOOKUP("0"&amp;$A97,'01_ipo_master'!$A:$C,3,FALSE)))</f>
        <v>2025</v>
      </c>
      <c r="C97" s="73">
        <f>[1]!wss($A97:$A97,"hks_stm_is","item=83","rptDate="&amp;($B97-3)&amp;"1231","rptType=1","currencyType=Cur=CNY","WssConvert=0","WssDivide=8","showcodes=N","cols=1;rows=1")</f>
        <v>23.754529999999999</v>
      </c>
      <c r="D97" s="73">
        <f>[1]!wss($A97:$A97,"hks_stm_is","item=83","rptDate="&amp;($B97-2)&amp;"1231","rptType=1","currencyType=Cur=CNY","WssConvert=0","WssDivide=8","showcodes=N","cols=1;rows=1")</f>
        <v>35.891780000000004</v>
      </c>
      <c r="E97" s="73">
        <f>[1]!wss($A97:$A97,"hks_stm_is","item=83","rptDate="&amp;($B97-1)&amp;"1231","rptType=1","currencyType=Cur=CNY","WssConvert=0","WssDivide=8","showcodes=N","cols=1;rows=1")</f>
        <v>38.382020000000004</v>
      </c>
      <c r="F97" s="73">
        <f>[1]!wss($A97:$A97,"hks_stm_is","item=61","rptDate="&amp;($B97-3)&amp;"1231","rptType=1","currencyType=Cur=CNY","WssConvert=0","WssDivide=8","showcodes=N","cols=1;rows=1")</f>
        <v>0.16578999999999999</v>
      </c>
      <c r="G97" s="73">
        <f>[1]!wss($A97:$A97,"hks_stm_is","item=61","rptDate="&amp;($B97-2)&amp;"1231","rptType=1","currencyType=Cur=CNY","WssConvert=0","WssDivide=8","showcodes=N","cols=1;rows=1")</f>
        <v>2.9554300000000002</v>
      </c>
      <c r="H97" s="73">
        <f>[1]!wss($A97:$A97,"hks_stm_is","item=61","rptDate="&amp;($B97-1)&amp;"1231","rptType=1","currencyType=Cur=CNY","WssConvert=0","WssDivide=8","showcodes=N","cols=1;rows=1")</f>
        <v>3.5016700000000003</v>
      </c>
      <c r="I97" s="73" t="str">
        <f>[1]!wss($A97:$A97,"hks_fa_grossprofitmargin","rptDate="&amp;($B97-3)&amp;"1231","WssConvert=0","showcodes=N","cols=1;rows=1")</f>
        <v/>
      </c>
      <c r="J97" s="43" t="str">
        <f>[1]!wss($A97:$A97,"hks_fa_grossprofitmargin","rptDate="&amp;($B97-2)&amp;"1231","WssConvert=0","showcodes=N","cols=1;rows=1")</f>
        <v/>
      </c>
      <c r="K97" s="43" t="str">
        <f>[1]!wss($A97:$A97,"hks_fa_grossprofitmargin","rptDate="&amp;($B97-1)&amp;"1231","WssConvert=0","showcodes=N","cols=1;rows=1")</f>
        <v/>
      </c>
      <c r="L97" s="73">
        <f>[1]!wss($A97:$A97,"hks_fa_roe","rptDate="&amp;($B97-1)&amp;"1231","WssConvert=0","showcodes=N","cols=1;rows=1")</f>
        <v>59.087699999999998</v>
      </c>
      <c r="M97" s="43">
        <f>[1]!wss($A97:$A97,"hks_fa_debttoassets","rptDate="&amp;($B97-1)&amp;"1231","WssConvert=0","showcodes=N","cols=1;rows=1")</f>
        <v>68.708399999999997</v>
      </c>
      <c r="P97" s="50">
        <v>35.891779999999997</v>
      </c>
      <c r="Q97" s="50">
        <v>38.382019999999997</v>
      </c>
      <c r="R97" s="50">
        <v>47.629669999999997</v>
      </c>
      <c r="S97" s="50">
        <v>2.9554299999999998</v>
      </c>
      <c r="T97" s="50">
        <v>3.5016699999999998</v>
      </c>
      <c r="U97" s="50">
        <v>4.8648100000000003</v>
      </c>
      <c r="V97" s="50"/>
      <c r="W97" s="50"/>
      <c r="X97" s="50"/>
    </row>
    <row r="98" spans="1:24">
      <c r="A98" t="s">
        <v>438</v>
      </c>
      <c r="B98" s="17">
        <f>IFERROR(YEAR(VLOOKUP($A98,'01_ipo_master'!$A:$C,3,FALSE)),YEAR(VLOOKUP("0"&amp;$A98,'01_ipo_master'!$A:$C,3,FALSE)))</f>
        <v>2022</v>
      </c>
      <c r="C98" s="73">
        <f>[1]!wss($A98:$A98,"hks_stm_is","item=83","rptDate="&amp;($B98-3)&amp;"1231","rptType=1","currencyType=Cur=CNY","WssConvert=0","WssDivide=8","showcodes=N","cols=1;rows=1")</f>
        <v>9.5670199999999994</v>
      </c>
      <c r="D98" s="73">
        <f>[1]!wss($A98:$A98,"hks_stm_is","item=83","rptDate="&amp;($B98-2)&amp;"1231","rptType=1","currencyType=Cur=CNY","WssConvert=0","WssDivide=8","showcodes=N","cols=1;rows=1")</f>
        <v>11.90479</v>
      </c>
      <c r="E98" s="73">
        <f>[1]!wss($A98:$A98,"hks_stm_is","item=83","rptDate="&amp;($B98-1)&amp;"1231","rptType=1","currencyType=Cur=CNY","WssConvert=0","WssDivide=8","showcodes=N","cols=1;rows=1")</f>
        <v>15.52486</v>
      </c>
      <c r="F98" s="73">
        <f>[1]!wss($A98:$A98,"hks_stm_is","item=61","rptDate="&amp;($B98-3)&amp;"1231","rptType=1","currencyType=Cur=CNY","WssConvert=0","WssDivide=8","showcodes=N","cols=1;rows=1")</f>
        <v>5.5225999999999997</v>
      </c>
      <c r="G98" s="73">
        <f>[1]!wss($A98:$A98,"hks_stm_is","item=61","rptDate="&amp;($B98-2)&amp;"1231","rptType=1","currencyType=Cur=CNY","WssConvert=0","WssDivide=8","showcodes=N","cols=1;rows=1")</f>
        <v>8.2645</v>
      </c>
      <c r="H98" s="73">
        <f>[1]!wss($A98:$A98,"hks_stm_is","item=61","rptDate="&amp;($B98-1)&amp;"1231","rptType=1","currencyType=Cur=CNY","WssConvert=0","WssDivide=8","showcodes=N","cols=1;rows=1")</f>
        <v>8.2813200000000009</v>
      </c>
      <c r="I98" s="73">
        <f>[1]!wss($A98:$A98,"hks_fa_grossprofitmargin","rptDate="&amp;($B98-3)&amp;"1231","WssConvert=0","showcodes=N","cols=1;rows=1")</f>
        <v>83.276899999999998</v>
      </c>
      <c r="J98" s="43">
        <f>[1]!wss($A98:$A98,"hks_fa_grossprofitmargin","rptDate="&amp;($B98-2)&amp;"1231","WssConvert=0","showcodes=N","cols=1;rows=1")</f>
        <v>84.593599999999995</v>
      </c>
      <c r="K98" s="43">
        <f>[1]!wss($A98:$A98,"hks_fa_grossprofitmargin","rptDate="&amp;($B98-1)&amp;"1231","WssConvert=0","showcodes=N","cols=1;rows=1")</f>
        <v>87.236699999999999</v>
      </c>
      <c r="L98" s="73">
        <f>[1]!wss($A98:$A98,"hks_fa_roe","rptDate="&amp;($B98-1)&amp;"1231","WssConvert=0","showcodes=N","cols=1;rows=1")</f>
        <v>112.3032</v>
      </c>
      <c r="M98" s="43">
        <f>[1]!wss($A98:$A98,"hks_fa_debttoassets","rptDate="&amp;($B98-1)&amp;"1231","WssConvert=0","showcodes=N","cols=1;rows=1")</f>
        <v>87.093400000000003</v>
      </c>
      <c r="P98" s="50">
        <v>35.241430000000001</v>
      </c>
      <c r="Q98" s="50">
        <v>55.388120000000001</v>
      </c>
      <c r="R98" s="50">
        <v>55.185119999999998</v>
      </c>
      <c r="S98" s="50">
        <v>14.517530000000001</v>
      </c>
      <c r="T98" s="50">
        <v>20.623470000000001</v>
      </c>
      <c r="U98" s="50">
        <v>19.14836</v>
      </c>
      <c r="V98" s="50">
        <v>83.627099999999999</v>
      </c>
      <c r="W98" s="50">
        <v>82.091899999999995</v>
      </c>
      <c r="X98" s="50">
        <v>80.335999999999999</v>
      </c>
    </row>
    <row r="99" spans="1:24">
      <c r="A99" t="s">
        <v>440</v>
      </c>
      <c r="B99" s="17">
        <f>IFERROR(YEAR(VLOOKUP($A99,'01_ipo_master'!$A:$C,3,FALSE)),YEAR(VLOOKUP("0"&amp;$A99,'01_ipo_master'!$A:$C,3,FALSE)))</f>
        <v>2025</v>
      </c>
      <c r="C99" s="73">
        <f>[1]!wss($A99:$A99,"hks_stm_is","item=83","rptDate="&amp;($B99-3)&amp;"1231","rptType=1","currencyType=Cur=CNY","WssConvert=0","WssDivide=8","showcodes=N","cols=1;rows=1")</f>
        <v>21.99005</v>
      </c>
      <c r="D99" s="73">
        <f>[1]!wss($A99:$A99,"hks_stm_is","item=83","rptDate="&amp;($B99-2)&amp;"1231","rptType=1","currencyType=Cur=CNY","WssConvert=0","WssDivide=8","showcodes=N","cols=1;rows=1")</f>
        <v>33.482010000000002</v>
      </c>
      <c r="E99" s="73">
        <f>[1]!wss($A99:$A99,"hks_stm_is","item=83","rptDate="&amp;($B99-1)&amp;"1231","rptType=1","currencyType=Cur=CNY","WssConvert=0","WssDivide=8","showcodes=N","cols=1;rows=1")</f>
        <v>32.845759999999999</v>
      </c>
      <c r="F99" s="73">
        <f>[1]!wss($A99:$A99,"hks_stm_is","item=61","rptDate="&amp;($B99-3)&amp;"1231","rptType=1","currencyType=Cur=CNY","WssConvert=0","WssDivide=8","showcodes=N","cols=1;rows=1")</f>
        <v>1.4947000000000001</v>
      </c>
      <c r="G99" s="73">
        <f>[1]!wss($A99:$A99,"hks_stm_is","item=61","rptDate="&amp;($B99-2)&amp;"1231","rptType=1","currencyType=Cur=CNY","WssConvert=0","WssDivide=8","showcodes=N","cols=1;rows=1")</f>
        <v>3.8790200000000001</v>
      </c>
      <c r="H99" s="73">
        <f>[1]!wss($A99:$A99,"hks_stm_is","item=61","rptDate="&amp;($B99-1)&amp;"1231","rptType=1","currencyType=Cur=CNY","WssConvert=0","WssDivide=8","showcodes=N","cols=1;rows=1")</f>
        <v>3.28931</v>
      </c>
      <c r="I99" s="73">
        <f>[1]!wss($A99:$A99,"hks_fa_grossprofitmargin","rptDate="&amp;($B99-3)&amp;"1231","WssConvert=0","showcodes=N","cols=1;rows=1")</f>
        <v>26.661100000000001</v>
      </c>
      <c r="J99" s="43">
        <f>[1]!wss($A99:$A99,"hks_fa_grossprofitmargin","rptDate="&amp;($B99-2)&amp;"1231","WssConvert=0","showcodes=N","cols=1;rows=1")</f>
        <v>30.385000000000002</v>
      </c>
      <c r="K99" s="43">
        <f>[1]!wss($A99:$A99,"hks_fa_grossprofitmargin","rptDate="&amp;($B99-1)&amp;"1231","WssConvert=0","showcodes=N","cols=1;rows=1")</f>
        <v>31.277100000000001</v>
      </c>
      <c r="L99" s="73">
        <f>[1]!wss($A99:$A99,"hks_fa_roe","rptDate="&amp;($B99-1)&amp;"1231","WssConvert=0","showcodes=N","cols=1;rows=1")</f>
        <v>32.5182</v>
      </c>
      <c r="M99" s="43">
        <f>[1]!wss($A99:$A99,"hks_fa_debttoassets","rptDate="&amp;($B99-1)&amp;"1231","WssConvert=0","showcodes=N","cols=1;rows=1")</f>
        <v>36.194800000000001</v>
      </c>
      <c r="P99" s="50">
        <v>33.482010000000002</v>
      </c>
      <c r="Q99" s="50">
        <v>32.845759999999999</v>
      </c>
      <c r="R99" s="50">
        <v>44.656440000000003</v>
      </c>
      <c r="S99" s="50">
        <v>3.8790200000000001</v>
      </c>
      <c r="T99" s="50">
        <v>3.28931</v>
      </c>
      <c r="U99" s="50">
        <v>5.0131699999999997</v>
      </c>
      <c r="V99" s="50">
        <v>30.385000000000002</v>
      </c>
      <c r="W99" s="50">
        <v>31.277100000000001</v>
      </c>
      <c r="X99" s="50">
        <v>31.4452</v>
      </c>
    </row>
    <row r="100" spans="1:24">
      <c r="A100" t="s">
        <v>442</v>
      </c>
      <c r="B100" s="17">
        <f>IFERROR(YEAR(VLOOKUP($A100,'01_ipo_master'!$A:$C,3,FALSE)),YEAR(VLOOKUP("0"&amp;$A100,'01_ipo_master'!$A:$C,3,FALSE)))</f>
        <v>2023</v>
      </c>
      <c r="C100" s="73">
        <f>[1]!wss($A100:$A100,"hks_stm_is","item=83","rptDate="&amp;($B100-3)&amp;"1231","rptType=1","currencyType=Cur=CNY","WssConvert=0","WssDivide=8","showcodes=N","cols=1;rows=1")</f>
        <v>27.417310000000001</v>
      </c>
      <c r="D100" s="73">
        <f>[1]!wss($A100:$A100,"hks_stm_is","item=83","rptDate="&amp;($B100-2)&amp;"1231","rptType=1","currencyType=Cur=CNY","WssConvert=0","WssDivide=8","showcodes=N","cols=1;rows=1")</f>
        <v>33.79515</v>
      </c>
      <c r="E100" s="73">
        <f>[1]!wss($A100:$A100,"hks_stm_is","item=83","rptDate="&amp;($B100-1)&amp;"1231","rptType=1","currencyType=Cur=CNY","WssConvert=0","WssDivide=8","showcodes=N","cols=1;rows=1")</f>
        <v>48.60613</v>
      </c>
      <c r="F100" s="73">
        <f>[1]!wss($A100:$A100,"hks_stm_is","item=61","rptDate="&amp;($B100-3)&amp;"1231","rptType=1","currencyType=Cur=CNY","WssConvert=0","WssDivide=8","showcodes=N","cols=1;rows=1")</f>
        <v>2.8412100000000002</v>
      </c>
      <c r="G100" s="73">
        <f>[1]!wss($A100:$A100,"hks_stm_is","item=61","rptDate="&amp;($B100-2)&amp;"1231","rptType=1","currencyType=Cur=CNY","WssConvert=0","WssDivide=8","showcodes=N","cols=1;rows=1")</f>
        <v>3.1554000000000002</v>
      </c>
      <c r="H100" s="73">
        <f>[1]!wss($A100:$A100,"hks_stm_is","item=61","rptDate="&amp;($B100-1)&amp;"1231","rptType=1","currencyType=Cur=CNY","WssConvert=0","WssDivide=8","showcodes=N","cols=1;rows=1")</f>
        <v>6.8079299999999998</v>
      </c>
      <c r="I100" s="73">
        <f>[1]!wss($A100:$A100,"hks_fa_grossprofitmargin","rptDate="&amp;($B100-3)&amp;"1231","WssConvert=0","showcodes=N","cols=1;rows=1")</f>
        <v>40.728299999999997</v>
      </c>
      <c r="J100" s="43">
        <f>[1]!wss($A100:$A100,"hks_fa_grossprofitmargin","rptDate="&amp;($B100-2)&amp;"1231","WssConvert=0","showcodes=N","cols=1;rows=1")</f>
        <v>42.680399999999999</v>
      </c>
      <c r="K100" s="43">
        <f>[1]!wss($A100:$A100,"hks_fa_grossprofitmargin","rptDate="&amp;($B100-1)&amp;"1231","WssConvert=0","showcodes=N","cols=1;rows=1")</f>
        <v>39.010800000000003</v>
      </c>
      <c r="L100" s="73">
        <f>[1]!wss($A100:$A100,"hks_fa_roe","rptDate="&amp;($B100-1)&amp;"1231","WssConvert=0","showcodes=N","cols=1;rows=1")</f>
        <v>103.53749999999999</v>
      </c>
      <c r="M100" s="43">
        <f>[1]!wss($A100:$A100,"hks_fa_debttoassets","rptDate="&amp;($B100-1)&amp;"1231","WssConvert=0","showcodes=N","cols=1;rows=1")</f>
        <v>87.385499999999993</v>
      </c>
      <c r="P100" s="50">
        <v>32.978279999999998</v>
      </c>
      <c r="Q100" s="50">
        <v>29.14113</v>
      </c>
      <c r="R100" s="50">
        <v>26.384499999999999</v>
      </c>
      <c r="S100" s="50">
        <v>2.3488500000000001</v>
      </c>
      <c r="T100" s="50">
        <v>0.47014</v>
      </c>
      <c r="U100" s="50">
        <v>0.18443000000000001</v>
      </c>
      <c r="V100" s="50">
        <v>43.486400000000003</v>
      </c>
      <c r="W100" s="50">
        <v>37.701000000000001</v>
      </c>
      <c r="X100" s="50">
        <v>36.100099999999998</v>
      </c>
    </row>
    <row r="101" spans="1:24">
      <c r="A101" t="s">
        <v>444</v>
      </c>
      <c r="B101" s="17">
        <f>IFERROR(YEAR(VLOOKUP($A101,'01_ipo_master'!$A:$C,3,FALSE)),YEAR(VLOOKUP("0"&amp;$A101,'01_ipo_master'!$A:$C,3,FALSE)))</f>
        <v>2022</v>
      </c>
      <c r="C101" s="73">
        <f>[1]!wss($A101:$A101,"hks_stm_is","item=83","rptDate="&amp;($B101-3)&amp;"1231","rptType=1","currencyType=Cur=CNY","WssConvert=0","WssDivide=8","showcodes=N","cols=1;rows=1")</f>
        <v>33.918120000000002</v>
      </c>
      <c r="D101" s="73">
        <f>[1]!wss($A101:$A101,"hks_stm_is","item=83","rptDate="&amp;($B101-2)&amp;"1231","rptType=1","currencyType=Cur=CNY","WssConvert=0","WssDivide=8","showcodes=N","cols=1;rows=1")</f>
        <v>33.058260000000004</v>
      </c>
      <c r="E101" s="73">
        <f>[1]!wss($A101:$A101,"hks_stm_is","item=83","rptDate="&amp;($B101-1)&amp;"1231","rptType=1","currencyType=Cur=CNY","WssConvert=0","WssDivide=8","showcodes=N","cols=1;rows=1")</f>
        <v>42.93094</v>
      </c>
      <c r="F101" s="73">
        <f>[1]!wss($A101:$A101,"hks_stm_is","item=61","rptDate="&amp;($B101-3)&amp;"1231","rptType=1","currencyType=Cur=CNY","WssConvert=0","WssDivide=8","showcodes=N","cols=1;rows=1")</f>
        <v>8.2915100000000006</v>
      </c>
      <c r="G101" s="73">
        <f>[1]!wss($A101:$A101,"hks_stm_is","item=61","rptDate="&amp;($B101-2)&amp;"1231","rptType=1","currencyType=Cur=CNY","WssConvert=0","WssDivide=8","showcodes=N","cols=1;rows=1")</f>
        <v>-7.4522500000000003</v>
      </c>
      <c r="H101" s="73">
        <f>[1]!wss($A101:$A101,"hks_stm_is","item=61","rptDate="&amp;($B101-1)&amp;"1231","rptType=1","currencyType=Cur=CNY","WssConvert=0","WssDivide=8","showcodes=N","cols=1;rows=1")</f>
        <v>13.141310000000001</v>
      </c>
      <c r="I101" s="73" t="str">
        <f>[1]!wss($A101:$A101,"hks_fa_grossprofitmargin","rptDate="&amp;($B101-3)&amp;"1231","WssConvert=0","showcodes=N","cols=1;rows=1")</f>
        <v/>
      </c>
      <c r="J101" s="43" t="str">
        <f>[1]!wss($A101:$A101,"hks_fa_grossprofitmargin","rptDate="&amp;($B101-2)&amp;"1231","WssConvert=0","showcodes=N","cols=1;rows=1")</f>
        <v/>
      </c>
      <c r="K101" s="43" t="str">
        <f>[1]!wss($A101:$A101,"hks_fa_grossprofitmargin","rptDate="&amp;($B101-1)&amp;"1231","WssConvert=0","showcodes=N","cols=1;rows=1")</f>
        <v/>
      </c>
      <c r="L101" s="73">
        <f>[1]!wss($A101:$A101,"hks_fa_roe","rptDate="&amp;($B101-1)&amp;"1231","WssConvert=0","showcodes=N","cols=1;rows=1")</f>
        <v>17.261299999999999</v>
      </c>
      <c r="M101" s="43">
        <f>[1]!wss($A101:$A101,"hks_fa_debttoassets","rptDate="&amp;($B101-1)&amp;"1231","WssConvert=0","showcodes=N","cols=1;rows=1")</f>
        <v>25.236000000000001</v>
      </c>
      <c r="P101" s="50">
        <v>32.946959999999997</v>
      </c>
      <c r="Q101" s="50">
        <v>26.009820000000001</v>
      </c>
      <c r="R101" s="50">
        <v>26.102399999999999</v>
      </c>
      <c r="S101" s="50">
        <v>10.094939999999999</v>
      </c>
      <c r="T101" s="50">
        <v>4.7544500000000003</v>
      </c>
      <c r="U101" s="50">
        <v>5.5885699999999998</v>
      </c>
      <c r="V101" s="50"/>
      <c r="W101" s="50"/>
      <c r="X101" s="50"/>
    </row>
    <row r="102" spans="1:24">
      <c r="A102" t="s">
        <v>446</v>
      </c>
      <c r="B102" s="17">
        <f>IFERROR(YEAR(VLOOKUP($A102,'01_ipo_master'!$A:$C,3,FALSE)),YEAR(VLOOKUP("0"&amp;$A102,'01_ipo_master'!$A:$C,3,FALSE)))</f>
        <v>2024</v>
      </c>
      <c r="C102" s="73">
        <f>[1]!wss($A102:$A102,"hks_stm_is","item=83","rptDate="&amp;($B102-3)&amp;"1231","rptType=1","currencyType=Cur=CNY","WssConvert=0","WssDivide=8","showcodes=N","cols=1;rows=1")</f>
        <v>12.64603</v>
      </c>
      <c r="D102" s="73">
        <f>[1]!wss($A102:$A102,"hks_stm_is","item=83","rptDate="&amp;($B102-2)&amp;"1231","rptType=1","currencyType=Cur=CNY","WssConvert=0","WssDivide=8","showcodes=N","cols=1;rows=1")</f>
        <v>12.9422</v>
      </c>
      <c r="E102" s="73">
        <f>[1]!wss($A102:$A102,"hks_stm_is","item=83","rptDate="&amp;($B102-1)&amp;"1231","rptType=1","currencyType=Cur=CNY","WssConvert=0","WssDivide=8","showcodes=N","cols=1;rows=1")</f>
        <v>31.795640000000002</v>
      </c>
      <c r="F102" s="73">
        <f>[1]!wss($A102:$A102,"hks_stm_is","item=61","rptDate="&amp;($B102-3)&amp;"1231","rptType=1","currencyType=Cur=CNY","WssConvert=0","WssDivide=8","showcodes=N","cols=1;rows=1")</f>
        <v>1.1388</v>
      </c>
      <c r="G102" s="73">
        <f>[1]!wss($A102:$A102,"hks_stm_is","item=61","rptDate="&amp;($B102-2)&amp;"1231","rptType=1","currencyType=Cur=CNY","WssConvert=0","WssDivide=8","showcodes=N","cols=1;rows=1")</f>
        <v>0.94529000000000007</v>
      </c>
      <c r="H102" s="73">
        <f>[1]!wss($A102:$A102,"hks_stm_is","item=61","rptDate="&amp;($B102-1)&amp;"1231","rptType=1","currencyType=Cur=CNY","WssConvert=0","WssDivide=8","showcodes=N","cols=1;rows=1")</f>
        <v>4.1630200000000004</v>
      </c>
      <c r="I102" s="73">
        <f>[1]!wss($A102:$A102,"hks_fa_grossprofitmargin","rptDate="&amp;($B102-3)&amp;"1231","WssConvert=0","showcodes=N","cols=1;rows=1")</f>
        <v>41.198799999999999</v>
      </c>
      <c r="J102" s="43">
        <f>[1]!wss($A102:$A102,"hks_fa_grossprofitmargin","rptDate="&amp;($B102-2)&amp;"1231","WssConvert=0","showcodes=N","cols=1;rows=1")</f>
        <v>41.889200000000002</v>
      </c>
      <c r="K102" s="43">
        <f>[1]!wss($A102:$A102,"hks_fa_grossprofitmargin","rptDate="&amp;($B102-1)&amp;"1231","WssConvert=0","showcodes=N","cols=1;rows=1")</f>
        <v>41.891199999999998</v>
      </c>
      <c r="L102" s="73">
        <f>[1]!wss($A102:$A102,"hks_fa_roe","rptDate="&amp;($B102-1)&amp;"1231","WssConvert=0","showcodes=N","cols=1;rows=1")</f>
        <v>34.910200000000003</v>
      </c>
      <c r="M102" s="43">
        <f>[1]!wss($A102:$A102,"hks_fa_debttoassets","rptDate="&amp;($B102-1)&amp;"1231","WssConvert=0","showcodes=N","cols=1;rows=1")</f>
        <v>29.794599999999999</v>
      </c>
      <c r="P102" s="50">
        <v>31.795639999999999</v>
      </c>
      <c r="Q102" s="50">
        <v>85.055599999999998</v>
      </c>
      <c r="R102" s="50">
        <v>273.03183999999999</v>
      </c>
      <c r="S102" s="50">
        <v>4.1630200000000004</v>
      </c>
      <c r="T102" s="50">
        <v>14.731059999999999</v>
      </c>
      <c r="U102" s="50">
        <v>48.679360000000003</v>
      </c>
      <c r="V102" s="50">
        <v>41.891199999999998</v>
      </c>
      <c r="W102" s="50">
        <v>41.163899999999998</v>
      </c>
      <c r="X102" s="50">
        <v>37.628300000000003</v>
      </c>
    </row>
    <row r="103" spans="1:24">
      <c r="A103" t="s">
        <v>448</v>
      </c>
      <c r="B103" s="17">
        <f>IFERROR(YEAR(VLOOKUP($A103,'01_ipo_master'!$A:$C,3,FALSE)),YEAR(VLOOKUP("0"&amp;$A103,'01_ipo_master'!$A:$C,3,FALSE)))</f>
        <v>2022</v>
      </c>
      <c r="C103" s="73">
        <f>[1]!wss($A103:$A103,"hks_stm_is","item=83","rptDate="&amp;($B103-3)&amp;"1231","rptType=1","currencyType=Cur=CNY","WssConvert=0","WssDivide=8","showcodes=N","cols=1;rows=1")</f>
        <v>28.920310000000001</v>
      </c>
      <c r="D103" s="73">
        <f>[1]!wss($A103:$A103,"hks_stm_is","item=83","rptDate="&amp;($B103-2)&amp;"1231","rptType=1","currencyType=Cur=CNY","WssConvert=0","WssDivide=8","showcodes=N","cols=1;rows=1")</f>
        <v>32.616730000000004</v>
      </c>
      <c r="E103" s="73">
        <f>[1]!wss($A103:$A103,"hks_stm_is","item=83","rptDate="&amp;($B103-1)&amp;"1231","rptType=1","currencyType=Cur=CNY","WssConvert=0","WssDivide=8","showcodes=N","cols=1;rows=1")</f>
        <v>31.2685</v>
      </c>
      <c r="F103" s="73">
        <f>[1]!wss($A103:$A103,"hks_stm_is","item=61","rptDate="&amp;($B103-3)&amp;"1231","rptType=1","currencyType=Cur=CNY","WssConvert=0","WssDivide=8","showcodes=N","cols=1;rows=1")</f>
        <v>2.0749300000000002</v>
      </c>
      <c r="G103" s="73">
        <f>[1]!wss($A103:$A103,"hks_stm_is","item=61","rptDate="&amp;($B103-2)&amp;"1231","rptType=1","currencyType=Cur=CNY","WssConvert=0","WssDivide=8","showcodes=N","cols=1;rows=1")</f>
        <v>2.7399400000000003</v>
      </c>
      <c r="H103" s="73">
        <f>[1]!wss($A103:$A103,"hks_stm_is","item=61","rptDate="&amp;($B103-1)&amp;"1231","rptType=1","currencyType=Cur=CNY","WssConvert=0","WssDivide=8","showcodes=N","cols=1;rows=1")</f>
        <v>3.6271900000000001</v>
      </c>
      <c r="I103" s="73">
        <f>[1]!wss($A103:$A103,"hks_fa_grossprofitmargin","rptDate="&amp;($B103-3)&amp;"1231","WssConvert=0","showcodes=N","cols=1;rows=1")</f>
        <v>16.400600000000001</v>
      </c>
      <c r="J103" s="43">
        <f>[1]!wss($A103:$A103,"hks_fa_grossprofitmargin","rptDate="&amp;($B103-2)&amp;"1231","WssConvert=0","showcodes=N","cols=1;rows=1")</f>
        <v>20.033100000000001</v>
      </c>
      <c r="K103" s="43">
        <f>[1]!wss($A103:$A103,"hks_fa_grossprofitmargin","rptDate="&amp;($B103-1)&amp;"1231","WssConvert=0","showcodes=N","cols=1;rows=1")</f>
        <v>23.423200000000001</v>
      </c>
      <c r="L103" s="73">
        <f>[1]!wss($A103:$A103,"hks_fa_roe","rptDate="&amp;($B103-1)&amp;"1231","WssConvert=0","showcodes=N","cols=1;rows=1")</f>
        <v>15.7971</v>
      </c>
      <c r="M103" s="43">
        <f>[1]!wss($A103:$A103,"hks_fa_debttoassets","rptDate="&amp;($B103-1)&amp;"1231","WssConvert=0","showcodes=N","cols=1;rows=1")</f>
        <v>75.954599999999999</v>
      </c>
      <c r="P103" s="50">
        <v>31.194369999999999</v>
      </c>
      <c r="Q103" s="50">
        <v>26.278009999999998</v>
      </c>
      <c r="R103" s="50">
        <v>27.622250000000001</v>
      </c>
      <c r="S103" s="50">
        <v>1.49257</v>
      </c>
      <c r="T103" s="50">
        <v>1.5322899999999999</v>
      </c>
      <c r="U103" s="50">
        <v>0.68291999999999997</v>
      </c>
      <c r="V103" s="50">
        <v>16.522600000000001</v>
      </c>
      <c r="W103" s="50">
        <v>16.386500000000002</v>
      </c>
      <c r="X103" s="50">
        <v>14.3521</v>
      </c>
    </row>
    <row r="104" spans="1:24">
      <c r="A104" t="s">
        <v>450</v>
      </c>
      <c r="B104" s="17">
        <f>IFERROR(YEAR(VLOOKUP($A104,'01_ipo_master'!$A:$C,3,FALSE)),YEAR(VLOOKUP("0"&amp;$A104,'01_ipo_master'!$A:$C,3,FALSE)))</f>
        <v>2025</v>
      </c>
      <c r="C104" s="73">
        <f>[1]!wss($A104:$A104,"hks_stm_is","item=83","rptDate="&amp;($B104-3)&amp;"1231","rptType=1","currencyType=Cur=CNY","WssConvert=0","WssDivide=8","showcodes=N","cols=1;rows=1")</f>
        <v>37.837389999999999</v>
      </c>
      <c r="D104" s="73">
        <f>[1]!wss($A104:$A104,"hks_stm_is","item=83","rptDate="&amp;($B104-2)&amp;"1231","rptType=1","currencyType=Cur=CNY","WssConvert=0","WssDivide=8","showcodes=N","cols=1;rows=1")</f>
        <v>30.853619999999999</v>
      </c>
      <c r="E104" s="73">
        <f>[1]!wss($A104:$A104,"hks_stm_is","item=83","rptDate="&amp;($B104-1)&amp;"1231","rptType=1","currencyType=Cur=CNY","WssConvert=0","WssDivide=8","showcodes=N","cols=1;rows=1")</f>
        <v>36.498890000000003</v>
      </c>
      <c r="F104" s="73">
        <f>[1]!wss($A104:$A104,"hks_stm_is","item=61","rptDate="&amp;($B104-3)&amp;"1231","rptType=1","currencyType=Cur=CNY","WssConvert=0","WssDivide=8","showcodes=N","cols=1;rows=1")</f>
        <v>1.71106</v>
      </c>
      <c r="G104" s="73">
        <f>[1]!wss($A104:$A104,"hks_stm_is","item=61","rptDate="&amp;($B104-2)&amp;"1231","rptType=1","currencyType=Cur=CNY","WssConvert=0","WssDivide=8","showcodes=N","cols=1;rows=1")</f>
        <v>0.95018000000000002</v>
      </c>
      <c r="H104" s="73">
        <f>[1]!wss($A104:$A104,"hks_stm_is","item=61","rptDate="&amp;($B104-1)&amp;"1231","rptType=1","currencyType=Cur=CNY","WssConvert=0","WssDivide=8","showcodes=N","cols=1;rows=1")</f>
        <v>1.6668100000000001</v>
      </c>
      <c r="I104" s="73">
        <f>[1]!wss($A104:$A104,"hks_fa_grossprofitmargin","rptDate="&amp;($B104-3)&amp;"1231","WssConvert=0","showcodes=N","cols=1;rows=1")</f>
        <v>18.1999</v>
      </c>
      <c r="J104" s="43">
        <f>[1]!wss($A104:$A104,"hks_fa_grossprofitmargin","rptDate="&amp;($B104-2)&amp;"1231","WssConvert=0","showcodes=N","cols=1;rows=1")</f>
        <v>21.524100000000001</v>
      </c>
      <c r="K104" s="43">
        <f>[1]!wss($A104:$A104,"hks_fa_grossprofitmargin","rptDate="&amp;($B104-1)&amp;"1231","WssConvert=0","showcodes=N","cols=1;rows=1")</f>
        <v>20.8841</v>
      </c>
      <c r="L104" s="73">
        <f>[1]!wss($A104:$A104,"hks_fa_roe","rptDate="&amp;($B104-1)&amp;"1231","WssConvert=0","showcodes=N","cols=1;rows=1")</f>
        <v>7.4935</v>
      </c>
      <c r="M104" s="43">
        <f>[1]!wss($A104:$A104,"hks_fa_debttoassets","rptDate="&amp;($B104-1)&amp;"1231","WssConvert=0","showcodes=N","cols=1;rows=1")</f>
        <v>52.571300000000001</v>
      </c>
      <c r="P104" s="50">
        <v>30.853619999999999</v>
      </c>
      <c r="Q104" s="50">
        <v>36.498890000000003</v>
      </c>
      <c r="R104" s="50">
        <v>48.234056976399998</v>
      </c>
      <c r="S104" s="50">
        <v>0.95018000000000002</v>
      </c>
      <c r="T104" s="50">
        <v>1.6668099999999999</v>
      </c>
      <c r="U104" s="50">
        <v>2.6348520958999999</v>
      </c>
      <c r="V104" s="50">
        <v>21.524100000000001</v>
      </c>
      <c r="W104" s="50">
        <v>20.8841</v>
      </c>
      <c r="X104" s="50">
        <v>22.305499999999999</v>
      </c>
    </row>
    <row r="105" spans="1:24">
      <c r="A105" t="s">
        <v>453</v>
      </c>
      <c r="B105" s="17">
        <f>IFERROR(YEAR(VLOOKUP($A105,'01_ipo_master'!$A:$C,3,FALSE)),YEAR(VLOOKUP("0"&amp;$A105,'01_ipo_master'!$A:$C,3,FALSE)))</f>
        <v>2026</v>
      </c>
      <c r="C105" s="73">
        <f>[1]!wss($A105:$A105,"hks_stm_is","item=83","rptDate="&amp;($B105-3)&amp;"1231","rptType=1","currencyType=Cur=CNY","WssConvert=0","WssDivide=8","showcodes=N","cols=1;rows=1")</f>
        <v>30.705690000000001</v>
      </c>
      <c r="D105" s="73">
        <f>[1]!wss($A105:$A105,"hks_stm_is","item=83","rptDate="&amp;($B105-2)&amp;"1231","rptType=1","currencyType=Cur=CNY","WssConvert=0","WssDivide=8","showcodes=N","cols=1;rows=1")</f>
        <v>34.563769999999998</v>
      </c>
      <c r="E105" s="73">
        <f>[1]!wss($A105:$A105,"hks_stm_is","item=83","rptDate="&amp;($B105-1)&amp;"1231","rptType=1","currencyType=Cur=CNY","WssConvert=0","WssDivide=8","showcodes=N","cols=1;rows=1")</f>
        <v>38.118580000000001</v>
      </c>
      <c r="F105" s="73">
        <f>[1]!wss($A105:$A105,"hks_stm_is","item=61","rptDate="&amp;($B105-3)&amp;"1231","rptType=1","currencyType=Cur=CNY","WssConvert=0","WssDivide=8","showcodes=N","cols=1;rows=1")</f>
        <v>1.01227</v>
      </c>
      <c r="G105" s="73">
        <f>[1]!wss($A105:$A105,"hks_stm_is","item=61","rptDate="&amp;($B105-2)&amp;"1231","rptType=1","currencyType=Cur=CNY","WssConvert=0","WssDivide=8","showcodes=N","cols=1;rows=1")</f>
        <v>1.81043</v>
      </c>
      <c r="H105" s="73">
        <f>[1]!wss($A105:$A105,"hks_stm_is","item=61","rptDate="&amp;($B105-1)&amp;"1231","rptType=1","currencyType=Cur=CNY","WssConvert=0","WssDivide=8","showcodes=N","cols=1;rows=1")</f>
        <v>2.22601</v>
      </c>
      <c r="I105" s="73">
        <f>[1]!wss($A105:$A105,"hks_fa_grossprofitmargin","rptDate="&amp;($B105-3)&amp;"1231","WssConvert=0","showcodes=N","cols=1;rows=1")</f>
        <v>26.742899999999999</v>
      </c>
      <c r="J105" s="43">
        <f>[1]!wss($A105:$A105,"hks_fa_grossprofitmargin","rptDate="&amp;($B105-2)&amp;"1231","WssConvert=0","showcodes=N","cols=1;rows=1")</f>
        <v>28.854800000000001</v>
      </c>
      <c r="K105" s="43">
        <f>[1]!wss($A105:$A105,"hks_fa_grossprofitmargin","rptDate="&amp;($B105-1)&amp;"1231","WssConvert=0","showcodes=N","cols=1;rows=1")</f>
        <v>31.2957</v>
      </c>
      <c r="L105" s="73">
        <f>[1]!wss($A105:$A105,"hks_fa_roe","rptDate="&amp;($B105-1)&amp;"1231","WssConvert=0","showcodes=N","cols=1;rows=1")</f>
        <v>11.3218</v>
      </c>
      <c r="M105" s="43">
        <f>[1]!wss($A105:$A105,"hks_fa_debttoassets","rptDate="&amp;($B105-1)&amp;"1231","WssConvert=0","showcodes=N","cols=1;rows=1")</f>
        <v>60.9056</v>
      </c>
      <c r="P105" s="50">
        <v>30.705690000000001</v>
      </c>
      <c r="Q105" s="50">
        <v>34.563769999999998</v>
      </c>
      <c r="R105" s="50">
        <v>38.118580000000001</v>
      </c>
      <c r="S105" s="50">
        <v>1.01227</v>
      </c>
      <c r="T105" s="50">
        <v>1.81043</v>
      </c>
      <c r="U105" s="50">
        <v>2.22601</v>
      </c>
      <c r="V105" s="50">
        <v>26.742899999999999</v>
      </c>
      <c r="W105" s="50">
        <v>28.854800000000001</v>
      </c>
      <c r="X105" s="50">
        <v>31.2957</v>
      </c>
    </row>
    <row r="106" spans="1:24">
      <c r="A106" t="s">
        <v>455</v>
      </c>
      <c r="B106" s="17">
        <f>IFERROR(YEAR(VLOOKUP($A106,'01_ipo_master'!$A:$C,3,FALSE)),YEAR(VLOOKUP("0"&amp;$A106,'01_ipo_master'!$A:$C,3,FALSE)))</f>
        <v>2023</v>
      </c>
      <c r="C106" s="73">
        <f>[1]!wss($A106:$A106,"hks_stm_is","item=83","rptDate="&amp;($B106-3)&amp;"1231","rptType=1","currencyType=Cur=CNY","WssConvert=0","WssDivide=8","showcodes=N","cols=1;rows=1")</f>
        <v>11.04053</v>
      </c>
      <c r="D106" s="73">
        <f>[1]!wss($A106:$A106,"hks_stm_is","item=83","rptDate="&amp;($B106-2)&amp;"1231","rptType=1","currencyType=Cur=CNY","WssConvert=0","WssDivide=8","showcodes=N","cols=1;rows=1")</f>
        <v>16.11327</v>
      </c>
      <c r="E106" s="73">
        <f>[1]!wss($A106:$A106,"hks_stm_is","item=83","rptDate="&amp;($B106-1)&amp;"1231","rptType=1","currencyType=Cur=CNY","WssConvert=0","WssDivide=8","showcodes=N","cols=1;rows=1")</f>
        <v>20.207889999999999</v>
      </c>
      <c r="F106" s="73">
        <f>[1]!wss($A106:$A106,"hks_stm_is","item=61","rptDate="&amp;($B106-3)&amp;"1231","rptType=1","currencyType=Cur=CNY","WssConvert=0","WssDivide=8","showcodes=N","cols=1;rows=1")</f>
        <v>-2.7404999999999999</v>
      </c>
      <c r="G106" s="73">
        <f>[1]!wss($A106:$A106,"hks_stm_is","item=61","rptDate="&amp;($B106-2)&amp;"1231","rptType=1","currencyType=Cur=CNY","WssConvert=0","WssDivide=8","showcodes=N","cols=1;rows=1")</f>
        <v>-4.7106300000000001</v>
      </c>
      <c r="H106" s="73">
        <f>[1]!wss($A106:$A106,"hks_stm_is","item=61","rptDate="&amp;($B106-1)&amp;"1231","rptType=1","currencyType=Cur=CNY","WssConvert=0","WssDivide=8","showcodes=N","cols=1;rows=1")</f>
        <v>-2.2263199999999999</v>
      </c>
      <c r="I106" s="73">
        <f>[1]!wss($A106:$A106,"hks_fa_grossprofitmargin","rptDate="&amp;($B106-3)&amp;"1231","WssConvert=0","showcodes=N","cols=1;rows=1")</f>
        <v>71.875900000000001</v>
      </c>
      <c r="J106" s="43">
        <f>[1]!wss($A106:$A106,"hks_fa_grossprofitmargin","rptDate="&amp;($B106-2)&amp;"1231","WssConvert=0","showcodes=N","cols=1;rows=1")</f>
        <v>73.588200000000001</v>
      </c>
      <c r="K106" s="43">
        <f>[1]!wss($A106:$A106,"hks_fa_grossprofitmargin","rptDate="&amp;($B106-1)&amp;"1231","WssConvert=0","showcodes=N","cols=1;rows=1")</f>
        <v>72.796700000000001</v>
      </c>
      <c r="L106" s="73">
        <f>[1]!wss($A106:$A106,"hks_fa_roe","rptDate="&amp;($B106-1)&amp;"1231","WssConvert=0","showcodes=N","cols=1;rows=1")</f>
        <v>-26.023599999999998</v>
      </c>
      <c r="M106" s="43">
        <f>[1]!wss($A106:$A106,"hks_fa_debttoassets","rptDate="&amp;($B106-1)&amp;"1231","WssConvert=0","showcodes=N","cols=1;rows=1")</f>
        <v>76.965900000000005</v>
      </c>
      <c r="P106" s="50">
        <v>30.507149999999999</v>
      </c>
      <c r="Q106" s="50">
        <v>43.140929999999997</v>
      </c>
      <c r="R106" s="50">
        <v>53.82047</v>
      </c>
      <c r="S106" s="50">
        <v>-0.26602999999999999</v>
      </c>
      <c r="T106" s="50">
        <v>0.55195000000000005</v>
      </c>
      <c r="U106" s="50">
        <v>1.4193199999999999</v>
      </c>
      <c r="V106" s="50">
        <v>72.570499999999996</v>
      </c>
      <c r="W106" s="50">
        <v>72.884200000000007</v>
      </c>
      <c r="X106" s="50">
        <v>72.705500000000001</v>
      </c>
    </row>
    <row r="107" spans="1:24">
      <c r="A107" t="s">
        <v>457</v>
      </c>
      <c r="B107" s="17">
        <f>IFERROR(YEAR(VLOOKUP($A107,'01_ipo_master'!$A:$C,3,FALSE)),YEAR(VLOOKUP("0"&amp;$A107,'01_ipo_master'!$A:$C,3,FALSE)))</f>
        <v>2023</v>
      </c>
      <c r="C107" s="73">
        <f>[1]!wss($A107:$A107,"hks_stm_is","item=83","rptDate="&amp;($B107-3)&amp;"1231","rptType=1","currencyType=Cur=CNY","WssConvert=0","WssDivide=8","showcodes=N","cols=1;rows=1")</f>
        <v>21.325109999999999</v>
      </c>
      <c r="D107" s="73">
        <f>[1]!wss($A107:$A107,"hks_stm_is","item=83","rptDate="&amp;($B107-2)&amp;"1231","rptType=1","currencyType=Cur=CNY","WssConvert=0","WssDivide=8","showcodes=N","cols=1;rows=1")</f>
        <v>34.363849999999999</v>
      </c>
      <c r="E107" s="73">
        <f>[1]!wss($A107:$A107,"hks_stm_is","item=83","rptDate="&amp;($B107-1)&amp;"1231","rptType=1","currencyType=Cur=CNY","WssConvert=0","WssDivide=8","showcodes=N","cols=1;rows=1")</f>
        <v>28.27938</v>
      </c>
      <c r="F107" s="73">
        <f>[1]!wss($A107:$A107,"hks_stm_is","item=61","rptDate="&amp;($B107-3)&amp;"1231","rptType=1","currencyType=Cur=CNY","WssConvert=0","WssDivide=8","showcodes=N","cols=1;rows=1")</f>
        <v>-4.8447199999999997</v>
      </c>
      <c r="G107" s="73">
        <f>[1]!wss($A107:$A107,"hks_stm_is","item=61","rptDate="&amp;($B107-2)&amp;"1231","rptType=1","currencyType=Cur=CNY","WssConvert=0","WssDivide=8","showcodes=N","cols=1;rows=1")</f>
        <v>-20.459710000000001</v>
      </c>
      <c r="H107" s="73">
        <f>[1]!wss($A107:$A107,"hks_stm_is","item=61","rptDate="&amp;($B107-1)&amp;"1231","rptType=1","currencyType=Cur=CNY","WssConvert=0","WssDivide=8","showcodes=N","cols=1;rows=1")</f>
        <v>-20.873470000000001</v>
      </c>
      <c r="I107" s="73">
        <f>[1]!wss($A107:$A107,"hks_fa_grossprofitmargin","rptDate="&amp;($B107-3)&amp;"1231","WssConvert=0","showcodes=N","cols=1;rows=1")</f>
        <v>22.979099999999999</v>
      </c>
      <c r="J107" s="43">
        <f>[1]!wss($A107:$A107,"hks_fa_grossprofitmargin","rptDate="&amp;($B107-2)&amp;"1231","WssConvert=0","showcodes=N","cols=1;rows=1")</f>
        <v>24.525400000000001</v>
      </c>
      <c r="K107" s="43">
        <f>[1]!wss($A107:$A107,"hks_fa_grossprofitmargin","rptDate="&amp;($B107-1)&amp;"1231","WssConvert=0","showcodes=N","cols=1;rows=1")</f>
        <v>48.594200000000001</v>
      </c>
      <c r="L107" s="73" t="str">
        <f>[1]!wss($A107:$A107,"hks_fa_roe","rptDate="&amp;($B107-1)&amp;"1231","WssConvert=0","showcodes=N","cols=1;rows=1")</f>
        <v/>
      </c>
      <c r="M107" s="43">
        <f>[1]!wss($A107:$A107,"hks_fa_debttoassets","rptDate="&amp;($B107-1)&amp;"1231","WssConvert=0","showcodes=N","cols=1;rows=1")</f>
        <v>765.0027</v>
      </c>
      <c r="P107" s="50">
        <v>30.338080000000001</v>
      </c>
      <c r="Q107" s="50">
        <v>27.89781</v>
      </c>
      <c r="R107" s="50">
        <v>26.766279999999998</v>
      </c>
      <c r="S107" s="50">
        <v>1.8856599999999999</v>
      </c>
      <c r="T107" s="50">
        <v>2.3957000000000002</v>
      </c>
      <c r="U107" s="50">
        <v>1.98126</v>
      </c>
      <c r="V107" s="50">
        <v>51.958199999999998</v>
      </c>
      <c r="W107" s="50">
        <v>52.476399999999998</v>
      </c>
      <c r="X107" s="50">
        <v>53.542299999999997</v>
      </c>
    </row>
    <row r="108" spans="1:24">
      <c r="A108" t="s">
        <v>459</v>
      </c>
      <c r="B108" s="17">
        <f>IFERROR(YEAR(VLOOKUP($A108,'01_ipo_master'!$A:$C,3,FALSE)),YEAR(VLOOKUP("0"&amp;$A108,'01_ipo_master'!$A:$C,3,FALSE)))</f>
        <v>2022</v>
      </c>
      <c r="C108" s="73">
        <f>[1]!wss($A108:$A108,"hks_stm_is","item=83","rptDate="&amp;($B108-3)&amp;"1231","rptType=1","currencyType=Cur=CNY","WssConvert=0","WssDivide=8","showcodes=N","cols=1;rows=1")</f>
        <v>14.312250000000001</v>
      </c>
      <c r="D108" s="73">
        <f>[1]!wss($A108:$A108,"hks_stm_is","item=83","rptDate="&amp;($B108-2)&amp;"1231","rptType=1","currencyType=Cur=CNY","WssConvert=0","WssDivide=8","showcodes=N","cols=1;rows=1")</f>
        <v>18.99925</v>
      </c>
      <c r="E108" s="73">
        <f>[1]!wss($A108:$A108,"hks_stm_is","item=83","rptDate="&amp;($B108-1)&amp;"1231","rptType=1","currencyType=Cur=CNY","WssConvert=0","WssDivide=8","showcodes=N","cols=1;rows=1")</f>
        <v>23.512990000000002</v>
      </c>
      <c r="F108" s="73">
        <f>[1]!wss($A108:$A108,"hks_stm_is","item=61","rptDate="&amp;($B108-3)&amp;"1231","rptType=1","currencyType=Cur=CNY","WssConvert=0","WssDivide=8","showcodes=N","cols=1;rows=1")</f>
        <v>0.81108999999999998</v>
      </c>
      <c r="G108" s="73">
        <f>[1]!wss($A108:$A108,"hks_stm_is","item=61","rptDate="&amp;($B108-2)&amp;"1231","rptType=1","currencyType=Cur=CNY","WssConvert=0","WssDivide=8","showcodes=N","cols=1;rows=1")</f>
        <v>1.13961</v>
      </c>
      <c r="H108" s="73">
        <f>[1]!wss($A108:$A108,"hks_stm_is","item=61","rptDate="&amp;($B108-1)&amp;"1231","rptType=1","currencyType=Cur=CNY","WssConvert=0","WssDivide=8","showcodes=N","cols=1;rows=1")</f>
        <v>2.00509</v>
      </c>
      <c r="I108" s="73">
        <f>[1]!wss($A108:$A108,"hks_fa_grossprofitmargin","rptDate="&amp;($B108-3)&amp;"1231","WssConvert=0","showcodes=N","cols=1;rows=1")</f>
        <v>69.8416</v>
      </c>
      <c r="J108" s="43">
        <f>[1]!wss($A108:$A108,"hks_fa_grossprofitmargin","rptDate="&amp;($B108-2)&amp;"1231","WssConvert=0","showcodes=N","cols=1;rows=1")</f>
        <v>72.588499999999996</v>
      </c>
      <c r="K108" s="43">
        <f>[1]!wss($A108:$A108,"hks_fa_grossprofitmargin","rptDate="&amp;($B108-1)&amp;"1231","WssConvert=0","showcodes=N","cols=1;rows=1")</f>
        <v>75.239800000000002</v>
      </c>
      <c r="L108" s="73">
        <f>[1]!wss($A108:$A108,"hks_fa_roe","rptDate="&amp;($B108-1)&amp;"1231","WssConvert=0","showcodes=N","cols=1;rows=1")</f>
        <v>73.521500000000003</v>
      </c>
      <c r="M108" s="43">
        <f>[1]!wss($A108:$A108,"hks_fa_debttoassets","rptDate="&amp;($B108-1)&amp;"1231","WssConvert=0","showcodes=N","cols=1;rows=1")</f>
        <v>63.4221</v>
      </c>
      <c r="P108" s="50">
        <v>30.006129999999999</v>
      </c>
      <c r="Q108" s="50">
        <v>33.251179999999998</v>
      </c>
      <c r="R108" s="50">
        <v>46.602440000000001</v>
      </c>
      <c r="S108" s="50">
        <v>-2.6578599999999999</v>
      </c>
      <c r="T108" s="50">
        <v>1.50776</v>
      </c>
      <c r="U108" s="50">
        <v>2.6921499999999998</v>
      </c>
      <c r="V108" s="50">
        <v>65.169399999999996</v>
      </c>
      <c r="W108" s="50">
        <v>74.322999999999993</v>
      </c>
      <c r="X108" s="50">
        <v>74.829899999999995</v>
      </c>
    </row>
    <row r="109" spans="1:24">
      <c r="A109" t="s">
        <v>461</v>
      </c>
      <c r="B109" s="17">
        <f>IFERROR(YEAR(VLOOKUP($A109,'01_ipo_master'!$A:$C,3,FALSE)),YEAR(VLOOKUP("0"&amp;$A109,'01_ipo_master'!$A:$C,3,FALSE)))</f>
        <v>2025</v>
      </c>
      <c r="C109" s="73">
        <f>[1]!wss($A109:$A109,"hks_stm_is","item=83","rptDate="&amp;($B109-3)&amp;"1231","rptType=1","currencyType=Cur=CNY","WssConvert=0","WssDivide=8","showcodes=N","cols=1;rows=1")</f>
        <v>22.279616108000003</v>
      </c>
      <c r="D109" s="73">
        <f>[1]!wss($A109:$A109,"hks_stm_is","item=83","rptDate="&amp;($B109-2)&amp;"1231","rptType=1","currencyType=Cur=CNY","WssConvert=0","WssDivide=8","showcodes=N","cols=1;rows=1")</f>
        <v>29.136032163000003</v>
      </c>
      <c r="E109" s="73">
        <f>[1]!wss($A109:$A109,"hks_stm_is","item=83","rptDate="&amp;($B109-1)&amp;"1231","rptType=1","currencyType=Cur=CNY","WssConvert=0","WssDivide=8","showcodes=N","cols=1;rows=1")</f>
        <v>32.663298876000006</v>
      </c>
      <c r="F109" s="73">
        <f>[1]!wss($A109:$A109,"hks_stm_is","item=61","rptDate="&amp;($B109-3)&amp;"1231","rptType=1","currencyType=Cur=CNY","WssConvert=0","WssDivide=8","showcodes=N","cols=1;rows=1")</f>
        <v>1.2807899400000002</v>
      </c>
      <c r="G109" s="73">
        <f>[1]!wss($A109:$A109,"hks_stm_is","item=61","rptDate="&amp;($B109-2)&amp;"1231","rptType=1","currencyType=Cur=CNY","WssConvert=0","WssDivide=8","showcodes=N","cols=1;rows=1")</f>
        <v>4.5810903600000001</v>
      </c>
      <c r="H109" s="73">
        <f>[1]!wss($A109:$A109,"hks_stm_is","item=61","rptDate="&amp;($B109-1)&amp;"1231","rptType=1","currencyType=Cur=CNY","WssConvert=0","WssDivide=8","showcodes=N","cols=1;rows=1")</f>
        <v>6.8369591240000007</v>
      </c>
      <c r="I109" s="73">
        <f>[1]!wss($A109:$A109,"hks_fa_grossprofitmargin","rptDate="&amp;($B109-3)&amp;"1231","WssConvert=0","showcodes=N","cols=1;rows=1")</f>
        <v>22.9864</v>
      </c>
      <c r="J109" s="43">
        <f>[1]!wss($A109:$A109,"hks_fa_grossprofitmargin","rptDate="&amp;($B109-2)&amp;"1231","WssConvert=0","showcodes=N","cols=1;rows=1")</f>
        <v>34.943800000000003</v>
      </c>
      <c r="K109" s="43">
        <f>[1]!wss($A109:$A109,"hks_fa_grossprofitmargin","rptDate="&amp;($B109-1)&amp;"1231","WssConvert=0","showcodes=N","cols=1;rows=1")</f>
        <v>35.245399999999997</v>
      </c>
      <c r="L109" s="73">
        <f>[1]!wss($A109:$A109,"hks_fa_roe","rptDate="&amp;($B109-1)&amp;"1231","WssConvert=0","showcodes=N","cols=1;rows=1")</f>
        <v>84.436499999999995</v>
      </c>
      <c r="M109" s="43">
        <f>[1]!wss($A109:$A109,"hks_fa_debttoassets","rptDate="&amp;($B109-1)&amp;"1231","WssConvert=0","showcodes=N","cols=1;rows=1")</f>
        <v>44.941099999999999</v>
      </c>
      <c r="P109" s="50">
        <v>29.136032162999999</v>
      </c>
      <c r="Q109" s="50">
        <v>32.663298875999999</v>
      </c>
      <c r="R109" s="50">
        <v>39.880356880000001</v>
      </c>
      <c r="S109" s="50">
        <v>4.5810903600000001</v>
      </c>
      <c r="T109" s="50">
        <v>6.8369591239999998</v>
      </c>
      <c r="U109" s="50">
        <v>8.5163049439999998</v>
      </c>
      <c r="V109" s="50">
        <v>34.943800000000003</v>
      </c>
      <c r="W109" s="50">
        <v>35.245399999999997</v>
      </c>
      <c r="X109" s="50">
        <v>35.866799999999998</v>
      </c>
    </row>
    <row r="110" spans="1:24">
      <c r="A110" t="s">
        <v>463</v>
      </c>
      <c r="B110" s="17">
        <f>IFERROR(YEAR(VLOOKUP($A110,'01_ipo_master'!$A:$C,3,FALSE)),YEAR(VLOOKUP("0"&amp;$A110,'01_ipo_master'!$A:$C,3,FALSE)))</f>
        <v>2024</v>
      </c>
      <c r="C110" s="73">
        <f>[1]!wss($A110:$A110,"hks_stm_is","item=83","rptDate="&amp;($B110-3)&amp;"1231","rptType=1","currencyType=Cur=CNY","WssConvert=0","WssDivide=8","showcodes=N","cols=1;rows=1")</f>
        <v>15.77347</v>
      </c>
      <c r="D110" s="73">
        <f>[1]!wss($A110:$A110,"hks_stm_is","item=83","rptDate="&amp;($B110-2)&amp;"1231","rptType=1","currencyType=Cur=CNY","WssConvert=0","WssDivide=8","showcodes=N","cols=1;rows=1")</f>
        <v>18.291119999999999</v>
      </c>
      <c r="E110" s="73">
        <f>[1]!wss($A110:$A110,"hks_stm_is","item=83","rptDate="&amp;($B110-1)&amp;"1231","rptType=1","currencyType=Cur=CNY","WssConvert=0","WssDivide=8","showcodes=N","cols=1;rows=1")</f>
        <v>28.859639999999999</v>
      </c>
      <c r="F110" s="73">
        <f>[1]!wss($A110:$A110,"hks_stm_is","item=61","rptDate="&amp;($B110-3)&amp;"1231","rptType=1","currencyType=Cur=CNY","WssConvert=0","WssDivide=8","showcodes=N","cols=1;rows=1")</f>
        <v>3.3101600000000002</v>
      </c>
      <c r="G110" s="73">
        <f>[1]!wss($A110:$A110,"hks_stm_is","item=61","rptDate="&amp;($B110-2)&amp;"1231","rptType=1","currencyType=Cur=CNY","WssConvert=0","WssDivide=8","showcodes=N","cols=1;rows=1")</f>
        <v>3.5208200000000001</v>
      </c>
      <c r="H110" s="73">
        <f>[1]!wss($A110:$A110,"hks_stm_is","item=61","rptDate="&amp;($B110-1)&amp;"1231","rptType=1","currencyType=Cur=CNY","WssConvert=0","WssDivide=8","showcodes=N","cols=1;rows=1")</f>
        <v>6.6192799999999998</v>
      </c>
      <c r="I110" s="73">
        <f>[1]!wss($A110:$A110,"hks_fa_grossprofitmargin","rptDate="&amp;($B110-3)&amp;"1231","WssConvert=0","showcodes=N","cols=1;rows=1")</f>
        <v>83.431600000000003</v>
      </c>
      <c r="J110" s="43">
        <f>[1]!wss($A110:$A110,"hks_fa_grossprofitmargin","rptDate="&amp;($B110-2)&amp;"1231","WssConvert=0","showcodes=N","cols=1;rows=1")</f>
        <v>83.826400000000007</v>
      </c>
      <c r="K110" s="43">
        <f>[1]!wss($A110:$A110,"hks_fa_grossprofitmargin","rptDate="&amp;($B110-1)&amp;"1231","WssConvert=0","showcodes=N","cols=1;rows=1")</f>
        <v>84.832800000000006</v>
      </c>
      <c r="L110" s="73">
        <f>[1]!wss($A110:$A110,"hks_fa_roe","rptDate="&amp;($B110-1)&amp;"1231","WssConvert=0","showcodes=N","cols=1;rows=1")</f>
        <v>49.408499999999997</v>
      </c>
      <c r="M110" s="43">
        <f>[1]!wss($A110:$A110,"hks_fa_debttoassets","rptDate="&amp;($B110-1)&amp;"1231","WssConvert=0","showcodes=N","cols=1;rows=1")</f>
        <v>26.095199999999998</v>
      </c>
      <c r="P110" s="50">
        <v>28.859639999999999</v>
      </c>
      <c r="Q110" s="50">
        <v>38.846939999999996</v>
      </c>
      <c r="R110" s="50">
        <v>50.504550000000002</v>
      </c>
      <c r="S110" s="50">
        <v>6.6192799999999998</v>
      </c>
      <c r="T110" s="50">
        <v>8.8061100000000003</v>
      </c>
      <c r="U110" s="50">
        <v>12.040940000000001</v>
      </c>
      <c r="V110" s="50">
        <v>84.832800000000006</v>
      </c>
      <c r="W110" s="50">
        <v>84.37</v>
      </c>
      <c r="X110" s="50">
        <v>84.223799999999997</v>
      </c>
    </row>
    <row r="111" spans="1:24">
      <c r="A111" t="s">
        <v>465</v>
      </c>
      <c r="B111" s="17">
        <f>IFERROR(YEAR(VLOOKUP($A111,'01_ipo_master'!$A:$C,3,FALSE)),YEAR(VLOOKUP("0"&amp;$A111,'01_ipo_master'!$A:$C,3,FALSE)))</f>
        <v>2026</v>
      </c>
      <c r="C111" s="73">
        <f>[1]!wss($A111:$A111,"hks_stm_is","item=83","rptDate="&amp;($B111-3)&amp;"1231","rptType=1","currencyType=Cur=CNY","WssConvert=0","WssDivide=8","showcodes=N","cols=1;rows=1")</f>
        <v>28.536950000000001</v>
      </c>
      <c r="D111" s="73">
        <f>[1]!wss($A111:$A111,"hks_stm_is","item=83","rptDate="&amp;($B111-2)&amp;"1231","rptType=1","currencyType=Cur=CNY","WssConvert=0","WssDivide=8","showcodes=N","cols=1;rows=1")</f>
        <v>29.82931</v>
      </c>
      <c r="E111" s="73">
        <f>[1]!wss($A111:$A111,"hks_stm_is","item=83","rptDate="&amp;($B111-1)&amp;"1231","rptType=1","currencyType=Cur=CNY","WssConvert=0","WssDivide=8","showcodes=N","cols=1;rows=1")</f>
        <v>33.874990000000004</v>
      </c>
      <c r="F111" s="73">
        <f>[1]!wss($A111:$A111,"hks_stm_is","item=61","rptDate="&amp;($B111-3)&amp;"1231","rptType=1","currencyType=Cur=CNY","WssConvert=0","WssDivide=8","showcodes=N","cols=1;rows=1")</f>
        <v>2.5428000000000002</v>
      </c>
      <c r="G111" s="73">
        <f>[1]!wss($A111:$A111,"hks_stm_is","item=61","rptDate="&amp;($B111-2)&amp;"1231","rptType=1","currencyType=Cur=CNY","WssConvert=0","WssDivide=8","showcodes=N","cols=1;rows=1")</f>
        <v>3.1175100000000002</v>
      </c>
      <c r="H111" s="73">
        <f>[1]!wss($A111:$A111,"hks_stm_is","item=61","rptDate="&amp;($B111-1)&amp;"1231","rptType=1","currencyType=Cur=CNY","WssConvert=0","WssDivide=8","showcodes=N","cols=1;rows=1")</f>
        <v>3.7160800000000003</v>
      </c>
      <c r="I111" s="73">
        <f>[1]!wss($A111:$A111,"hks_fa_grossprofitmargin","rptDate="&amp;($B111-3)&amp;"1231","WssConvert=0","showcodes=N","cols=1;rows=1")</f>
        <v>41.088900000000002</v>
      </c>
      <c r="J111" s="43">
        <f>[1]!wss($A111:$A111,"hks_fa_grossprofitmargin","rptDate="&amp;($B111-2)&amp;"1231","WssConvert=0","showcodes=N","cols=1;rows=1")</f>
        <v>50.5779</v>
      </c>
      <c r="K111" s="43">
        <f>[1]!wss($A111:$A111,"hks_fa_grossprofitmargin","rptDate="&amp;($B111-1)&amp;"1231","WssConvert=0","showcodes=N","cols=1;rows=1")</f>
        <v>51.707900000000002</v>
      </c>
      <c r="L111" s="73">
        <f>[1]!wss($A111:$A111,"hks_fa_roe","rptDate="&amp;($B111-1)&amp;"1231","WssConvert=0","showcodes=N","cols=1;rows=1")</f>
        <v>7.6909999999999998</v>
      </c>
      <c r="M111" s="43">
        <f>[1]!wss($A111:$A111,"hks_fa_debttoassets","rptDate="&amp;($B111-1)&amp;"1231","WssConvert=0","showcodes=N","cols=1;rows=1")</f>
        <v>26.037800000000001</v>
      </c>
      <c r="P111" s="50">
        <v>28.536950000000001</v>
      </c>
      <c r="Q111" s="50">
        <v>29.82931</v>
      </c>
      <c r="R111" s="50">
        <v>33.874989999999997</v>
      </c>
      <c r="S111" s="50">
        <v>2.5428000000000002</v>
      </c>
      <c r="T111" s="50">
        <v>3.1175099999999998</v>
      </c>
      <c r="U111" s="50">
        <v>3.7160799999999998</v>
      </c>
      <c r="V111" s="50">
        <v>41.088900000000002</v>
      </c>
      <c r="W111" s="50">
        <v>50.5779</v>
      </c>
      <c r="X111" s="50">
        <v>51.707900000000002</v>
      </c>
    </row>
    <row r="112" spans="1:24">
      <c r="A112" t="s">
        <v>468</v>
      </c>
      <c r="B112" s="17">
        <f>IFERROR(YEAR(VLOOKUP($A112,'01_ipo_master'!$A:$C,3,FALSE)),YEAR(VLOOKUP("0"&amp;$A112,'01_ipo_master'!$A:$C,3,FALSE)))</f>
        <v>2022</v>
      </c>
      <c r="C112" s="73">
        <f>[1]!wss($A112:$A112,"hks_stm_is","item=83","rptDate="&amp;($B112-3)&amp;"1231","rptType=1","currencyType=Cur=CNY","WssConvert=0","WssDivide=8","showcodes=N","cols=1;rows=1")</f>
        <v>7.8862000000000005</v>
      </c>
      <c r="D112" s="73">
        <f>[1]!wss($A112:$A112,"hks_stm_is","item=83","rptDate="&amp;($B112-2)&amp;"1231","rptType=1","currencyType=Cur=CNY","WssConvert=0","WssDivide=8","showcodes=N","cols=1;rows=1")</f>
        <v>9.4420999999999999</v>
      </c>
      <c r="E112" s="73">
        <f>[1]!wss($A112:$A112,"hks_stm_is","item=83","rptDate="&amp;($B112-1)&amp;"1231","rptType=1","currencyType=Cur=CNY","WssConvert=0","WssDivide=8","showcodes=N","cols=1;rows=1")</f>
        <v>15.155250000000001</v>
      </c>
      <c r="F112" s="73">
        <f>[1]!wss($A112:$A112,"hks_stm_is","item=61","rptDate="&amp;($B112-3)&amp;"1231","rptType=1","currencyType=Cur=CNY","WssConvert=0","WssDivide=8","showcodes=N","cols=1;rows=1")</f>
        <v>0.22624</v>
      </c>
      <c r="G112" s="73">
        <f>[1]!wss($A112:$A112,"hks_stm_is","item=61","rptDate="&amp;($B112-2)&amp;"1231","rptType=1","currencyType=Cur=CNY","WssConvert=0","WssDivide=8","showcodes=N","cols=1;rows=1")</f>
        <v>0.77124000000000004</v>
      </c>
      <c r="H112" s="73">
        <f>[1]!wss($A112:$A112,"hks_stm_is","item=61","rptDate="&amp;($B112-1)&amp;"1231","rptType=1","currencyType=Cur=CNY","WssConvert=0","WssDivide=8","showcodes=N","cols=1;rows=1")</f>
        <v>1.7797700000000001</v>
      </c>
      <c r="I112" s="73">
        <f>[1]!wss($A112:$A112,"hks_fa_grossprofitmargin","rptDate="&amp;($B112-3)&amp;"1231","WssConvert=0","showcodes=N","cols=1;rows=1")</f>
        <v>19.2209</v>
      </c>
      <c r="J112" s="43">
        <f>[1]!wss($A112:$A112,"hks_fa_grossprofitmargin","rptDate="&amp;($B112-2)&amp;"1231","WssConvert=0","showcodes=N","cols=1;rows=1")</f>
        <v>24.866199999999999</v>
      </c>
      <c r="K112" s="43">
        <f>[1]!wss($A112:$A112,"hks_fa_grossprofitmargin","rptDate="&amp;($B112-1)&amp;"1231","WssConvert=0","showcodes=N","cols=1;rows=1")</f>
        <v>31.014600000000002</v>
      </c>
      <c r="L112" s="73">
        <f>[1]!wss($A112:$A112,"hks_fa_roe","rptDate="&amp;($B112-1)&amp;"1231","WssConvert=0","showcodes=N","cols=1;rows=1")</f>
        <v>145.566</v>
      </c>
      <c r="M112" s="43">
        <f>[1]!wss($A112:$A112,"hks_fa_debttoassets","rptDate="&amp;($B112-1)&amp;"1231","WssConvert=0","showcodes=N","cols=1;rows=1")</f>
        <v>84.990899999999996</v>
      </c>
      <c r="P112" s="50">
        <v>27.044119999999999</v>
      </c>
      <c r="Q112" s="50">
        <v>29.65973</v>
      </c>
      <c r="R112" s="50">
        <v>36.678330000000003</v>
      </c>
      <c r="S112" s="50">
        <v>3.3731499999999999</v>
      </c>
      <c r="T112" s="50">
        <v>3.7245599999999999</v>
      </c>
      <c r="U112" s="50">
        <v>3.1038899999999998</v>
      </c>
      <c r="V112" s="50">
        <v>27.604600000000001</v>
      </c>
      <c r="W112" s="50">
        <v>23.817</v>
      </c>
      <c r="X112" s="50">
        <v>19.635200000000001</v>
      </c>
    </row>
    <row r="113" spans="1:24">
      <c r="A113" t="s">
        <v>470</v>
      </c>
      <c r="B113" s="17">
        <f>IFERROR(YEAR(VLOOKUP($A113,'01_ipo_master'!$A:$C,3,FALSE)),YEAR(VLOOKUP("0"&amp;$A113,'01_ipo_master'!$A:$C,3,FALSE)))</f>
        <v>2025</v>
      </c>
      <c r="C113" s="73">
        <f>[1]!wss($A113:$A113,"hks_stm_is","item=83","rptDate="&amp;($B113-3)&amp;"1231","rptType=1","currencyType=Cur=CNY","WssConvert=0","WssDivide=8","showcodes=N","cols=1;rows=1")</f>
        <v>23.364350000000002</v>
      </c>
      <c r="D113" s="73">
        <f>[1]!wss($A113:$A113,"hks_stm_is","item=83","rptDate="&amp;($B113-2)&amp;"1231","rptType=1","currencyType=Cur=CNY","WssConvert=0","WssDivide=8","showcodes=N","cols=1;rows=1")</f>
        <v>26.87613</v>
      </c>
      <c r="E113" s="73">
        <f>[1]!wss($A113:$A113,"hks_stm_is","item=83","rptDate="&amp;($B113-1)&amp;"1231","rptType=1","currencyType=Cur=CNY","WssConvert=0","WssDivide=8","showcodes=N","cols=1;rows=1")</f>
        <v>26.589729999999999</v>
      </c>
      <c r="F113" s="73">
        <f>[1]!wss($A113:$A113,"hks_stm_is","item=61","rptDate="&amp;($B113-3)&amp;"1231","rptType=1","currencyType=Cur=CNY","WssConvert=0","WssDivide=8","showcodes=N","cols=1;rows=1")</f>
        <v>0.89550000000000007</v>
      </c>
      <c r="G113" s="73">
        <f>[1]!wss($A113:$A113,"hks_stm_is","item=61","rptDate="&amp;($B113-2)&amp;"1231","rptType=1","currencyType=Cur=CNY","WssConvert=0","WssDivide=8","showcodes=N","cols=1;rows=1")</f>
        <v>1.6745000000000001</v>
      </c>
      <c r="H113" s="73">
        <f>[1]!wss($A113:$A113,"hks_stm_is","item=61","rptDate="&amp;($B113-1)&amp;"1231","rptType=1","currencyType=Cur=CNY","WssConvert=0","WssDivide=8","showcodes=N","cols=1;rows=1")</f>
        <v>1.0892200000000001</v>
      </c>
      <c r="I113" s="73">
        <f>[1]!wss($A113:$A113,"hks_fa_grossprofitmargin","rptDate="&amp;($B113-3)&amp;"1231","WssConvert=0","showcodes=N","cols=1;rows=1")</f>
        <v>16.396799999999999</v>
      </c>
      <c r="J113" s="43">
        <f>[1]!wss($A113:$A113,"hks_fa_grossprofitmargin","rptDate="&amp;($B113-2)&amp;"1231","WssConvert=0","showcodes=N","cols=1;rows=1")</f>
        <v>18.8887</v>
      </c>
      <c r="K113" s="43">
        <f>[1]!wss($A113:$A113,"hks_fa_grossprofitmargin","rptDate="&amp;($B113-1)&amp;"1231","WssConvert=0","showcodes=N","cols=1;rows=1")</f>
        <v>18.128900000000002</v>
      </c>
      <c r="L113" s="73">
        <f>[1]!wss($A113:$A113,"hks_fa_roe","rptDate="&amp;($B113-1)&amp;"1231","WssConvert=0","showcodes=N","cols=1;rows=1")</f>
        <v>6.9865000000000004</v>
      </c>
      <c r="M113" s="43">
        <f>[1]!wss($A113:$A113,"hks_fa_debttoassets","rptDate="&amp;($B113-1)&amp;"1231","WssConvert=0","showcodes=N","cols=1;rows=1")</f>
        <v>47.896700000000003</v>
      </c>
      <c r="P113" s="50">
        <v>26.87613</v>
      </c>
      <c r="Q113" s="50">
        <v>26.589729999999999</v>
      </c>
      <c r="R113" s="50">
        <v>27.18346</v>
      </c>
      <c r="S113" s="50">
        <v>1.6745000000000001</v>
      </c>
      <c r="T113" s="50">
        <v>1.0892200000000001</v>
      </c>
      <c r="U113" s="50">
        <v>0.94935999999999998</v>
      </c>
      <c r="V113" s="50">
        <v>18.8887</v>
      </c>
      <c r="W113" s="50">
        <v>18.128900000000002</v>
      </c>
      <c r="X113" s="50">
        <v>15.600099999999999</v>
      </c>
    </row>
    <row r="114" spans="1:24">
      <c r="A114" t="s">
        <v>472</v>
      </c>
      <c r="B114" s="17">
        <f>IFERROR(YEAR(VLOOKUP($A114,'01_ipo_master'!$A:$C,3,FALSE)),YEAR(VLOOKUP("0"&amp;$A114,'01_ipo_master'!$A:$C,3,FALSE)))</f>
        <v>2024</v>
      </c>
      <c r="C114" s="73">
        <f>[1]!wss($A114:$A114,"hks_stm_is","item=83","rptDate="&amp;($B114-3)&amp;"1231","rptType=1","currencyType=Cur=CNY","WssConvert=0","WssDivide=8","showcodes=N","cols=1;rows=1")</f>
        <v>28.029710000000001</v>
      </c>
      <c r="D114" s="73">
        <f>[1]!wss($A114:$A114,"hks_stm_is","item=83","rptDate="&amp;($B114-2)&amp;"1231","rptType=1","currencyType=Cur=CNY","WssConvert=0","WssDivide=8","showcodes=N","cols=1;rows=1")</f>
        <v>31.434329999999999</v>
      </c>
      <c r="E114" s="73">
        <f>[1]!wss($A114:$A114,"hks_stm_is","item=83","rptDate="&amp;($B114-1)&amp;"1231","rptType=1","currencyType=Cur=CNY","WssConvert=0","WssDivide=8","showcodes=N","cols=1;rows=1")</f>
        <v>26.838190000000001</v>
      </c>
      <c r="F114" s="73">
        <f>[1]!wss($A114:$A114,"hks_stm_is","item=61","rptDate="&amp;($B114-3)&amp;"1231","rptType=1","currencyType=Cur=CNY","WssConvert=0","WssDivide=8","showcodes=N","cols=1;rows=1")</f>
        <v>3.09137</v>
      </c>
      <c r="G114" s="73">
        <f>[1]!wss($A114:$A114,"hks_stm_is","item=61","rptDate="&amp;($B114-2)&amp;"1231","rptType=1","currencyType=Cur=CNY","WssConvert=0","WssDivide=8","showcodes=N","cols=1;rows=1")</f>
        <v>3.4047000000000001</v>
      </c>
      <c r="H114" s="73">
        <f>[1]!wss($A114:$A114,"hks_stm_is","item=61","rptDate="&amp;($B114-1)&amp;"1231","rptType=1","currencyType=Cur=CNY","WssConvert=0","WssDivide=8","showcodes=N","cols=1;rows=1")</f>
        <v>0.72902</v>
      </c>
      <c r="I114" s="73">
        <f>[1]!wss($A114:$A114,"hks_fa_grossprofitmargin","rptDate="&amp;($B114-3)&amp;"1231","WssConvert=0","showcodes=N","cols=1;rows=1")</f>
        <v>22.911899999999999</v>
      </c>
      <c r="J114" s="43">
        <f>[1]!wss($A114:$A114,"hks_fa_grossprofitmargin","rptDate="&amp;($B114-2)&amp;"1231","WssConvert=0","showcodes=N","cols=1;rows=1")</f>
        <v>22.313800000000001</v>
      </c>
      <c r="K114" s="43">
        <f>[1]!wss($A114:$A114,"hks_fa_grossprofitmargin","rptDate="&amp;($B114-1)&amp;"1231","WssConvert=0","showcodes=N","cols=1;rows=1")</f>
        <v>12.318</v>
      </c>
      <c r="L114" s="73">
        <f>[1]!wss($A114:$A114,"hks_fa_roe","rptDate="&amp;($B114-1)&amp;"1231","WssConvert=0","showcodes=N","cols=1;rows=1")</f>
        <v>11.6112</v>
      </c>
      <c r="M114" s="43">
        <f>[1]!wss($A114:$A114,"hks_fa_debttoassets","rptDate="&amp;($B114-1)&amp;"1231","WssConvert=0","showcodes=N","cols=1;rows=1")</f>
        <v>74.969399999999993</v>
      </c>
      <c r="P114" s="50">
        <v>26.838190000000001</v>
      </c>
      <c r="Q114" s="50">
        <v>32.841830000000002</v>
      </c>
      <c r="R114" s="50">
        <v>26.57358</v>
      </c>
      <c r="S114" s="50">
        <v>0.72902</v>
      </c>
      <c r="T114" s="50">
        <v>1.2303500000000001</v>
      </c>
      <c r="U114" s="50">
        <v>0.62494000000000005</v>
      </c>
      <c r="V114" s="50">
        <v>12.318</v>
      </c>
      <c r="W114" s="50">
        <v>12.0654</v>
      </c>
      <c r="X114" s="50">
        <v>12.024900000000001</v>
      </c>
    </row>
    <row r="115" spans="1:24">
      <c r="A115" t="s">
        <v>474</v>
      </c>
      <c r="B115" s="17">
        <f>IFERROR(YEAR(VLOOKUP($A115,'01_ipo_master'!$A:$C,3,FALSE)),YEAR(VLOOKUP("0"&amp;$A115,'01_ipo_master'!$A:$C,3,FALSE)))</f>
        <v>2026</v>
      </c>
      <c r="C115" s="73">
        <f>[1]!wss($A115:$A115,"hks_stm_is","item=83","rptDate="&amp;($B115-3)&amp;"1231","rptType=1","currencyType=Cur=CNY","WssConvert=0","WssDivide=8","showcodes=N","cols=1;rows=1")</f>
        <v>26.782700000000002</v>
      </c>
      <c r="D115" s="73">
        <f>[1]!wss($A115:$A115,"hks_stm_is","item=83","rptDate="&amp;($B115-2)&amp;"1231","rptType=1","currencyType=Cur=CNY","WssConvert=0","WssDivide=8","showcodes=N","cols=1;rows=1")</f>
        <v>37.342849999999999</v>
      </c>
      <c r="E115" s="73">
        <f>[1]!wss($A115:$A115,"hks_stm_is","item=83","rptDate="&amp;($B115-1)&amp;"1231","rptType=1","currencyType=Cur=CNY","WssConvert=0","WssDivide=8","showcodes=N","cols=1;rows=1")</f>
        <v>54.85371</v>
      </c>
      <c r="F115" s="73">
        <f>[1]!wss($A115:$A115,"hks_stm_is","item=61","rptDate="&amp;($B115-3)&amp;"1231","rptType=1","currencyType=Cur=CNY","WssConvert=0","WssDivide=8","showcodes=N","cols=1;rows=1")</f>
        <v>4.1468600000000002</v>
      </c>
      <c r="G115" s="73">
        <f>[1]!wss($A115:$A115,"hks_stm_is","item=61","rptDate="&amp;($B115-2)&amp;"1231","rptType=1","currencyType=Cur=CNY","WssConvert=0","WssDivide=8","showcodes=N","cols=1;rows=1")</f>
        <v>6.7610000000000001</v>
      </c>
      <c r="H115" s="73">
        <f>[1]!wss($A115:$A115,"hks_stm_is","item=61","rptDate="&amp;($B115-1)&amp;"1231","rptType=1","currencyType=Cur=CNY","WssConvert=0","WssDivide=8","showcodes=N","cols=1;rows=1")</f>
        <v>10.15789</v>
      </c>
      <c r="I115" s="73">
        <f>[1]!wss($A115:$A115,"hks_fa_grossprofitmargin","rptDate="&amp;($B115-3)&amp;"1231","WssConvert=0","showcodes=N","cols=1;rows=1")</f>
        <v>33.299199999999999</v>
      </c>
      <c r="J115" s="43">
        <f>[1]!wss($A115:$A115,"hks_fa_grossprofitmargin","rptDate="&amp;($B115-2)&amp;"1231","WssConvert=0","showcodes=N","cols=1;rows=1")</f>
        <v>33.378799999999998</v>
      </c>
      <c r="K115" s="43">
        <f>[1]!wss($A115:$A115,"hks_fa_grossprofitmargin","rptDate="&amp;($B115-1)&amp;"1231","WssConvert=0","showcodes=N","cols=1;rows=1")</f>
        <v>34.4315</v>
      </c>
      <c r="L115" s="73">
        <f>[1]!wss($A115:$A115,"hks_fa_roe","rptDate="&amp;($B115-1)&amp;"1231","WssConvert=0","showcodes=N","cols=1;rows=1")</f>
        <v>28.808800000000002</v>
      </c>
      <c r="M115" s="43">
        <f>[1]!wss($A115:$A115,"hks_fa_debttoassets","rptDate="&amp;($B115-1)&amp;"1231","WssConvert=0","showcodes=N","cols=1;rows=1")</f>
        <v>47.254800000000003</v>
      </c>
      <c r="P115" s="50">
        <v>26.782699999999998</v>
      </c>
      <c r="Q115" s="50">
        <v>37.342849999999999</v>
      </c>
      <c r="R115" s="50">
        <v>54.85371</v>
      </c>
      <c r="S115" s="50">
        <v>4.1468600000000002</v>
      </c>
      <c r="T115" s="50">
        <v>6.7610000000000001</v>
      </c>
      <c r="U115" s="50">
        <v>10.15789</v>
      </c>
      <c r="V115" s="50">
        <v>33.299199999999999</v>
      </c>
      <c r="W115" s="50">
        <v>33.378799999999998</v>
      </c>
      <c r="X115" s="50">
        <v>34.4315</v>
      </c>
    </row>
    <row r="116" spans="1:24">
      <c r="A116" t="s">
        <v>477</v>
      </c>
      <c r="B116" s="17">
        <f>IFERROR(YEAR(VLOOKUP($A116,'01_ipo_master'!$A:$C,3,FALSE)),YEAR(VLOOKUP("0"&amp;$A116,'01_ipo_master'!$A:$C,3,FALSE)))</f>
        <v>2023</v>
      </c>
      <c r="C116" s="73">
        <f>[1]!wss($A116:$A116,"hks_stm_is","item=83","rptDate="&amp;($B116-3)&amp;"1231","rptType=1","currencyType=Cur=CNY","WssConvert=0","WssDivide=8","showcodes=N","cols=1;rows=1")</f>
        <v>19.020099999999999</v>
      </c>
      <c r="D116" s="73">
        <f>[1]!wss($A116:$A116,"hks_stm_is","item=83","rptDate="&amp;($B116-2)&amp;"1231","rptType=1","currencyType=Cur=CNY","WssConvert=0","WssDivide=8","showcodes=N","cols=1;rows=1")</f>
        <v>26.762370000000001</v>
      </c>
      <c r="E116" s="73">
        <f>[1]!wss($A116:$A116,"hks_stm_is","item=83","rptDate="&amp;($B116-1)&amp;"1231","rptType=1","currencyType=Cur=CNY","WssConvert=0","WssDivide=8","showcodes=N","cols=1;rows=1")</f>
        <v>25.192240000000002</v>
      </c>
      <c r="F116" s="73">
        <f>[1]!wss($A116:$A116,"hks_stm_is","item=61","rptDate="&amp;($B116-3)&amp;"1231","rptType=1","currencyType=Cur=CNY","WssConvert=0","WssDivide=8","showcodes=N","cols=1;rows=1")</f>
        <v>-11.72461</v>
      </c>
      <c r="G116" s="73">
        <f>[1]!wss($A116:$A116,"hks_stm_is","item=61","rptDate="&amp;($B116-2)&amp;"1231","rptType=1","currencyType=Cur=CNY","WssConvert=0","WssDivide=8","showcodes=N","cols=1;rows=1")</f>
        <v>-1.85</v>
      </c>
      <c r="H116" s="73">
        <f>[1]!wss($A116:$A116,"hks_stm_is","item=61","rptDate="&amp;($B116-1)&amp;"1231","rptType=1","currencyType=Cur=CNY","WssConvert=0","WssDivide=8","showcodes=N","cols=1;rows=1")</f>
        <v>-2.8452899999999999</v>
      </c>
      <c r="I116" s="73">
        <f>[1]!wss($A116:$A116,"hks_fa_grossprofitmargin","rptDate="&amp;($B116-3)&amp;"1231","WssConvert=0","showcodes=N","cols=1;rows=1")</f>
        <v>29.366900000000001</v>
      </c>
      <c r="J116" s="43">
        <f>[1]!wss($A116:$A116,"hks_fa_grossprofitmargin","rptDate="&amp;($B116-2)&amp;"1231","WssConvert=0","showcodes=N","cols=1;rows=1")</f>
        <v>41.144500000000001</v>
      </c>
      <c r="K116" s="43">
        <f>[1]!wss($A116:$A116,"hks_fa_grossprofitmargin","rptDate="&amp;($B116-1)&amp;"1231","WssConvert=0","showcodes=N","cols=1;rows=1")</f>
        <v>42.7408</v>
      </c>
      <c r="L116" s="73">
        <f>[1]!wss($A116:$A116,"hks_fa_roe","rptDate="&amp;($B116-1)&amp;"1231","WssConvert=0","showcodes=N","cols=1;rows=1")</f>
        <v>-25.342199999999998</v>
      </c>
      <c r="M116" s="43">
        <f>[1]!wss($A116:$A116,"hks_fa_debttoassets","rptDate="&amp;($B116-1)&amp;"1231","WssConvert=0","showcodes=N","cols=1;rows=1")</f>
        <v>34.034100000000002</v>
      </c>
      <c r="P116" s="50">
        <v>26.720199999999998</v>
      </c>
      <c r="Q116" s="50">
        <v>29.188669999999998</v>
      </c>
      <c r="R116" s="50">
        <v>27.584910000000001</v>
      </c>
      <c r="S116" s="50">
        <v>-3.2729499999999998</v>
      </c>
      <c r="T116" s="50">
        <v>-1.9727600000000001</v>
      </c>
      <c r="U116" s="50">
        <v>-0.68693000000000004</v>
      </c>
      <c r="V116" s="50">
        <v>40.743299999999998</v>
      </c>
      <c r="W116" s="50">
        <v>35.673699999999997</v>
      </c>
      <c r="X116" s="50">
        <v>37.139899999999997</v>
      </c>
    </row>
    <row r="117" spans="1:24">
      <c r="A117" t="s">
        <v>479</v>
      </c>
      <c r="B117" s="17">
        <f>IFERROR(YEAR(VLOOKUP($A117,'01_ipo_master'!$A:$C,3,FALSE)),YEAR(VLOOKUP("0"&amp;$A117,'01_ipo_master'!$A:$C,3,FALSE)))</f>
        <v>2022</v>
      </c>
      <c r="C117" s="73">
        <f>[1]!wss($A117:$A117,"hks_stm_is","item=83","rptDate="&amp;($B117-3)&amp;"1231","rptType=1","currencyType=Cur=CNY","WssConvert=0","WssDivide=8","showcodes=N","cols=1;rows=1")</f>
        <v>16.308520000000001</v>
      </c>
      <c r="D117" s="73">
        <f>[1]!wss($A117:$A117,"hks_stm_is","item=83","rptDate="&amp;($B117-2)&amp;"1231","rptType=1","currencyType=Cur=CNY","WssConvert=0","WssDivide=8","showcodes=N","cols=1;rows=1")</f>
        <v>14.226940000000001</v>
      </c>
      <c r="E117" s="73">
        <f>[1]!wss($A117:$A117,"hks_stm_is","item=83","rptDate="&amp;($B117-1)&amp;"1231","rptType=1","currencyType=Cur=CNY","WssConvert=0","WssDivide=8","showcodes=N","cols=1;rows=1")</f>
        <v>18.597329999999999</v>
      </c>
      <c r="F117" s="73">
        <f>[1]!wss($A117:$A117,"hks_stm_is","item=61","rptDate="&amp;($B117-3)&amp;"1231","rptType=1","currencyType=Cur=CNY","WssConvert=0","WssDivide=8","showcodes=N","cols=1;rows=1")</f>
        <v>0.94956000000000007</v>
      </c>
      <c r="G117" s="73">
        <f>[1]!wss($A117:$A117,"hks_stm_is","item=61","rptDate="&amp;($B117-2)&amp;"1231","rptType=1","currencyType=Cur=CNY","WssConvert=0","WssDivide=8","showcodes=N","cols=1;rows=1")</f>
        <v>1.4556</v>
      </c>
      <c r="H117" s="73">
        <f>[1]!wss($A117:$A117,"hks_stm_is","item=61","rptDate="&amp;($B117-1)&amp;"1231","rptType=1","currencyType=Cur=CNY","WssConvert=0","WssDivide=8","showcodes=N","cols=1;rows=1")</f>
        <v>1.1971400000000001</v>
      </c>
      <c r="I117" s="73">
        <f>[1]!wss($A117:$A117,"hks_fa_grossprofitmargin","rptDate="&amp;($B117-3)&amp;"1231","WssConvert=0","showcodes=N","cols=1;rows=1")</f>
        <v>13.994199999999999</v>
      </c>
      <c r="J117" s="43">
        <f>[1]!wss($A117:$A117,"hks_fa_grossprofitmargin","rptDate="&amp;($B117-2)&amp;"1231","WssConvert=0","showcodes=N","cols=1;rows=1")</f>
        <v>17.581399999999999</v>
      </c>
      <c r="K117" s="43">
        <f>[1]!wss($A117:$A117,"hks_fa_grossprofitmargin","rptDate="&amp;($B117-1)&amp;"1231","WssConvert=0","showcodes=N","cols=1;rows=1")</f>
        <v>15.3584</v>
      </c>
      <c r="L117" s="73">
        <f>[1]!wss($A117:$A117,"hks_fa_roe","rptDate="&amp;($B117-1)&amp;"1231","WssConvert=0","showcodes=N","cols=1;rows=1")</f>
        <v>13.541600000000001</v>
      </c>
      <c r="M117" s="43">
        <f>[1]!wss($A117:$A117,"hks_fa_debttoassets","rptDate="&amp;($B117-1)&amp;"1231","WssConvert=0","showcodes=N","cols=1;rows=1")</f>
        <v>46.2333</v>
      </c>
      <c r="P117" s="50">
        <v>24.367380000000001</v>
      </c>
      <c r="Q117" s="50">
        <v>23.726430000000001</v>
      </c>
      <c r="R117" s="50">
        <v>22.759139999999999</v>
      </c>
      <c r="S117" s="50">
        <v>1.1083700000000001</v>
      </c>
      <c r="T117" s="50">
        <v>1.1779200000000001</v>
      </c>
      <c r="U117" s="50">
        <v>0.94677</v>
      </c>
      <c r="V117" s="50">
        <v>10.9597</v>
      </c>
      <c r="W117" s="50">
        <v>11.725</v>
      </c>
      <c r="X117" s="50">
        <v>11.611000000000001</v>
      </c>
    </row>
    <row r="118" spans="1:24">
      <c r="A118" t="s">
        <v>481</v>
      </c>
      <c r="B118" s="17">
        <f>IFERROR(YEAR(VLOOKUP($A118,'01_ipo_master'!$A:$C,3,FALSE)),YEAR(VLOOKUP("0"&amp;$A118,'01_ipo_master'!$A:$C,3,FALSE)))</f>
        <v>2024</v>
      </c>
      <c r="C118" s="73">
        <f>[1]!wss($A118:$A118,"hks_stm_is","item=83","rptDate="&amp;($B118-3)&amp;"1231","rptType=1","currencyType=Cur=CNY","WssConvert=0","WssDivide=8","showcodes=N","cols=1;rows=1")</f>
        <v>17.586729999999999</v>
      </c>
      <c r="D118" s="73">
        <f>[1]!wss($A118:$A118,"hks_stm_is","item=83","rptDate="&amp;($B118-2)&amp;"1231","rptType=1","currencyType=Cur=CNY","WssConvert=0","WssDivide=8","showcodes=N","cols=1;rows=1")</f>
        <v>22.043030000000002</v>
      </c>
      <c r="E118" s="73">
        <f>[1]!wss($A118:$A118,"hks_stm_is","item=83","rptDate="&amp;($B118-1)&amp;"1231","rptType=1","currencyType=Cur=CNY","WssConvert=0","WssDivide=8","showcodes=N","cols=1;rows=1")</f>
        <v>24.34308</v>
      </c>
      <c r="F118" s="73">
        <f>[1]!wss($A118:$A118,"hks_stm_is","item=61","rptDate="&amp;($B118-3)&amp;"1231","rptType=1","currencyType=Cur=CNY","WssConvert=0","WssDivide=8","showcodes=N","cols=1;rows=1")</f>
        <v>-3.0396399999999999</v>
      </c>
      <c r="G118" s="73">
        <f>[1]!wss($A118:$A118,"hks_stm_is","item=61","rptDate="&amp;($B118-2)&amp;"1231","rptType=1","currencyType=Cur=CNY","WssConvert=0","WssDivide=8","showcodes=N","cols=1;rows=1")</f>
        <v>-3.8330199999999999</v>
      </c>
      <c r="H118" s="73">
        <f>[1]!wss($A118:$A118,"hks_stm_is","item=61","rptDate="&amp;($B118-1)&amp;"1231","rptType=1","currencyType=Cur=CNY","WssConvert=0","WssDivide=8","showcodes=N","cols=1;rows=1")</f>
        <v>-1.9678800000000001</v>
      </c>
      <c r="I118" s="73">
        <f>[1]!wss($A118:$A118,"hks_fa_grossprofitmargin","rptDate="&amp;($B118-3)&amp;"1231","WssConvert=0","showcodes=N","cols=1;rows=1")</f>
        <v>12.4894</v>
      </c>
      <c r="J118" s="43">
        <f>[1]!wss($A118:$A118,"hks_fa_grossprofitmargin","rptDate="&amp;($B118-2)&amp;"1231","WssConvert=0","showcodes=N","cols=1;rows=1")</f>
        <v>17.265499999999999</v>
      </c>
      <c r="K118" s="43">
        <f>[1]!wss($A118:$A118,"hks_fa_grossprofitmargin","rptDate="&amp;($B118-1)&amp;"1231","WssConvert=0","showcodes=N","cols=1;rows=1")</f>
        <v>20.022400000000001</v>
      </c>
      <c r="L118" s="73" t="str">
        <f>[1]!wss($A118:$A118,"hks_fa_roe","rptDate="&amp;($B118-1)&amp;"1231","WssConvert=0","showcodes=N","cols=1;rows=1")</f>
        <v/>
      </c>
      <c r="M118" s="43">
        <f>[1]!wss($A118:$A118,"hks_fa_debttoassets","rptDate="&amp;($B118-1)&amp;"1231","WssConvert=0","showcodes=N","cols=1;rows=1")</f>
        <v>464.70650000000001</v>
      </c>
      <c r="P118" s="50">
        <v>24.34308</v>
      </c>
      <c r="Q118" s="50">
        <v>27.07368</v>
      </c>
      <c r="R118" s="50">
        <v>35.261620000000001</v>
      </c>
      <c r="S118" s="50">
        <v>-1.9678800000000001</v>
      </c>
      <c r="T118" s="50">
        <v>-8.5488499999999998</v>
      </c>
      <c r="U118" s="50">
        <v>0.11831999999999999</v>
      </c>
      <c r="V118" s="50">
        <v>20.022400000000001</v>
      </c>
      <c r="W118" s="50">
        <v>19.056899999999999</v>
      </c>
      <c r="X118" s="50">
        <v>15.865500000000001</v>
      </c>
    </row>
    <row r="119" spans="1:24">
      <c r="A119" t="s">
        <v>483</v>
      </c>
      <c r="B119" s="17">
        <f>IFERROR(YEAR(VLOOKUP($A119,'01_ipo_master'!$A:$C,3,FALSE)),YEAR(VLOOKUP("0"&amp;$A119,'01_ipo_master'!$A:$C,3,FALSE)))</f>
        <v>2025</v>
      </c>
      <c r="C119" s="73">
        <f>[1]!wss($A119:$A119,"hks_stm_is","item=83","rptDate="&amp;($B119-3)&amp;"1231","rptType=1","currencyType=Cur=CNY","WssConvert=0","WssDivide=8","showcodes=N","cols=1;rows=1")</f>
        <v>18.395890000000001</v>
      </c>
      <c r="D119" s="73">
        <f>[1]!wss($A119:$A119,"hks_stm_is","item=83","rptDate="&amp;($B119-2)&amp;"1231","rptType=1","currencyType=Cur=CNY","WssConvert=0","WssDivide=8","showcodes=N","cols=1;rows=1")</f>
        <v>23.954710000000002</v>
      </c>
      <c r="E119" s="73">
        <f>[1]!wss($A119:$A119,"hks_stm_is","item=83","rptDate="&amp;($B119-1)&amp;"1231","rptType=1","currencyType=Cur=CNY","WssConvert=0","WssDivide=8","showcodes=N","cols=1;rows=1")</f>
        <v>23.84149</v>
      </c>
      <c r="F119" s="73">
        <f>[1]!wss($A119:$A119,"hks_stm_is","item=61","rptDate="&amp;($B119-3)&amp;"1231","rptType=1","currencyType=Cur=CNY","WssConvert=0","WssDivide=8","showcodes=N","cols=1;rows=1")</f>
        <v>0.75880999999999998</v>
      </c>
      <c r="G119" s="73">
        <f>[1]!wss($A119:$A119,"hks_stm_is","item=61","rptDate="&amp;($B119-2)&amp;"1231","rptType=1","currencyType=Cur=CNY","WssConvert=0","WssDivide=8","showcodes=N","cols=1;rows=1")</f>
        <v>1.16953</v>
      </c>
      <c r="H119" s="73">
        <f>[1]!wss($A119:$A119,"hks_stm_is","item=61","rptDate="&amp;($B119-1)&amp;"1231","rptType=1","currencyType=Cur=CNY","WssConvert=0","WssDivide=8","showcodes=N","cols=1;rows=1")</f>
        <v>1.25637</v>
      </c>
      <c r="I119" s="73">
        <f>[1]!wss($A119:$A119,"hks_fa_grossprofitmargin","rptDate="&amp;($B119-3)&amp;"1231","WssConvert=0","showcodes=N","cols=1;rows=1")</f>
        <v>19.767700000000001</v>
      </c>
      <c r="J119" s="43">
        <f>[1]!wss($A119:$A119,"hks_fa_grossprofitmargin","rptDate="&amp;($B119-2)&amp;"1231","WssConvert=0","showcodes=N","cols=1;rows=1")</f>
        <v>19.1663</v>
      </c>
      <c r="K119" s="43">
        <f>[1]!wss($A119:$A119,"hks_fa_grossprofitmargin","rptDate="&amp;($B119-1)&amp;"1231","WssConvert=0","showcodes=N","cols=1;rows=1")</f>
        <v>19.2807</v>
      </c>
      <c r="L119" s="73">
        <f>[1]!wss($A119:$A119,"hks_fa_roe","rptDate="&amp;($B119-1)&amp;"1231","WssConvert=0","showcodes=N","cols=1;rows=1")</f>
        <v>13.541499999999999</v>
      </c>
      <c r="M119" s="43">
        <f>[1]!wss($A119:$A119,"hks_fa_debttoassets","rptDate="&amp;($B119-1)&amp;"1231","WssConvert=0","showcodes=N","cols=1;rows=1")</f>
        <v>55.417999999999999</v>
      </c>
      <c r="P119" s="50">
        <v>23.954709999999999</v>
      </c>
      <c r="Q119" s="50">
        <v>23.84149</v>
      </c>
      <c r="R119" s="50">
        <v>23.142600000000002</v>
      </c>
      <c r="S119" s="50">
        <v>1.16953</v>
      </c>
      <c r="T119" s="50">
        <v>1.25637</v>
      </c>
      <c r="U119" s="50">
        <v>1.09371</v>
      </c>
      <c r="V119" s="50">
        <v>19.1663</v>
      </c>
      <c r="W119" s="50">
        <v>19.2807</v>
      </c>
      <c r="X119" s="50">
        <v>18.155799999999999</v>
      </c>
    </row>
    <row r="120" spans="1:24">
      <c r="A120" t="s">
        <v>485</v>
      </c>
      <c r="B120" s="17">
        <f>IFERROR(YEAR(VLOOKUP($A120,'01_ipo_master'!$A:$C,3,FALSE)),YEAR(VLOOKUP("0"&amp;$A120,'01_ipo_master'!$A:$C,3,FALSE)))</f>
        <v>2023</v>
      </c>
      <c r="C120" s="73">
        <f>[1]!wss($A120:$A120,"hks_stm_is","item=83","rptDate="&amp;($B120-3)&amp;"1231","rptType=1","currencyType=Cur=CNY","WssConvert=0","WssDivide=8","showcodes=N","cols=1;rows=1")</f>
        <v>10.79771</v>
      </c>
      <c r="D120" s="73">
        <f>[1]!wss($A120:$A120,"hks_stm_is","item=83","rptDate="&amp;($B120-2)&amp;"1231","rptType=1","currencyType=Cur=CNY","WssConvert=0","WssDivide=8","showcodes=N","cols=1;rows=1")</f>
        <v>14.796710000000001</v>
      </c>
      <c r="E120" s="73">
        <f>[1]!wss($A120:$A120,"hks_stm_is","item=83","rptDate="&amp;($B120-1)&amp;"1231","rptType=1","currencyType=Cur=CNY","WssConvert=0","WssDivide=8","showcodes=N","cols=1;rows=1")</f>
        <v>22.56532</v>
      </c>
      <c r="F120" s="73">
        <f>[1]!wss($A120:$A120,"hks_stm_is","item=61","rptDate="&amp;($B120-3)&amp;"1231","rptType=1","currencyType=Cur=CNY","WssConvert=0","WssDivide=8","showcodes=N","cols=1;rows=1")</f>
        <v>0.29092000000000001</v>
      </c>
      <c r="G120" s="73">
        <f>[1]!wss($A120:$A120,"hks_stm_is","item=61","rptDate="&amp;($B120-2)&amp;"1231","rptType=1","currencyType=Cur=CNY","WssConvert=0","WssDivide=8","showcodes=N","cols=1;rows=1")</f>
        <v>0.72469000000000006</v>
      </c>
      <c r="H120" s="73">
        <f>[1]!wss($A120:$A120,"hks_stm_is","item=61","rptDate="&amp;($B120-1)&amp;"1231","rptType=1","currencyType=Cur=CNY","WssConvert=0","WssDivide=8","showcodes=N","cols=1;rows=1")</f>
        <v>1.38229</v>
      </c>
      <c r="I120" s="73">
        <f>[1]!wss($A120:$A120,"hks_fa_grossprofitmargin","rptDate="&amp;($B120-3)&amp;"1231","WssConvert=0","showcodes=N","cols=1;rows=1")</f>
        <v>9.4106000000000005</v>
      </c>
      <c r="J120" s="43">
        <f>[1]!wss($A120:$A120,"hks_fa_grossprofitmargin","rptDate="&amp;($B120-2)&amp;"1231","WssConvert=0","showcodes=N","cols=1;rows=1")</f>
        <v>10.3497</v>
      </c>
      <c r="K120" s="43">
        <f>[1]!wss($A120:$A120,"hks_fa_grossprofitmargin","rptDate="&amp;($B120-1)&amp;"1231","WssConvert=0","showcodes=N","cols=1;rows=1")</f>
        <v>12.76</v>
      </c>
      <c r="L120" s="73">
        <f>[1]!wss($A120:$A120,"hks_fa_roe","rptDate="&amp;($B120-1)&amp;"1231","WssConvert=0","showcodes=N","cols=1;rows=1")</f>
        <v>26.562999999999999</v>
      </c>
      <c r="M120" s="43">
        <f>[1]!wss($A120:$A120,"hks_fa_debttoassets","rptDate="&amp;($B120-1)&amp;"1231","WssConvert=0","showcodes=N","cols=1;rows=1")</f>
        <v>33.091700000000003</v>
      </c>
      <c r="P120" s="50">
        <v>23.32583</v>
      </c>
      <c r="Q120" s="50">
        <v>31.02</v>
      </c>
      <c r="R120" s="50">
        <v>25.985990000000001</v>
      </c>
      <c r="S120" s="50">
        <v>0.54925000000000002</v>
      </c>
      <c r="T120" s="50">
        <v>-0.16037999999999999</v>
      </c>
      <c r="U120" s="50">
        <v>-0.34277000000000002</v>
      </c>
      <c r="V120" s="50">
        <v>6.3856000000000002</v>
      </c>
      <c r="W120" s="50">
        <v>2.3094000000000001</v>
      </c>
      <c r="X120" s="50">
        <v>1.1882999999999999</v>
      </c>
    </row>
    <row r="121" spans="1:24">
      <c r="A121" t="s">
        <v>487</v>
      </c>
      <c r="B121" s="17">
        <f>IFERROR(YEAR(VLOOKUP($A121,'01_ipo_master'!$A:$C,3,FALSE)),YEAR(VLOOKUP("0"&amp;$A121,'01_ipo_master'!$A:$C,3,FALSE)))</f>
        <v>2026</v>
      </c>
      <c r="C121" s="73">
        <f>[1]!wss($A121:$A121,"hks_stm_is","item=83","rptDate="&amp;($B121-3)&amp;"1231","rptType=1","currencyType=Cur=CNY","WssConvert=0","WssDivide=8","showcodes=N","cols=1;rows=1")</f>
        <v>22.857379999999999</v>
      </c>
      <c r="D121" s="73">
        <f>[1]!wss($A121:$A121,"hks_stm_is","item=83","rptDate="&amp;($B121-2)&amp;"1231","rptType=1","currencyType=Cur=CNY","WssConvert=0","WssDivide=8","showcodes=N","cols=1;rows=1")</f>
        <v>36.389110000000002</v>
      </c>
      <c r="E121" s="73">
        <f>[1]!wss($A121:$A121,"hks_stm_is","item=83","rptDate="&amp;($B121-1)&amp;"1231","rptType=1","currencyType=Cur=CNY","WssConvert=0","WssDivide=8","showcodes=N","cols=1;rows=1")</f>
        <v>54.563167836300003</v>
      </c>
      <c r="F121" s="73">
        <f>[1]!wss($A121:$A121,"hks_stm_is","item=61","rptDate="&amp;($B121-3)&amp;"1231","rptType=1","currencyType=Cur=CNY","WssConvert=0","WssDivide=8","showcodes=N","cols=1;rows=1")</f>
        <v>4.5091000000000001</v>
      </c>
      <c r="G121" s="73">
        <f>[1]!wss($A121:$A121,"hks_stm_is","item=61","rptDate="&amp;($B121-2)&amp;"1231","rptType=1","currencyType=Cur=CNY","WssConvert=0","WssDivide=8","showcodes=N","cols=1;rows=1")</f>
        <v>14.11778</v>
      </c>
      <c r="H121" s="73">
        <f>[1]!wss($A121:$A121,"hks_stm_is","item=61","rptDate="&amp;($B121-1)&amp;"1231","rptType=1","currencyType=Cur=CNY","WssConvert=0","WssDivide=8","showcodes=N","cols=1;rows=1")</f>
        <v>22.355699701799999</v>
      </c>
      <c r="I121" s="73">
        <f>[1]!wss($A121:$A121,"hks_fa_grossprofitmargin","rptDate="&amp;($B121-3)&amp;"1231","WssConvert=0","showcodes=N","cols=1;rows=1")</f>
        <v>58.909700000000001</v>
      </c>
      <c r="J121" s="43">
        <f>[1]!wss($A121:$A121,"hks_fa_grossprofitmargin","rptDate="&amp;($B121-2)&amp;"1231","WssConvert=0","showcodes=N","cols=1;rows=1")</f>
        <v>58.129899999999999</v>
      </c>
      <c r="K121" s="43">
        <f>[1]!wss($A121:$A121,"hks_fa_grossprofitmargin","rptDate="&amp;($B121-1)&amp;"1231","WssConvert=0","showcodes=N","cols=1;rows=1")</f>
        <v>62.228000000000002</v>
      </c>
      <c r="L121" s="73">
        <f>[1]!wss($A121:$A121,"hks_fa_roe","rptDate="&amp;($B121-1)&amp;"1231","WssConvert=0","showcodes=N","cols=1;rows=1")</f>
        <v>18.379200000000001</v>
      </c>
      <c r="M121" s="43">
        <f>[1]!wss($A121:$A121,"hks_fa_debttoassets","rptDate="&amp;($B121-1)&amp;"1231","WssConvert=0","showcodes=N","cols=1;rows=1")</f>
        <v>6.3789999999999996</v>
      </c>
      <c r="P121" s="50">
        <v>22.857379999999999</v>
      </c>
      <c r="Q121" s="50">
        <v>36.389110000000002</v>
      </c>
      <c r="R121" s="50">
        <v>54.563167836300003</v>
      </c>
      <c r="S121" s="50">
        <v>4.5091000000000001</v>
      </c>
      <c r="T121" s="50">
        <v>14.11778</v>
      </c>
      <c r="U121" s="50">
        <v>22.355699701799999</v>
      </c>
      <c r="V121" s="50">
        <v>58.909700000000001</v>
      </c>
      <c r="W121" s="50">
        <v>58.129899999999999</v>
      </c>
      <c r="X121" s="50">
        <v>62.228000000000002</v>
      </c>
    </row>
    <row r="122" spans="1:24">
      <c r="A122" t="s">
        <v>490</v>
      </c>
      <c r="B122" s="17">
        <f>IFERROR(YEAR(VLOOKUP($A122,'01_ipo_master'!$A:$C,3,FALSE)),YEAR(VLOOKUP("0"&amp;$A122,'01_ipo_master'!$A:$C,3,FALSE)))</f>
        <v>2026</v>
      </c>
      <c r="C122" s="73">
        <f>[1]!wss($A122:$A122,"hks_stm_is","item=83","rptDate="&amp;($B122-3)&amp;"1231","rptType=1","currencyType=Cur=CNY","WssConvert=0","WssDivide=8","showcodes=N","cols=1;rows=1")</f>
        <v>22.128510000000002</v>
      </c>
      <c r="D122" s="73">
        <f>[1]!wss($A122:$A122,"hks_stm_is","item=83","rptDate="&amp;($B122-2)&amp;"1231","rptType=1","currencyType=Cur=CNY","WssConvert=0","WssDivide=8","showcodes=N","cols=1;rows=1")</f>
        <v>26.117930000000001</v>
      </c>
      <c r="E122" s="73">
        <f>[1]!wss($A122:$A122,"hks_stm_is","item=83","rptDate="&amp;($B122-1)&amp;"1231","rptType=1","currencyType=Cur=CNY","WssConvert=0","WssDivide=8","showcodes=N","cols=1;rows=1")</f>
        <v>29.65663</v>
      </c>
      <c r="F122" s="73">
        <f>[1]!wss($A122:$A122,"hks_stm_is","item=61","rptDate="&amp;($B122-3)&amp;"1231","rptType=1","currencyType=Cur=CNY","WssConvert=0","WssDivide=8","showcodes=N","cols=1;rows=1")</f>
        <v>4.5674700000000001</v>
      </c>
      <c r="G122" s="73">
        <f>[1]!wss($A122:$A122,"hks_stm_is","item=61","rptDate="&amp;($B122-2)&amp;"1231","rptType=1","currencyType=Cur=CNY","WssConvert=0","WssDivide=8","showcodes=N","cols=1;rows=1")</f>
        <v>3.9725700000000002</v>
      </c>
      <c r="H122" s="73">
        <f>[1]!wss($A122:$A122,"hks_stm_is","item=61","rptDate="&amp;($B122-1)&amp;"1231","rptType=1","currencyType=Cur=CNY","WssConvert=0","WssDivide=8","showcodes=N","cols=1;rows=1")</f>
        <v>6.0146500000000005</v>
      </c>
      <c r="I122" s="73">
        <f>[1]!wss($A122:$A122,"hks_fa_grossprofitmargin","rptDate="&amp;($B122-3)&amp;"1231","WssConvert=0","showcodes=N","cols=1;rows=1")</f>
        <v>49.369399999999999</v>
      </c>
      <c r="J122" s="43">
        <f>[1]!wss($A122:$A122,"hks_fa_grossprofitmargin","rptDate="&amp;($B122-2)&amp;"1231","WssConvert=0","showcodes=N","cols=1;rows=1")</f>
        <v>50.015799999999999</v>
      </c>
      <c r="K122" s="43">
        <f>[1]!wss($A122:$A122,"hks_fa_grossprofitmargin","rptDate="&amp;($B122-1)&amp;"1231","WssConvert=0","showcodes=N","cols=1;rows=1")</f>
        <v>54.460500000000003</v>
      </c>
      <c r="L122" s="73">
        <f>[1]!wss($A122:$A122,"hks_fa_roe","rptDate="&amp;($B122-1)&amp;"1231","WssConvert=0","showcodes=N","cols=1;rows=1")</f>
        <v>26.3766</v>
      </c>
      <c r="M122" s="43">
        <f>[1]!wss($A122:$A122,"hks_fa_debttoassets","rptDate="&amp;($B122-1)&amp;"1231","WssConvert=0","showcodes=N","cols=1;rows=1")</f>
        <v>45.376100000000001</v>
      </c>
      <c r="P122" s="50">
        <v>22.128509999999999</v>
      </c>
      <c r="Q122" s="50">
        <v>26.117930000000001</v>
      </c>
      <c r="R122" s="50">
        <v>29.65663</v>
      </c>
      <c r="S122" s="50">
        <v>4.5674700000000001</v>
      </c>
      <c r="T122" s="50">
        <v>3.9725700000000002</v>
      </c>
      <c r="U122" s="50">
        <v>6.0146499999999996</v>
      </c>
      <c r="V122" s="50">
        <v>49.369399999999999</v>
      </c>
      <c r="W122" s="50">
        <v>50.015799999999999</v>
      </c>
      <c r="X122" s="50">
        <v>54.460500000000003</v>
      </c>
    </row>
    <row r="123" spans="1:24">
      <c r="A123" t="s">
        <v>492</v>
      </c>
      <c r="B123" s="17">
        <f>IFERROR(YEAR(VLOOKUP($A123,'01_ipo_master'!$A:$C,3,FALSE)),YEAR(VLOOKUP("0"&amp;$A123,'01_ipo_master'!$A:$C,3,FALSE)))</f>
        <v>2024</v>
      </c>
      <c r="C123" s="73">
        <f>[1]!wss($A123:$A123,"hks_stm_is","item=83","rptDate="&amp;($B123-3)&amp;"1231","rptType=1","currencyType=Cur=CNY","WssConvert=0","WssDivide=8","showcodes=N","cols=1;rows=1")</f>
        <v>10.135289999999999</v>
      </c>
      <c r="D123" s="73">
        <f>[1]!wss($A123:$A123,"hks_stm_is","item=83","rptDate="&amp;($B123-2)&amp;"1231","rptType=1","currencyType=Cur=CNY","WssConvert=0","WssDivide=8","showcodes=N","cols=1;rows=1")</f>
        <v>13.683590000000001</v>
      </c>
      <c r="E123" s="73">
        <f>[1]!wss($A123:$A123,"hks_stm_is","item=83","rptDate="&amp;($B123-1)&amp;"1231","rptType=1","currencyType=Cur=CNY","WssConvert=0","WssDivide=8","showcodes=N","cols=1;rows=1")</f>
        <v>21.61063</v>
      </c>
      <c r="F123" s="73">
        <f>[1]!wss($A123:$A123,"hks_stm_is","item=61","rptDate="&amp;($B123-3)&amp;"1231","rptType=1","currencyType=Cur=CNY","WssConvert=0","WssDivide=8","showcodes=N","cols=1;rows=1")</f>
        <v>-6.8462700000000005</v>
      </c>
      <c r="G123" s="73">
        <f>[1]!wss($A123:$A123,"hks_stm_is","item=61","rptDate="&amp;($B123-2)&amp;"1231","rptType=1","currencyType=Cur=CNY","WssConvert=0","WssDivide=8","showcodes=N","cols=1;rows=1")</f>
        <v>-6.26783</v>
      </c>
      <c r="H123" s="73">
        <f>[1]!wss($A123:$A123,"hks_stm_is","item=61","rptDate="&amp;($B123-1)&amp;"1231","rptType=1","currencyType=Cur=CNY","WssConvert=0","WssDivide=8","showcodes=N","cols=1;rows=1")</f>
        <v>-6.9279400000000004</v>
      </c>
      <c r="I123" s="73">
        <f>[1]!wss($A123:$A123,"hks_fa_grossprofitmargin","rptDate="&amp;($B123-3)&amp;"1231","WssConvert=0","showcodes=N","cols=1;rows=1")</f>
        <v>-24.1845</v>
      </c>
      <c r="J123" s="43">
        <f>[1]!wss($A123:$A123,"hks_fa_grossprofitmargin","rptDate="&amp;($B123-2)&amp;"1231","WssConvert=0","showcodes=N","cols=1;rows=1")</f>
        <v>-10.6631</v>
      </c>
      <c r="K123" s="43">
        <f>[1]!wss($A123:$A123,"hks_fa_grossprofitmargin","rptDate="&amp;($B123-1)&amp;"1231","WssConvert=0","showcodes=N","cols=1;rows=1")</f>
        <v>-6.9615999999999998</v>
      </c>
      <c r="L123" s="73" t="str">
        <f>[1]!wss($A123:$A123,"hks_fa_roe","rptDate="&amp;($B123-1)&amp;"1231","WssConvert=0","showcodes=N","cols=1;rows=1")</f>
        <v/>
      </c>
      <c r="M123" s="43">
        <f>[1]!wss($A123:$A123,"hks_fa_debttoassets","rptDate="&amp;($B123-1)&amp;"1231","WssConvert=0","showcodes=N","cols=1;rows=1")</f>
        <v>254.94130000000001</v>
      </c>
      <c r="P123" s="50">
        <v>21.61063</v>
      </c>
      <c r="Q123" s="50">
        <v>24.634260000000001</v>
      </c>
      <c r="R123" s="50">
        <v>52.864280000000001</v>
      </c>
      <c r="S123" s="50">
        <v>-6.9279400000000004</v>
      </c>
      <c r="T123" s="50">
        <v>-5.6418200000000001</v>
      </c>
      <c r="U123" s="50">
        <v>-2.9303499999999998</v>
      </c>
      <c r="V123" s="50">
        <v>-6.9615999999999998</v>
      </c>
      <c r="W123" s="50">
        <v>-1.4370000000000001</v>
      </c>
      <c r="X123" s="50">
        <v>11.879200000000001</v>
      </c>
    </row>
    <row r="124" spans="1:24">
      <c r="A124" t="s">
        <v>494</v>
      </c>
      <c r="B124" s="17">
        <f>IFERROR(YEAR(VLOOKUP($A124,'01_ipo_master'!$A:$C,3,FALSE)),YEAR(VLOOKUP("0"&amp;$A124,'01_ipo_master'!$A:$C,3,FALSE)))</f>
        <v>2026</v>
      </c>
      <c r="C124" s="73">
        <f>[1]!wss($A124:$A124,"hks_stm_is","item=83","rptDate="&amp;($B124-3)&amp;"1231","rptType=1","currencyType=Cur=CNY","WssConvert=0","WssDivide=8","showcodes=N","cols=1;rows=1")</f>
        <v>21.47336</v>
      </c>
      <c r="D124" s="73">
        <f>[1]!wss($A124:$A124,"hks_stm_is","item=83","rptDate="&amp;($B124-2)&amp;"1231","rptType=1","currencyType=Cur=CNY","WssConvert=0","WssDivide=8","showcodes=N","cols=1;rows=1")</f>
        <v>29.413740000000001</v>
      </c>
      <c r="E124" s="73">
        <f>[1]!wss($A124:$A124,"hks_stm_is","item=83","rptDate="&amp;($B124-1)&amp;"1231","rptType=1","currencyType=Cur=CNY","WssConvert=0","WssDivide=8","showcodes=N","cols=1;rows=1")</f>
        <v>37.471319999999999</v>
      </c>
      <c r="F124" s="73">
        <f>[1]!wss($A124:$A124,"hks_stm_is","item=61","rptDate="&amp;($B124-3)&amp;"1231","rptType=1","currencyType=Cur=CNY","WssConvert=0","WssDivide=8","showcodes=N","cols=1;rows=1")</f>
        <v>0.64509000000000005</v>
      </c>
      <c r="G124" s="73">
        <f>[1]!wss($A124:$A124,"hks_stm_is","item=61","rptDate="&amp;($B124-2)&amp;"1231","rptType=1","currencyType=Cur=CNY","WssConvert=0","WssDivide=8","showcodes=N","cols=1;rows=1")</f>
        <v>1.35572</v>
      </c>
      <c r="H124" s="73">
        <f>[1]!wss($A124:$A124,"hks_stm_is","item=61","rptDate="&amp;($B124-1)&amp;"1231","rptType=1","currencyType=Cur=CNY","WssConvert=0","WssDivide=8","showcodes=N","cols=1;rows=1")</f>
        <v>1.4272100000000001</v>
      </c>
      <c r="I124" s="73">
        <f>[1]!wss($A124:$A124,"hks_fa_grossprofitmargin","rptDate="&amp;($B124-3)&amp;"1231","WssConvert=0","showcodes=N","cols=1;rows=1")</f>
        <v>18.447900000000001</v>
      </c>
      <c r="J124" s="43">
        <f>[1]!wss($A124:$A124,"hks_fa_grossprofitmargin","rptDate="&amp;($B124-2)&amp;"1231","WssConvert=0","showcodes=N","cols=1;rows=1")</f>
        <v>16.477399999999999</v>
      </c>
      <c r="K124" s="43">
        <f>[1]!wss($A124:$A124,"hks_fa_grossprofitmargin","rptDate="&amp;($B124-1)&amp;"1231","WssConvert=0","showcodes=N","cols=1;rows=1")</f>
        <v>13.5814</v>
      </c>
      <c r="L124" s="73">
        <f>[1]!wss($A124:$A124,"hks_fa_roe","rptDate="&amp;($B124-1)&amp;"1231","WssConvert=0","showcodes=N","cols=1;rows=1")</f>
        <v>8.7302</v>
      </c>
      <c r="M124" s="43">
        <f>[1]!wss($A124:$A124,"hks_fa_debttoassets","rptDate="&amp;($B124-1)&amp;"1231","WssConvert=0","showcodes=N","cols=1;rows=1")</f>
        <v>42.6205</v>
      </c>
      <c r="P124" s="50">
        <v>21.47336</v>
      </c>
      <c r="Q124" s="50">
        <v>29.413740000000001</v>
      </c>
      <c r="R124" s="50">
        <v>37.471319999999999</v>
      </c>
      <c r="S124" s="50">
        <v>0.64509000000000005</v>
      </c>
      <c r="T124" s="50">
        <v>1.35572</v>
      </c>
      <c r="U124" s="50">
        <v>1.4272100000000001</v>
      </c>
      <c r="V124" s="50">
        <v>18.447900000000001</v>
      </c>
      <c r="W124" s="50">
        <v>16.477399999999999</v>
      </c>
      <c r="X124" s="50">
        <v>13.5814</v>
      </c>
    </row>
    <row r="125" spans="1:24">
      <c r="A125" t="s">
        <v>497</v>
      </c>
      <c r="B125" s="17">
        <f>IFERROR(YEAR(VLOOKUP($A125,'01_ipo_master'!$A:$C,3,FALSE)),YEAR(VLOOKUP("0"&amp;$A125,'01_ipo_master'!$A:$C,3,FALSE)))</f>
        <v>2023</v>
      </c>
      <c r="C125" s="73">
        <f>[1]!wss($A125:$A125,"hks_stm_is","item=83","rptDate="&amp;($B125-3)&amp;"1231","rptType=1","currencyType=Cur=CNY","WssConvert=0","WssDivide=8","showcodes=N","cols=1;rows=1")</f>
        <v>15.032960000000001</v>
      </c>
      <c r="D125" s="73">
        <f>[1]!wss($A125:$A125,"hks_stm_is","item=83","rptDate="&amp;($B125-2)&amp;"1231","rptType=1","currencyType=Cur=CNY","WssConvert=0","WssDivide=8","showcodes=N","cols=1;rows=1")</f>
        <v>17.807400000000001</v>
      </c>
      <c r="E125" s="73">
        <f>[1]!wss($A125:$A125,"hks_stm_is","item=83","rptDate="&amp;($B125-1)&amp;"1231","rptType=1","currencyType=Cur=CNY","WssConvert=0","WssDivide=8","showcodes=N","cols=1;rows=1")</f>
        <v>16.354140000000001</v>
      </c>
      <c r="F125" s="73">
        <f>[1]!wss($A125:$A125,"hks_stm_is","item=61","rptDate="&amp;($B125-3)&amp;"1231","rptType=1","currencyType=Cur=CNY","WssConvert=0","WssDivide=8","showcodes=N","cols=1;rows=1")</f>
        <v>1.50959</v>
      </c>
      <c r="G125" s="73">
        <f>[1]!wss($A125:$A125,"hks_stm_is","item=61","rptDate="&amp;($B125-2)&amp;"1231","rptType=1","currencyType=Cur=CNY","WssConvert=0","WssDivide=8","showcodes=N","cols=1;rows=1")</f>
        <v>1.93475</v>
      </c>
      <c r="H125" s="73">
        <f>[1]!wss($A125:$A125,"hks_stm_is","item=61","rptDate="&amp;($B125-1)&amp;"1231","rptType=1","currencyType=Cur=CNY","WssConvert=0","WssDivide=8","showcodes=N","cols=1;rows=1")</f>
        <v>1.0310900000000001</v>
      </c>
      <c r="I125" s="73">
        <f>[1]!wss($A125:$A125,"hks_fa_grossprofitmargin","rptDate="&amp;($B125-3)&amp;"1231","WssConvert=0","showcodes=N","cols=1;rows=1")</f>
        <v>46.565899999999999</v>
      </c>
      <c r="J125" s="43">
        <f>[1]!wss($A125:$A125,"hks_fa_grossprofitmargin","rptDate="&amp;($B125-2)&amp;"1231","WssConvert=0","showcodes=N","cols=1;rows=1")</f>
        <v>46.822400000000002</v>
      </c>
      <c r="K125" s="43">
        <f>[1]!wss($A125:$A125,"hks_fa_grossprofitmargin","rptDate="&amp;($B125-1)&amp;"1231","WssConvert=0","showcodes=N","cols=1;rows=1")</f>
        <v>43.893599999999999</v>
      </c>
      <c r="L125" s="73">
        <f>[1]!wss($A125:$A125,"hks_fa_roe","rptDate="&amp;($B125-1)&amp;"1231","WssConvert=0","showcodes=N","cols=1;rows=1")</f>
        <v>46.2258</v>
      </c>
      <c r="M125" s="43">
        <f>[1]!wss($A125:$A125,"hks_fa_debttoassets","rptDate="&amp;($B125-1)&amp;"1231","WssConvert=0","showcodes=N","cols=1;rows=1")</f>
        <v>91.860600000000005</v>
      </c>
      <c r="P125" s="50">
        <v>21.450679999999998</v>
      </c>
      <c r="Q125" s="50">
        <v>25.721990000000002</v>
      </c>
      <c r="R125" s="50">
        <v>30.005389999999998</v>
      </c>
      <c r="S125" s="50">
        <v>2.1565699999999999</v>
      </c>
      <c r="T125" s="50">
        <v>2.2846000000000002</v>
      </c>
      <c r="U125" s="50">
        <v>3.1756199999999999</v>
      </c>
      <c r="V125" s="50">
        <v>45.551099999999998</v>
      </c>
      <c r="W125" s="50">
        <v>46.2637</v>
      </c>
      <c r="X125" s="50">
        <v>49.053899999999999</v>
      </c>
    </row>
    <row r="126" spans="1:24">
      <c r="A126" t="s">
        <v>499</v>
      </c>
      <c r="B126" s="17">
        <f>IFERROR(YEAR(VLOOKUP($A126,'01_ipo_master'!$A:$C,3,FALSE)),YEAR(VLOOKUP("0"&amp;$A126,'01_ipo_master'!$A:$C,3,FALSE)))</f>
        <v>2025</v>
      </c>
      <c r="C126" s="73">
        <f>[1]!wss($A126:$A126,"hks_stm_is","item=83","rptDate="&amp;($B126-3)&amp;"1231","rptType=1","currencyType=Cur=CNY","WssConvert=0","WssDivide=8","showcodes=N","cols=1;rows=1")</f>
        <v>14.52163</v>
      </c>
      <c r="D126" s="73">
        <f>[1]!wss($A126:$A126,"hks_stm_is","item=83","rptDate="&amp;($B126-2)&amp;"1231","rptType=1","currencyType=Cur=CNY","WssConvert=0","WssDivide=8","showcodes=N","cols=1;rows=1")</f>
        <v>21.429269999999999</v>
      </c>
      <c r="E126" s="73">
        <f>[1]!wss($A126:$A126,"hks_stm_is","item=83","rptDate="&amp;($B126-1)&amp;"1231","rptType=1","currencyType=Cur=CNY","WssConvert=0","WssDivide=8","showcodes=N","cols=1;rows=1")</f>
        <v>24.090109999999999</v>
      </c>
      <c r="F126" s="73">
        <f>[1]!wss($A126:$A126,"hks_stm_is","item=61","rptDate="&amp;($B126-3)&amp;"1231","rptType=1","currencyType=Cur=CNY","WssConvert=0","WssDivide=8","showcodes=N","cols=1;rows=1")</f>
        <v>-15.67108</v>
      </c>
      <c r="G126" s="73">
        <f>[1]!wss($A126:$A126,"hks_stm_is","item=61","rptDate="&amp;($B126-2)&amp;"1231","rptType=1","currencyType=Cur=CNY","WssConvert=0","WssDivide=8","showcodes=N","cols=1;rows=1")</f>
        <v>-11.266830000000001</v>
      </c>
      <c r="H126" s="73">
        <f>[1]!wss($A126:$A126,"hks_stm_is","item=61","rptDate="&amp;($B126-1)&amp;"1231","rptType=1","currencyType=Cur=CNY","WssConvert=0","WssDivide=8","showcodes=N","cols=1;rows=1")</f>
        <v>-8.3150100000000009</v>
      </c>
      <c r="I126" s="73">
        <f>[1]!wss($A126:$A126,"hks_fa_grossprofitmargin","rptDate="&amp;($B126-3)&amp;"1231","WssConvert=0","showcodes=N","cols=1;rows=1")</f>
        <v>17.666599999999999</v>
      </c>
      <c r="J126" s="43">
        <f>[1]!wss($A126:$A126,"hks_fa_grossprofitmargin","rptDate="&amp;($B126-2)&amp;"1231","WssConvert=0","showcodes=N","cols=1;rows=1")</f>
        <v>30.7651</v>
      </c>
      <c r="K126" s="43">
        <f>[1]!wss($A126:$A126,"hks_fa_grossprofitmargin","rptDate="&amp;($B126-1)&amp;"1231","WssConvert=0","showcodes=N","cols=1;rows=1")</f>
        <v>34.7515</v>
      </c>
      <c r="L126" s="73" t="str">
        <f>[1]!wss($A126:$A126,"hks_fa_roe","rptDate="&amp;($B126-1)&amp;"1231","WssConvert=0","showcodes=N","cols=1;rows=1")</f>
        <v/>
      </c>
      <c r="M126" s="43">
        <f>[1]!wss($A126:$A126,"hks_fa_debttoassets","rptDate="&amp;($B126-1)&amp;"1231","WssConvert=0","showcodes=N","cols=1;rows=1")</f>
        <v>295.005</v>
      </c>
      <c r="P126" s="50">
        <v>21.429269999999999</v>
      </c>
      <c r="Q126" s="50">
        <v>24.090109999999999</v>
      </c>
      <c r="R126" s="50">
        <v>31.710129999999999</v>
      </c>
      <c r="S126" s="50">
        <v>-11.266830000000001</v>
      </c>
      <c r="T126" s="50">
        <v>-8.3150099999999991</v>
      </c>
      <c r="U126" s="50">
        <v>-0.10407</v>
      </c>
      <c r="V126" s="50">
        <v>30.7651</v>
      </c>
      <c r="W126" s="50">
        <v>34.7515</v>
      </c>
      <c r="X126" s="50">
        <v>35.4788</v>
      </c>
    </row>
    <row r="127" spans="1:24">
      <c r="A127" t="s">
        <v>501</v>
      </c>
      <c r="B127" s="17">
        <f>IFERROR(YEAR(VLOOKUP($A127,'01_ipo_master'!$A:$C,3,FALSE)),YEAR(VLOOKUP("0"&amp;$A127,'01_ipo_master'!$A:$C,3,FALSE)))</f>
        <v>2023</v>
      </c>
      <c r="C127" s="73">
        <f>[1]!wss($A127:$A127,"hks_stm_is","item=83","rptDate="&amp;($B127-3)&amp;"1231","rptType=1","currencyType=Cur=CNY","WssConvert=0","WssDivide=8","showcodes=N","cols=1;rows=1")</f>
        <v>11.067769999999999</v>
      </c>
      <c r="D127" s="73">
        <f>[1]!wss($A127:$A127,"hks_stm_is","item=83","rptDate="&amp;($B127-2)&amp;"1231","rptType=1","currencyType=Cur=CNY","WssConvert=0","WssDivide=8","showcodes=N","cols=1;rows=1")</f>
        <v>16.19538</v>
      </c>
      <c r="E127" s="73">
        <f>[1]!wss($A127:$A127,"hks_stm_is","item=83","rptDate="&amp;($B127-1)&amp;"1231","rptType=1","currencyType=Cur=CNY","WssConvert=0","WssDivide=8","showcodes=N","cols=1;rows=1")</f>
        <v>22.11551</v>
      </c>
      <c r="F127" s="73">
        <f>[1]!wss($A127:$A127,"hks_stm_is","item=61","rptDate="&amp;($B127-3)&amp;"1231","rptType=1","currencyType=Cur=CNY","WssConvert=0","WssDivide=8","showcodes=N","cols=1;rows=1")</f>
        <v>-22.396090000000001</v>
      </c>
      <c r="G127" s="73">
        <f>[1]!wss($A127:$A127,"hks_stm_is","item=61","rptDate="&amp;($B127-2)&amp;"1231","rptType=1","currencyType=Cur=CNY","WssConvert=0","WssDivide=8","showcodes=N","cols=1;rows=1")</f>
        <v>-29.082370000000001</v>
      </c>
      <c r="H127" s="73">
        <f>[1]!wss($A127:$A127,"hks_stm_is","item=61","rptDate="&amp;($B127-1)&amp;"1231","rptType=1","currencyType=Cur=CNY","WssConvert=0","WssDivide=8","showcodes=N","cols=1;rows=1")</f>
        <v>-1.0455099999999999</v>
      </c>
      <c r="I127" s="73">
        <f>[1]!wss($A127:$A127,"hks_fa_grossprofitmargin","rptDate="&amp;($B127-3)&amp;"1231","WssConvert=0","showcodes=N","cols=1;rows=1")</f>
        <v>45.124400000000001</v>
      </c>
      <c r="J127" s="43">
        <f>[1]!wss($A127:$A127,"hks_fa_grossprofitmargin","rptDate="&amp;($B127-2)&amp;"1231","WssConvert=0","showcodes=N","cols=1;rows=1")</f>
        <v>41.7791</v>
      </c>
      <c r="K127" s="43">
        <f>[1]!wss($A127:$A127,"hks_fa_grossprofitmargin","rptDate="&amp;($B127-1)&amp;"1231","WssConvert=0","showcodes=N","cols=1;rows=1")</f>
        <v>40.712600000000002</v>
      </c>
      <c r="L127" s="73" t="str">
        <f>[1]!wss($A127:$A127,"hks_fa_roe","rptDate="&amp;($B127-1)&amp;"1231","WssConvert=0","showcodes=N","cols=1;rows=1")</f>
        <v/>
      </c>
      <c r="M127" s="43">
        <f>[1]!wss($A127:$A127,"hks_fa_debttoassets","rptDate="&amp;($B127-1)&amp;"1231","WssConvert=0","showcodes=N","cols=1;rows=1")</f>
        <v>385.17360000000002</v>
      </c>
      <c r="P127" s="50">
        <v>21.378340000000001</v>
      </c>
      <c r="Q127" s="50">
        <v>20.656939999999999</v>
      </c>
      <c r="R127" s="50">
        <v>16.372669999999999</v>
      </c>
      <c r="S127" s="50">
        <v>11.05908</v>
      </c>
      <c r="T127" s="50">
        <v>-5.3471000000000002</v>
      </c>
      <c r="U127" s="50">
        <v>-0.71786000000000005</v>
      </c>
      <c r="V127" s="50">
        <v>44.982199999999999</v>
      </c>
      <c r="W127" s="50">
        <v>46.736400000000003</v>
      </c>
      <c r="X127" s="50">
        <v>52.1678</v>
      </c>
    </row>
    <row r="128" spans="1:24">
      <c r="A128" t="s">
        <v>503</v>
      </c>
      <c r="B128" s="17">
        <f>IFERROR(YEAR(VLOOKUP($A128,'01_ipo_master'!$A:$C,3,FALSE)),YEAR(VLOOKUP("0"&amp;$A128,'01_ipo_master'!$A:$C,3,FALSE)))</f>
        <v>2023</v>
      </c>
      <c r="C128" s="73">
        <f>[1]!wss($A128:$A128,"hks_stm_is","item=83","rptDate="&amp;($B128-3)&amp;"1231","rptType=1","currencyType=Cur=CNY","WssConvert=0","WssDivide=8","showcodes=N","cols=1;rows=1")</f>
        <v>0.96353</v>
      </c>
      <c r="D128" s="73">
        <f>[1]!wss($A128:$A128,"hks_stm_is","item=83","rptDate="&amp;($B128-2)&amp;"1231","rptType=1","currencyType=Cur=CNY","WssConvert=0","WssDivide=8","showcodes=N","cols=1;rows=1")</f>
        <v>3.11131</v>
      </c>
      <c r="E128" s="73">
        <f>[1]!wss($A128:$A128,"hks_stm_is","item=83","rptDate="&amp;($B128-1)&amp;"1231","rptType=1","currencyType=Cur=CNY","WssConvert=0","WssDivide=8","showcodes=N","cols=1;rows=1")</f>
        <v>9.9042300000000001</v>
      </c>
      <c r="F128" s="73">
        <f>[1]!wss($A128:$A128,"hks_stm_is","item=61","rptDate="&amp;($B128-3)&amp;"1231","rptType=1","currencyType=Cur=CNY","WssConvert=0","WssDivide=8","showcodes=N","cols=1;rows=1")</f>
        <v>0.26299</v>
      </c>
      <c r="G128" s="73">
        <f>[1]!wss($A128:$A128,"hks_stm_is","item=61","rptDate="&amp;($B128-2)&amp;"1231","rptType=1","currencyType=Cur=CNY","WssConvert=0","WssDivide=8","showcodes=N","cols=1;rows=1")</f>
        <v>0.54930000000000001</v>
      </c>
      <c r="H128" s="73">
        <f>[1]!wss($A128:$A128,"hks_stm_is","item=61","rptDate="&amp;($B128-1)&amp;"1231","rptType=1","currencyType=Cur=CNY","WssConvert=0","WssDivide=8","showcodes=N","cols=1;rows=1")</f>
        <v>1.55731</v>
      </c>
      <c r="I128" s="73">
        <f>[1]!wss($A128:$A128,"hks_fa_grossprofitmargin","rptDate="&amp;($B128-3)&amp;"1231","WssConvert=0","showcodes=N","cols=1;rows=1")</f>
        <v>8.3869000000000007</v>
      </c>
      <c r="J128" s="43">
        <f>[1]!wss($A128:$A128,"hks_fa_grossprofitmargin","rptDate="&amp;($B128-2)&amp;"1231","WssConvert=0","showcodes=N","cols=1;rows=1")</f>
        <v>36.477899999999998</v>
      </c>
      <c r="K128" s="43">
        <f>[1]!wss($A128:$A128,"hks_fa_grossprofitmargin","rptDate="&amp;($B128-1)&amp;"1231","WssConvert=0","showcodes=N","cols=1;rows=1")</f>
        <v>26.360800000000001</v>
      </c>
      <c r="L128" s="73">
        <f>[1]!wss($A128:$A128,"hks_fa_roe","rptDate="&amp;($B128-1)&amp;"1231","WssConvert=0","showcodes=N","cols=1;rows=1")</f>
        <v>20.741199999999999</v>
      </c>
      <c r="M128" s="43">
        <f>[1]!wss($A128:$A128,"hks_fa_debttoassets","rptDate="&amp;($B128-1)&amp;"1231","WssConvert=0","showcodes=N","cols=1;rows=1")</f>
        <v>40.682899999999997</v>
      </c>
      <c r="P128" s="50">
        <v>21.238389999999999</v>
      </c>
      <c r="Q128" s="50">
        <v>40.523200000000003</v>
      </c>
      <c r="R128" s="50">
        <v>59.442450000000001</v>
      </c>
      <c r="S128" s="50">
        <v>2.8353799999999998</v>
      </c>
      <c r="T128" s="50">
        <v>10.69622</v>
      </c>
      <c r="U128" s="50">
        <v>14.804959999999999</v>
      </c>
      <c r="V128" s="50">
        <v>26.346499999999999</v>
      </c>
      <c r="W128" s="50">
        <v>30.596</v>
      </c>
      <c r="X128" s="50">
        <v>35.989800000000002</v>
      </c>
    </row>
    <row r="129" spans="1:24">
      <c r="A129" t="s">
        <v>505</v>
      </c>
      <c r="B129" s="17">
        <f>IFERROR(YEAR(VLOOKUP($A129,'01_ipo_master'!$A:$C,3,FALSE)),YEAR(VLOOKUP("0"&amp;$A129,'01_ipo_master'!$A:$C,3,FALSE)))</f>
        <v>2025</v>
      </c>
      <c r="C129" s="73">
        <f>[1]!wss($A129:$A129,"hks_stm_is","item=83","rptDate="&amp;($B129-3)&amp;"1231","rptType=1","currencyType=Cur=CNY","WssConvert=0","WssDivide=8","showcodes=N","cols=1;rows=1")</f>
        <v>18.1754</v>
      </c>
      <c r="D129" s="73">
        <f>[1]!wss($A129:$A129,"hks_stm_is","item=83","rptDate="&amp;($B129-2)&amp;"1231","rptType=1","currencyType=Cur=CNY","WssConvert=0","WssDivide=8","showcodes=N","cols=1;rows=1")</f>
        <v>21.223050000000001</v>
      </c>
      <c r="E129" s="73">
        <f>[1]!wss($A129:$A129,"hks_stm_is","item=83","rptDate="&amp;($B129-1)&amp;"1231","rptType=1","currencyType=Cur=CNY","WssConvert=0","WssDivide=8","showcodes=N","cols=1;rows=1")</f>
        <v>21.432590000000001</v>
      </c>
      <c r="F129" s="73">
        <f>[1]!wss($A129:$A129,"hks_stm_is","item=61","rptDate="&amp;($B129-3)&amp;"1231","rptType=1","currencyType=Cur=CNY","WssConvert=0","WssDivide=8","showcodes=N","cols=1;rows=1")</f>
        <v>1.6609499999999999</v>
      </c>
      <c r="G129" s="73">
        <f>[1]!wss($A129:$A129,"hks_stm_is","item=61","rptDate="&amp;($B129-2)&amp;"1231","rptType=1","currencyType=Cur=CNY","WssConvert=0","WssDivide=8","showcodes=N","cols=1;rows=1")</f>
        <v>2.0583200000000001</v>
      </c>
      <c r="H129" s="73">
        <f>[1]!wss($A129:$A129,"hks_stm_is","item=61","rptDate="&amp;($B129-1)&amp;"1231","rptType=1","currencyType=Cur=CNY","WssConvert=0","WssDivide=8","showcodes=N","cols=1;rows=1")</f>
        <v>2.2434400000000001</v>
      </c>
      <c r="I129" s="73">
        <f>[1]!wss($A129:$A129,"hks_fa_grossprofitmargin","rptDate="&amp;($B129-3)&amp;"1231","WssConvert=0","showcodes=N","cols=1;rows=1")</f>
        <v>53.342199999999998</v>
      </c>
      <c r="J129" s="43">
        <f>[1]!wss($A129:$A129,"hks_fa_grossprofitmargin","rptDate="&amp;($B129-2)&amp;"1231","WssConvert=0","showcodes=N","cols=1;rows=1")</f>
        <v>52.296100000000003</v>
      </c>
      <c r="K129" s="43">
        <f>[1]!wss($A129:$A129,"hks_fa_grossprofitmargin","rptDate="&amp;($B129-1)&amp;"1231","WssConvert=0","showcodes=N","cols=1;rows=1")</f>
        <v>54.988799999999998</v>
      </c>
      <c r="L129" s="73">
        <f>[1]!wss($A129:$A129,"hks_fa_roe","rptDate="&amp;($B129-1)&amp;"1231","WssConvert=0","showcodes=N","cols=1;rows=1")</f>
        <v>21.8018</v>
      </c>
      <c r="M129" s="43">
        <f>[1]!wss($A129:$A129,"hks_fa_debttoassets","rptDate="&amp;($B129-1)&amp;"1231","WssConvert=0","showcodes=N","cols=1;rows=1")</f>
        <v>37.393599999999999</v>
      </c>
      <c r="P129" s="50">
        <v>21.223050000000001</v>
      </c>
      <c r="Q129" s="50">
        <v>21.432590000000001</v>
      </c>
      <c r="R129" s="50">
        <v>21.963480000000001</v>
      </c>
      <c r="S129" s="50">
        <v>2.0583200000000001</v>
      </c>
      <c r="T129" s="50">
        <v>2.2434400000000001</v>
      </c>
      <c r="U129" s="50">
        <v>2.2225100000000002</v>
      </c>
      <c r="V129" s="50">
        <v>52.296100000000003</v>
      </c>
      <c r="W129" s="50">
        <v>54.988799999999998</v>
      </c>
      <c r="X129" s="50">
        <v>55.581499999999998</v>
      </c>
    </row>
    <row r="130" spans="1:24">
      <c r="A130" t="s">
        <v>507</v>
      </c>
      <c r="B130" s="17">
        <f>IFERROR(YEAR(VLOOKUP($A130,'01_ipo_master'!$A:$C,3,FALSE)),YEAR(VLOOKUP("0"&amp;$A130,'01_ipo_master'!$A:$C,3,FALSE)))</f>
        <v>2023</v>
      </c>
      <c r="C130" s="73">
        <f>[1]!wss($A130:$A130,"hks_stm_is","item=83","rptDate="&amp;($B130-3)&amp;"1231","rptType=1","currencyType=Cur=CNY","WssConvert=0","WssDivide=8","showcodes=N","cols=1;rows=1")</f>
        <v>15.12744</v>
      </c>
      <c r="D130" s="73">
        <f>[1]!wss($A130:$A130,"hks_stm_is","item=83","rptDate="&amp;($B130-2)&amp;"1231","rptType=1","currencyType=Cur=CNY","WssConvert=0","WssDivide=8","showcodes=N","cols=1;rows=1")</f>
        <v>13.545070000000001</v>
      </c>
      <c r="E130" s="73">
        <f>[1]!wss($A130:$A130,"hks_stm_is","item=83","rptDate="&amp;($B130-1)&amp;"1231","rptType=1","currencyType=Cur=CNY","WssConvert=0","WssDivide=8","showcodes=N","cols=1;rows=1")</f>
        <v>12.53335</v>
      </c>
      <c r="F130" s="73">
        <f>[1]!wss($A130:$A130,"hks_stm_is","item=61","rptDate="&amp;($B130-3)&amp;"1231","rptType=1","currencyType=Cur=CNY","WssConvert=0","WssDivide=8","showcodes=N","cols=1;rows=1")</f>
        <v>0.52715000000000001</v>
      </c>
      <c r="G130" s="73">
        <f>[1]!wss($A130:$A130,"hks_stm_is","item=61","rptDate="&amp;($B130-2)&amp;"1231","rptType=1","currencyType=Cur=CNY","WssConvert=0","WssDivide=8","showcodes=N","cols=1;rows=1")</f>
        <v>0.36931999999999998</v>
      </c>
      <c r="H130" s="73">
        <f>[1]!wss($A130:$A130,"hks_stm_is","item=61","rptDate="&amp;($B130-1)&amp;"1231","rptType=1","currencyType=Cur=CNY","WssConvert=0","WssDivide=8","showcodes=N","cols=1;rows=1")</f>
        <v>0.25766</v>
      </c>
      <c r="I130" s="73">
        <f>[1]!wss($A130:$A130,"hks_fa_grossprofitmargin","rptDate="&amp;($B130-3)&amp;"1231","WssConvert=0","showcodes=N","cols=1;rows=1")</f>
        <v>8.1488999999999994</v>
      </c>
      <c r="J130" s="43">
        <f>[1]!wss($A130:$A130,"hks_fa_grossprofitmargin","rptDate="&amp;($B130-2)&amp;"1231","WssConvert=0","showcodes=N","cols=1;rows=1")</f>
        <v>7.3765999999999998</v>
      </c>
      <c r="K130" s="43">
        <f>[1]!wss($A130:$A130,"hks_fa_grossprofitmargin","rptDate="&amp;($B130-1)&amp;"1231","WssConvert=0","showcodes=N","cols=1;rows=1")</f>
        <v>8.3598999999999997</v>
      </c>
      <c r="L130" s="73">
        <f>[1]!wss($A130:$A130,"hks_fa_roe","rptDate="&amp;($B130-1)&amp;"1231","WssConvert=0","showcodes=N","cols=1;rows=1")</f>
        <v>4.8651</v>
      </c>
      <c r="M130" s="43">
        <f>[1]!wss($A130:$A130,"hks_fa_debttoassets","rptDate="&amp;($B130-1)&amp;"1231","WssConvert=0","showcodes=N","cols=1;rows=1")</f>
        <v>17.1709</v>
      </c>
      <c r="P130" s="50">
        <v>20.474799999999998</v>
      </c>
      <c r="Q130" s="50">
        <v>29.827190000000002</v>
      </c>
      <c r="R130" s="50">
        <v>19.926480000000002</v>
      </c>
      <c r="S130" s="50">
        <v>0.27349000000000001</v>
      </c>
      <c r="T130" s="50">
        <v>0.69274999999999998</v>
      </c>
      <c r="U130" s="50">
        <v>5.1150000000000001E-2</v>
      </c>
      <c r="V130" s="50">
        <v>7.6721000000000004</v>
      </c>
      <c r="W130" s="50">
        <v>7.2016</v>
      </c>
      <c r="X130" s="50">
        <v>7.7439999999999998</v>
      </c>
    </row>
    <row r="131" spans="1:24">
      <c r="A131" t="s">
        <v>509</v>
      </c>
      <c r="B131" s="17">
        <f>IFERROR(YEAR(VLOOKUP($A131,'01_ipo_master'!$A:$C,3,FALSE)),YEAR(VLOOKUP("0"&amp;$A131,'01_ipo_master'!$A:$C,3,FALSE)))</f>
        <v>2023</v>
      </c>
      <c r="C131" s="73">
        <f>[1]!wss($A131:$A131,"hks_stm_is","item=83","rptDate="&amp;($B131-3)&amp;"1231","rptType=1","currencyType=Cur=CNY","WssConvert=0","WssDivide=8","showcodes=N","cols=1;rows=1")</f>
        <v>7.0867500000000003</v>
      </c>
      <c r="D131" s="73">
        <f>[1]!wss($A131:$A131,"hks_stm_is","item=83","rptDate="&amp;($B131-2)&amp;"1231","rptType=1","currencyType=Cur=CNY","WssConvert=0","WssDivide=8","showcodes=N","cols=1;rows=1")</f>
        <v>14.519220000000001</v>
      </c>
      <c r="E131" s="73">
        <f>[1]!wss($A131:$A131,"hks_stm_is","item=83","rptDate="&amp;($B131-1)&amp;"1231","rptType=1","currencyType=Cur=CNY","WssConvert=0","WssDivide=8","showcodes=N","cols=1;rows=1")</f>
        <v>18.50141</v>
      </c>
      <c r="F131" s="73">
        <f>[1]!wss($A131:$A131,"hks_stm_is","item=61","rptDate="&amp;($B131-3)&amp;"1231","rptType=1","currencyType=Cur=CNY","WssConvert=0","WssDivide=8","showcodes=N","cols=1;rows=1")</f>
        <v>0.86143999999999998</v>
      </c>
      <c r="G131" s="73">
        <f>[1]!wss($A131:$A131,"hks_stm_is","item=61","rptDate="&amp;($B131-2)&amp;"1231","rptType=1","currencyType=Cur=CNY","WssConvert=0","WssDivide=8","showcodes=N","cols=1;rows=1")</f>
        <v>2.32178</v>
      </c>
      <c r="H131" s="73">
        <f>[1]!wss($A131:$A131,"hks_stm_is","item=61","rptDate="&amp;($B131-1)&amp;"1231","rptType=1","currencyType=Cur=CNY","WssConvert=0","WssDivide=8","showcodes=N","cols=1;rows=1")</f>
        <v>4.6055400000000004</v>
      </c>
      <c r="I131" s="73">
        <f>[1]!wss($A131:$A131,"hks_fa_grossprofitmargin","rptDate="&amp;($B131-3)&amp;"1231","WssConvert=0","showcodes=N","cols=1;rows=1")</f>
        <v>89.692700000000002</v>
      </c>
      <c r="J131" s="43">
        <f>[1]!wss($A131:$A131,"hks_fa_grossprofitmargin","rptDate="&amp;($B131-2)&amp;"1231","WssConvert=0","showcodes=N","cols=1;rows=1")</f>
        <v>86.699700000000007</v>
      </c>
      <c r="K131" s="43">
        <f>[1]!wss($A131:$A131,"hks_fa_grossprofitmargin","rptDate="&amp;($B131-1)&amp;"1231","WssConvert=0","showcodes=N","cols=1;rows=1")</f>
        <v>87.283299999999997</v>
      </c>
      <c r="L131" s="73">
        <f>[1]!wss($A131:$A131,"hks_fa_roe","rptDate="&amp;($B131-1)&amp;"1231","WssConvert=0","showcodes=N","cols=1;rows=1")</f>
        <v>153.8655</v>
      </c>
      <c r="M131" s="43">
        <f>[1]!wss($A131:$A131,"hks_fa_debttoassets","rptDate="&amp;($B131-1)&amp;"1231","WssConvert=0","showcodes=N","cols=1;rows=1")</f>
        <v>61.162199999999999</v>
      </c>
      <c r="P131" s="50">
        <v>19.653870000000001</v>
      </c>
      <c r="Q131" s="50">
        <v>23.05986</v>
      </c>
      <c r="R131" s="50">
        <v>34.301200000000001</v>
      </c>
      <c r="S131" s="50">
        <v>1.9071899999999999</v>
      </c>
      <c r="T131" s="50">
        <v>2.7236500000000001</v>
      </c>
      <c r="U131" s="50">
        <v>9.2182600000000008</v>
      </c>
      <c r="V131" s="50">
        <v>83.610200000000006</v>
      </c>
      <c r="W131" s="50">
        <v>82.140199999999993</v>
      </c>
      <c r="X131" s="50">
        <v>82.242699999999999</v>
      </c>
    </row>
    <row r="132" spans="1:24">
      <c r="A132" t="s">
        <v>511</v>
      </c>
      <c r="B132" s="17">
        <f>IFERROR(YEAR(VLOOKUP($A132,'01_ipo_master'!$A:$C,3,FALSE)),YEAR(VLOOKUP("0"&amp;$A132,'01_ipo_master'!$A:$C,3,FALSE)))</f>
        <v>2023</v>
      </c>
      <c r="C132" s="73">
        <f>[1]!wss($A132:$A132,"hks_stm_is","item=83","rptDate="&amp;($B132-3)&amp;"1231","rptType=1","currencyType=Cur=CNY","WssConvert=0","WssDivide=8","showcodes=N","cols=1;rows=1")</f>
        <v>13.011570000000001</v>
      </c>
      <c r="D132" s="73">
        <f>[1]!wss($A132:$A132,"hks_stm_is","item=83","rptDate="&amp;($B132-2)&amp;"1231","rptType=1","currencyType=Cur=CNY","WssConvert=0","WssDivide=8","showcodes=N","cols=1;rows=1")</f>
        <v>15.06997</v>
      </c>
      <c r="E132" s="73">
        <f>[1]!wss($A132:$A132,"hks_stm_is","item=83","rptDate="&amp;($B132-1)&amp;"1231","rptType=1","currencyType=Cur=CNY","WssConvert=0","WssDivide=8","showcodes=N","cols=1;rows=1")</f>
        <v>17.29945</v>
      </c>
      <c r="F132" s="73">
        <f>[1]!wss($A132:$A132,"hks_stm_is","item=61","rptDate="&amp;($B132-3)&amp;"1231","rptType=1","currencyType=Cur=CNY","WssConvert=0","WssDivide=8","showcodes=N","cols=1;rows=1")</f>
        <v>1.22017</v>
      </c>
      <c r="G132" s="73">
        <f>[1]!wss($A132:$A132,"hks_stm_is","item=61","rptDate="&amp;($B132-2)&amp;"1231","rptType=1","currencyType=Cur=CNY","WssConvert=0","WssDivide=8","showcodes=N","cols=1;rows=1")</f>
        <v>1.67353</v>
      </c>
      <c r="H132" s="73">
        <f>[1]!wss($A132:$A132,"hks_stm_is","item=61","rptDate="&amp;($B132-1)&amp;"1231","rptType=1","currencyType=Cur=CNY","WssConvert=0","WssDivide=8","showcodes=N","cols=1;rows=1")</f>
        <v>1.9184000000000001</v>
      </c>
      <c r="I132" s="73">
        <f>[1]!wss($A132:$A132,"hks_fa_grossprofitmargin","rptDate="&amp;($B132-3)&amp;"1231","WssConvert=0","showcodes=N","cols=1;rows=1")</f>
        <v>42.708799999999997</v>
      </c>
      <c r="J132" s="43">
        <f>[1]!wss($A132:$A132,"hks_fa_grossprofitmargin","rptDate="&amp;($B132-2)&amp;"1231","WssConvert=0","showcodes=N","cols=1;rows=1")</f>
        <v>48.227200000000003</v>
      </c>
      <c r="K132" s="43">
        <f>[1]!wss($A132:$A132,"hks_fa_grossprofitmargin","rptDate="&amp;($B132-1)&amp;"1231","WssConvert=0","showcodes=N","cols=1;rows=1")</f>
        <v>50.767600000000002</v>
      </c>
      <c r="L132" s="73">
        <f>[1]!wss($A132:$A132,"hks_fa_roe","rptDate="&amp;($B132-1)&amp;"1231","WssConvert=0","showcodes=N","cols=1;rows=1")</f>
        <v>48.484299999999998</v>
      </c>
      <c r="M132" s="43">
        <f>[1]!wss($A132:$A132,"hks_fa_debttoassets","rptDate="&amp;($B132-1)&amp;"1231","WssConvert=0","showcodes=N","cols=1;rows=1")</f>
        <v>51.7547</v>
      </c>
      <c r="P132" s="50">
        <v>19.64237</v>
      </c>
      <c r="Q132" s="50">
        <v>20.5</v>
      </c>
      <c r="R132" s="50">
        <v>20.005690000000001</v>
      </c>
      <c r="S132" s="50">
        <v>2.0121799999999999</v>
      </c>
      <c r="T132" s="50">
        <v>1.5629500000000001</v>
      </c>
      <c r="U132" s="50">
        <v>1.88561</v>
      </c>
      <c r="V132" s="50">
        <v>50.651499999999999</v>
      </c>
      <c r="W132" s="50">
        <v>49.402999999999999</v>
      </c>
      <c r="X132" s="50">
        <v>53.53</v>
      </c>
    </row>
    <row r="133" spans="1:24">
      <c r="A133" t="s">
        <v>513</v>
      </c>
      <c r="B133" s="17">
        <f>IFERROR(YEAR(VLOOKUP($A133,'01_ipo_master'!$A:$C,3,FALSE)),YEAR(VLOOKUP("0"&amp;$A133,'01_ipo_master'!$A:$C,3,FALSE)))</f>
        <v>2023</v>
      </c>
      <c r="C133" s="73">
        <f>[1]!wss($A133:$A133,"hks_stm_is","item=83","rptDate="&amp;($B133-3)&amp;"1231","rptType=1","currencyType=Cur=CNY","WssConvert=0","WssDivide=8","showcodes=N","cols=1;rows=1")</f>
        <v>17.699000000000002</v>
      </c>
      <c r="D133" s="73">
        <f>[1]!wss($A133:$A133,"hks_stm_is","item=83","rptDate="&amp;($B133-2)&amp;"1231","rptType=1","currencyType=Cur=CNY","WssConvert=0","WssDivide=8","showcodes=N","cols=1;rows=1")</f>
        <v>18.233840000000001</v>
      </c>
      <c r="E133" s="73">
        <f>[1]!wss($A133:$A133,"hks_stm_is","item=83","rptDate="&amp;($B133-1)&amp;"1231","rptType=1","currencyType=Cur=CNY","WssConvert=0","WssDivide=8","showcodes=N","cols=1;rows=1")</f>
        <v>18.907969999999999</v>
      </c>
      <c r="F133" s="73">
        <f>[1]!wss($A133:$A133,"hks_stm_is","item=61","rptDate="&amp;($B133-3)&amp;"1231","rptType=1","currencyType=Cur=CNY","WssConvert=0","WssDivide=8","showcodes=N","cols=1;rows=1")</f>
        <v>0.48532999999999998</v>
      </c>
      <c r="G133" s="73">
        <f>[1]!wss($A133:$A133,"hks_stm_is","item=61","rptDate="&amp;($B133-2)&amp;"1231","rptType=1","currencyType=Cur=CNY","WssConvert=0","WssDivide=8","showcodes=N","cols=1;rows=1")</f>
        <v>0.60570000000000002</v>
      </c>
      <c r="H133" s="73">
        <f>[1]!wss($A133:$A133,"hks_stm_is","item=61","rptDate="&amp;($B133-1)&amp;"1231","rptType=1","currencyType=Cur=CNY","WssConvert=0","WssDivide=8","showcodes=N","cols=1;rows=1")</f>
        <v>0.64471000000000001</v>
      </c>
      <c r="I133" s="73">
        <f>[1]!wss($A133:$A133,"hks_fa_grossprofitmargin","rptDate="&amp;($B133-3)&amp;"1231","WssConvert=0","showcodes=N","cols=1;rows=1")</f>
        <v>10.685</v>
      </c>
      <c r="J133" s="43">
        <f>[1]!wss($A133:$A133,"hks_fa_grossprofitmargin","rptDate="&amp;($B133-2)&amp;"1231","WssConvert=0","showcodes=N","cols=1;rows=1")</f>
        <v>10.729900000000001</v>
      </c>
      <c r="K133" s="43">
        <f>[1]!wss($A133:$A133,"hks_fa_grossprofitmargin","rptDate="&amp;($B133-1)&amp;"1231","WssConvert=0","showcodes=N","cols=1;rows=1")</f>
        <v>10.9252</v>
      </c>
      <c r="L133" s="73">
        <f>[1]!wss($A133:$A133,"hks_fa_roe","rptDate="&amp;($B133-1)&amp;"1231","WssConvert=0","showcodes=N","cols=1;rows=1")</f>
        <v>20.303599999999999</v>
      </c>
      <c r="M133" s="43">
        <f>[1]!wss($A133:$A133,"hks_fa_debttoassets","rptDate="&amp;($B133-1)&amp;"1231","WssConvert=0","showcodes=N","cols=1;rows=1")</f>
        <v>79.650300000000001</v>
      </c>
      <c r="P133" s="50">
        <v>19.523869999999999</v>
      </c>
      <c r="Q133" s="50">
        <v>9.3080099999999995</v>
      </c>
      <c r="R133" s="50">
        <v>5.8634599999999999</v>
      </c>
      <c r="S133" s="50">
        <v>0.45277000000000001</v>
      </c>
      <c r="T133" s="50">
        <v>-0.25389</v>
      </c>
      <c r="U133" s="50">
        <v>-0.75492999999999999</v>
      </c>
      <c r="V133" s="50">
        <v>11.072699999999999</v>
      </c>
      <c r="W133" s="50">
        <v>7.6257999999999999</v>
      </c>
      <c r="X133" s="50">
        <v>9.9341000000000008</v>
      </c>
    </row>
    <row r="134" spans="1:24">
      <c r="A134" t="s">
        <v>515</v>
      </c>
      <c r="B134" s="17">
        <f>IFERROR(YEAR(VLOOKUP($A134,'01_ipo_master'!$A:$C,3,FALSE)),YEAR(VLOOKUP("0"&amp;$A134,'01_ipo_master'!$A:$C,3,FALSE)))</f>
        <v>2022</v>
      </c>
      <c r="C134" s="73">
        <f>[1]!wss($A134:$A134,"hks_stm_is","item=83","rptDate="&amp;($B134-3)&amp;"1231","rptType=1","currencyType=Cur=CNY","WssConvert=0","WssDivide=8","showcodes=N","cols=1;rows=1")</f>
        <v>7.4193600000000002</v>
      </c>
      <c r="D134" s="73">
        <f>[1]!wss($A134:$A134,"hks_stm_is","item=83","rptDate="&amp;($B134-2)&amp;"1231","rptType=1","currencyType=Cur=CNY","WssConvert=0","WssDivide=8","showcodes=N","cols=1;rows=1")</f>
        <v>11.439909999999999</v>
      </c>
      <c r="E134" s="73">
        <f>[1]!wss($A134:$A134,"hks_stm_is","item=83","rptDate="&amp;($B134-1)&amp;"1231","rptType=1","currencyType=Cur=CNY","WssConvert=0","WssDivide=8","showcodes=N","cols=1;rows=1")</f>
        <v>16.987210000000001</v>
      </c>
      <c r="F134" s="73">
        <f>[1]!wss($A134:$A134,"hks_stm_is","item=61","rptDate="&amp;($B134-3)&amp;"1231","rptType=1","currencyType=Cur=CNY","WssConvert=0","WssDivide=8","showcodes=N","cols=1;rows=1")</f>
        <v>3.5331399999999999</v>
      </c>
      <c r="G134" s="73">
        <f>[1]!wss($A134:$A134,"hks_stm_is","item=61","rptDate="&amp;($B134-2)&amp;"1231","rptType=1","currencyType=Cur=CNY","WssConvert=0","WssDivide=8","showcodes=N","cols=1;rows=1")</f>
        <v>4.6898600000000004</v>
      </c>
      <c r="H134" s="73">
        <f>[1]!wss($A134:$A134,"hks_stm_is","item=61","rptDate="&amp;($B134-1)&amp;"1231","rptType=1","currencyType=Cur=CNY","WssConvert=0","WssDivide=8","showcodes=N","cols=1;rows=1")</f>
        <v>5.7860700000000005</v>
      </c>
      <c r="I134" s="73">
        <f>[1]!wss($A134:$A134,"hks_fa_grossprofitmargin","rptDate="&amp;($B134-3)&amp;"1231","WssConvert=0","showcodes=N","cols=1;rows=1")</f>
        <v>72.414000000000001</v>
      </c>
      <c r="J134" s="43">
        <f>[1]!wss($A134:$A134,"hks_fa_grossprofitmargin","rptDate="&amp;($B134-2)&amp;"1231","WssConvert=0","showcodes=N","cols=1;rows=1")</f>
        <v>65.529799999999994</v>
      </c>
      <c r="K134" s="43">
        <f>[1]!wss($A134:$A134,"hks_fa_grossprofitmargin","rptDate="&amp;($B134-1)&amp;"1231","WssConvert=0","showcodes=N","cols=1;rows=1")</f>
        <v>59.7729</v>
      </c>
      <c r="L134" s="73">
        <f>[1]!wss($A134:$A134,"hks_fa_roe","rptDate="&amp;($B134-1)&amp;"1231","WssConvert=0","showcodes=N","cols=1;rows=1")</f>
        <v>33.3123</v>
      </c>
      <c r="M134" s="43">
        <f>[1]!wss($A134:$A134,"hks_fa_debttoassets","rptDate="&amp;($B134-1)&amp;"1231","WssConvert=0","showcodes=N","cols=1;rows=1")</f>
        <v>58.857100000000003</v>
      </c>
      <c r="P134" s="50">
        <v>18.815560000000001</v>
      </c>
      <c r="Q134" s="50">
        <v>16.869900000000001</v>
      </c>
      <c r="R134" s="50">
        <v>16.40315</v>
      </c>
      <c r="S134" s="50">
        <v>2.6413000000000002</v>
      </c>
      <c r="T134" s="50">
        <v>6.275E-2</v>
      </c>
      <c r="U134" s="50">
        <v>-2.2842699999999998</v>
      </c>
      <c r="V134" s="50">
        <v>47.491</v>
      </c>
      <c r="W134" s="50">
        <v>37.301499999999997</v>
      </c>
      <c r="X134" s="50">
        <v>28.814599999999999</v>
      </c>
    </row>
    <row r="135" spans="1:24">
      <c r="A135" t="s">
        <v>517</v>
      </c>
      <c r="B135" s="17">
        <f>IFERROR(YEAR(VLOOKUP($A135,'01_ipo_master'!$A:$C,3,FALSE)),YEAR(VLOOKUP("0"&amp;$A135,'01_ipo_master'!$A:$C,3,FALSE)))</f>
        <v>2025</v>
      </c>
      <c r="C135" s="73">
        <f>[1]!wss($A135:$A135,"hks_stm_is","item=83","rptDate="&amp;($B135-3)&amp;"1231","rptType=1","currencyType=Cur=CNY","WssConvert=0","WssDivide=8","showcodes=N","cols=1;rows=1")</f>
        <v>12.0267</v>
      </c>
      <c r="D135" s="73">
        <f>[1]!wss($A135:$A135,"hks_stm_is","item=83","rptDate="&amp;($B135-2)&amp;"1231","rptType=1","currencyType=Cur=CNY","WssConvert=0","WssDivide=8","showcodes=N","cols=1;rows=1")</f>
        <v>18.76989</v>
      </c>
      <c r="E135" s="73">
        <f>[1]!wss($A135:$A135,"hks_stm_is","item=83","rptDate="&amp;($B135-1)&amp;"1231","rptType=1","currencyType=Cur=CNY","WssConvert=0","WssDivide=8","showcodes=N","cols=1;rows=1")</f>
        <v>20.771570000000001</v>
      </c>
      <c r="F135" s="73">
        <f>[1]!wss($A135:$A135,"hks_stm_is","item=61","rptDate="&amp;($B135-3)&amp;"1231","rptType=1","currencyType=Cur=CNY","WssConvert=0","WssDivide=8","showcodes=N","cols=1;rows=1")</f>
        <v>-3.0076499999999999</v>
      </c>
      <c r="G135" s="73">
        <f>[1]!wss($A135:$A135,"hks_stm_is","item=61","rptDate="&amp;($B135-2)&amp;"1231","rptType=1","currencyType=Cur=CNY","WssConvert=0","WssDivide=8","showcodes=N","cols=1;rows=1")</f>
        <v>-4.7596800000000004</v>
      </c>
      <c r="H135" s="73">
        <f>[1]!wss($A135:$A135,"hks_stm_is","item=61","rptDate="&amp;($B135-1)&amp;"1231","rptType=1","currencyType=Cur=CNY","WssConvert=0","WssDivide=8","showcodes=N","cols=1;rows=1")</f>
        <v>-1.02376</v>
      </c>
      <c r="I135" s="73">
        <f>[1]!wss($A135:$A135,"hks_fa_grossprofitmargin","rptDate="&amp;($B135-3)&amp;"1231","WssConvert=0","showcodes=N","cols=1;rows=1")</f>
        <v>39.244900000000001</v>
      </c>
      <c r="J135" s="43">
        <f>[1]!wss($A135:$A135,"hks_fa_grossprofitmargin","rptDate="&amp;($B135-2)&amp;"1231","WssConvert=0","showcodes=N","cols=1;rows=1")</f>
        <v>35.2361</v>
      </c>
      <c r="K135" s="43">
        <f>[1]!wss($A135:$A135,"hks_fa_grossprofitmargin","rptDate="&amp;($B135-1)&amp;"1231","WssConvert=0","showcodes=N","cols=1;rows=1")</f>
        <v>42.586300000000001</v>
      </c>
      <c r="L135" s="73">
        <f>[1]!wss($A135:$A135,"hks_fa_roe","rptDate="&amp;($B135-1)&amp;"1231","WssConvert=0","showcodes=N","cols=1;rows=1")</f>
        <v>-2.6269999999999998</v>
      </c>
      <c r="M135" s="43">
        <f>[1]!wss($A135:$A135,"hks_fa_debttoassets","rptDate="&amp;($B135-1)&amp;"1231","WssConvert=0","showcodes=N","cols=1;rows=1")</f>
        <v>34.357500000000002</v>
      </c>
      <c r="P135" s="50">
        <v>18.76989</v>
      </c>
      <c r="Q135" s="50">
        <v>20.771570000000001</v>
      </c>
      <c r="R135" s="50">
        <v>30.275729999999999</v>
      </c>
      <c r="S135" s="50">
        <v>-4.7596800000000004</v>
      </c>
      <c r="T135" s="50">
        <v>-1.02376</v>
      </c>
      <c r="U135" s="50">
        <v>4.3587999999999996</v>
      </c>
      <c r="V135" s="50">
        <v>35.2361</v>
      </c>
      <c r="W135" s="50">
        <v>42.586300000000001</v>
      </c>
      <c r="X135" s="50">
        <v>41.785800000000002</v>
      </c>
    </row>
    <row r="136" spans="1:24">
      <c r="A136" t="s">
        <v>519</v>
      </c>
      <c r="B136" s="17">
        <f>IFERROR(YEAR(VLOOKUP($A136,'01_ipo_master'!$A:$C,3,FALSE)),YEAR(VLOOKUP("0"&amp;$A136,'01_ipo_master'!$A:$C,3,FALSE)))</f>
        <v>2024</v>
      </c>
      <c r="C136" s="73">
        <f>[1]!wss($A136:$A136,"hks_stm_is","item=83","rptDate="&amp;($B136-3)&amp;"1231","rptType=1","currencyType=Cur=CNY","WssConvert=0","WssDivide=8","showcodes=N","cols=1;rows=1")</f>
        <v>13.883800000000001</v>
      </c>
      <c r="D136" s="73">
        <f>[1]!wss($A136:$A136,"hks_stm_is","item=83","rptDate="&amp;($B136-2)&amp;"1231","rptType=1","currencyType=Cur=CNY","WssConvert=0","WssDivide=8","showcodes=N","cols=1;rows=1")</f>
        <v>14.10632</v>
      </c>
      <c r="E136" s="73">
        <f>[1]!wss($A136:$A136,"hks_stm_is","item=83","rptDate="&amp;($B136-1)&amp;"1231","rptType=1","currencyType=Cur=CNY","WssConvert=0","WssDivide=8","showcodes=N","cols=1;rows=1")</f>
        <v>18.58032</v>
      </c>
      <c r="F136" s="73">
        <f>[1]!wss($A136:$A136,"hks_stm_is","item=61","rptDate="&amp;($B136-3)&amp;"1231","rptType=1","currencyType=Cur=CNY","WssConvert=0","WssDivide=8","showcodes=N","cols=1;rows=1")</f>
        <v>0.85896000000000006</v>
      </c>
      <c r="G136" s="73">
        <f>[1]!wss($A136:$A136,"hks_stm_is","item=61","rptDate="&amp;($B136-2)&amp;"1231","rptType=1","currencyType=Cur=CNY","WssConvert=0","WssDivide=8","showcodes=N","cols=1;rows=1")</f>
        <v>0.40790999999999999</v>
      </c>
      <c r="H136" s="73">
        <f>[1]!wss($A136:$A136,"hks_stm_is","item=61","rptDate="&amp;($B136-1)&amp;"1231","rptType=1","currencyType=Cur=CNY","WssConvert=0","WssDivide=8","showcodes=N","cols=1;rows=1")</f>
        <v>0.66378000000000004</v>
      </c>
      <c r="I136" s="73">
        <f>[1]!wss($A136:$A136,"hks_fa_grossprofitmargin","rptDate="&amp;($B136-3)&amp;"1231","WssConvert=0","showcodes=N","cols=1;rows=1")</f>
        <v>16.442</v>
      </c>
      <c r="J136" s="43">
        <f>[1]!wss($A136:$A136,"hks_fa_grossprofitmargin","rptDate="&amp;($B136-2)&amp;"1231","WssConvert=0","showcodes=N","cols=1;rows=1")</f>
        <v>16.6723</v>
      </c>
      <c r="K136" s="43">
        <f>[1]!wss($A136:$A136,"hks_fa_grossprofitmargin","rptDate="&amp;($B136-1)&amp;"1231","WssConvert=0","showcodes=N","cols=1;rows=1")</f>
        <v>18.245699999999999</v>
      </c>
      <c r="L136" s="73">
        <f>[1]!wss($A136:$A136,"hks_fa_roe","rptDate="&amp;($B136-1)&amp;"1231","WssConvert=0","showcodes=N","cols=1;rows=1")</f>
        <v>6.9256000000000002</v>
      </c>
      <c r="M136" s="43">
        <f>[1]!wss($A136:$A136,"hks_fa_debttoassets","rptDate="&amp;($B136-1)&amp;"1231","WssConvert=0","showcodes=N","cols=1;rows=1")</f>
        <v>57.237699999999997</v>
      </c>
      <c r="P136" s="50">
        <v>18.58032</v>
      </c>
      <c r="Q136" s="50">
        <v>25.920639999999999</v>
      </c>
      <c r="R136" s="50">
        <v>24.31138</v>
      </c>
      <c r="S136" s="50">
        <v>0.66378000000000004</v>
      </c>
      <c r="T136" s="50">
        <v>1.04864</v>
      </c>
      <c r="U136" s="50">
        <v>0.62039</v>
      </c>
      <c r="V136" s="50">
        <v>18.245699999999999</v>
      </c>
      <c r="W136" s="50">
        <v>18.153300000000002</v>
      </c>
      <c r="X136" s="50">
        <v>16.595400000000001</v>
      </c>
    </row>
    <row r="137" spans="1:24">
      <c r="A137" t="s">
        <v>521</v>
      </c>
      <c r="B137" s="17">
        <f>IFERROR(YEAR(VLOOKUP($A137,'01_ipo_master'!$A:$C,3,FALSE)),YEAR(VLOOKUP("0"&amp;$A137,'01_ipo_master'!$A:$C,3,FALSE)))</f>
        <v>2023</v>
      </c>
      <c r="C137" s="73">
        <f>[1]!wss($A137:$A137,"hks_stm_is","item=83","rptDate="&amp;($B137-3)&amp;"1231","rptType=1","currencyType=Cur=CNY","WssConvert=0","WssDivide=8","showcodes=N","cols=1;rows=1")</f>
        <v>11.679310004</v>
      </c>
      <c r="D137" s="73">
        <f>[1]!wss($A137:$A137,"hks_stm_is","item=83","rptDate="&amp;($B137-2)&amp;"1231","rptType=1","currencyType=Cur=CNY","WssConvert=0","WssDivide=8","showcodes=N","cols=1;rows=1")</f>
        <v>23.766123077000003</v>
      </c>
      <c r="E137" s="73">
        <f>[1]!wss($A137:$A137,"hks_stm_is","item=83","rptDate="&amp;($B137-1)&amp;"1231","rptType=1","currencyType=Cur=CNY","WssConvert=0","WssDivide=8","showcodes=N","cols=1;rows=1")</f>
        <v>25.019071872000005</v>
      </c>
      <c r="F137" s="73">
        <f>[1]!wss($A137:$A137,"hks_stm_is","item=61","rptDate="&amp;($B137-3)&amp;"1231","rptType=1","currencyType=Cur=CNY","WssConvert=0","WssDivide=8","showcodes=N","cols=1;rows=1")</f>
        <v>2.9427299000000001E-2</v>
      </c>
      <c r="G137" s="73">
        <f>[1]!wss($A137:$A137,"hks_stm_is","item=61","rptDate="&amp;($B137-2)&amp;"1231","rptType=1","currencyType=Cur=CNY","WssConvert=0","WssDivide=8","showcodes=N","cols=1;rows=1")</f>
        <v>2.1433190689999999</v>
      </c>
      <c r="H137" s="73">
        <f>[1]!wss($A137:$A137,"hks_stm_is","item=61","rptDate="&amp;($B137-1)&amp;"1231","rptType=1","currencyType=Cur=CNY","WssConvert=0","WssDivide=8","showcodes=N","cols=1;rows=1")</f>
        <v>3.9918301360000004</v>
      </c>
      <c r="I137" s="73">
        <f>[1]!wss($A137:$A137,"hks_fa_grossprofitmargin","rptDate="&amp;($B137-3)&amp;"1231","WssConvert=0","showcodes=N","cols=1;rows=1")</f>
        <v>7.1128999999999998</v>
      </c>
      <c r="J137" s="43">
        <f>[1]!wss($A137:$A137,"hks_fa_grossprofitmargin","rptDate="&amp;($B137-2)&amp;"1231","WssConvert=0","showcodes=N","cols=1;rows=1")</f>
        <v>15.4666</v>
      </c>
      <c r="K137" s="43">
        <f>[1]!wss($A137:$A137,"hks_fa_grossprofitmargin","rptDate="&amp;($B137-1)&amp;"1231","WssConvert=0","showcodes=N","cols=1;rows=1")</f>
        <v>17.366700000000002</v>
      </c>
      <c r="L137" s="73">
        <f>[1]!wss($A137:$A137,"hks_fa_roe","rptDate="&amp;($B137-1)&amp;"1231","WssConvert=0","showcodes=N","cols=1;rows=1")</f>
        <v>75.452500000000001</v>
      </c>
      <c r="M137" s="43">
        <f>[1]!wss($A137:$A137,"hks_fa_debttoassets","rptDate="&amp;($B137-1)&amp;"1231","WssConvert=0","showcodes=N","cols=1;rows=1")</f>
        <v>62.0501</v>
      </c>
      <c r="P137" s="50">
        <v>18.354392088000001</v>
      </c>
      <c r="Q137" s="50">
        <v>20.281064224000001</v>
      </c>
      <c r="R137" s="50">
        <v>22.762487648</v>
      </c>
      <c r="S137" s="50">
        <v>1.502311497</v>
      </c>
      <c r="T137" s="50">
        <v>5.0563205599999996</v>
      </c>
      <c r="U137" s="50">
        <v>2.5289622399999998</v>
      </c>
      <c r="V137" s="50">
        <v>15.4818</v>
      </c>
      <c r="W137" s="50">
        <v>22.817399999999999</v>
      </c>
      <c r="X137" s="50">
        <v>16.8169</v>
      </c>
    </row>
    <row r="138" spans="1:24">
      <c r="A138" t="s">
        <v>523</v>
      </c>
      <c r="B138" s="17">
        <f>IFERROR(YEAR(VLOOKUP($A138,'01_ipo_master'!$A:$C,3,FALSE)),YEAR(VLOOKUP("0"&amp;$A138,'01_ipo_master'!$A:$C,3,FALSE)))</f>
        <v>2022</v>
      </c>
      <c r="C138" s="73">
        <f>[1]!wss($A138:$A138,"hks_stm_is","item=83","rptDate="&amp;($B138-3)&amp;"1231","rptType=1","currencyType=Cur=CNY","WssConvert=0","WssDivide=8","showcodes=N","cols=1;rows=1")</f>
        <v>5.0033900000000004</v>
      </c>
      <c r="D138" s="73">
        <f>[1]!wss($A138:$A138,"hks_stm_is","item=83","rptDate="&amp;($B138-2)&amp;"1231","rptType=1","currencyType=Cur=CNY","WssConvert=0","WssDivide=8","showcodes=N","cols=1;rows=1")</f>
        <v>10.226129999999999</v>
      </c>
      <c r="E138" s="73">
        <f>[1]!wss($A138:$A138,"hks_stm_is","item=83","rptDate="&amp;($B138-1)&amp;"1231","rptType=1","currencyType=Cur=CNY","WssConvert=0","WssDivide=8","showcodes=N","cols=1;rows=1")</f>
        <v>13.30402</v>
      </c>
      <c r="F138" s="73">
        <f>[1]!wss($A138:$A138,"hks_stm_is","item=61","rptDate="&amp;($B138-3)&amp;"1231","rptType=1","currencyType=Cur=CNY","WssConvert=0","WssDivide=8","showcodes=N","cols=1;rows=1")</f>
        <v>-0.60187000000000002</v>
      </c>
      <c r="G138" s="73">
        <f>[1]!wss($A138:$A138,"hks_stm_is","item=61","rptDate="&amp;($B138-2)&amp;"1231","rptType=1","currencyType=Cur=CNY","WssConvert=0","WssDivide=8","showcodes=N","cols=1;rows=1")</f>
        <v>-1.77302</v>
      </c>
      <c r="H138" s="73">
        <f>[1]!wss($A138:$A138,"hks_stm_is","item=61","rptDate="&amp;($B138-1)&amp;"1231","rptType=1","currencyType=Cur=CNY","WssConvert=0","WssDivide=8","showcodes=N","cols=1;rows=1")</f>
        <v>-4.4870200000000002</v>
      </c>
      <c r="I138" s="73">
        <f>[1]!wss($A138:$A138,"hks_fa_grossprofitmargin","rptDate="&amp;($B138-3)&amp;"1231","WssConvert=0","showcodes=N","cols=1;rows=1")</f>
        <v>16.009499999999999</v>
      </c>
      <c r="J138" s="43">
        <f>[1]!wss($A138:$A138,"hks_fa_grossprofitmargin","rptDate="&amp;($B138-2)&amp;"1231","WssConvert=0","showcodes=N","cols=1;rows=1")</f>
        <v>14.367699999999999</v>
      </c>
      <c r="K138" s="43">
        <f>[1]!wss($A138:$A138,"hks_fa_grossprofitmargin","rptDate="&amp;($B138-1)&amp;"1231","WssConvert=0","showcodes=N","cols=1;rows=1")</f>
        <v>14.517099999999999</v>
      </c>
      <c r="L138" s="73" t="str">
        <f>[1]!wss($A138:$A138,"hks_fa_roe","rptDate="&amp;($B138-1)&amp;"1231","WssConvert=0","showcodes=N","cols=1;rows=1")</f>
        <v/>
      </c>
      <c r="M138" s="43">
        <f>[1]!wss($A138:$A138,"hks_fa_debttoassets","rptDate="&amp;($B138-1)&amp;"1231","WssConvert=0","showcodes=N","cols=1;rows=1")</f>
        <v>153.5078</v>
      </c>
      <c r="P138" s="50">
        <v>17.93093</v>
      </c>
      <c r="Q138" s="50">
        <v>23.717189999999999</v>
      </c>
      <c r="R138" s="50">
        <v>23.916620000000002</v>
      </c>
      <c r="S138" s="50">
        <v>-1.3126800000000001</v>
      </c>
      <c r="T138" s="50">
        <v>-0.56952000000000003</v>
      </c>
      <c r="U138" s="50">
        <v>0.13544</v>
      </c>
      <c r="V138" s="50">
        <v>8.2332999999999998</v>
      </c>
      <c r="W138" s="50">
        <v>8.2807999999999993</v>
      </c>
      <c r="X138" s="50">
        <v>10.374700000000001</v>
      </c>
    </row>
    <row r="139" spans="1:24">
      <c r="A139" t="s">
        <v>525</v>
      </c>
      <c r="B139" s="17">
        <f>IFERROR(YEAR(VLOOKUP($A139,'01_ipo_master'!$A:$C,3,FALSE)),YEAR(VLOOKUP("0"&amp;$A139,'01_ipo_master'!$A:$C,3,FALSE)))</f>
        <v>2025</v>
      </c>
      <c r="C139" s="73">
        <f>[1]!wss($A139:$A139,"hks_stm_is","item=83","rptDate="&amp;($B139-3)&amp;"1231","rptType=1","currencyType=Cur=CNY","WssConvert=0","WssDivide=8","showcodes=N","cols=1;rows=1")</f>
        <v>1.6E-2</v>
      </c>
      <c r="D139" s="73">
        <f>[1]!wss($A139:$A139,"hks_stm_is","item=83","rptDate="&amp;($B139-2)&amp;"1231","rptType=1","currencyType=Cur=CNY","WssConvert=0","WssDivide=8","showcodes=N","cols=1;rows=1")</f>
        <v>17.865400000000001</v>
      </c>
      <c r="E139" s="73">
        <f>[1]!wss($A139:$A139,"hks_stm_is","item=83","rptDate="&amp;($B139-1)&amp;"1231","rptType=1","currencyType=Cur=CNY","WssConvert=0","WssDivide=8","showcodes=N","cols=1;rows=1")</f>
        <v>19.412569999999999</v>
      </c>
      <c r="F139" s="73">
        <f>[1]!wss($A139:$A139,"hks_stm_is","item=61","rptDate="&amp;($B139-3)&amp;"1231","rptType=1","currencyType=Cur=CNY","WssConvert=0","WssDivide=8","showcodes=N","cols=1;rows=1")</f>
        <v>-3.8709000000000002</v>
      </c>
      <c r="G139" s="73">
        <f>[1]!wss($A139:$A139,"hks_stm_is","item=61","rptDate="&amp;($B139-2)&amp;"1231","rptType=1","currencyType=Cur=CNY","WssConvert=0","WssDivide=8","showcodes=N","cols=1;rows=1")</f>
        <v>-3.5751200000000001</v>
      </c>
      <c r="H139" s="73">
        <f>[1]!wss($A139:$A139,"hks_stm_is","item=61","rptDate="&amp;($B139-1)&amp;"1231","rptType=1","currencyType=Cur=CNY","WssConvert=0","WssDivide=8","showcodes=N","cols=1;rows=1")</f>
        <v>-10.504340000000001</v>
      </c>
      <c r="I139" s="73" t="str">
        <f>[1]!wss($A139:$A139,"hks_fa_grossprofitmargin","rptDate="&amp;($B139-3)&amp;"1231","WssConvert=0","showcodes=N","cols=1;rows=1")</f>
        <v/>
      </c>
      <c r="J139" s="43">
        <f>[1]!wss($A139:$A139,"hks_fa_grossprofitmargin","rptDate="&amp;($B139-2)&amp;"1231","WssConvert=0","showcodes=N","cols=1;rows=1")</f>
        <v>76.062399999999997</v>
      </c>
      <c r="K139" s="43">
        <f>[1]!wss($A139:$A139,"hks_fa_grossprofitmargin","rptDate="&amp;($B139-1)&amp;"1231","WssConvert=0","showcodes=N","cols=1;rows=1")</f>
        <v>40.4206</v>
      </c>
      <c r="L139" s="73" t="str">
        <f>[1]!wss($A139:$A139,"hks_fa_roe","rptDate="&amp;($B139-1)&amp;"1231","WssConvert=0","showcodes=N","cols=1;rows=1")</f>
        <v/>
      </c>
      <c r="M139" s="43">
        <f>[1]!wss($A139:$A139,"hks_fa_debttoassets","rptDate="&amp;($B139-1)&amp;"1231","WssConvert=0","showcodes=N","cols=1;rows=1")</f>
        <v>196.7313</v>
      </c>
      <c r="P139" s="50">
        <v>17.865400000000001</v>
      </c>
      <c r="Q139" s="50">
        <v>19.412569999999999</v>
      </c>
      <c r="R139" s="50">
        <v>18.51735</v>
      </c>
      <c r="S139" s="50">
        <v>-3.5751200000000001</v>
      </c>
      <c r="T139" s="50">
        <v>-10.504339999999999</v>
      </c>
      <c r="U139" s="50">
        <v>-25.948270000000001</v>
      </c>
      <c r="V139" s="50">
        <v>76.062399999999997</v>
      </c>
      <c r="W139" s="50">
        <v>40.4206</v>
      </c>
      <c r="X139" s="50">
        <v>31.812999999999999</v>
      </c>
    </row>
    <row r="140" spans="1:24">
      <c r="A140" t="s">
        <v>527</v>
      </c>
      <c r="B140" s="17">
        <f>IFERROR(YEAR(VLOOKUP($A140,'01_ipo_master'!$A:$C,3,FALSE)),YEAR(VLOOKUP("0"&amp;$A140,'01_ipo_master'!$A:$C,3,FALSE)))</f>
        <v>2022</v>
      </c>
      <c r="C140" s="73">
        <f>[1]!wss($A140:$A140,"hks_stm_is","item=83","rptDate="&amp;($B140-3)&amp;"1231","rptType=1","currencyType=Cur=CNY","WssConvert=0","WssDivide=8","showcodes=N","cols=1;rows=1")</f>
        <v>2.2914099999999999</v>
      </c>
      <c r="D140" s="73">
        <f>[1]!wss($A140:$A140,"hks_stm_is","item=83","rptDate="&amp;($B140-2)&amp;"1231","rptType=1","currencyType=Cur=CNY","WssConvert=0","WssDivide=8","showcodes=N","cols=1;rows=1")</f>
        <v>4.62324</v>
      </c>
      <c r="E140" s="73">
        <f>[1]!wss($A140:$A140,"hks_stm_is","item=83","rptDate="&amp;($B140-1)&amp;"1231","rptType=1","currencyType=Cur=CNY","WssConvert=0","WssDivide=8","showcodes=N","cols=1;rows=1")</f>
        <v>8.6116799999999998</v>
      </c>
      <c r="F140" s="73">
        <f>[1]!wss($A140:$A140,"hks_stm_is","item=61","rptDate="&amp;($B140-3)&amp;"1231","rptType=1","currencyType=Cur=CNY","WssConvert=0","WssDivide=8","showcodes=N","cols=1;rows=1")</f>
        <v>-2.4422700000000002</v>
      </c>
      <c r="G140" s="73">
        <f>[1]!wss($A140:$A140,"hks_stm_is","item=61","rptDate="&amp;($B140-2)&amp;"1231","rptType=1","currencyType=Cur=CNY","WssConvert=0","WssDivide=8","showcodes=N","cols=1;rows=1")</f>
        <v>-3.6099900000000003</v>
      </c>
      <c r="H140" s="73">
        <f>[1]!wss($A140:$A140,"hks_stm_is","item=61","rptDate="&amp;($B140-1)&amp;"1231","rptType=1","currencyType=Cur=CNY","WssConvert=0","WssDivide=8","showcodes=N","cols=1;rows=1")</f>
        <v>-6.36599</v>
      </c>
      <c r="I140" s="73">
        <f>[1]!wss($A140:$A140,"hks_fa_grossprofitmargin","rptDate="&amp;($B140-3)&amp;"1231","WssConvert=0","showcodes=N","cols=1;rows=1")</f>
        <v>31.252800000000001</v>
      </c>
      <c r="J140" s="43">
        <f>[1]!wss($A140:$A140,"hks_fa_grossprofitmargin","rptDate="&amp;($B140-2)&amp;"1231","WssConvert=0","showcodes=N","cols=1;rows=1")</f>
        <v>29.118300000000001</v>
      </c>
      <c r="K140" s="43">
        <f>[1]!wss($A140:$A140,"hks_fa_grossprofitmargin","rptDate="&amp;($B140-1)&amp;"1231","WssConvert=0","showcodes=N","cols=1;rows=1")</f>
        <v>31.032399999999999</v>
      </c>
      <c r="L140" s="73">
        <f>[1]!wss($A140:$A140,"hks_fa_roe","rptDate="&amp;($B140-1)&amp;"1231","WssConvert=0","showcodes=N","cols=1;rows=1")</f>
        <v>-100.47839999999999</v>
      </c>
      <c r="M140" s="43">
        <f>[1]!wss($A140:$A140,"hks_fa_debttoassets","rptDate="&amp;($B140-1)&amp;"1231","WssConvert=0","showcodes=N","cols=1;rows=1")</f>
        <v>20.733699999999999</v>
      </c>
      <c r="P140" s="50">
        <v>17.510449999999999</v>
      </c>
      <c r="Q140" s="50">
        <v>12.21768</v>
      </c>
      <c r="R140" s="50">
        <v>15.125579999999999</v>
      </c>
      <c r="S140" s="50">
        <v>-5.8233699999999997</v>
      </c>
      <c r="T140" s="50">
        <v>-5.9381000000000004</v>
      </c>
      <c r="U140" s="50">
        <v>-2.5007899999999998</v>
      </c>
      <c r="V140" s="50">
        <v>33.607599999999998</v>
      </c>
      <c r="W140" s="50">
        <v>34.627800000000001</v>
      </c>
      <c r="X140" s="50">
        <v>34.979999999999997</v>
      </c>
    </row>
    <row r="141" spans="1:24">
      <c r="A141" t="s">
        <v>529</v>
      </c>
      <c r="B141" s="17">
        <f>IFERROR(YEAR(VLOOKUP($A141,'01_ipo_master'!$A:$C,3,FALSE)),YEAR(VLOOKUP("0"&amp;$A141,'01_ipo_master'!$A:$C,3,FALSE)))</f>
        <v>2025</v>
      </c>
      <c r="C141" s="73">
        <f>[1]!wss($A141:$A141,"hks_stm_is","item=83","rptDate="&amp;($B141-3)&amp;"1231","rptType=1","currencyType=Cur=CNY","WssConvert=0","WssDivide=8","showcodes=N","cols=1;rows=1")</f>
        <v>16.74654</v>
      </c>
      <c r="D141" s="73">
        <f>[1]!wss($A141:$A141,"hks_stm_is","item=83","rptDate="&amp;($B141-2)&amp;"1231","rptType=1","currencyType=Cur=CNY","WssConvert=0","WssDivide=8","showcodes=N","cols=1;rows=1")</f>
        <v>16.991440000000001</v>
      </c>
      <c r="E141" s="73">
        <f>[1]!wss($A141:$A141,"hks_stm_is","item=83","rptDate="&amp;($B141-1)&amp;"1231","rptType=1","currencyType=Cur=CNY","WssConvert=0","WssDivide=8","showcodes=N","cols=1;rows=1")</f>
        <v>18.637609999999999</v>
      </c>
      <c r="F141" s="73">
        <f>[1]!wss($A141:$A141,"hks_stm_is","item=61","rptDate="&amp;($B141-3)&amp;"1231","rptType=1","currencyType=Cur=CNY","WssConvert=0","WssDivide=8","showcodes=N","cols=1;rows=1")</f>
        <v>1.7088700000000001</v>
      </c>
      <c r="G141" s="73">
        <f>[1]!wss($A141:$A141,"hks_stm_is","item=61","rptDate="&amp;($B141-2)&amp;"1231","rptType=1","currencyType=Cur=CNY","WssConvert=0","WssDivide=8","showcodes=N","cols=1;rows=1")</f>
        <v>1.73106</v>
      </c>
      <c r="H141" s="73">
        <f>[1]!wss($A141:$A141,"hks_stm_is","item=61","rptDate="&amp;($B141-1)&amp;"1231","rptType=1","currencyType=Cur=CNY","WssConvert=0","WssDivide=8","showcodes=N","cols=1;rows=1")</f>
        <v>2.06473</v>
      </c>
      <c r="I141" s="73">
        <f>[1]!wss($A141:$A141,"hks_fa_grossprofitmargin","rptDate="&amp;($B141-3)&amp;"1231","WssConvert=0","showcodes=N","cols=1;rows=1")</f>
        <v>51.439500000000002</v>
      </c>
      <c r="J141" s="43">
        <f>[1]!wss($A141:$A141,"hks_fa_grossprofitmargin","rptDate="&amp;($B141-2)&amp;"1231","WssConvert=0","showcodes=N","cols=1;rows=1")</f>
        <v>50.377800000000001</v>
      </c>
      <c r="K141" s="43">
        <f>[1]!wss($A141:$A141,"hks_fa_grossprofitmargin","rptDate="&amp;($B141-1)&amp;"1231","WssConvert=0","showcodes=N","cols=1;rows=1")</f>
        <v>50.3386</v>
      </c>
      <c r="L141" s="73">
        <f>[1]!wss($A141:$A141,"hks_fa_roe","rptDate="&amp;($B141-1)&amp;"1231","WssConvert=0","showcodes=N","cols=1;rows=1")</f>
        <v>41.546199999999999</v>
      </c>
      <c r="M141" s="43">
        <f>[1]!wss($A141:$A141,"hks_fa_debttoassets","rptDate="&amp;($B141-1)&amp;"1231","WssConvert=0","showcodes=N","cols=1;rows=1")</f>
        <v>55.627400000000002</v>
      </c>
      <c r="P141" s="50">
        <v>16.991440000000001</v>
      </c>
      <c r="Q141" s="50">
        <v>18.637609999999999</v>
      </c>
      <c r="R141" s="50">
        <v>20.833629999999999</v>
      </c>
      <c r="S141" s="50">
        <v>1.73106</v>
      </c>
      <c r="T141" s="50">
        <v>2.06473</v>
      </c>
      <c r="U141" s="50">
        <v>2.2702900000000001</v>
      </c>
      <c r="V141" s="50">
        <v>50.377800000000001</v>
      </c>
      <c r="W141" s="50">
        <v>50.3386</v>
      </c>
      <c r="X141" s="50">
        <v>50.308900000000001</v>
      </c>
    </row>
    <row r="142" spans="1:24">
      <c r="A142" t="s">
        <v>531</v>
      </c>
      <c r="B142" s="17">
        <f>IFERROR(YEAR(VLOOKUP($A142,'01_ipo_master'!$A:$C,3,FALSE)),YEAR(VLOOKUP("0"&amp;$A142,'01_ipo_master'!$A:$C,3,FALSE)))</f>
        <v>2025</v>
      </c>
      <c r="C142" s="73">
        <f>[1]!wss($A142:$A142,"hks_stm_is","item=83","rptDate="&amp;($B142-3)&amp;"1231","rptType=1","currencyType=Cur=CNY","WssConvert=0","WssDivide=8","showcodes=N","cols=1;rows=1")</f>
        <v>8.0625800000000005</v>
      </c>
      <c r="D142" s="73">
        <f>[1]!wss($A142:$A142,"hks_stm_is","item=83","rptDate="&amp;($B142-2)&amp;"1231","rptType=1","currencyType=Cur=CNY","WssConvert=0","WssDivide=8","showcodes=N","cols=1;rows=1")</f>
        <v>16.34395</v>
      </c>
      <c r="E142" s="73">
        <f>[1]!wss($A142:$A142,"hks_stm_is","item=83","rptDate="&amp;($B142-1)&amp;"1231","rptType=1","currencyType=Cur=CNY","WssConvert=0","WssDivide=8","showcodes=N","cols=1;rows=1")</f>
        <v>13.87086</v>
      </c>
      <c r="F142" s="73">
        <f>[1]!wss($A142:$A142,"hks_stm_is","item=61","rptDate="&amp;($B142-3)&amp;"1231","rptType=1","currencyType=Cur=CNY","WssConvert=0","WssDivide=8","showcodes=N","cols=1;rows=1")</f>
        <v>1.30881</v>
      </c>
      <c r="G142" s="73">
        <f>[1]!wss($A142:$A142,"hks_stm_is","item=61","rptDate="&amp;($B142-2)&amp;"1231","rptType=1","currencyType=Cur=CNY","WssConvert=0","WssDivide=8","showcodes=N","cols=1;rows=1")</f>
        <v>-3.5616400000000001</v>
      </c>
      <c r="H142" s="73">
        <f>[1]!wss($A142:$A142,"hks_stm_is","item=61","rptDate="&amp;($B142-1)&amp;"1231","rptType=1","currencyType=Cur=CNY","WssConvert=0","WssDivide=8","showcodes=N","cols=1;rows=1")</f>
        <v>-1.3611599999999999</v>
      </c>
      <c r="I142" s="73">
        <f>[1]!wss($A142:$A142,"hks_fa_grossprofitmargin","rptDate="&amp;($B142-3)&amp;"1231","WssConvert=0","showcodes=N","cols=1;rows=1")</f>
        <v>34.780200000000001</v>
      </c>
      <c r="J142" s="43">
        <f>[1]!wss($A142:$A142,"hks_fa_grossprofitmargin","rptDate="&amp;($B142-2)&amp;"1231","WssConvert=0","showcodes=N","cols=1;rows=1")</f>
        <v>33.761699999999998</v>
      </c>
      <c r="K142" s="43">
        <f>[1]!wss($A142:$A142,"hks_fa_grossprofitmargin","rptDate="&amp;($B142-1)&amp;"1231","WssConvert=0","showcodes=N","cols=1;rows=1")</f>
        <v>38.128900000000002</v>
      </c>
      <c r="L142" s="73" t="str">
        <f>[1]!wss($A142:$A142,"hks_fa_roe","rptDate="&amp;($B142-1)&amp;"1231","WssConvert=0","showcodes=N","cols=1;rows=1")</f>
        <v/>
      </c>
      <c r="M142" s="43">
        <f>[1]!wss($A142:$A142,"hks_fa_debttoassets","rptDate="&amp;($B142-1)&amp;"1231","WssConvert=0","showcodes=N","cols=1;rows=1")</f>
        <v>140.29</v>
      </c>
      <c r="P142" s="50">
        <v>16.34395</v>
      </c>
      <c r="Q142" s="50">
        <v>13.87086</v>
      </c>
      <c r="R142" s="50">
        <v>14.692489999999999</v>
      </c>
      <c r="S142" s="50">
        <v>-3.5616400000000001</v>
      </c>
      <c r="T142" s="50">
        <v>-1.3611599999999999</v>
      </c>
      <c r="U142" s="50">
        <v>7.9331699999999996</v>
      </c>
      <c r="V142" s="50">
        <v>33.761699999999998</v>
      </c>
      <c r="W142" s="50">
        <v>38.128900000000002</v>
      </c>
      <c r="X142" s="50">
        <v>32.863900000000001</v>
      </c>
    </row>
    <row r="143" spans="1:24">
      <c r="A143" t="s">
        <v>533</v>
      </c>
      <c r="B143" s="17">
        <f>IFERROR(YEAR(VLOOKUP($A143,'01_ipo_master'!$A:$C,3,FALSE)),YEAR(VLOOKUP("0"&amp;$A143,'01_ipo_master'!$A:$C,3,FALSE)))</f>
        <v>2026</v>
      </c>
      <c r="C143" s="73">
        <f>[1]!wss($A143:$A143,"hks_stm_is","item=83","rptDate="&amp;($B143-3)&amp;"1231","rptType=1","currencyType=Cur=CNY","WssConvert=0","WssDivide=8","showcodes=N","cols=1;rows=1")</f>
        <v>16.343109999999999</v>
      </c>
      <c r="D143" s="73">
        <f>[1]!wss($A143:$A143,"hks_stm_is","item=83","rptDate="&amp;($B143-2)&amp;"1231","rptType=1","currencyType=Cur=CNY","WssConvert=0","WssDivide=8","showcodes=N","cols=1;rows=1")</f>
        <v>33.430909999999997</v>
      </c>
      <c r="E143" s="73">
        <f>[1]!wss($A143:$A143,"hks_stm_is","item=83","rptDate="&amp;($B143-1)&amp;"1231","rptType=1","currencyType=Cur=CNY","WssConvert=0","WssDivide=8","showcodes=N","cols=1;rows=1")</f>
        <v>57.729350000000004</v>
      </c>
      <c r="F143" s="73">
        <f>[1]!wss($A143:$A143,"hks_stm_is","item=61","rptDate="&amp;($B143-3)&amp;"1231","rptType=1","currencyType=Cur=CNY","WssConvert=0","WssDivide=8","showcodes=N","cols=1;rows=1")</f>
        <v>1.3554600000000001</v>
      </c>
      <c r="G143" s="73">
        <f>[1]!wss($A143:$A143,"hks_stm_is","item=61","rptDate="&amp;($B143-2)&amp;"1231","rptType=1","currencyType=Cur=CNY","WssConvert=0","WssDivide=8","showcodes=N","cols=1;rows=1")</f>
        <v>3.0118</v>
      </c>
      <c r="H143" s="73">
        <f>[1]!wss($A143:$A143,"hks_stm_is","item=61","rptDate="&amp;($B143-1)&amp;"1231","rptType=1","currencyType=Cur=CNY","WssConvert=0","WssDivide=8","showcodes=N","cols=1;rows=1")</f>
        <v>8.2426700000000004</v>
      </c>
      <c r="I143" s="73">
        <f>[1]!wss($A143:$A143,"hks_fa_grossprofitmargin","rptDate="&amp;($B143-3)&amp;"1231","WssConvert=0","showcodes=N","cols=1;rows=1")</f>
        <v>29.179600000000001</v>
      </c>
      <c r="J143" s="43">
        <f>[1]!wss($A143:$A143,"hks_fa_grossprofitmargin","rptDate="&amp;($B143-2)&amp;"1231","WssConvert=0","showcodes=N","cols=1;rows=1")</f>
        <v>27.150600000000001</v>
      </c>
      <c r="K143" s="43">
        <f>[1]!wss($A143:$A143,"hks_fa_grossprofitmargin","rptDate="&amp;($B143-1)&amp;"1231","WssConvert=0","showcodes=N","cols=1;rows=1")</f>
        <v>34.093000000000004</v>
      </c>
      <c r="L143" s="73">
        <f>[1]!wss($A143:$A143,"hks_fa_roe","rptDate="&amp;($B143-1)&amp;"1231","WssConvert=0","showcodes=N","cols=1;rows=1")</f>
        <v>14.722</v>
      </c>
      <c r="M143" s="43">
        <f>[1]!wss($A143:$A143,"hks_fa_debttoassets","rptDate="&amp;($B143-1)&amp;"1231","WssConvert=0","showcodes=N","cols=1;rows=1")</f>
        <v>42.676699999999997</v>
      </c>
      <c r="P143" s="50">
        <v>16.343109999999999</v>
      </c>
      <c r="Q143" s="50">
        <v>33.430909999999997</v>
      </c>
      <c r="R143" s="50">
        <v>57.729349999999997</v>
      </c>
      <c r="S143" s="50">
        <v>1.3554600000000001</v>
      </c>
      <c r="T143" s="50">
        <v>3.0118</v>
      </c>
      <c r="U143" s="50">
        <v>8.2426700000000004</v>
      </c>
      <c r="V143" s="50">
        <v>29.179600000000001</v>
      </c>
      <c r="W143" s="50">
        <v>27.150600000000001</v>
      </c>
      <c r="X143" s="50">
        <v>34.093000000000004</v>
      </c>
    </row>
    <row r="144" spans="1:24">
      <c r="A144" t="s">
        <v>536</v>
      </c>
      <c r="B144" s="17">
        <f>IFERROR(YEAR(VLOOKUP($A144,'01_ipo_master'!$A:$C,3,FALSE)),YEAR(VLOOKUP("0"&amp;$A144,'01_ipo_master'!$A:$C,3,FALSE)))</f>
        <v>2022</v>
      </c>
      <c r="C144" s="73">
        <f>[1]!wss($A144:$A144,"hks_stm_is","item=83","rptDate="&amp;($B144-3)&amp;"1231","rptType=1","currencyType=Cur=CNY","WssConvert=0","WssDivide=8","showcodes=N","cols=1;rows=1")</f>
        <v>7.3800522180000012</v>
      </c>
      <c r="D144" s="73">
        <f>[1]!wss($A144:$A144,"hks_stm_is","item=83","rptDate="&amp;($B144-2)&amp;"1231","rptType=1","currencyType=Cur=CNY","WssConvert=0","WssDivide=8","showcodes=N","cols=1;rows=1")</f>
        <v>11.736598625999999</v>
      </c>
      <c r="E144" s="73">
        <f>[1]!wss($A144:$A144,"hks_stm_is","item=83","rptDate="&amp;($B144-1)&amp;"1231","rptType=1","currencyType=Cur=CNY","WssConvert=0","WssDivide=8","showcodes=N","cols=1;rows=1")</f>
        <v>19.259459532000001</v>
      </c>
      <c r="F144" s="73">
        <f>[1]!wss($A144:$A144,"hks_stm_is","item=61","rptDate="&amp;($B144-3)&amp;"1231","rptType=1","currencyType=Cur=CNY","WssConvert=0","WssDivide=8","showcodes=N","cols=1;rows=1")</f>
        <v>-4.9166164740000005</v>
      </c>
      <c r="G144" s="73">
        <f>[1]!wss($A144:$A144,"hks_stm_is","item=61","rptDate="&amp;($B144-2)&amp;"1231","rptType=1","currencyType=Cur=CNY","WssConvert=0","WssDivide=8","showcodes=N","cols=1;rows=1")</f>
        <v>-4.3659410879999996</v>
      </c>
      <c r="H144" s="73">
        <f>[1]!wss($A144:$A144,"hks_stm_is","item=61","rptDate="&amp;($B144-1)&amp;"1231","rptType=1","currencyType=Cur=CNY","WssConvert=0","WssDivide=8","showcodes=N","cols=1;rows=1")</f>
        <v>-11.184507968</v>
      </c>
      <c r="I144" s="73">
        <f>[1]!wss($A144:$A144,"hks_fa_grossprofitmargin","rptDate="&amp;($B144-3)&amp;"1231","WssConvert=0","showcodes=N","cols=1;rows=1")</f>
        <v>26.265499999999999</v>
      </c>
      <c r="J144" s="43">
        <f>[1]!wss($A144:$A144,"hks_fa_grossprofitmargin","rptDate="&amp;($B144-2)&amp;"1231","WssConvert=0","showcodes=N","cols=1;rows=1")</f>
        <v>34.433500000000002</v>
      </c>
      <c r="K144" s="43">
        <f>[1]!wss($A144:$A144,"hks_fa_grossprofitmargin","rptDate="&amp;($B144-1)&amp;"1231","WssConvert=0","showcodes=N","cols=1;rows=1")</f>
        <v>42.3294</v>
      </c>
      <c r="L144" s="73">
        <f>[1]!wss($A144:$A144,"hks_fa_roe","rptDate="&amp;($B144-1)&amp;"1231","WssConvert=0","showcodes=N","cols=1;rows=1")</f>
        <v>-27.353100000000001</v>
      </c>
      <c r="M144" s="43">
        <f>[1]!wss($A144:$A144,"hks_fa_debttoassets","rptDate="&amp;($B144-1)&amp;"1231","WssConvert=0","showcodes=N","cols=1;rows=1")</f>
        <v>10.7751</v>
      </c>
      <c r="P144" s="50">
        <v>16.289501730000001</v>
      </c>
      <c r="Q144" s="50">
        <v>21.465784427999999</v>
      </c>
      <c r="R144" s="50">
        <v>22.618045808000002</v>
      </c>
      <c r="S144" s="50">
        <v>-4.2719305050000003</v>
      </c>
      <c r="T144" s="50">
        <v>0.35920434800000001</v>
      </c>
      <c r="U144" s="50">
        <v>4.0689723200000003</v>
      </c>
      <c r="V144" s="50">
        <v>46.373800000000003</v>
      </c>
      <c r="W144" s="50">
        <v>47.361699999999999</v>
      </c>
      <c r="X144" s="50">
        <v>48.180700000000002</v>
      </c>
    </row>
    <row r="145" spans="1:24">
      <c r="A145" t="s">
        <v>538</v>
      </c>
      <c r="B145" s="17">
        <f>IFERROR(YEAR(VLOOKUP($A145,'01_ipo_master'!$A:$C,3,FALSE)),YEAR(VLOOKUP("0"&amp;$A145,'01_ipo_master'!$A:$C,3,FALSE)))</f>
        <v>2024</v>
      </c>
      <c r="C145" s="73">
        <f>[1]!wss($A145:$A145,"hks_stm_is","item=83","rptDate="&amp;($B145-3)&amp;"1231","rptType=1","currencyType=Cur=CNY","WssConvert=0","WssDivide=8","showcodes=N","cols=1;rows=1")</f>
        <v>8.4819200000000006</v>
      </c>
      <c r="D145" s="73">
        <f>[1]!wss($A145:$A145,"hks_stm_is","item=83","rptDate="&amp;($B145-2)&amp;"1231","rptType=1","currencyType=Cur=CNY","WssConvert=0","WssDivide=8","showcodes=N","cols=1;rows=1")</f>
        <v>13.282640000000001</v>
      </c>
      <c r="E145" s="73">
        <f>[1]!wss($A145:$A145,"hks_stm_is","item=83","rptDate="&amp;($B145-1)&amp;"1231","rptType=1","currencyType=Cur=CNY","WssConvert=0","WssDivide=8","showcodes=N","cols=1;rows=1")</f>
        <v>15.853569999999999</v>
      </c>
      <c r="F145" s="73">
        <f>[1]!wss($A145:$A145,"hks_stm_is","item=61","rptDate="&amp;($B145-3)&amp;"1231","rptType=1","currencyType=Cur=CNY","WssConvert=0","WssDivide=8","showcodes=N","cols=1;rows=1")</f>
        <v>-17.506800000000002</v>
      </c>
      <c r="G145" s="73">
        <f>[1]!wss($A145:$A145,"hks_stm_is","item=61","rptDate="&amp;($B145-2)&amp;"1231","rptType=1","currencyType=Cur=CNY","WssConvert=0","WssDivide=8","showcodes=N","cols=1;rows=1")</f>
        <v>-8.0740599999999993</v>
      </c>
      <c r="H145" s="73">
        <f>[1]!wss($A145:$A145,"hks_stm_is","item=61","rptDate="&amp;($B145-1)&amp;"1231","rptType=1","currencyType=Cur=CNY","WssConvert=0","WssDivide=8","showcodes=N","cols=1;rows=1")</f>
        <v>-5.92361</v>
      </c>
      <c r="I145" s="73">
        <f>[1]!wss($A145:$A145,"hks_fa_grossprofitmargin","rptDate="&amp;($B145-3)&amp;"1231","WssConvert=0","showcodes=N","cols=1;rows=1")</f>
        <v>20.365600000000001</v>
      </c>
      <c r="J145" s="43">
        <f>[1]!wss($A145:$A145,"hks_fa_grossprofitmargin","rptDate="&amp;($B145-2)&amp;"1231","WssConvert=0","showcodes=N","cols=1;rows=1")</f>
        <v>38.034300000000002</v>
      </c>
      <c r="K145" s="43">
        <f>[1]!wss($A145:$A145,"hks_fa_grossprofitmargin","rptDate="&amp;($B145-1)&amp;"1231","WssConvert=0","showcodes=N","cols=1;rows=1")</f>
        <v>34.988999999999997</v>
      </c>
      <c r="L145" s="73" t="str">
        <f>[1]!wss($A145:$A145,"hks_fa_roe","rptDate="&amp;($B145-1)&amp;"1231","WssConvert=0","showcodes=N","cols=1;rows=1")</f>
        <v/>
      </c>
      <c r="M145" s="43">
        <f>[1]!wss($A145:$A145,"hks_fa_debttoassets","rptDate="&amp;($B145-1)&amp;"1231","WssConvert=0","showcodes=N","cols=1;rows=1")</f>
        <v>591.01909999999998</v>
      </c>
      <c r="P145" s="50">
        <v>15.853569999999999</v>
      </c>
      <c r="Q145" s="50">
        <v>18.590019999999999</v>
      </c>
      <c r="R145" s="50">
        <v>22.26756</v>
      </c>
      <c r="S145" s="50">
        <v>-5.92361</v>
      </c>
      <c r="T145" s="50">
        <v>-21.952770000000001</v>
      </c>
      <c r="U145" s="50">
        <v>1.33724</v>
      </c>
      <c r="V145" s="50">
        <v>34.988999999999997</v>
      </c>
      <c r="W145" s="50">
        <v>40.149299999999997</v>
      </c>
      <c r="X145" s="50">
        <v>38.162300000000002</v>
      </c>
    </row>
    <row r="146" spans="1:24">
      <c r="A146" t="s">
        <v>540</v>
      </c>
      <c r="B146" s="17">
        <f>IFERROR(YEAR(VLOOKUP($A146,'01_ipo_master'!$A:$C,3,FALSE)),YEAR(VLOOKUP("0"&amp;$A146,'01_ipo_master'!$A:$C,3,FALSE)))</f>
        <v>2024</v>
      </c>
      <c r="C146" s="73">
        <f>[1]!wss($A146:$A146,"hks_stm_is","item=83","rptDate="&amp;($B146-3)&amp;"1231","rptType=1","currencyType=Cur=CNY","WssConvert=0","WssDivide=8","showcodes=N","cols=1;rows=1")</f>
        <v>6.7567000000000004</v>
      </c>
      <c r="D146" s="73">
        <f>[1]!wss($A146:$A146,"hks_stm_is","item=83","rptDate="&amp;($B146-2)&amp;"1231","rptType=1","currencyType=Cur=CNY","WssConvert=0","WssDivide=8","showcodes=N","cols=1;rows=1")</f>
        <v>7.6868800000000004</v>
      </c>
      <c r="E146" s="73">
        <f>[1]!wss($A146:$A146,"hks_stm_is","item=83","rptDate="&amp;($B146-1)&amp;"1231","rptType=1","currencyType=Cur=CNY","WssConvert=0","WssDivide=8","showcodes=N","cols=1;rows=1")</f>
        <v>15.833460000000001</v>
      </c>
      <c r="F146" s="73">
        <f>[1]!wss($A146:$A146,"hks_stm_is","item=61","rptDate="&amp;($B146-3)&amp;"1231","rptType=1","currencyType=Cur=CNY","WssConvert=0","WssDivide=8","showcodes=N","cols=1;rows=1")</f>
        <v>0.31718000000000002</v>
      </c>
      <c r="G146" s="73">
        <f>[1]!wss($A146:$A146,"hks_stm_is","item=61","rptDate="&amp;($B146-2)&amp;"1231","rptType=1","currencyType=Cur=CNY","WssConvert=0","WssDivide=8","showcodes=N","cols=1;rows=1")</f>
        <v>1.0877000000000001</v>
      </c>
      <c r="H146" s="73">
        <f>[1]!wss($A146:$A146,"hks_stm_is","item=61","rptDate="&amp;($B146-1)&amp;"1231","rptType=1","currencyType=Cur=CNY","WssConvert=0","WssDivide=8","showcodes=N","cols=1;rows=1")</f>
        <v>2.3713199999999999</v>
      </c>
      <c r="I146" s="73">
        <f>[1]!wss($A146:$A146,"hks_fa_grossprofitmargin","rptDate="&amp;($B146-3)&amp;"1231","WssConvert=0","showcodes=N","cols=1;rows=1")</f>
        <v>18.7346</v>
      </c>
      <c r="J146" s="43">
        <f>[1]!wss($A146:$A146,"hks_fa_grossprofitmargin","rptDate="&amp;($B146-2)&amp;"1231","WssConvert=0","showcodes=N","cols=1;rows=1")</f>
        <v>35.822600000000001</v>
      </c>
      <c r="K146" s="43">
        <f>[1]!wss($A146:$A146,"hks_fa_grossprofitmargin","rptDate="&amp;($B146-1)&amp;"1231","WssConvert=0","showcodes=N","cols=1;rows=1")</f>
        <v>35.698799999999999</v>
      </c>
      <c r="L146" s="73">
        <f>[1]!wss($A146:$A146,"hks_fa_roe","rptDate="&amp;($B146-1)&amp;"1231","WssConvert=0","showcodes=N","cols=1;rows=1")</f>
        <v>131.63579999999999</v>
      </c>
      <c r="M146" s="43">
        <f>[1]!wss($A146:$A146,"hks_fa_debttoassets","rptDate="&amp;($B146-1)&amp;"1231","WssConvert=0","showcodes=N","cols=1;rows=1")</f>
        <v>64.999799999999993</v>
      </c>
      <c r="P146" s="50">
        <v>15.833460000000001</v>
      </c>
      <c r="Q146" s="50">
        <v>20.732510000000001</v>
      </c>
      <c r="R146" s="50">
        <v>21.56671</v>
      </c>
      <c r="S146" s="50">
        <v>2.3713199999999999</v>
      </c>
      <c r="T146" s="50">
        <v>3.5599400000000001</v>
      </c>
      <c r="U146" s="50">
        <v>2.5780599999999998</v>
      </c>
      <c r="V146" s="50">
        <v>35.698799999999999</v>
      </c>
      <c r="W146" s="50">
        <v>40.2941</v>
      </c>
      <c r="X146" s="50">
        <v>31.781199999999998</v>
      </c>
    </row>
    <row r="147" spans="1:24">
      <c r="A147" t="s">
        <v>542</v>
      </c>
      <c r="B147" s="17">
        <f>IFERROR(YEAR(VLOOKUP($A147,'01_ipo_master'!$A:$C,3,FALSE)),YEAR(VLOOKUP("0"&amp;$A147,'01_ipo_master'!$A:$C,3,FALSE)))</f>
        <v>2024</v>
      </c>
      <c r="C147" s="73">
        <f>[1]!wss($A147:$A147,"hks_stm_is","item=83","rptDate="&amp;($B147-3)&amp;"1231","rptType=1","currencyType=Cur=CNY","WssConvert=0","WssDivide=8","showcodes=N","cols=1;rows=1")</f>
        <v>4.6672000000000002</v>
      </c>
      <c r="D147" s="73">
        <f>[1]!wss($A147:$A147,"hks_stm_is","item=83","rptDate="&amp;($B147-2)&amp;"1231","rptType=1","currencyType=Cur=CNY","WssConvert=0","WssDivide=8","showcodes=N","cols=1;rows=1")</f>
        <v>9.0567600000000006</v>
      </c>
      <c r="E147" s="73">
        <f>[1]!wss($A147:$A147,"hks_stm_is","item=83","rptDate="&amp;($B147-1)&amp;"1231","rptType=1","currencyType=Cur=CNY","WssConvert=0","WssDivide=8","showcodes=N","cols=1;rows=1")</f>
        <v>15.516070000000001</v>
      </c>
      <c r="F147" s="73">
        <f>[1]!wss($A147:$A147,"hks_stm_is","item=61","rptDate="&amp;($B147-3)&amp;"1231","rptType=1","currencyType=Cur=CNY","WssConvert=0","WssDivide=8","showcodes=N","cols=1;rows=1")</f>
        <v>-20.612930000000002</v>
      </c>
      <c r="G147" s="73">
        <f>[1]!wss($A147:$A147,"hks_stm_is","item=61","rptDate="&amp;($B147-2)&amp;"1231","rptType=1","currencyType=Cur=CNY","WssConvert=0","WssDivide=8","showcodes=N","cols=1;rows=1")</f>
        <v>-87.194100000000006</v>
      </c>
      <c r="H147" s="73">
        <f>[1]!wss($A147:$A147,"hks_stm_is","item=61","rptDate="&amp;($B147-1)&amp;"1231","rptType=1","currencyType=Cur=CNY","WssConvert=0","WssDivide=8","showcodes=N","cols=1;rows=1")</f>
        <v>-67.390209999999996</v>
      </c>
      <c r="I147" s="73">
        <f>[1]!wss($A147:$A147,"hks_fa_grossprofitmargin","rptDate="&amp;($B147-3)&amp;"1231","WssConvert=0","showcodes=N","cols=1;rows=1")</f>
        <v>70.917500000000004</v>
      </c>
      <c r="J147" s="43">
        <f>[1]!wss($A147:$A147,"hks_fa_grossprofitmargin","rptDate="&amp;($B147-2)&amp;"1231","WssConvert=0","showcodes=N","cols=1;rows=1")</f>
        <v>69.308800000000005</v>
      </c>
      <c r="K147" s="43">
        <f>[1]!wss($A147:$A147,"hks_fa_grossprofitmargin","rptDate="&amp;($B147-1)&amp;"1231","WssConvert=0","showcodes=N","cols=1;rows=1")</f>
        <v>70.527500000000003</v>
      </c>
      <c r="L147" s="73" t="str">
        <f>[1]!wss($A147:$A147,"hks_fa_roe","rptDate="&amp;($B147-1)&amp;"1231","WssConvert=0","showcodes=N","cols=1;rows=1")</f>
        <v/>
      </c>
      <c r="M147" s="43">
        <f>[1]!wss($A147:$A147,"hks_fa_debttoassets","rptDate="&amp;($B147-1)&amp;"1231","WssConvert=0","showcodes=N","cols=1;rows=1")</f>
        <v>255.3835</v>
      </c>
      <c r="P147" s="50">
        <v>15.516069999999999</v>
      </c>
      <c r="Q147" s="50">
        <v>23.835540000000002</v>
      </c>
      <c r="R147" s="50">
        <v>37.582680000000003</v>
      </c>
      <c r="S147" s="50">
        <v>-67.390209999999996</v>
      </c>
      <c r="T147" s="50">
        <v>23.465800000000002</v>
      </c>
      <c r="U147" s="50">
        <v>-104.69011999999999</v>
      </c>
      <c r="V147" s="50">
        <v>70.527500000000003</v>
      </c>
      <c r="W147" s="50">
        <v>77.252499999999998</v>
      </c>
      <c r="X147" s="50">
        <v>64.542500000000004</v>
      </c>
    </row>
    <row r="148" spans="1:24">
      <c r="A148" t="s">
        <v>544</v>
      </c>
      <c r="B148" s="17">
        <f>IFERROR(YEAR(VLOOKUP($A148,'01_ipo_master'!$A:$C,3,FALSE)),YEAR(VLOOKUP("0"&amp;$A148,'01_ipo_master'!$A:$C,3,FALSE)))</f>
        <v>2023</v>
      </c>
      <c r="C148" s="73">
        <f>[1]!wss($A148:$A148,"hks_stm_is","item=83","rptDate="&amp;($B148-3)&amp;"1231","rptType=1","currencyType=Cur=CNY","WssConvert=0","WssDivide=8","showcodes=N","cols=1;rows=1")</f>
        <v>13.93608</v>
      </c>
      <c r="D148" s="73">
        <f>[1]!wss($A148:$A148,"hks_stm_is","item=83","rptDate="&amp;($B148-2)&amp;"1231","rptType=1","currencyType=Cur=CNY","WssConvert=0","WssDivide=8","showcodes=N","cols=1;rows=1")</f>
        <v>13.067130000000001</v>
      </c>
      <c r="E148" s="73">
        <f>[1]!wss($A148:$A148,"hks_stm_is","item=83","rptDate="&amp;($B148-1)&amp;"1231","rptType=1","currencyType=Cur=CNY","WssConvert=0","WssDivide=8","showcodes=N","cols=1;rows=1")</f>
        <v>14.60186</v>
      </c>
      <c r="F148" s="73">
        <f>[1]!wss($A148:$A148,"hks_stm_is","item=61","rptDate="&amp;($B148-3)&amp;"1231","rptType=1","currencyType=Cur=CNY","WssConvert=0","WssDivide=8","showcodes=N","cols=1;rows=1")</f>
        <v>0.66830000000000001</v>
      </c>
      <c r="G148" s="73">
        <f>[1]!wss($A148:$A148,"hks_stm_is","item=61","rptDate="&amp;($B148-2)&amp;"1231","rptType=1","currencyType=Cur=CNY","WssConvert=0","WssDivide=8","showcodes=N","cols=1;rows=1")</f>
        <v>1.1069599999999999</v>
      </c>
      <c r="H148" s="73">
        <f>[1]!wss($A148:$A148,"hks_stm_is","item=61","rptDate="&amp;($B148-1)&amp;"1231","rptType=1","currencyType=Cur=CNY","WssConvert=0","WssDivide=8","showcodes=N","cols=1;rows=1")</f>
        <v>0.96431</v>
      </c>
      <c r="I148" s="73">
        <f>[1]!wss($A148:$A148,"hks_fa_grossprofitmargin","rptDate="&amp;($B148-3)&amp;"1231","WssConvert=0","showcodes=N","cols=1;rows=1")</f>
        <v>21.171700000000001</v>
      </c>
      <c r="J148" s="43">
        <f>[1]!wss($A148:$A148,"hks_fa_grossprofitmargin","rptDate="&amp;($B148-2)&amp;"1231","WssConvert=0","showcodes=N","cols=1;rows=1")</f>
        <v>24.3032</v>
      </c>
      <c r="K148" s="43">
        <f>[1]!wss($A148:$A148,"hks_fa_grossprofitmargin","rptDate="&amp;($B148-1)&amp;"1231","WssConvert=0","showcodes=N","cols=1;rows=1")</f>
        <v>20.563400000000001</v>
      </c>
      <c r="L148" s="73">
        <f>[1]!wss($A148:$A148,"hks_fa_roe","rptDate="&amp;($B148-1)&amp;"1231","WssConvert=0","showcodes=N","cols=1;rows=1")</f>
        <v>14.2028</v>
      </c>
      <c r="M148" s="43">
        <f>[1]!wss($A148:$A148,"hks_fa_debttoassets","rptDate="&amp;($B148-1)&amp;"1231","WssConvert=0","showcodes=N","cols=1;rows=1")</f>
        <v>82.408100000000005</v>
      </c>
      <c r="P148" s="50">
        <v>15.48873</v>
      </c>
      <c r="Q148" s="50">
        <v>16.482869999999998</v>
      </c>
      <c r="R148" s="50">
        <v>15.062900000000001</v>
      </c>
      <c r="S148" s="50">
        <v>1.4898</v>
      </c>
      <c r="T148" s="50">
        <v>1.64154</v>
      </c>
      <c r="U148" s="50">
        <v>1.70214</v>
      </c>
      <c r="V148" s="50">
        <v>25.694700000000001</v>
      </c>
      <c r="W148" s="50">
        <v>27.862500000000001</v>
      </c>
      <c r="X148" s="50">
        <v>29.4559</v>
      </c>
    </row>
    <row r="149" spans="1:24">
      <c r="A149" t="s">
        <v>546</v>
      </c>
      <c r="B149" s="17">
        <f>IFERROR(YEAR(VLOOKUP($A149,'01_ipo_master'!$A:$C,3,FALSE)),YEAR(VLOOKUP("0"&amp;$A149,'01_ipo_master'!$A:$C,3,FALSE)))</f>
        <v>2023</v>
      </c>
      <c r="C149" s="73" t="str">
        <f>[1]!wss($A149:$A149,"hks_stm_is","item=83","rptDate="&amp;($B149-3)&amp;"1231","rptType=1","currencyType=Cur=CNY","WssConvert=0","WssDivide=8","showcodes=N","cols=1;rows=1")</f>
        <v/>
      </c>
      <c r="D149" s="73">
        <f>[1]!wss($A149:$A149,"hks_stm_is","item=83","rptDate="&amp;($B149-2)&amp;"1231","rptType=1","currencyType=Cur=CNY","WssConvert=0","WssDivide=8","showcodes=N","cols=1;rows=1")</f>
        <v>0.32322000000000001</v>
      </c>
      <c r="E149" s="73">
        <f>[1]!wss($A149:$A149,"hks_stm_is","item=83","rptDate="&amp;($B149-1)&amp;"1231","rptType=1","currencyType=Cur=CNY","WssConvert=0","WssDivide=8","showcodes=N","cols=1;rows=1")</f>
        <v>8.0393299999999996</v>
      </c>
      <c r="F149" s="73" t="str">
        <f>[1]!wss($A149:$A149,"hks_stm_is","item=61","rptDate="&amp;($B149-3)&amp;"1231","rptType=1","currencyType=Cur=CNY","WssConvert=0","WssDivide=8","showcodes=N","cols=1;rows=1")</f>
        <v/>
      </c>
      <c r="G149" s="73">
        <f>[1]!wss($A149:$A149,"hks_stm_is","item=61","rptDate="&amp;($B149-2)&amp;"1231","rptType=1","currencyType=Cur=CNY","WssConvert=0","WssDivide=8","showcodes=N","cols=1;rows=1")</f>
        <v>-8.8979499999999998</v>
      </c>
      <c r="H149" s="73">
        <f>[1]!wss($A149:$A149,"hks_stm_is","item=61","rptDate="&amp;($B149-1)&amp;"1231","rptType=1","currencyType=Cur=CNY","WssConvert=0","WssDivide=8","showcodes=N","cols=1;rows=1")</f>
        <v>-6.16099</v>
      </c>
      <c r="I149" s="73" t="str">
        <f>[1]!wss($A149:$A149,"hks_fa_grossprofitmargin","rptDate="&amp;($B149-3)&amp;"1231","WssConvert=0","showcodes=N","cols=1;rows=1")</f>
        <v/>
      </c>
      <c r="J149" s="43">
        <f>[1]!wss($A149:$A149,"hks_fa_grossprofitmargin","rptDate="&amp;($B149-2)&amp;"1231","WssConvert=0","showcodes=N","cols=1;rows=1")</f>
        <v>36.498399999999997</v>
      </c>
      <c r="K149" s="43">
        <f>[1]!wss($A149:$A149,"hks_fa_grossprofitmargin","rptDate="&amp;($B149-1)&amp;"1231","WssConvert=0","showcodes=N","cols=1;rows=1")</f>
        <v>65.565799999999996</v>
      </c>
      <c r="L149" s="73" t="str">
        <f>[1]!wss($A149:$A149,"hks_fa_roe","rptDate="&amp;($B149-1)&amp;"1231","WssConvert=0","showcodes=N","cols=1;rows=1")</f>
        <v/>
      </c>
      <c r="M149" s="43">
        <f>[1]!wss($A149:$A149,"hks_fa_debttoassets","rptDate="&amp;($B149-1)&amp;"1231","WssConvert=0","showcodes=N","cols=1;rows=1")</f>
        <v>424.84539999999998</v>
      </c>
      <c r="P149" s="50">
        <v>15.40493</v>
      </c>
      <c r="Q149" s="50">
        <v>19.330449999999999</v>
      </c>
      <c r="R149" s="50">
        <v>20.5792</v>
      </c>
      <c r="S149" s="50">
        <v>-5.7413400000000001</v>
      </c>
      <c r="T149" s="50">
        <v>-2.6676600000000001</v>
      </c>
      <c r="U149" s="50">
        <v>-3.8197100000000002</v>
      </c>
      <c r="V149" s="50">
        <v>49.281999999999996</v>
      </c>
      <c r="W149" s="50">
        <v>65.888599999999997</v>
      </c>
      <c r="X149" s="50">
        <v>71.858000000000004</v>
      </c>
    </row>
    <row r="150" spans="1:24">
      <c r="A150" t="s">
        <v>548</v>
      </c>
      <c r="B150" s="17">
        <f>IFERROR(YEAR(VLOOKUP($A150,'01_ipo_master'!$A:$C,3,FALSE)),YEAR(VLOOKUP("0"&amp;$A150,'01_ipo_master'!$A:$C,3,FALSE)))</f>
        <v>2024</v>
      </c>
      <c r="C150" s="73">
        <f>[1]!wss($A150:$A150,"hks_stm_is","item=83","rptDate="&amp;($B150-3)&amp;"1231","rptType=1","currencyType=Cur=CNY","WssConvert=0","WssDivide=8","showcodes=N","cols=1;rows=1")</f>
        <v>13.47908</v>
      </c>
      <c r="D150" s="73">
        <f>[1]!wss($A150:$A150,"hks_stm_is","item=83","rptDate="&amp;($B150-2)&amp;"1231","rptType=1","currencyType=Cur=CNY","WssConvert=0","WssDivide=8","showcodes=N","cols=1;rows=1")</f>
        <v>13.78467</v>
      </c>
      <c r="E150" s="73">
        <f>[1]!wss($A150:$A150,"hks_stm_is","item=83","rptDate="&amp;($B150-1)&amp;"1231","rptType=1","currencyType=Cur=CNY","WssConvert=0","WssDivide=8","showcodes=N","cols=1;rows=1")</f>
        <v>15.3093</v>
      </c>
      <c r="F150" s="73">
        <f>[1]!wss($A150:$A150,"hks_stm_is","item=61","rptDate="&amp;($B150-3)&amp;"1231","rptType=1","currencyType=Cur=CNY","WssConvert=0","WssDivide=8","showcodes=N","cols=1;rows=1")</f>
        <v>0.28076000000000001</v>
      </c>
      <c r="G150" s="73">
        <f>[1]!wss($A150:$A150,"hks_stm_is","item=61","rptDate="&amp;($B150-2)&amp;"1231","rptType=1","currencyType=Cur=CNY","WssConvert=0","WssDivide=8","showcodes=N","cols=1;rows=1")</f>
        <v>0.25325000000000003</v>
      </c>
      <c r="H150" s="73">
        <f>[1]!wss($A150:$A150,"hks_stm_is","item=61","rptDate="&amp;($B150-1)&amp;"1231","rptType=1","currencyType=Cur=CNY","WssConvert=0","WssDivide=8","showcodes=N","cols=1;rows=1")</f>
        <v>0.31814000000000003</v>
      </c>
      <c r="I150" s="73">
        <f>[1]!wss($A150:$A150,"hks_fa_grossprofitmargin","rptDate="&amp;($B150-3)&amp;"1231","WssConvert=0","showcodes=N","cols=1;rows=1")</f>
        <v>5.2925000000000004</v>
      </c>
      <c r="J150" s="43">
        <f>[1]!wss($A150:$A150,"hks_fa_grossprofitmargin","rptDate="&amp;($B150-2)&amp;"1231","WssConvert=0","showcodes=N","cols=1;rows=1")</f>
        <v>5.7272999999999996</v>
      </c>
      <c r="K150" s="43">
        <f>[1]!wss($A150:$A150,"hks_fa_grossprofitmargin","rptDate="&amp;($B150-1)&amp;"1231","WssConvert=0","showcodes=N","cols=1;rows=1")</f>
        <v>5.8230000000000004</v>
      </c>
      <c r="L150" s="73">
        <f>[1]!wss($A150:$A150,"hks_fa_roe","rptDate="&amp;($B150-1)&amp;"1231","WssConvert=0","showcodes=N","cols=1;rows=1")</f>
        <v>9.0963999999999992</v>
      </c>
      <c r="M150" s="43">
        <f>[1]!wss($A150:$A150,"hks_fa_debttoassets","rptDate="&amp;($B150-1)&amp;"1231","WssConvert=0","showcodes=N","cols=1;rows=1")</f>
        <v>77.867699999999999</v>
      </c>
      <c r="P150" s="50">
        <v>15.3093</v>
      </c>
      <c r="Q150" s="50">
        <v>7.50556</v>
      </c>
      <c r="R150" s="50">
        <v>4.2531800000000004</v>
      </c>
      <c r="S150" s="50">
        <v>0.31813999999999998</v>
      </c>
      <c r="T150" s="50">
        <v>1.9439999999999999E-2</v>
      </c>
      <c r="U150" s="50">
        <v>-0.36484</v>
      </c>
      <c r="V150" s="50">
        <v>5.8230000000000004</v>
      </c>
      <c r="W150" s="50">
        <v>5.5080999999999998</v>
      </c>
      <c r="X150" s="50">
        <v>3.7982999999999998</v>
      </c>
    </row>
    <row r="151" spans="1:24">
      <c r="A151" t="s">
        <v>550</v>
      </c>
      <c r="B151" s="17">
        <f>IFERROR(YEAR(VLOOKUP($A151,'01_ipo_master'!$A:$C,3,FALSE)),YEAR(VLOOKUP("0"&amp;$A151,'01_ipo_master'!$A:$C,3,FALSE)))</f>
        <v>2025</v>
      </c>
      <c r="C151" s="73">
        <f>[1]!wss($A151:$A151,"hks_stm_is","item=83","rptDate="&amp;($B151-3)&amp;"1231","rptType=1","currencyType=Cur=CNY","WssConvert=0","WssDivide=8","showcodes=N","cols=1;rows=1")</f>
        <v>12.177570000000001</v>
      </c>
      <c r="D151" s="73">
        <f>[1]!wss($A151:$A151,"hks_stm_is","item=83","rptDate="&amp;($B151-2)&amp;"1231","rptType=1","currencyType=Cur=CNY","WssConvert=0","WssDivide=8","showcodes=N","cols=1;rows=1")</f>
        <v>14.958170000000001</v>
      </c>
      <c r="E151" s="73">
        <f>[1]!wss($A151:$A151,"hks_stm_is","item=83","rptDate="&amp;($B151-1)&amp;"1231","rptType=1","currencyType=Cur=CNY","WssConvert=0","WssDivide=8","showcodes=N","cols=1;rows=1")</f>
        <v>25.570029999999999</v>
      </c>
      <c r="F151" s="73">
        <f>[1]!wss($A151:$A151,"hks_stm_is","item=61","rptDate="&amp;($B151-3)&amp;"1231","rptType=1","currencyType=Cur=CNY","WssConvert=0","WssDivide=8","showcodes=N","cols=1;rows=1")</f>
        <v>-4.52095</v>
      </c>
      <c r="G151" s="73">
        <f>[1]!wss($A151:$A151,"hks_stm_is","item=61","rptDate="&amp;($B151-2)&amp;"1231","rptType=1","currencyType=Cur=CNY","WssConvert=0","WssDivide=8","showcodes=N","cols=1;rows=1")</f>
        <v>-2.8389100000000003</v>
      </c>
      <c r="H151" s="73">
        <f>[1]!wss($A151:$A151,"hks_stm_is","item=61","rptDate="&amp;($B151-1)&amp;"1231","rptType=1","currencyType=Cur=CNY","WssConvert=0","WssDivide=8","showcodes=N","cols=1;rows=1")</f>
        <v>-5.4123799999999997</v>
      </c>
      <c r="I151" s="73">
        <f>[1]!wss($A151:$A151,"hks_fa_grossprofitmargin","rptDate="&amp;($B151-3)&amp;"1231","WssConvert=0","showcodes=N","cols=1;rows=1")</f>
        <v>14.052199999999999</v>
      </c>
      <c r="J151" s="43">
        <f>[1]!wss($A151:$A151,"hks_fa_grossprofitmargin","rptDate="&amp;($B151-2)&amp;"1231","WssConvert=0","showcodes=N","cols=1;rows=1")</f>
        <v>15.4489</v>
      </c>
      <c r="K151" s="43">
        <f>[1]!wss($A151:$A151,"hks_fa_grossprofitmargin","rptDate="&amp;($B151-1)&amp;"1231","WssConvert=0","showcodes=N","cols=1;rows=1")</f>
        <v>11.771699999999999</v>
      </c>
      <c r="L151" s="73">
        <f>[1]!wss($A151:$A151,"hks_fa_roe","rptDate="&amp;($B151-1)&amp;"1231","WssConvert=0","showcodes=N","cols=1;rows=1")</f>
        <v>-50.516399999999997</v>
      </c>
      <c r="M151" s="43">
        <f>[1]!wss($A151:$A151,"hks_fa_debttoassets","rptDate="&amp;($B151-1)&amp;"1231","WssConvert=0","showcodes=N","cols=1;rows=1")</f>
        <v>64.109899999999996</v>
      </c>
      <c r="P151" s="50">
        <v>14.958170000000001</v>
      </c>
      <c r="Q151" s="50">
        <v>25.570029999999999</v>
      </c>
      <c r="R151" s="50">
        <v>35.097259999999999</v>
      </c>
      <c r="S151" s="50">
        <v>-2.8389099999999998</v>
      </c>
      <c r="T151" s="50">
        <v>-5.4123799999999997</v>
      </c>
      <c r="U151" s="50">
        <v>-10.93328</v>
      </c>
      <c r="V151" s="50">
        <v>15.4489</v>
      </c>
      <c r="W151" s="50">
        <v>11.771699999999999</v>
      </c>
      <c r="X151" s="50">
        <v>12.3711</v>
      </c>
    </row>
    <row r="152" spans="1:24">
      <c r="A152" t="s">
        <v>552</v>
      </c>
      <c r="B152" s="17">
        <f>IFERROR(YEAR(VLOOKUP($A152,'01_ipo_master'!$A:$C,3,FALSE)),YEAR(VLOOKUP("0"&amp;$A152,'01_ipo_master'!$A:$C,3,FALSE)))</f>
        <v>2022</v>
      </c>
      <c r="C152" s="73">
        <f>[1]!wss($A152:$A152,"hks_stm_is","item=83","rptDate="&amp;($B152-3)&amp;"1231","rptType=1","currencyType=Cur=CNY","WssConvert=0","WssDivide=8","showcodes=N","cols=1;rows=1")</f>
        <v>5.5915400000000002</v>
      </c>
      <c r="D152" s="73">
        <f>[1]!wss($A152:$A152,"hks_stm_is","item=83","rptDate="&amp;($B152-2)&amp;"1231","rptType=1","currencyType=Cur=CNY","WssConvert=0","WssDivide=8","showcodes=N","cols=1;rows=1")</f>
        <v>7.6680200000000003</v>
      </c>
      <c r="E152" s="73">
        <f>[1]!wss($A152:$A152,"hks_stm_is","item=83","rptDate="&amp;($B152-1)&amp;"1231","rptType=1","currencyType=Cur=CNY","WssConvert=0","WssDivide=8","showcodes=N","cols=1;rows=1")</f>
        <v>11.934229999999999</v>
      </c>
      <c r="F152" s="73">
        <f>[1]!wss($A152:$A152,"hks_stm_is","item=61","rptDate="&amp;($B152-3)&amp;"1231","rptType=1","currencyType=Cur=CNY","WssConvert=0","WssDivide=8","showcodes=N","cols=1;rows=1")</f>
        <v>0.25667000000000001</v>
      </c>
      <c r="G152" s="73">
        <f>[1]!wss($A152:$A152,"hks_stm_is","item=61","rptDate="&amp;($B152-2)&amp;"1231","rptType=1","currencyType=Cur=CNY","WssConvert=0","WssDivide=8","showcodes=N","cols=1;rows=1")</f>
        <v>0.84714</v>
      </c>
      <c r="H152" s="73">
        <f>[1]!wss($A152:$A152,"hks_stm_is","item=61","rptDate="&amp;($B152-1)&amp;"1231","rptType=1","currencyType=Cur=CNY","WssConvert=0","WssDivide=8","showcodes=N","cols=1;rows=1")</f>
        <v>1.2872000000000001</v>
      </c>
      <c r="I152" s="73">
        <f>[1]!wss($A152:$A152,"hks_fa_grossprofitmargin","rptDate="&amp;($B152-3)&amp;"1231","WssConvert=0","showcodes=N","cols=1;rows=1")</f>
        <v>23.730499999999999</v>
      </c>
      <c r="J152" s="43">
        <f>[1]!wss($A152:$A152,"hks_fa_grossprofitmargin","rptDate="&amp;($B152-2)&amp;"1231","WssConvert=0","showcodes=N","cols=1;rows=1")</f>
        <v>28.1675</v>
      </c>
      <c r="K152" s="43">
        <f>[1]!wss($A152:$A152,"hks_fa_grossprofitmargin","rptDate="&amp;($B152-1)&amp;"1231","WssConvert=0","showcodes=N","cols=1;rows=1")</f>
        <v>25.8855</v>
      </c>
      <c r="L152" s="73">
        <f>[1]!wss($A152:$A152,"hks_fa_roe","rptDate="&amp;($B152-1)&amp;"1231","WssConvert=0","showcodes=N","cols=1;rows=1")</f>
        <v>63.089199999999998</v>
      </c>
      <c r="M152" s="43">
        <f>[1]!wss($A152:$A152,"hks_fa_debttoassets","rptDate="&amp;($B152-1)&amp;"1231","WssConvert=0","showcodes=N","cols=1;rows=1")</f>
        <v>73.231300000000005</v>
      </c>
      <c r="P152" s="50">
        <v>14.838340000000001</v>
      </c>
      <c r="Q152" s="50">
        <v>15.302009999999999</v>
      </c>
      <c r="R152" s="50">
        <v>15.24935</v>
      </c>
      <c r="S152" s="50">
        <v>0.18967000000000001</v>
      </c>
      <c r="T152" s="50">
        <v>-0.66881999999999997</v>
      </c>
      <c r="U152" s="50">
        <v>0.27816999999999997</v>
      </c>
      <c r="V152" s="50">
        <v>14.2723</v>
      </c>
      <c r="W152" s="50">
        <v>13.584899999999999</v>
      </c>
      <c r="X152" s="50">
        <v>13.374499999999999</v>
      </c>
    </row>
    <row r="153" spans="1:24">
      <c r="A153" t="s">
        <v>554</v>
      </c>
      <c r="B153" s="17">
        <f>IFERROR(YEAR(VLOOKUP($A153,'01_ipo_master'!$A:$C,3,FALSE)),YEAR(VLOOKUP("0"&amp;$A153,'01_ipo_master'!$A:$C,3,FALSE)))</f>
        <v>2022</v>
      </c>
      <c r="C153" s="73">
        <f>[1]!wss($A153:$A153,"hks_stm_is","item=83","rptDate="&amp;($B153-3)&amp;"1231","rptType=1","currencyType=Cur=CNY","WssConvert=0","WssDivide=8","showcodes=N","cols=1;rows=1")</f>
        <v>10.802910000000001</v>
      </c>
      <c r="D153" s="73">
        <f>[1]!wss($A153:$A153,"hks_stm_is","item=83","rptDate="&amp;($B153-2)&amp;"1231","rptType=1","currencyType=Cur=CNY","WssConvert=0","WssDivide=8","showcodes=N","cols=1;rows=1")</f>
        <v>11.009080000000001</v>
      </c>
      <c r="E153" s="73">
        <f>[1]!wss($A153:$A153,"hks_stm_is","item=83","rptDate="&amp;($B153-1)&amp;"1231","rptType=1","currencyType=Cur=CNY","WssConvert=0","WssDivide=8","showcodes=N","cols=1;rows=1")</f>
        <v>15.163400000000001</v>
      </c>
      <c r="F153" s="73">
        <f>[1]!wss($A153:$A153,"hks_stm_is","item=61","rptDate="&amp;($B153-3)&amp;"1231","rptType=1","currencyType=Cur=CNY","WssConvert=0","WssDivide=8","showcodes=N","cols=1;rows=1")</f>
        <v>-3.0117799999999999</v>
      </c>
      <c r="G153" s="73">
        <f>[1]!wss($A153:$A153,"hks_stm_is","item=61","rptDate="&amp;($B153-2)&amp;"1231","rptType=1","currencyType=Cur=CNY","WssConvert=0","WssDivide=8","showcodes=N","cols=1;rows=1")</f>
        <v>-3.1685400000000001</v>
      </c>
      <c r="H153" s="73">
        <f>[1]!wss($A153:$A153,"hks_stm_is","item=61","rptDate="&amp;($B153-1)&amp;"1231","rptType=1","currencyType=Cur=CNY","WssConvert=0","WssDivide=8","showcodes=N","cols=1;rows=1")</f>
        <v>-5.9942000000000002</v>
      </c>
      <c r="I153" s="73">
        <f>[1]!wss($A153:$A153,"hks_fa_grossprofitmargin","rptDate="&amp;($B153-3)&amp;"1231","WssConvert=0","showcodes=N","cols=1;rows=1")</f>
        <v>15.16</v>
      </c>
      <c r="J153" s="43">
        <f>[1]!wss($A153:$A153,"hks_fa_grossprofitmargin","rptDate="&amp;($B153-2)&amp;"1231","WssConvert=0","showcodes=N","cols=1;rows=1")</f>
        <v>10.127700000000001</v>
      </c>
      <c r="K153" s="43">
        <f>[1]!wss($A153:$A153,"hks_fa_grossprofitmargin","rptDate="&amp;($B153-1)&amp;"1231","WssConvert=0","showcodes=N","cols=1;rows=1")</f>
        <v>24.052099999999999</v>
      </c>
      <c r="L153" s="73" t="str">
        <f>[1]!wss($A153:$A153,"hks_fa_roe","rptDate="&amp;($B153-1)&amp;"1231","WssConvert=0","showcodes=N","cols=1;rows=1")</f>
        <v/>
      </c>
      <c r="M153" s="43">
        <f>[1]!wss($A153:$A153,"hks_fa_debttoassets","rptDate="&amp;($B153-1)&amp;"1231","WssConvert=0","showcodes=N","cols=1;rows=1")</f>
        <v>204.5017</v>
      </c>
      <c r="P153" s="50">
        <v>14.764810000000001</v>
      </c>
      <c r="Q153" s="50">
        <v>17.469360000000002</v>
      </c>
      <c r="R153" s="50">
        <v>16.88391</v>
      </c>
      <c r="S153" s="50">
        <v>-2.19909</v>
      </c>
      <c r="T153" s="50">
        <v>0.17161999999999999</v>
      </c>
      <c r="U153" s="50">
        <v>0.21989</v>
      </c>
      <c r="V153" s="50">
        <v>16.765799999999999</v>
      </c>
      <c r="W153" s="50">
        <v>22.492799999999999</v>
      </c>
      <c r="X153" s="50">
        <v>20.261299999999999</v>
      </c>
    </row>
    <row r="154" spans="1:24">
      <c r="A154" t="s">
        <v>556</v>
      </c>
      <c r="B154" s="17">
        <f>IFERROR(YEAR(VLOOKUP($A154,'01_ipo_master'!$A:$C,3,FALSE)),YEAR(VLOOKUP("0"&amp;$A154,'01_ipo_master'!$A:$C,3,FALSE)))</f>
        <v>2025</v>
      </c>
      <c r="C154" s="73">
        <f>[1]!wss($A154:$A154,"hks_stm_is","item=83","rptDate="&amp;($B154-3)&amp;"1231","rptType=1","currencyType=Cur=CNY","WssConvert=0","WssDivide=8","showcodes=N","cols=1;rows=1")</f>
        <v>12.69265</v>
      </c>
      <c r="D154" s="73">
        <f>[1]!wss($A154:$A154,"hks_stm_is","item=83","rptDate="&amp;($B154-2)&amp;"1231","rptType=1","currencyType=Cur=CNY","WssConvert=0","WssDivide=8","showcodes=N","cols=1;rows=1")</f>
        <v>14.619730000000001</v>
      </c>
      <c r="E154" s="73">
        <f>[1]!wss($A154:$A154,"hks_stm_is","item=83","rptDate="&amp;($B154-1)&amp;"1231","rptType=1","currencyType=Cur=CNY","WssConvert=0","WssDivide=8","showcodes=N","cols=1;rows=1")</f>
        <v>13.81382</v>
      </c>
      <c r="F154" s="73">
        <f>[1]!wss($A154:$A154,"hks_stm_is","item=61","rptDate="&amp;($B154-3)&amp;"1231","rptType=1","currencyType=Cur=CNY","WssConvert=0","WssDivide=8","showcodes=N","cols=1;rows=1")</f>
        <v>16.599240000000002</v>
      </c>
      <c r="G154" s="73">
        <f>[1]!wss($A154:$A154,"hks_stm_is","item=61","rptDate="&amp;($B154-2)&amp;"1231","rptType=1","currencyType=Cur=CNY","WssConvert=0","WssDivide=8","showcodes=N","cols=1;rows=1")</f>
        <v>3.1455899999999999</v>
      </c>
      <c r="H154" s="73">
        <f>[1]!wss($A154:$A154,"hks_stm_is","item=61","rptDate="&amp;($B154-1)&amp;"1231","rptType=1","currencyType=Cur=CNY","WssConvert=0","WssDivide=8","showcodes=N","cols=1;rows=1")</f>
        <v>4.7350000000000003E-2</v>
      </c>
      <c r="I154" s="73">
        <f>[1]!wss($A154:$A154,"hks_fa_grossprofitmargin","rptDate="&amp;($B154-3)&amp;"1231","WssConvert=0","showcodes=N","cols=1;rows=1")</f>
        <v>53.238599999999998</v>
      </c>
      <c r="J154" s="43">
        <f>[1]!wss($A154:$A154,"hks_fa_grossprofitmargin","rptDate="&amp;($B154-2)&amp;"1231","WssConvert=0","showcodes=N","cols=1;rows=1")</f>
        <v>50.113199999999999</v>
      </c>
      <c r="K154" s="43">
        <f>[1]!wss($A154:$A154,"hks_fa_grossprofitmargin","rptDate="&amp;($B154-1)&amp;"1231","WssConvert=0","showcodes=N","cols=1;rows=1")</f>
        <v>51.592799999999997</v>
      </c>
      <c r="L154" s="73" t="str">
        <f>[1]!wss($A154:$A154,"hks_fa_roe","rptDate="&amp;($B154-1)&amp;"1231","WssConvert=0","showcodes=N","cols=1;rows=1")</f>
        <v/>
      </c>
      <c r="M154" s="43">
        <f>[1]!wss($A154:$A154,"hks_fa_debttoassets","rptDate="&amp;($B154-1)&amp;"1231","WssConvert=0","showcodes=N","cols=1;rows=1")</f>
        <v>368.75189999999998</v>
      </c>
      <c r="P154" s="50">
        <v>14.619730000000001</v>
      </c>
      <c r="Q154" s="50">
        <v>13.81382</v>
      </c>
      <c r="R154" s="50">
        <v>14.25775</v>
      </c>
      <c r="S154" s="50">
        <v>3.1455899999999999</v>
      </c>
      <c r="T154" s="50">
        <v>4.7350000000000003E-2</v>
      </c>
      <c r="U154" s="50">
        <v>-64.149690000000007</v>
      </c>
      <c r="V154" s="50">
        <v>50.113199999999999</v>
      </c>
      <c r="W154" s="50">
        <v>51.592799999999997</v>
      </c>
      <c r="X154" s="50">
        <v>55.381900000000002</v>
      </c>
    </row>
    <row r="155" spans="1:24">
      <c r="A155" t="s">
        <v>558</v>
      </c>
      <c r="B155" s="17">
        <f>IFERROR(YEAR(VLOOKUP($A155,'01_ipo_master'!$A:$C,3,FALSE)),YEAR(VLOOKUP("0"&amp;$A155,'01_ipo_master'!$A:$C,3,FALSE)))</f>
        <v>2025</v>
      </c>
      <c r="C155" s="73">
        <f>[1]!wss($A155:$A155,"hks_stm_is","item=83","rptDate="&amp;($B155-3)&amp;"1231","rptType=1","currencyType=Cur=CNY","WssConvert=0","WssDivide=8","showcodes=N","cols=1;rows=1")</f>
        <v>19.028420000000001</v>
      </c>
      <c r="D155" s="73">
        <f>[1]!wss($A155:$A155,"hks_stm_is","item=83","rptDate="&amp;($B155-2)&amp;"1231","rptType=1","currencyType=Cur=CNY","WssConvert=0","WssDivide=8","showcodes=N","cols=1;rows=1")</f>
        <v>14.531779999999999</v>
      </c>
      <c r="E155" s="73">
        <f>[1]!wss($A155:$A155,"hks_stm_is","item=83","rptDate="&amp;($B155-1)&amp;"1231","rptType=1","currencyType=Cur=CNY","WssConvert=0","WssDivide=8","showcodes=N","cols=1;rows=1")</f>
        <v>15.23033</v>
      </c>
      <c r="F155" s="73">
        <f>[1]!wss($A155:$A155,"hks_stm_is","item=61","rptDate="&amp;($B155-3)&amp;"1231","rptType=1","currencyType=Cur=CNY","WssConvert=0","WssDivide=8","showcodes=N","cols=1;rows=1")</f>
        <v>0.88907000000000003</v>
      </c>
      <c r="G155" s="73">
        <f>[1]!wss($A155:$A155,"hks_stm_is","item=61","rptDate="&amp;($B155-2)&amp;"1231","rptType=1","currencyType=Cur=CNY","WssConvert=0","WssDivide=8","showcodes=N","cols=1;rows=1")</f>
        <v>0.64180999999999999</v>
      </c>
      <c r="H155" s="73">
        <f>[1]!wss($A155:$A155,"hks_stm_is","item=61","rptDate="&amp;($B155-1)&amp;"1231","rptType=1","currencyType=Cur=CNY","WssConvert=0","WssDivide=8","showcodes=N","cols=1;rows=1")</f>
        <v>0.74639</v>
      </c>
      <c r="I155" s="73">
        <f>[1]!wss($A155:$A155,"hks_fa_grossprofitmargin","rptDate="&amp;($B155-3)&amp;"1231","WssConvert=0","showcodes=N","cols=1;rows=1")</f>
        <v>12.7494</v>
      </c>
      <c r="J155" s="43">
        <f>[1]!wss($A155:$A155,"hks_fa_grossprofitmargin","rptDate="&amp;($B155-2)&amp;"1231","WssConvert=0","showcodes=N","cols=1;rows=1")</f>
        <v>14.771100000000001</v>
      </c>
      <c r="K155" s="43">
        <f>[1]!wss($A155:$A155,"hks_fa_grossprofitmargin","rptDate="&amp;($B155-1)&amp;"1231","WssConvert=0","showcodes=N","cols=1;rows=1")</f>
        <v>12.5052</v>
      </c>
      <c r="L155" s="73">
        <f>[1]!wss($A155:$A155,"hks_fa_roe","rptDate="&amp;($B155-1)&amp;"1231","WssConvert=0","showcodes=N","cols=1;rows=1")</f>
        <v>18.831499999999998</v>
      </c>
      <c r="M155" s="43">
        <f>[1]!wss($A155:$A155,"hks_fa_debttoassets","rptDate="&amp;($B155-1)&amp;"1231","WssConvert=0","showcodes=N","cols=1;rows=1")</f>
        <v>66.351100000000002</v>
      </c>
      <c r="P155" s="50">
        <v>14.531779999999999</v>
      </c>
      <c r="Q155" s="50">
        <v>15.23033</v>
      </c>
      <c r="R155" s="50">
        <v>22.94079</v>
      </c>
      <c r="S155" s="50">
        <v>0.64180999999999999</v>
      </c>
      <c r="T155" s="50">
        <v>0.74639</v>
      </c>
      <c r="U155" s="50">
        <v>0.65647</v>
      </c>
      <c r="V155" s="50">
        <v>14.771100000000001</v>
      </c>
      <c r="W155" s="50">
        <v>12.5052</v>
      </c>
      <c r="X155" s="50">
        <v>10.031700000000001</v>
      </c>
    </row>
    <row r="156" spans="1:24">
      <c r="A156" t="s">
        <v>560</v>
      </c>
      <c r="B156" s="17">
        <f>IFERROR(YEAR(VLOOKUP($A156,'01_ipo_master'!$A:$C,3,FALSE)),YEAR(VLOOKUP("0"&amp;$A156,'01_ipo_master'!$A:$C,3,FALSE)))</f>
        <v>2022</v>
      </c>
      <c r="C156" s="73">
        <f>[1]!wss($A156:$A156,"hks_stm_is","item=83","rptDate="&amp;($B156-3)&amp;"1231","rptType=1","currencyType=Cur=CNY","WssConvert=0","WssDivide=8","showcodes=N","cols=1;rows=1")</f>
        <v>8.4654504688136978</v>
      </c>
      <c r="D156" s="73">
        <f>[1]!wss($A156:$A156,"hks_stm_is","item=83","rptDate="&amp;($B156-2)&amp;"1231","rptType=1","currencyType=Cur=CNY","WssConvert=0","WssDivide=8","showcodes=N","cols=1;rows=1")</f>
        <v>9.1505183316352099</v>
      </c>
      <c r="E156" s="73">
        <f>[1]!wss($A156:$A156,"hks_stm_is","item=83","rptDate="&amp;($B156-1)&amp;"1231","rptType=1","currencyType=Cur=CNY","WssConvert=0","WssDivide=8","showcodes=N","cols=1;rows=1")</f>
        <v>10.216982428285728</v>
      </c>
      <c r="F156" s="73">
        <f>[1]!wss($A156:$A156,"hks_stm_is","item=61","rptDate="&amp;($B156-3)&amp;"1231","rptType=1","currencyType=Cur=CNY","WssConvert=0","WssDivide=8","showcodes=N","cols=1;rows=1")</f>
        <v>0.29993885038728085</v>
      </c>
      <c r="G156" s="73">
        <f>[1]!wss($A156:$A156,"hks_stm_is","item=61","rptDate="&amp;($B156-2)&amp;"1231","rptType=1","currencyType=Cur=CNY","WssConvert=0","WssDivide=8","showcodes=N","cols=1;rows=1")</f>
        <v>0.30399624795821001</v>
      </c>
      <c r="H156" s="73">
        <f>[1]!wss($A156:$A156,"hks_stm_is","item=61","rptDate="&amp;($B156-1)&amp;"1231","rptType=1","currencyType=Cur=CNY","WssConvert=0","WssDivide=8","showcodes=N","cols=1;rows=1")</f>
        <v>0.36010564401630463</v>
      </c>
      <c r="I156" s="73">
        <f>[1]!wss($A156:$A156,"hks_fa_grossprofitmargin","rptDate="&amp;($B156-3)&amp;"1231","WssConvert=0","showcodes=N","cols=1;rows=1")</f>
        <v>13.3057</v>
      </c>
      <c r="J156" s="43">
        <f>[1]!wss($A156:$A156,"hks_fa_grossprofitmargin","rptDate="&amp;($B156-2)&amp;"1231","WssConvert=0","showcodes=N","cols=1;rows=1")</f>
        <v>14.1212</v>
      </c>
      <c r="K156" s="43">
        <f>[1]!wss($A156:$A156,"hks_fa_grossprofitmargin","rptDate="&amp;($B156-1)&amp;"1231","WssConvert=0","showcodes=N","cols=1;rows=1")</f>
        <v>14.132300000000001</v>
      </c>
      <c r="L156" s="73">
        <f>[1]!wss($A156:$A156,"hks_fa_roe","rptDate="&amp;($B156-1)&amp;"1231","WssConvert=0","showcodes=N","cols=1;rows=1")</f>
        <v>23.976299999999998</v>
      </c>
      <c r="M156" s="43">
        <f>[1]!wss($A156:$A156,"hks_fa_debttoassets","rptDate="&amp;($B156-1)&amp;"1231","WssConvert=0","showcodes=N","cols=1;rows=1")</f>
        <v>48.274799999999999</v>
      </c>
      <c r="P156" s="50">
        <v>14.382179744103601</v>
      </c>
      <c r="Q156" s="50">
        <v>14.789865871833101</v>
      </c>
      <c r="R156" s="50">
        <v>16.156982282339499</v>
      </c>
      <c r="S156" s="50">
        <v>0.41800524125173399</v>
      </c>
      <c r="T156" s="50">
        <v>0.45459405170737999</v>
      </c>
      <c r="U156" s="50">
        <v>0.57565943296558697</v>
      </c>
      <c r="V156" s="50">
        <v>11.840299999999999</v>
      </c>
      <c r="W156" s="50">
        <v>12.4297</v>
      </c>
      <c r="X156" s="50">
        <v>13.069100000000001</v>
      </c>
    </row>
    <row r="157" spans="1:24">
      <c r="A157" t="s">
        <v>562</v>
      </c>
      <c r="B157" s="17">
        <f>IFERROR(YEAR(VLOOKUP($A157,'01_ipo_master'!$A:$C,3,FALSE)),YEAR(VLOOKUP("0"&amp;$A157,'01_ipo_master'!$A:$C,3,FALSE)))</f>
        <v>2022</v>
      </c>
      <c r="C157" s="73">
        <f>[1]!wss($A157:$A157,"hks_stm_is","item=83","rptDate="&amp;($B157-3)&amp;"1231","rptType=1","currencyType=Cur=CNY","WssConvert=0","WssDivide=8","showcodes=N","cols=1;rows=1")</f>
        <v>11.068340000000001</v>
      </c>
      <c r="D157" s="73">
        <f>[1]!wss($A157:$A157,"hks_stm_is","item=83","rptDate="&amp;($B157-2)&amp;"1231","rptType=1","currencyType=Cur=CNY","WssConvert=0","WssDivide=8","showcodes=N","cols=1;rows=1")</f>
        <v>9.6435700000000004</v>
      </c>
      <c r="E157" s="73">
        <f>[1]!wss($A157:$A157,"hks_stm_is","item=83","rptDate="&amp;($B157-1)&amp;"1231","rptType=1","currencyType=Cur=CNY","WssConvert=0","WssDivide=8","showcodes=N","cols=1;rows=1")</f>
        <v>12.982760000000001</v>
      </c>
      <c r="F157" s="73">
        <f>[1]!wss($A157:$A157,"hks_stm_is","item=61","rptDate="&amp;($B157-3)&amp;"1231","rptType=1","currencyType=Cur=CNY","WssConvert=0","WssDivide=8","showcodes=N","cols=1;rows=1")</f>
        <v>-0.37041000000000002</v>
      </c>
      <c r="G157" s="73">
        <f>[1]!wss($A157:$A157,"hks_stm_is","item=61","rptDate="&amp;($B157-2)&amp;"1231","rptType=1","currencyType=Cur=CNY","WssConvert=0","WssDivide=8","showcodes=N","cols=1;rows=1")</f>
        <v>0.99367000000000005</v>
      </c>
      <c r="H157" s="73">
        <f>[1]!wss($A157:$A157,"hks_stm_is","item=61","rptDate="&amp;($B157-1)&amp;"1231","rptType=1","currencyType=Cur=CNY","WssConvert=0","WssDivide=8","showcodes=N","cols=1;rows=1")</f>
        <v>-1.9044700000000001</v>
      </c>
      <c r="I157" s="73">
        <f>[1]!wss($A157:$A157,"hks_fa_grossprofitmargin","rptDate="&amp;($B157-3)&amp;"1231","WssConvert=0","showcodes=N","cols=1;rows=1")</f>
        <v>41.869</v>
      </c>
      <c r="J157" s="43">
        <f>[1]!wss($A157:$A157,"hks_fa_grossprofitmargin","rptDate="&amp;($B157-2)&amp;"1231","WssConvert=0","showcodes=N","cols=1;rows=1")</f>
        <v>45.3371</v>
      </c>
      <c r="K157" s="43">
        <f>[1]!wss($A157:$A157,"hks_fa_grossprofitmargin","rptDate="&amp;($B157-1)&amp;"1231","WssConvert=0","showcodes=N","cols=1;rows=1")</f>
        <v>46.9467</v>
      </c>
      <c r="L157" s="73" t="str">
        <f>[1]!wss($A157:$A157,"hks_fa_roe","rptDate="&amp;($B157-1)&amp;"1231","WssConvert=0","showcodes=N","cols=1;rows=1")</f>
        <v/>
      </c>
      <c r="M157" s="43">
        <f>[1]!wss($A157:$A157,"hks_fa_debttoassets","rptDate="&amp;($B157-1)&amp;"1231","WssConvert=0","showcodes=N","cols=1;rows=1")</f>
        <v>126.10039999999999</v>
      </c>
      <c r="P157" s="50">
        <v>14.0632</v>
      </c>
      <c r="Q157" s="50">
        <v>14.28397</v>
      </c>
      <c r="R157" s="50">
        <v>13.80354</v>
      </c>
      <c r="S157" s="50">
        <v>1.7352300000000001</v>
      </c>
      <c r="T157" s="50">
        <v>0.92393999999999998</v>
      </c>
      <c r="U157" s="50">
        <v>0.96189000000000002</v>
      </c>
      <c r="V157" s="50">
        <v>49.180900000000001</v>
      </c>
      <c r="W157" s="50">
        <v>46.442900000000002</v>
      </c>
      <c r="X157" s="50">
        <v>45.872100000000003</v>
      </c>
    </row>
    <row r="158" spans="1:24">
      <c r="A158" t="s">
        <v>564</v>
      </c>
      <c r="B158" s="17">
        <f>IFERROR(YEAR(VLOOKUP($A158,'01_ipo_master'!$A:$C,3,FALSE)),YEAR(VLOOKUP("0"&amp;$A158,'01_ipo_master'!$A:$C,3,FALSE)))</f>
        <v>2025</v>
      </c>
      <c r="C158" s="73">
        <f>[1]!wss($A158:$A158,"hks_stm_is","item=83","rptDate="&amp;($B158-3)&amp;"1231","rptType=1","currencyType=Cur=CNY","WssConvert=0","WssDivide=8","showcodes=N","cols=1;rows=1")</f>
        <v>13.286850000000001</v>
      </c>
      <c r="D158" s="73">
        <f>[1]!wss($A158:$A158,"hks_stm_is","item=83","rptDate="&amp;($B158-2)&amp;"1231","rptType=1","currencyType=Cur=CNY","WssConvert=0","WssDivide=8","showcodes=N","cols=1;rows=1")</f>
        <v>14.01972</v>
      </c>
      <c r="E158" s="73">
        <f>[1]!wss($A158:$A158,"hks_stm_is","item=83","rptDate="&amp;($B158-1)&amp;"1231","rptType=1","currencyType=Cur=CNY","WssConvert=0","WssDivide=8","showcodes=N","cols=1;rows=1")</f>
        <v>13.50925</v>
      </c>
      <c r="F158" s="73">
        <f>[1]!wss($A158:$A158,"hks_stm_is","item=61","rptDate="&amp;($B158-3)&amp;"1231","rptType=1","currencyType=Cur=CNY","WssConvert=0","WssDivide=8","showcodes=N","cols=1;rows=1")</f>
        <v>0.50029000000000001</v>
      </c>
      <c r="G158" s="73">
        <f>[1]!wss($A158:$A158,"hks_stm_is","item=61","rptDate="&amp;($B158-2)&amp;"1231","rptType=1","currencyType=Cur=CNY","WssConvert=0","WssDivide=8","showcodes=N","cols=1;rows=1")</f>
        <v>0.50087999999999999</v>
      </c>
      <c r="H158" s="73">
        <f>[1]!wss($A158:$A158,"hks_stm_is","item=61","rptDate="&amp;($B158-1)&amp;"1231","rptType=1","currencyType=Cur=CNY","WssConvert=0","WssDivide=8","showcodes=N","cols=1;rows=1")</f>
        <v>0.42721999999999999</v>
      </c>
      <c r="I158" s="73">
        <f>[1]!wss($A158:$A158,"hks_fa_grossprofitmargin","rptDate="&amp;($B158-3)&amp;"1231","WssConvert=0","showcodes=N","cols=1;rows=1")</f>
        <v>22.739599999999999</v>
      </c>
      <c r="J158" s="43">
        <f>[1]!wss($A158:$A158,"hks_fa_grossprofitmargin","rptDate="&amp;($B158-2)&amp;"1231","WssConvert=0","showcodes=N","cols=1;rows=1")</f>
        <v>21.496600000000001</v>
      </c>
      <c r="K158" s="43">
        <f>[1]!wss($A158:$A158,"hks_fa_grossprofitmargin","rptDate="&amp;($B158-1)&amp;"1231","WssConvert=0","showcodes=N","cols=1;rows=1")</f>
        <v>21.400200000000002</v>
      </c>
      <c r="L158" s="73">
        <f>[1]!wss($A158:$A158,"hks_fa_roe","rptDate="&amp;($B158-1)&amp;"1231","WssConvert=0","showcodes=N","cols=1;rows=1")</f>
        <v>8.5322999999999993</v>
      </c>
      <c r="M158" s="43">
        <f>[1]!wss($A158:$A158,"hks_fa_debttoassets","rptDate="&amp;($B158-1)&amp;"1231","WssConvert=0","showcodes=N","cols=1;rows=1")</f>
        <v>62.8416</v>
      </c>
      <c r="P158" s="50">
        <v>14.01972</v>
      </c>
      <c r="Q158" s="50">
        <v>13.50925</v>
      </c>
      <c r="R158" s="50">
        <v>15.43962</v>
      </c>
      <c r="S158" s="50">
        <v>0.50087999999999999</v>
      </c>
      <c r="T158" s="50">
        <v>0.42721999999999999</v>
      </c>
      <c r="U158" s="50">
        <v>0.36627999999999999</v>
      </c>
      <c r="V158" s="50">
        <v>21.496600000000001</v>
      </c>
      <c r="W158" s="50">
        <v>21.400200000000002</v>
      </c>
      <c r="X158" s="50">
        <v>18.737300000000001</v>
      </c>
    </row>
    <row r="159" spans="1:24">
      <c r="A159" t="s">
        <v>566</v>
      </c>
      <c r="B159" s="17">
        <f>IFERROR(YEAR(VLOOKUP($A159,'01_ipo_master'!$A:$C,3,FALSE)),YEAR(VLOOKUP("0"&amp;$A159,'01_ipo_master'!$A:$C,3,FALSE)))</f>
        <v>2023</v>
      </c>
      <c r="C159" s="73">
        <f>[1]!wss($A159:$A159,"hks_stm_is","item=83","rptDate="&amp;($B159-3)&amp;"1231","rptType=1","currencyType=Cur=CNY","WssConvert=0","WssDivide=8","showcodes=N","cols=1;rows=1")</f>
        <v>9.8064300000000006</v>
      </c>
      <c r="D159" s="73">
        <f>[1]!wss($A159:$A159,"hks_stm_is","item=83","rptDate="&amp;($B159-2)&amp;"1231","rptType=1","currencyType=Cur=CNY","WssConvert=0","WssDivide=8","showcodes=N","cols=1;rows=1")</f>
        <v>11.721820000000001</v>
      </c>
      <c r="E159" s="73">
        <f>[1]!wss($A159:$A159,"hks_stm_is","item=83","rptDate="&amp;($B159-1)&amp;"1231","rptType=1","currencyType=Cur=CNY","WssConvert=0","WssDivide=8","showcodes=N","cols=1;rows=1")</f>
        <v>11.94209</v>
      </c>
      <c r="F159" s="73">
        <f>[1]!wss($A159:$A159,"hks_stm_is","item=61","rptDate="&amp;($B159-3)&amp;"1231","rptType=1","currencyType=Cur=CNY","WssConvert=0","WssDivide=8","showcodes=N","cols=1;rows=1")</f>
        <v>0.54210000000000003</v>
      </c>
      <c r="G159" s="73">
        <f>[1]!wss($A159:$A159,"hks_stm_is","item=61","rptDate="&amp;($B159-2)&amp;"1231","rptType=1","currencyType=Cur=CNY","WssConvert=0","WssDivide=8","showcodes=N","cols=1;rows=1")</f>
        <v>0.55178000000000005</v>
      </c>
      <c r="H159" s="73">
        <f>[1]!wss($A159:$A159,"hks_stm_is","item=61","rptDate="&amp;($B159-1)&amp;"1231","rptType=1","currencyType=Cur=CNY","WssConvert=0","WssDivide=8","showcodes=N","cols=1;rows=1")</f>
        <v>0.35400999999999999</v>
      </c>
      <c r="I159" s="73">
        <f>[1]!wss($A159:$A159,"hks_fa_grossprofitmargin","rptDate="&amp;($B159-3)&amp;"1231","WssConvert=0","showcodes=N","cols=1;rows=1")</f>
        <v>33.669699999999999</v>
      </c>
      <c r="J159" s="43">
        <f>[1]!wss($A159:$A159,"hks_fa_grossprofitmargin","rptDate="&amp;($B159-2)&amp;"1231","WssConvert=0","showcodes=N","cols=1;rows=1")</f>
        <v>31.9206</v>
      </c>
      <c r="K159" s="43">
        <f>[1]!wss($A159:$A159,"hks_fa_grossprofitmargin","rptDate="&amp;($B159-1)&amp;"1231","WssConvert=0","showcodes=N","cols=1;rows=1")</f>
        <v>30.284800000000001</v>
      </c>
      <c r="L159" s="73">
        <f>[1]!wss($A159:$A159,"hks_fa_roe","rptDate="&amp;($B159-1)&amp;"1231","WssConvert=0","showcodes=N","cols=1;rows=1")</f>
        <v>4.0148000000000001</v>
      </c>
      <c r="M159" s="43">
        <f>[1]!wss($A159:$A159,"hks_fa_debttoassets","rptDate="&amp;($B159-1)&amp;"1231","WssConvert=0","showcodes=N","cols=1;rows=1")</f>
        <v>66.217299999999994</v>
      </c>
      <c r="P159" s="50">
        <v>13.71805</v>
      </c>
      <c r="Q159" s="50">
        <v>16.10867</v>
      </c>
      <c r="R159" s="50">
        <v>17.48753</v>
      </c>
      <c r="S159" s="50">
        <v>0.31219999999999998</v>
      </c>
      <c r="T159" s="50">
        <v>1.0196099999999999</v>
      </c>
      <c r="U159" s="50">
        <v>0.82211999999999996</v>
      </c>
      <c r="V159" s="50">
        <v>30.427</v>
      </c>
      <c r="W159" s="50">
        <v>28.787299999999998</v>
      </c>
      <c r="X159" s="50">
        <v>29.963200000000001</v>
      </c>
    </row>
    <row r="160" spans="1:24">
      <c r="A160" t="s">
        <v>568</v>
      </c>
      <c r="B160" s="17">
        <f>IFERROR(YEAR(VLOOKUP($A160,'01_ipo_master'!$A:$C,3,FALSE)),YEAR(VLOOKUP("0"&amp;$A160,'01_ipo_master'!$A:$C,3,FALSE)))</f>
        <v>2024</v>
      </c>
      <c r="C160" s="73">
        <f>[1]!wss($A160:$A160,"hks_stm_is","item=83","rptDate="&amp;($B160-3)&amp;"1231","rptType=1","currencyType=Cur=CNY","WssConvert=0","WssDivide=8","showcodes=N","cols=1;rows=1")</f>
        <v>14.710100000000001</v>
      </c>
      <c r="D160" s="73">
        <f>[1]!wss($A160:$A160,"hks_stm_is","item=83","rptDate="&amp;($B160-2)&amp;"1231","rptType=1","currencyType=Cur=CNY","WssConvert=0","WssDivide=8","showcodes=N","cols=1;rows=1")</f>
        <v>11.472900000000001</v>
      </c>
      <c r="E160" s="73">
        <f>[1]!wss($A160:$A160,"hks_stm_is","item=83","rptDate="&amp;($B160-1)&amp;"1231","rptType=1","currencyType=Cur=CNY","WssConvert=0","WssDivide=8","showcodes=N","cols=1;rows=1")</f>
        <v>13.33991</v>
      </c>
      <c r="F160" s="73">
        <f>[1]!wss($A160:$A160,"hks_stm_is","item=61","rptDate="&amp;($B160-3)&amp;"1231","rptType=1","currencyType=Cur=CNY","WssConvert=0","WssDivide=8","showcodes=N","cols=1;rows=1")</f>
        <v>-2.19706</v>
      </c>
      <c r="G160" s="73">
        <f>[1]!wss($A160:$A160,"hks_stm_is","item=61","rptDate="&amp;($B160-2)&amp;"1231","rptType=1","currencyType=Cur=CNY","WssConvert=0","WssDivide=8","showcodes=N","cols=1;rows=1")</f>
        <v>-2.1275200000000001</v>
      </c>
      <c r="H160" s="73">
        <f>[1]!wss($A160:$A160,"hks_stm_is","item=61","rptDate="&amp;($B160-1)&amp;"1231","rptType=1","currencyType=Cur=CNY","WssConvert=0","WssDivide=8","showcodes=N","cols=1;rows=1")</f>
        <v>-3.2410800000000002</v>
      </c>
      <c r="I160" s="73">
        <f>[1]!wss($A160:$A160,"hks_fa_grossprofitmargin","rptDate="&amp;($B160-3)&amp;"1231","WssConvert=0","showcodes=N","cols=1;rows=1")</f>
        <v>19.7943</v>
      </c>
      <c r="J160" s="43">
        <f>[1]!wss($A160:$A160,"hks_fa_grossprofitmargin","rptDate="&amp;($B160-2)&amp;"1231","WssConvert=0","showcodes=N","cols=1;rows=1")</f>
        <v>19.928799999999999</v>
      </c>
      <c r="K160" s="43">
        <f>[1]!wss($A160:$A160,"hks_fa_grossprofitmargin","rptDate="&amp;($B160-1)&amp;"1231","WssConvert=0","showcodes=N","cols=1;rows=1")</f>
        <v>21.007999999999999</v>
      </c>
      <c r="L160" s="73" t="str">
        <f>[1]!wss($A160:$A160,"hks_fa_roe","rptDate="&amp;($B160-1)&amp;"1231","WssConvert=0","showcodes=N","cols=1;rows=1")</f>
        <v/>
      </c>
      <c r="M160" s="43">
        <f>[1]!wss($A160:$A160,"hks_fa_debttoassets","rptDate="&amp;($B160-1)&amp;"1231","WssConvert=0","showcodes=N","cols=1;rows=1")</f>
        <v>450.7174</v>
      </c>
      <c r="P160" s="50">
        <v>13.33991</v>
      </c>
      <c r="Q160" s="50">
        <v>14.370089999999999</v>
      </c>
      <c r="R160" s="50">
        <v>17.687100000000001</v>
      </c>
      <c r="S160" s="50">
        <v>-3.2410800000000002</v>
      </c>
      <c r="T160" s="50">
        <v>-4.5936700000000004</v>
      </c>
      <c r="U160" s="50">
        <v>-0.57869999999999999</v>
      </c>
      <c r="V160" s="50">
        <v>21.007999999999999</v>
      </c>
      <c r="W160" s="50">
        <v>19.751100000000001</v>
      </c>
      <c r="X160" s="50">
        <v>18.464300000000001</v>
      </c>
    </row>
    <row r="161" spans="1:24">
      <c r="A161" t="s">
        <v>570</v>
      </c>
      <c r="B161" s="17">
        <f>IFERROR(YEAR(VLOOKUP($A161,'01_ipo_master'!$A:$C,3,FALSE)),YEAR(VLOOKUP("0"&amp;$A161,'01_ipo_master'!$A:$C,3,FALSE)))</f>
        <v>2025</v>
      </c>
      <c r="C161" s="73">
        <f>[1]!wss($A161:$A161,"hks_stm_is","item=83","rptDate="&amp;($B161-3)&amp;"1231","rptType=1","currencyType=Cur=CNY","WssConvert=0","WssDivide=8","showcodes=N","cols=1;rows=1")</f>
        <v>16.70393</v>
      </c>
      <c r="D161" s="73">
        <f>[1]!wss($A161:$A161,"hks_stm_is","item=83","rptDate="&amp;($B161-2)&amp;"1231","rptType=1","currencyType=Cur=CNY","WssConvert=0","WssDivide=8","showcodes=N","cols=1;rows=1")</f>
        <v>13.10927</v>
      </c>
      <c r="E161" s="73">
        <f>[1]!wss($A161:$A161,"hks_stm_is","item=83","rptDate="&amp;($B161-1)&amp;"1231","rptType=1","currencyType=Cur=CNY","WssConvert=0","WssDivide=8","showcodes=N","cols=1;rows=1")</f>
        <v>19.602740000000001</v>
      </c>
      <c r="F161" s="73">
        <f>[1]!wss($A161:$A161,"hks_stm_is","item=61","rptDate="&amp;($B161-3)&amp;"1231","rptType=1","currencyType=Cur=CNY","WssConvert=0","WssDivide=8","showcodes=N","cols=1;rows=1")</f>
        <v>2.5057399999999999</v>
      </c>
      <c r="G161" s="73">
        <f>[1]!wss($A161:$A161,"hks_stm_is","item=61","rptDate="&amp;($B161-2)&amp;"1231","rptType=1","currencyType=Cur=CNY","WssConvert=0","WssDivide=8","showcodes=N","cols=1;rows=1")</f>
        <v>-3.05335</v>
      </c>
      <c r="H161" s="73">
        <f>[1]!wss($A161:$A161,"hks_stm_is","item=61","rptDate="&amp;($B161-1)&amp;"1231","rptType=1","currencyType=Cur=CNY","WssConvert=0","WssDivide=8","showcodes=N","cols=1;rows=1")</f>
        <v>-4.0287800000000002</v>
      </c>
      <c r="I161" s="73">
        <f>[1]!wss($A161:$A161,"hks_fa_grossprofitmargin","rptDate="&amp;($B161-3)&amp;"1231","WssConvert=0","showcodes=N","cols=1;rows=1")</f>
        <v>48.508000000000003</v>
      </c>
      <c r="J161" s="43">
        <f>[1]!wss($A161:$A161,"hks_fa_grossprofitmargin","rptDate="&amp;($B161-2)&amp;"1231","WssConvert=0","showcodes=N","cols=1;rows=1")</f>
        <v>33.873899999999999</v>
      </c>
      <c r="K161" s="43">
        <f>[1]!wss($A161:$A161,"hks_fa_grossprofitmargin","rptDate="&amp;($B161-1)&amp;"1231","WssConvert=0","showcodes=N","cols=1;rows=1")</f>
        <v>28.023900000000001</v>
      </c>
      <c r="L161" s="73">
        <f>[1]!wss($A161:$A161,"hks_fa_roe","rptDate="&amp;($B161-1)&amp;"1231","WssConvert=0","showcodes=N","cols=1;rows=1")</f>
        <v>-6.6323999999999996</v>
      </c>
      <c r="M161" s="43">
        <f>[1]!wss($A161:$A161,"hks_fa_debttoassets","rptDate="&amp;($B161-1)&amp;"1231","WssConvert=0","showcodes=N","cols=1;rows=1")</f>
        <v>22.498799999999999</v>
      </c>
      <c r="P161" s="50">
        <v>13.10927</v>
      </c>
      <c r="Q161" s="50">
        <v>19.602740000000001</v>
      </c>
      <c r="R161" s="50">
        <v>33.678229999999999</v>
      </c>
      <c r="S161" s="50">
        <v>-3.05335</v>
      </c>
      <c r="T161" s="50">
        <v>-4.0287800000000002</v>
      </c>
      <c r="U161" s="50">
        <v>-2.2887400000000002</v>
      </c>
      <c r="V161" s="50">
        <v>33.873899999999999</v>
      </c>
      <c r="W161" s="50">
        <v>28.023900000000001</v>
      </c>
      <c r="X161" s="50">
        <v>32.015700000000002</v>
      </c>
    </row>
    <row r="162" spans="1:24">
      <c r="A162" t="s">
        <v>573</v>
      </c>
      <c r="B162" s="17">
        <f>IFERROR(YEAR(VLOOKUP($A162,'01_ipo_master'!$A:$C,3,FALSE)),YEAR(VLOOKUP("0"&amp;$A162,'01_ipo_master'!$A:$C,3,FALSE)))</f>
        <v>2023</v>
      </c>
      <c r="C162" s="73">
        <f>[1]!wss($A162:$A162,"hks_stm_is","item=83","rptDate="&amp;($B162-3)&amp;"1231","rptType=1","currencyType=Cur=CNY","WssConvert=0","WssDivide=8","showcodes=N","cols=1;rows=1")</f>
        <v>7.4976099999999999</v>
      </c>
      <c r="D162" s="73">
        <f>[1]!wss($A162:$A162,"hks_stm_is","item=83","rptDate="&amp;($B162-2)&amp;"1231","rptType=1","currencyType=Cur=CNY","WssConvert=0","WssDivide=8","showcodes=N","cols=1;rows=1")</f>
        <v>11.712619999999999</v>
      </c>
      <c r="E162" s="73">
        <f>[1]!wss($A162:$A162,"hks_stm_is","item=83","rptDate="&amp;($B162-1)&amp;"1231","rptType=1","currencyType=Cur=CNY","WssConvert=0","WssDivide=8","showcodes=N","cols=1;rows=1")</f>
        <v>11.41526</v>
      </c>
      <c r="F162" s="73">
        <f>[1]!wss($A162:$A162,"hks_stm_is","item=61","rptDate="&amp;($B162-3)&amp;"1231","rptType=1","currencyType=Cur=CNY","WssConvert=0","WssDivide=8","showcodes=N","cols=1;rows=1")</f>
        <v>0.12341000000000001</v>
      </c>
      <c r="G162" s="73">
        <f>[1]!wss($A162:$A162,"hks_stm_is","item=61","rptDate="&amp;($B162-2)&amp;"1231","rptType=1","currencyType=Cur=CNY","WssConvert=0","WssDivide=8","showcodes=N","cols=1;rows=1")</f>
        <v>0.34112000000000003</v>
      </c>
      <c r="H162" s="73">
        <f>[1]!wss($A162:$A162,"hks_stm_is","item=61","rptDate="&amp;($B162-1)&amp;"1231","rptType=1","currencyType=Cur=CNY","WssConvert=0","WssDivide=8","showcodes=N","cols=1;rows=1")</f>
        <v>0.78913</v>
      </c>
      <c r="I162" s="73">
        <f>[1]!wss($A162:$A162,"hks_fa_grossprofitmargin","rptDate="&amp;($B162-3)&amp;"1231","WssConvert=0","showcodes=N","cols=1;rows=1")</f>
        <v>40.492600000000003</v>
      </c>
      <c r="J162" s="43">
        <f>[1]!wss($A162:$A162,"hks_fa_grossprofitmargin","rptDate="&amp;($B162-2)&amp;"1231","WssConvert=0","showcodes=N","cols=1;rows=1")</f>
        <v>30.885999999999999</v>
      </c>
      <c r="K162" s="43">
        <f>[1]!wss($A162:$A162,"hks_fa_grossprofitmargin","rptDate="&amp;($B162-1)&amp;"1231","WssConvert=0","showcodes=N","cols=1;rows=1")</f>
        <v>32.802300000000002</v>
      </c>
      <c r="L162" s="73">
        <f>[1]!wss($A162:$A162,"hks_fa_roe","rptDate="&amp;($B162-1)&amp;"1231","WssConvert=0","showcodes=N","cols=1;rows=1")</f>
        <v>16.87</v>
      </c>
      <c r="M162" s="43">
        <f>[1]!wss($A162:$A162,"hks_fa_debttoassets","rptDate="&amp;($B162-1)&amp;"1231","WssConvert=0","showcodes=N","cols=1;rows=1")</f>
        <v>80.505499999999998</v>
      </c>
      <c r="P162" s="50">
        <v>13.04341</v>
      </c>
      <c r="Q162" s="50">
        <v>14.640840000000001</v>
      </c>
      <c r="R162" s="50">
        <v>18.624669999999998</v>
      </c>
      <c r="S162" s="50">
        <v>1.1025400000000001</v>
      </c>
      <c r="T162" s="50">
        <v>0.3997</v>
      </c>
      <c r="U162" s="50">
        <v>0.45855000000000001</v>
      </c>
      <c r="V162" s="50">
        <v>32.124400000000001</v>
      </c>
      <c r="W162" s="50">
        <v>29.940300000000001</v>
      </c>
      <c r="X162" s="50">
        <v>25.723500000000001</v>
      </c>
    </row>
    <row r="163" spans="1:24">
      <c r="A163" t="s">
        <v>575</v>
      </c>
      <c r="B163" s="17">
        <f>IFERROR(YEAR(VLOOKUP($A163,'01_ipo_master'!$A:$C,3,FALSE)),YEAR(VLOOKUP("0"&amp;$A163,'01_ipo_master'!$A:$C,3,FALSE)))</f>
        <v>2024</v>
      </c>
      <c r="C163" s="73">
        <f>[1]!wss($A163:$A163,"hks_stm_is","item=83","rptDate="&amp;($B163-3)&amp;"1231","rptType=1","currencyType=Cur=CNY","WssConvert=0","WssDivide=8","showcodes=N","cols=1;rows=1")</f>
        <v>13.072509999999999</v>
      </c>
      <c r="D163" s="73">
        <f>[1]!wss($A163:$A163,"hks_stm_is","item=83","rptDate="&amp;($B163-2)&amp;"1231","rptType=1","currencyType=Cur=CNY","WssConvert=0","WssDivide=8","showcodes=N","cols=1;rows=1")</f>
        <v>11.254049999999999</v>
      </c>
      <c r="E163" s="73">
        <f>[1]!wss($A163:$A163,"hks_stm_is","item=83","rptDate="&amp;($B163-1)&amp;"1231","rptType=1","currencyType=Cur=CNY","WssConvert=0","WssDivide=8","showcodes=N","cols=1;rows=1")</f>
        <v>12.874080000000001</v>
      </c>
      <c r="F163" s="73">
        <f>[1]!wss($A163:$A163,"hks_stm_is","item=61","rptDate="&amp;($B163-3)&amp;"1231","rptType=1","currencyType=Cur=CNY","WssConvert=0","WssDivide=8","showcodes=N","cols=1;rows=1")</f>
        <v>1.1941300000000001</v>
      </c>
      <c r="G163" s="73">
        <f>[1]!wss($A163:$A163,"hks_stm_is","item=61","rptDate="&amp;($B163-2)&amp;"1231","rptType=1","currencyType=Cur=CNY","WssConvert=0","WssDivide=8","showcodes=N","cols=1;rows=1")</f>
        <v>0.59867000000000004</v>
      </c>
      <c r="H163" s="73">
        <f>[1]!wss($A163:$A163,"hks_stm_is","item=61","rptDate="&amp;($B163-1)&amp;"1231","rptType=1","currencyType=Cur=CNY","WssConvert=0","WssDivide=8","showcodes=N","cols=1;rows=1")</f>
        <v>1.1977500000000001</v>
      </c>
      <c r="I163" s="73">
        <f>[1]!wss($A163:$A163,"hks_fa_grossprofitmargin","rptDate="&amp;($B163-3)&amp;"1231","WssConvert=0","showcodes=N","cols=1;rows=1")</f>
        <v>72.702699999999993</v>
      </c>
      <c r="J163" s="43">
        <f>[1]!wss($A163:$A163,"hks_fa_grossprofitmargin","rptDate="&amp;($B163-2)&amp;"1231","WssConvert=0","showcodes=N","cols=1;rows=1")</f>
        <v>75.9071</v>
      </c>
      <c r="K163" s="43">
        <f>[1]!wss($A163:$A163,"hks_fa_grossprofitmargin","rptDate="&amp;($B163-1)&amp;"1231","WssConvert=0","showcodes=N","cols=1;rows=1")</f>
        <v>76.950699999999998</v>
      </c>
      <c r="L163" s="73">
        <f>[1]!wss($A163:$A163,"hks_fa_roe","rptDate="&amp;($B163-1)&amp;"1231","WssConvert=0","showcodes=N","cols=1;rows=1")</f>
        <v>14.3954</v>
      </c>
      <c r="M163" s="43">
        <f>[1]!wss($A163:$A163,"hks_fa_debttoassets","rptDate="&amp;($B163-1)&amp;"1231","WssConvert=0","showcodes=N","cols=1;rows=1")</f>
        <v>31.337900000000001</v>
      </c>
      <c r="P163" s="50">
        <v>12.874079999999999</v>
      </c>
      <c r="Q163" s="50">
        <v>13.691839999999999</v>
      </c>
      <c r="R163" s="50">
        <v>13.06301</v>
      </c>
      <c r="S163" s="50">
        <v>1.1977500000000001</v>
      </c>
      <c r="T163" s="50">
        <v>1.38601</v>
      </c>
      <c r="U163" s="50">
        <v>1.3840699999999999</v>
      </c>
      <c r="V163" s="50">
        <v>76.950699999999998</v>
      </c>
      <c r="W163" s="50">
        <v>79.0017</v>
      </c>
      <c r="X163" s="50">
        <v>80.690700000000007</v>
      </c>
    </row>
    <row r="164" spans="1:24">
      <c r="A164" t="s">
        <v>577</v>
      </c>
      <c r="B164" s="17">
        <f>IFERROR(YEAR(VLOOKUP($A164,'01_ipo_master'!$A:$C,3,FALSE)),YEAR(VLOOKUP("0"&amp;$A164,'01_ipo_master'!$A:$C,3,FALSE)))</f>
        <v>2022</v>
      </c>
      <c r="C164" s="73">
        <f>[1]!wss($A164:$A164,"hks_stm_is","item=83","rptDate="&amp;($B164-3)&amp;"1231","rptType=1","currencyType=Cur=CNY","WssConvert=0","WssDivide=8","showcodes=N","cols=1;rows=1")</f>
        <v>6.0027300000000006</v>
      </c>
      <c r="D164" s="73">
        <f>[1]!wss($A164:$A164,"hks_stm_is","item=83","rptDate="&amp;($B164-2)&amp;"1231","rptType=1","currencyType=Cur=CNY","WssConvert=0","WssDivide=8","showcodes=N","cols=1;rows=1")</f>
        <v>7.9703100000000004</v>
      </c>
      <c r="E164" s="73">
        <f>[1]!wss($A164:$A164,"hks_stm_is","item=83","rptDate="&amp;($B164-1)&amp;"1231","rptType=1","currencyType=Cur=CNY","WssConvert=0","WssDivide=8","showcodes=N","cols=1;rows=1")</f>
        <v>9.9220500000000005</v>
      </c>
      <c r="F164" s="73">
        <f>[1]!wss($A164:$A164,"hks_stm_is","item=61","rptDate="&amp;($B164-3)&amp;"1231","rptType=1","currencyType=Cur=CNY","WssConvert=0","WssDivide=8","showcodes=N","cols=1;rows=1")</f>
        <v>0.14398</v>
      </c>
      <c r="G164" s="73">
        <f>[1]!wss($A164:$A164,"hks_stm_is","item=61","rptDate="&amp;($B164-2)&amp;"1231","rptType=1","currencyType=Cur=CNY","WssConvert=0","WssDivide=8","showcodes=N","cols=1;rows=1")</f>
        <v>0.27748</v>
      </c>
      <c r="H164" s="73">
        <f>[1]!wss($A164:$A164,"hks_stm_is","item=61","rptDate="&amp;($B164-1)&amp;"1231","rptType=1","currencyType=Cur=CNY","WssConvert=0","WssDivide=8","showcodes=N","cols=1;rows=1")</f>
        <v>0.14513000000000001</v>
      </c>
      <c r="I164" s="73">
        <f>[1]!wss($A164:$A164,"hks_fa_grossprofitmargin","rptDate="&amp;($B164-3)&amp;"1231","WssConvert=0","showcodes=N","cols=1;rows=1")</f>
        <v>32.7714</v>
      </c>
      <c r="J164" s="43">
        <f>[1]!wss($A164:$A164,"hks_fa_grossprofitmargin","rptDate="&amp;($B164-2)&amp;"1231","WssConvert=0","showcodes=N","cols=1;rows=1")</f>
        <v>24.322600000000001</v>
      </c>
      <c r="K164" s="43">
        <f>[1]!wss($A164:$A164,"hks_fa_grossprofitmargin","rptDate="&amp;($B164-1)&amp;"1231","WssConvert=0","showcodes=N","cols=1;rows=1")</f>
        <v>23.428000000000001</v>
      </c>
      <c r="L164" s="73">
        <f>[1]!wss($A164:$A164,"hks_fa_roe","rptDate="&amp;($B164-1)&amp;"1231","WssConvert=0","showcodes=N","cols=1;rows=1")</f>
        <v>5.2180999999999997</v>
      </c>
      <c r="M164" s="43">
        <f>[1]!wss($A164:$A164,"hks_fa_debttoassets","rptDate="&amp;($B164-1)&amp;"1231","WssConvert=0","showcodes=N","cols=1;rows=1")</f>
        <v>47.596499999999999</v>
      </c>
      <c r="P164" s="50">
        <v>12.81584</v>
      </c>
      <c r="Q164" s="50">
        <v>11.51277</v>
      </c>
      <c r="R164" s="50">
        <v>7.6336700000000004</v>
      </c>
      <c r="S164" s="50">
        <v>-0.72363999999999995</v>
      </c>
      <c r="T164" s="50">
        <v>6.9139999999999993E-2</v>
      </c>
      <c r="U164" s="50">
        <v>-0.54344999999999999</v>
      </c>
      <c r="V164" s="50">
        <v>15.972300000000001</v>
      </c>
      <c r="W164" s="50">
        <v>18.2212</v>
      </c>
      <c r="X164" s="50">
        <v>14.3636</v>
      </c>
    </row>
    <row r="165" spans="1:24">
      <c r="A165" t="s">
        <v>579</v>
      </c>
      <c r="B165" s="17">
        <f>IFERROR(YEAR(VLOOKUP($A165,'01_ipo_master'!$A:$C,3,FALSE)),YEAR(VLOOKUP("0"&amp;$A165,'01_ipo_master'!$A:$C,3,FALSE)))</f>
        <v>2023</v>
      </c>
      <c r="C165" s="73">
        <f>[1]!wss($A165:$A165,"hks_stm_is","item=83","rptDate="&amp;($B165-3)&amp;"1231","rptType=1","currencyType=Cur=CNY","WssConvert=0","WssDivide=8","showcodes=N","cols=1;rows=1")</f>
        <v>8.1316400000000009</v>
      </c>
      <c r="D165" s="73">
        <f>[1]!wss($A165:$A165,"hks_stm_is","item=83","rptDate="&amp;($B165-2)&amp;"1231","rptType=1","currencyType=Cur=CNY","WssConvert=0","WssDivide=8","showcodes=N","cols=1;rows=1")</f>
        <v>11.837490000000001</v>
      </c>
      <c r="E165" s="73">
        <f>[1]!wss($A165:$A165,"hks_stm_is","item=83","rptDate="&amp;($B165-1)&amp;"1231","rptType=1","currencyType=Cur=CNY","WssConvert=0","WssDivide=8","showcodes=N","cols=1;rows=1")</f>
        <v>13.71889</v>
      </c>
      <c r="F165" s="73">
        <f>[1]!wss($A165:$A165,"hks_stm_is","item=61","rptDate="&amp;($B165-3)&amp;"1231","rptType=1","currencyType=Cur=CNY","WssConvert=0","WssDivide=8","showcodes=N","cols=1;rows=1")</f>
        <v>-0.88444</v>
      </c>
      <c r="G165" s="73">
        <f>[1]!wss($A165:$A165,"hks_stm_is","item=61","rptDate="&amp;($B165-2)&amp;"1231","rptType=1","currencyType=Cur=CNY","WssConvert=0","WssDivide=8","showcodes=N","cols=1;rows=1")</f>
        <v>-3.48245</v>
      </c>
      <c r="H165" s="73">
        <f>[1]!wss($A165:$A165,"hks_stm_is","item=61","rptDate="&amp;($B165-1)&amp;"1231","rptType=1","currencyType=Cur=CNY","WssConvert=0","WssDivide=8","showcodes=N","cols=1;rows=1")</f>
        <v>-6.1160700000000006</v>
      </c>
      <c r="I165" s="73">
        <f>[1]!wss($A165:$A165,"hks_fa_grossprofitmargin","rptDate="&amp;($B165-3)&amp;"1231","WssConvert=0","showcodes=N","cols=1;rows=1")</f>
        <v>41.449399999999997</v>
      </c>
      <c r="J165" s="43">
        <f>[1]!wss($A165:$A165,"hks_fa_grossprofitmargin","rptDate="&amp;($B165-2)&amp;"1231","WssConvert=0","showcodes=N","cols=1;rows=1")</f>
        <v>47.7485</v>
      </c>
      <c r="K165" s="43">
        <f>[1]!wss($A165:$A165,"hks_fa_grossprofitmargin","rptDate="&amp;($B165-1)&amp;"1231","WssConvert=0","showcodes=N","cols=1;rows=1")</f>
        <v>45.670099999999998</v>
      </c>
      <c r="L165" s="73" t="str">
        <f>[1]!wss($A165:$A165,"hks_fa_roe","rptDate="&amp;($B165-1)&amp;"1231","WssConvert=0","showcodes=N","cols=1;rows=1")</f>
        <v/>
      </c>
      <c r="M165" s="43">
        <f>[1]!wss($A165:$A165,"hks_fa_debttoassets","rptDate="&amp;($B165-1)&amp;"1231","WssConvert=0","showcodes=N","cols=1;rows=1")</f>
        <v>162.89019999999999</v>
      </c>
      <c r="P165" s="50">
        <v>12.707409999999999</v>
      </c>
      <c r="Q165" s="50">
        <v>13.568849999999999</v>
      </c>
      <c r="R165" s="50">
        <v>15.001150000000001</v>
      </c>
      <c r="S165" s="50">
        <v>-9.0063700000000004</v>
      </c>
      <c r="T165" s="50">
        <v>0.64724000000000004</v>
      </c>
      <c r="U165" s="50">
        <v>1.3010299999999999</v>
      </c>
      <c r="V165" s="50">
        <v>43.4666</v>
      </c>
      <c r="W165" s="50">
        <v>41.017299999999999</v>
      </c>
      <c r="X165" s="50">
        <v>41.120699999999999</v>
      </c>
    </row>
    <row r="166" spans="1:24">
      <c r="A166" t="s">
        <v>581</v>
      </c>
      <c r="B166" s="17">
        <f>IFERROR(YEAR(VLOOKUP($A166,'01_ipo_master'!$A:$C,3,FALSE)),YEAR(VLOOKUP("0"&amp;$A166,'01_ipo_master'!$A:$C,3,FALSE)))</f>
        <v>2025</v>
      </c>
      <c r="C166" s="73">
        <f>[1]!wss($A166:$A166,"hks_stm_is","item=83","rptDate="&amp;($B166-3)&amp;"1231","rptType=1","currencyType=Cur=CNY","WssConvert=0","WssDivide=8","showcodes=N","cols=1;rows=1")</f>
        <v>14.64528</v>
      </c>
      <c r="D166" s="73">
        <f>[1]!wss($A166:$A166,"hks_stm_is","item=83","rptDate="&amp;($B166-2)&amp;"1231","rptType=1","currencyType=Cur=CNY","WssConvert=0","WssDivide=8","showcodes=N","cols=1;rows=1")</f>
        <v>12.66746</v>
      </c>
      <c r="E166" s="73">
        <f>[1]!wss($A166:$A166,"hks_stm_is","item=83","rptDate="&amp;($B166-1)&amp;"1231","rptType=1","currencyType=Cur=CNY","WssConvert=0","WssDivide=8","showcodes=N","cols=1;rows=1")</f>
        <v>14.12425</v>
      </c>
      <c r="F166" s="73">
        <f>[1]!wss($A166:$A166,"hks_stm_is","item=61","rptDate="&amp;($B166-3)&amp;"1231","rptType=1","currencyType=Cur=CNY","WssConvert=0","WssDivide=8","showcodes=N","cols=1;rows=1")</f>
        <v>4.3771000000000004</v>
      </c>
      <c r="G166" s="73">
        <f>[1]!wss($A166:$A166,"hks_stm_is","item=61","rptDate="&amp;($B166-2)&amp;"1231","rptType=1","currencyType=Cur=CNY","WssConvert=0","WssDivide=8","showcodes=N","cols=1;rows=1")</f>
        <v>4.6847200000000004</v>
      </c>
      <c r="H166" s="73">
        <f>[1]!wss($A166:$A166,"hks_stm_is","item=61","rptDate="&amp;($B166-1)&amp;"1231","rptType=1","currencyType=Cur=CNY","WssConvert=0","WssDivide=8","showcodes=N","cols=1;rows=1")</f>
        <v>5.1343000000000005</v>
      </c>
      <c r="I166" s="73" t="str">
        <f>[1]!wss($A166:$A166,"hks_fa_grossprofitmargin","rptDate="&amp;($B166-3)&amp;"1231","WssConvert=0","showcodes=N","cols=1;rows=1")</f>
        <v/>
      </c>
      <c r="J166" s="43" t="str">
        <f>[1]!wss($A166:$A166,"hks_fa_grossprofitmargin","rptDate="&amp;($B166-2)&amp;"1231","WssConvert=0","showcodes=N","cols=1;rows=1")</f>
        <v/>
      </c>
      <c r="K166" s="43" t="str">
        <f>[1]!wss($A166:$A166,"hks_fa_grossprofitmargin","rptDate="&amp;($B166-1)&amp;"1231","WssConvert=0","showcodes=N","cols=1;rows=1")</f>
        <v/>
      </c>
      <c r="L166" s="73">
        <f>[1]!wss($A166:$A166,"hks_fa_roe","rptDate="&amp;($B166-1)&amp;"1231","WssConvert=0","showcodes=N","cols=1;rows=1")</f>
        <v>5.4988999999999999</v>
      </c>
      <c r="M166" s="43">
        <f>[1]!wss($A166:$A166,"hks_fa_debttoassets","rptDate="&amp;($B166-1)&amp;"1231","WssConvert=0","showcodes=N","cols=1;rows=1")</f>
        <v>90.868300000000005</v>
      </c>
      <c r="P166" s="50">
        <v>12.66746</v>
      </c>
      <c r="Q166" s="50">
        <v>14.12425</v>
      </c>
      <c r="R166" s="50">
        <v>22.536439999999999</v>
      </c>
      <c r="S166" s="50">
        <v>4.6847200000000004</v>
      </c>
      <c r="T166" s="50">
        <v>5.1342999999999996</v>
      </c>
      <c r="U166" s="50">
        <v>5.6033799999999996</v>
      </c>
      <c r="V166" s="50"/>
      <c r="W166" s="50"/>
      <c r="X166" s="50"/>
    </row>
    <row r="167" spans="1:24">
      <c r="A167" t="s">
        <v>583</v>
      </c>
      <c r="B167" s="17">
        <f>IFERROR(YEAR(VLOOKUP($A167,'01_ipo_master'!$A:$C,3,FALSE)),YEAR(VLOOKUP("0"&amp;$A167,'01_ipo_master'!$A:$C,3,FALSE)))</f>
        <v>2022</v>
      </c>
      <c r="C167" s="73">
        <f>[1]!wss($A167:$A167,"hks_stm_is","item=83","rptDate="&amp;($B167-3)&amp;"1231","rptType=1","currencyType=Cur=CNY","WssConvert=0","WssDivide=8","showcodes=N","cols=1;rows=1")</f>
        <v>2.5127100000000002</v>
      </c>
      <c r="D167" s="73">
        <f>[1]!wss($A167:$A167,"hks_stm_is","item=83","rptDate="&amp;($B167-2)&amp;"1231","rptType=1","currencyType=Cur=CNY","WssConvert=0","WssDivide=8","showcodes=N","cols=1;rows=1")</f>
        <v>3.4032100000000001</v>
      </c>
      <c r="E167" s="73">
        <f>[1]!wss($A167:$A167,"hks_stm_is","item=83","rptDate="&amp;($B167-1)&amp;"1231","rptType=1","currencyType=Cur=CNY","WssConvert=0","WssDivide=8","showcodes=N","cols=1;rows=1")</f>
        <v>5.9887199999999998</v>
      </c>
      <c r="F167" s="73">
        <f>[1]!wss($A167:$A167,"hks_stm_is","item=61","rptDate="&amp;($B167-3)&amp;"1231","rptType=1","currencyType=Cur=CNY","WssConvert=0","WssDivide=8","showcodes=N","cols=1;rows=1")</f>
        <v>0.41879</v>
      </c>
      <c r="G167" s="73">
        <f>[1]!wss($A167:$A167,"hks_stm_is","item=61","rptDate="&amp;($B167-2)&amp;"1231","rptType=1","currencyType=Cur=CNY","WssConvert=0","WssDivide=8","showcodes=N","cols=1;rows=1")</f>
        <v>0.58882999999999996</v>
      </c>
      <c r="H167" s="73">
        <f>[1]!wss($A167:$A167,"hks_stm_is","item=61","rptDate="&amp;($B167-1)&amp;"1231","rptType=1","currencyType=Cur=CNY","WssConvert=0","WssDivide=8","showcodes=N","cols=1;rows=1")</f>
        <v>0.70201999999999998</v>
      </c>
      <c r="I167" s="73">
        <f>[1]!wss($A167:$A167,"hks_fa_grossprofitmargin","rptDate="&amp;($B167-3)&amp;"1231","WssConvert=0","showcodes=N","cols=1;rows=1")</f>
        <v>30.0169</v>
      </c>
      <c r="J167" s="43">
        <f>[1]!wss($A167:$A167,"hks_fa_grossprofitmargin","rptDate="&amp;($B167-2)&amp;"1231","WssConvert=0","showcodes=N","cols=1;rows=1")</f>
        <v>30.922799999999999</v>
      </c>
      <c r="K167" s="43">
        <f>[1]!wss($A167:$A167,"hks_fa_grossprofitmargin","rptDate="&amp;($B167-1)&amp;"1231","WssConvert=0","showcodes=N","cols=1;rows=1")</f>
        <v>29.484100000000002</v>
      </c>
      <c r="L167" s="73">
        <f>[1]!wss($A167:$A167,"hks_fa_roe","rptDate="&amp;($B167-1)&amp;"1231","WssConvert=0","showcodes=N","cols=1;rows=1")</f>
        <v>22.582699999999999</v>
      </c>
      <c r="M167" s="43">
        <f>[1]!wss($A167:$A167,"hks_fa_debttoassets","rptDate="&amp;($B167-1)&amp;"1231","WssConvert=0","showcodes=N","cols=1;rows=1")</f>
        <v>23.469000000000001</v>
      </c>
      <c r="P167" s="50">
        <v>12.51253</v>
      </c>
      <c r="Q167" s="50">
        <v>9.9534699999999994</v>
      </c>
      <c r="R167" s="50">
        <v>7.8390399999999998</v>
      </c>
      <c r="S167" s="50">
        <v>2.6393800000000001</v>
      </c>
      <c r="T167" s="50">
        <v>-0.43702000000000002</v>
      </c>
      <c r="U167" s="50">
        <v>-3.6708599999999998</v>
      </c>
      <c r="V167" s="50">
        <v>33.8001</v>
      </c>
      <c r="W167" s="50">
        <v>20.097100000000001</v>
      </c>
      <c r="X167" s="50">
        <v>19.430700000000002</v>
      </c>
    </row>
    <row r="168" spans="1:24">
      <c r="A168" t="s">
        <v>585</v>
      </c>
      <c r="B168" s="17">
        <f>IFERROR(YEAR(VLOOKUP($A168,'01_ipo_master'!$A:$C,3,FALSE)),YEAR(VLOOKUP("0"&amp;$A168,'01_ipo_master'!$A:$C,3,FALSE)))</f>
        <v>2025</v>
      </c>
      <c r="C168" s="73">
        <f>[1]!wss($A168:$A168,"hks_stm_is","item=83","rptDate="&amp;($B168-3)&amp;"1231","rptType=1","currencyType=Cur=CNY","WssConvert=0","WssDivide=8","showcodes=N","cols=1;rows=1")</f>
        <v>4.17035</v>
      </c>
      <c r="D168" s="73">
        <f>[1]!wss($A168:$A168,"hks_stm_is","item=83","rptDate="&amp;($B168-2)&amp;"1231","rptType=1","currencyType=Cur=CNY","WssConvert=0","WssDivide=8","showcodes=N","cols=1;rows=1")</f>
        <v>12.506959999999999</v>
      </c>
      <c r="E168" s="73">
        <f>[1]!wss($A168:$A168,"hks_stm_is","item=83","rptDate="&amp;($B168-1)&amp;"1231","rptType=1","currencyType=Cur=CNY","WssConvert=0","WssDivide=8","showcodes=N","cols=1;rows=1")</f>
        <v>17.68141</v>
      </c>
      <c r="F168" s="73">
        <f>[1]!wss($A168:$A168,"hks_stm_is","item=61","rptDate="&amp;($B168-3)&amp;"1231","rptType=1","currencyType=Cur=CNY","WssConvert=0","WssDivide=8","showcodes=N","cols=1;rows=1")</f>
        <v>-1.75682</v>
      </c>
      <c r="G168" s="73">
        <f>[1]!wss($A168:$A168,"hks_stm_is","item=61","rptDate="&amp;($B168-2)&amp;"1231","rptType=1","currencyType=Cur=CNY","WssConvert=0","WssDivide=8","showcodes=N","cols=1;rows=1")</f>
        <v>-0.4572</v>
      </c>
      <c r="H168" s="73">
        <f>[1]!wss($A168:$A168,"hks_stm_is","item=61","rptDate="&amp;($B168-1)&amp;"1231","rptType=1","currencyType=Cur=CNY","WssConvert=0","WssDivide=8","showcodes=N","cols=1;rows=1")</f>
        <v>1.7902500000000001</v>
      </c>
      <c r="I168" s="73">
        <f>[1]!wss($A168:$A168,"hks_fa_grossprofitmargin","rptDate="&amp;($B168-3)&amp;"1231","WssConvert=0","showcodes=N","cols=1;rows=1")</f>
        <v>-7.9015000000000004</v>
      </c>
      <c r="J168" s="43">
        <f>[1]!wss($A168:$A168,"hks_fa_grossprofitmargin","rptDate="&amp;($B168-2)&amp;"1231","WssConvert=0","showcodes=N","cols=1;rows=1")</f>
        <v>14.5548</v>
      </c>
      <c r="K168" s="43">
        <f>[1]!wss($A168:$A168,"hks_fa_grossprofitmargin","rptDate="&amp;($B168-1)&amp;"1231","WssConvert=0","showcodes=N","cols=1;rows=1")</f>
        <v>24.627700000000001</v>
      </c>
      <c r="L168" s="73">
        <f>[1]!wss($A168:$A168,"hks_fa_roe","rptDate="&amp;($B168-1)&amp;"1231","WssConvert=0","showcodes=N","cols=1;rows=1")</f>
        <v>3.3972000000000002</v>
      </c>
      <c r="M168" s="43">
        <f>[1]!wss($A168:$A168,"hks_fa_debttoassets","rptDate="&amp;($B168-1)&amp;"1231","WssConvert=0","showcodes=N","cols=1;rows=1")</f>
        <v>27.7804</v>
      </c>
      <c r="P168" s="50">
        <v>12.506959999999999</v>
      </c>
      <c r="Q168" s="50">
        <v>17.68141</v>
      </c>
      <c r="R168" s="50">
        <v>14.648820000000001</v>
      </c>
      <c r="S168" s="50">
        <v>-0.4572</v>
      </c>
      <c r="T168" s="50">
        <v>1.7902499999999999</v>
      </c>
      <c r="U168" s="50">
        <v>-2.0831900000000001</v>
      </c>
      <c r="V168" s="50">
        <v>14.5548</v>
      </c>
      <c r="W168" s="50">
        <v>24.627700000000001</v>
      </c>
      <c r="X168" s="50">
        <v>9.6820000000000004</v>
      </c>
    </row>
    <row r="169" spans="1:24">
      <c r="A169" t="s">
        <v>588</v>
      </c>
      <c r="B169" s="17">
        <f>IFERROR(YEAR(VLOOKUP($A169,'01_ipo_master'!$A:$C,3,FALSE)),YEAR(VLOOKUP("0"&amp;$A169,'01_ipo_master'!$A:$C,3,FALSE)))</f>
        <v>2024</v>
      </c>
      <c r="C169" s="73">
        <f>[1]!wss($A169:$A169,"hks_stm_is","item=83","rptDate="&amp;($B169-3)&amp;"1231","rptType=1","currencyType=Cur=CNY","WssConvert=0","WssDivide=8","showcodes=N","cols=1;rows=1")</f>
        <v>4.3130500000000005</v>
      </c>
      <c r="D169" s="73">
        <f>[1]!wss($A169:$A169,"hks_stm_is","item=83","rptDate="&amp;($B169-2)&amp;"1231","rptType=1","currencyType=Cur=CNY","WssConvert=0","WssDivide=8","showcodes=N","cols=1;rows=1")</f>
        <v>5.6906800000000004</v>
      </c>
      <c r="E169" s="73">
        <f>[1]!wss($A169:$A169,"hks_stm_is","item=83","rptDate="&amp;($B169-1)&amp;"1231","rptType=1","currencyType=Cur=CNY","WssConvert=0","WssDivide=8","showcodes=N","cols=1;rows=1")</f>
        <v>12.44458</v>
      </c>
      <c r="F169" s="73">
        <f>[1]!wss($A169:$A169,"hks_stm_is","item=61","rptDate="&amp;($B169-3)&amp;"1231","rptType=1","currencyType=Cur=CNY","WssConvert=0","WssDivide=8","showcodes=N","cols=1;rows=1")</f>
        <v>-1.57223</v>
      </c>
      <c r="G169" s="73">
        <f>[1]!wss($A169:$A169,"hks_stm_is","item=61","rptDate="&amp;($B169-2)&amp;"1231","rptType=1","currencyType=Cur=CNY","WssConvert=0","WssDivide=8","showcodes=N","cols=1;rows=1")</f>
        <v>-2.5813100000000002</v>
      </c>
      <c r="H169" s="73">
        <f>[1]!wss($A169:$A169,"hks_stm_is","item=61","rptDate="&amp;($B169-1)&amp;"1231","rptType=1","currencyType=Cur=CNY","WssConvert=0","WssDivide=8","showcodes=N","cols=1;rows=1")</f>
        <v>-3.1007899999999999</v>
      </c>
      <c r="I169" s="73">
        <f>[1]!wss($A169:$A169,"hks_fa_grossprofitmargin","rptDate="&amp;($B169-3)&amp;"1231","WssConvert=0","showcodes=N","cols=1;rows=1")</f>
        <v>40.220500000000001</v>
      </c>
      <c r="J169" s="43">
        <f>[1]!wss($A169:$A169,"hks_fa_grossprofitmargin","rptDate="&amp;($B169-2)&amp;"1231","WssConvert=0","showcodes=N","cols=1;rows=1")</f>
        <v>43.192599999999999</v>
      </c>
      <c r="K169" s="43">
        <f>[1]!wss($A169:$A169,"hks_fa_grossprofitmargin","rptDate="&amp;($B169-1)&amp;"1231","WssConvert=0","showcodes=N","cols=1;rows=1")</f>
        <v>32.000799999999998</v>
      </c>
      <c r="L169" s="73" t="str">
        <f>[1]!wss($A169:$A169,"hks_fa_roe","rptDate="&amp;($B169-1)&amp;"1231","WssConvert=0","showcodes=N","cols=1;rows=1")</f>
        <v/>
      </c>
      <c r="M169" s="43">
        <f>[1]!wss($A169:$A169,"hks_fa_debttoassets","rptDate="&amp;($B169-1)&amp;"1231","WssConvert=0","showcodes=N","cols=1;rows=1")</f>
        <v>499.34730000000002</v>
      </c>
      <c r="P169" s="50">
        <v>12.44458</v>
      </c>
      <c r="Q169" s="50">
        <v>12.00775</v>
      </c>
      <c r="R169" s="50">
        <v>15.62518</v>
      </c>
      <c r="S169" s="50">
        <v>-3.1007899999999999</v>
      </c>
      <c r="T169" s="50">
        <v>-2.6845599999999998</v>
      </c>
      <c r="U169" s="50">
        <v>0.55681999999999998</v>
      </c>
      <c r="V169" s="50">
        <v>32.000799999999998</v>
      </c>
      <c r="W169" s="50">
        <v>30.472899999999999</v>
      </c>
      <c r="X169" s="50">
        <v>30.482399999999998</v>
      </c>
    </row>
    <row r="170" spans="1:24">
      <c r="A170" t="s">
        <v>590</v>
      </c>
      <c r="B170" s="17">
        <f>IFERROR(YEAR(VLOOKUP($A170,'01_ipo_master'!$A:$C,3,FALSE)),YEAR(VLOOKUP("0"&amp;$A170,'01_ipo_master'!$A:$C,3,FALSE)))</f>
        <v>2023</v>
      </c>
      <c r="C170" s="73">
        <f>[1]!wss($A170:$A170,"hks_stm_is","item=83","rptDate="&amp;($B170-3)&amp;"1231","rptType=1","currencyType=Cur=CNY","WssConvert=0","WssDivide=8","showcodes=N","cols=1;rows=1")</f>
        <v>7.8152400000000002</v>
      </c>
      <c r="D170" s="73">
        <f>[1]!wss($A170:$A170,"hks_stm_is","item=83","rptDate="&amp;($B170-2)&amp;"1231","rptType=1","currencyType=Cur=CNY","WssConvert=0","WssDivide=8","showcodes=N","cols=1;rows=1")</f>
        <v>41.95393</v>
      </c>
      <c r="E170" s="73">
        <f>[1]!wss($A170:$A170,"hks_stm_is","item=83","rptDate="&amp;($B170-1)&amp;"1231","rptType=1","currencyType=Cur=CNY","WssConvert=0","WssDivide=8","showcodes=N","cols=1;rows=1")</f>
        <v>46.07929</v>
      </c>
      <c r="F170" s="73">
        <f>[1]!wss($A170:$A170,"hks_stm_is","item=61","rptDate="&amp;($B170-3)&amp;"1231","rptType=1","currencyType=Cur=CNY","WssConvert=0","WssDivide=8","showcodes=N","cols=1;rows=1")</f>
        <v>0.25520999999999999</v>
      </c>
      <c r="G170" s="73">
        <f>[1]!wss($A170:$A170,"hks_stm_is","item=61","rptDate="&amp;($B170-2)&amp;"1231","rptType=1","currencyType=Cur=CNY","WssConvert=0","WssDivide=8","showcodes=N","cols=1;rows=1")</f>
        <v>3.8408500000000001</v>
      </c>
      <c r="H170" s="73">
        <f>[1]!wss($A170:$A170,"hks_stm_is","item=61","rptDate="&amp;($B170-1)&amp;"1231","rptType=1","currencyType=Cur=CNY","WssConvert=0","WssDivide=8","showcodes=N","cols=1;rows=1")</f>
        <v>3.8094399999999999</v>
      </c>
      <c r="I170" s="73">
        <f>[1]!wss($A170:$A170,"hks_fa_grossprofitmargin","rptDate="&amp;($B170-3)&amp;"1231","WssConvert=0","showcodes=N","cols=1;rows=1")</f>
        <v>8.1616999999999997</v>
      </c>
      <c r="J170" s="43">
        <f>[1]!wss($A170:$A170,"hks_fa_grossprofitmargin","rptDate="&amp;($B170-2)&amp;"1231","WssConvert=0","showcodes=N","cols=1;rows=1")</f>
        <v>10.888999999999999</v>
      </c>
      <c r="K170" s="43">
        <f>[1]!wss($A170:$A170,"hks_fa_grossprofitmargin","rptDate="&amp;($B170-1)&amp;"1231","WssConvert=0","showcodes=N","cols=1;rows=1")</f>
        <v>11.8339</v>
      </c>
      <c r="L170" s="73">
        <f>[1]!wss($A170:$A170,"hks_fa_roe","rptDate="&amp;($B170-1)&amp;"1231","WssConvert=0","showcodes=N","cols=1;rows=1")</f>
        <v>56.232799999999997</v>
      </c>
      <c r="M170" s="43">
        <f>[1]!wss($A170:$A170,"hks_fa_debttoassets","rptDate="&amp;($B170-1)&amp;"1231","WssConvert=0","showcodes=N","cols=1;rows=1")</f>
        <v>38.134399999999999</v>
      </c>
      <c r="P170" s="50">
        <v>12.38471</v>
      </c>
      <c r="Q170" s="50">
        <v>19.463930000000001</v>
      </c>
      <c r="R170" s="50">
        <v>18.722370000000002</v>
      </c>
      <c r="S170" s="50">
        <v>1.1887700000000001</v>
      </c>
      <c r="T170" s="50">
        <v>3.9579300000000002</v>
      </c>
      <c r="U170" s="50">
        <v>1.3800300000000001</v>
      </c>
      <c r="V170" s="50">
        <v>18.298200000000001</v>
      </c>
      <c r="W170" s="50">
        <v>10.793799999999999</v>
      </c>
      <c r="X170" s="50">
        <v>9.3452999999999999</v>
      </c>
    </row>
    <row r="171" spans="1:24">
      <c r="A171" t="s">
        <v>592</v>
      </c>
      <c r="B171" s="17">
        <f>IFERROR(YEAR(VLOOKUP($A171,'01_ipo_master'!$A:$C,3,FALSE)),YEAR(VLOOKUP("0"&amp;$A171,'01_ipo_master'!$A:$C,3,FALSE)))</f>
        <v>2024</v>
      </c>
      <c r="C171" s="73">
        <f>[1]!wss($A171:$A171,"hks_stm_is","item=83","rptDate="&amp;($B171-3)&amp;"1231","rptType=1","currencyType=Cur=CNY","WssConvert=0","WssDivide=8","showcodes=N","cols=1;rows=1")</f>
        <v>8.7723100000000009</v>
      </c>
      <c r="D171" s="73">
        <f>[1]!wss($A171:$A171,"hks_stm_is","item=83","rptDate="&amp;($B171-2)&amp;"1231","rptType=1","currencyType=Cur=CNY","WssConvert=0","WssDivide=8","showcodes=N","cols=1;rows=1")</f>
        <v>11.427760000000001</v>
      </c>
      <c r="E171" s="73">
        <f>[1]!wss($A171:$A171,"hks_stm_is","item=83","rptDate="&amp;($B171-1)&amp;"1231","rptType=1","currencyType=Cur=CNY","WssConvert=0","WssDivide=8","showcodes=N","cols=1;rows=1")</f>
        <v>12.321200000000001</v>
      </c>
      <c r="F171" s="73">
        <f>[1]!wss($A171:$A171,"hks_stm_is","item=61","rptDate="&amp;($B171-3)&amp;"1231","rptType=1","currencyType=Cur=CNY","WssConvert=0","WssDivide=8","showcodes=N","cols=1;rows=1")</f>
        <v>-2.7258900000000001</v>
      </c>
      <c r="G171" s="73">
        <f>[1]!wss($A171:$A171,"hks_stm_is","item=61","rptDate="&amp;($B171-2)&amp;"1231","rptType=1","currencyType=Cur=CNY","WssConvert=0","WssDivide=8","showcodes=N","cols=1;rows=1")</f>
        <v>-2.1645500000000002</v>
      </c>
      <c r="H171" s="73">
        <f>[1]!wss($A171:$A171,"hks_stm_is","item=61","rptDate="&amp;($B171-1)&amp;"1231","rptType=1","currencyType=Cur=CNY","WssConvert=0","WssDivide=8","showcodes=N","cols=1;rows=1")</f>
        <v>-1.69478</v>
      </c>
      <c r="I171" s="73">
        <f>[1]!wss($A171:$A171,"hks_fa_grossprofitmargin","rptDate="&amp;($B171-3)&amp;"1231","WssConvert=0","showcodes=N","cols=1;rows=1")</f>
        <v>54.467599999999997</v>
      </c>
      <c r="J171" s="43">
        <f>[1]!wss($A171:$A171,"hks_fa_grossprofitmargin","rptDate="&amp;($B171-2)&amp;"1231","WssConvert=0","showcodes=N","cols=1;rows=1")</f>
        <v>49.006799999999998</v>
      </c>
      <c r="K171" s="43">
        <f>[1]!wss($A171:$A171,"hks_fa_grossprofitmargin","rptDate="&amp;($B171-1)&amp;"1231","WssConvert=0","showcodes=N","cols=1;rows=1")</f>
        <v>57.314399999999999</v>
      </c>
      <c r="L171" s="73" t="str">
        <f>[1]!wss($A171:$A171,"hks_fa_roe","rptDate="&amp;($B171-1)&amp;"1231","WssConvert=0","showcodes=N","cols=1;rows=1")</f>
        <v/>
      </c>
      <c r="M171" s="43">
        <f>[1]!wss($A171:$A171,"hks_fa_debttoassets","rptDate="&amp;($B171-1)&amp;"1231","WssConvert=0","showcodes=N","cols=1;rows=1")</f>
        <v>141.7167</v>
      </c>
      <c r="P171" s="50">
        <v>12.321199999999999</v>
      </c>
      <c r="Q171" s="50">
        <v>15.58586</v>
      </c>
      <c r="R171" s="50">
        <v>28.180230000000002</v>
      </c>
      <c r="S171" s="50">
        <v>-1.69478</v>
      </c>
      <c r="T171" s="50">
        <v>-8.7667000000000002</v>
      </c>
      <c r="U171" s="50">
        <v>0.88943000000000005</v>
      </c>
      <c r="V171" s="50">
        <v>57.314399999999999</v>
      </c>
      <c r="W171" s="50">
        <v>52.983499999999999</v>
      </c>
      <c r="X171" s="50">
        <v>42.02</v>
      </c>
    </row>
    <row r="172" spans="1:24">
      <c r="A172" t="s">
        <v>594</v>
      </c>
      <c r="B172" s="17">
        <f>IFERROR(YEAR(VLOOKUP($A172,'01_ipo_master'!$A:$C,3,FALSE)),YEAR(VLOOKUP("0"&amp;$A172,'01_ipo_master'!$A:$C,3,FALSE)))</f>
        <v>2022</v>
      </c>
      <c r="C172" s="73">
        <f>[1]!wss($A172:$A172,"hks_stm_is","item=83","rptDate="&amp;($B172-3)&amp;"1231","rptType=1","currencyType=Cur=CNY","WssConvert=0","WssDivide=8","showcodes=N","cols=1;rows=1")</f>
        <v>17.94313</v>
      </c>
      <c r="D172" s="73">
        <f>[1]!wss($A172:$A172,"hks_stm_is","item=83","rptDate="&amp;($B172-2)&amp;"1231","rptType=1","currencyType=Cur=CNY","WssConvert=0","WssDivide=8","showcodes=N","cols=1;rows=1")</f>
        <v>14.26159</v>
      </c>
      <c r="E172" s="73">
        <f>[1]!wss($A172:$A172,"hks_stm_is","item=83","rptDate="&amp;($B172-1)&amp;"1231","rptType=1","currencyType=Cur=CNY","WssConvert=0","WssDivide=8","showcodes=N","cols=1;rows=1")</f>
        <v>12.48964</v>
      </c>
      <c r="F172" s="73">
        <f>[1]!wss($A172:$A172,"hks_stm_is","item=61","rptDate="&amp;($B172-3)&amp;"1231","rptType=1","currencyType=Cur=CNY","WssConvert=0","WssDivide=8","showcodes=N","cols=1;rows=1")</f>
        <v>0.82950999999999997</v>
      </c>
      <c r="G172" s="73">
        <f>[1]!wss($A172:$A172,"hks_stm_is","item=61","rptDate="&amp;($B172-2)&amp;"1231","rptType=1","currencyType=Cur=CNY","WssConvert=0","WssDivide=8","showcodes=N","cols=1;rows=1")</f>
        <v>0.50129999999999997</v>
      </c>
      <c r="H172" s="73">
        <f>[1]!wss($A172:$A172,"hks_stm_is","item=61","rptDate="&amp;($B172-1)&amp;"1231","rptType=1","currencyType=Cur=CNY","WssConvert=0","WssDivide=8","showcodes=N","cols=1;rows=1")</f>
        <v>0.60913000000000006</v>
      </c>
      <c r="I172" s="73">
        <f>[1]!wss($A172:$A172,"hks_fa_grossprofitmargin","rptDate="&amp;($B172-3)&amp;"1231","WssConvert=0","showcodes=N","cols=1;rows=1")</f>
        <v>22.341799999999999</v>
      </c>
      <c r="J172" s="43">
        <f>[1]!wss($A172:$A172,"hks_fa_grossprofitmargin","rptDate="&amp;($B172-2)&amp;"1231","WssConvert=0","showcodes=N","cols=1;rows=1")</f>
        <v>38.267499999999998</v>
      </c>
      <c r="K172" s="43">
        <f>[1]!wss($A172:$A172,"hks_fa_grossprofitmargin","rptDate="&amp;($B172-1)&amp;"1231","WssConvert=0","showcodes=N","cols=1;rows=1")</f>
        <v>44.759500000000003</v>
      </c>
      <c r="L172" s="73" t="str">
        <f>[1]!wss($A172:$A172,"hks_fa_roe","rptDate="&amp;($B172-1)&amp;"1231","WssConvert=0","showcodes=N","cols=1;rows=1")</f>
        <v/>
      </c>
      <c r="M172" s="43">
        <f>[1]!wss($A172:$A172,"hks_fa_debttoassets","rptDate="&amp;($B172-1)&amp;"1231","WssConvert=0","showcodes=N","cols=1;rows=1")</f>
        <v>144.6309</v>
      </c>
      <c r="P172" s="50">
        <v>12.21752</v>
      </c>
      <c r="Q172" s="50">
        <v>6.5700799999999999</v>
      </c>
      <c r="R172" s="50">
        <v>8.6250499999999999</v>
      </c>
      <c r="S172" s="50">
        <v>2.1362800000000002</v>
      </c>
      <c r="T172" s="50">
        <v>-1.89144</v>
      </c>
      <c r="U172" s="50">
        <v>0.31225999999999998</v>
      </c>
      <c r="V172" s="50">
        <v>39.418599999999998</v>
      </c>
      <c r="W172" s="50">
        <v>16.517800000000001</v>
      </c>
      <c r="X172" s="50">
        <v>26.6249</v>
      </c>
    </row>
    <row r="173" spans="1:24">
      <c r="A173" t="s">
        <v>596</v>
      </c>
      <c r="B173" s="17">
        <f>IFERROR(YEAR(VLOOKUP($A173,'01_ipo_master'!$A:$C,3,FALSE)),YEAR(VLOOKUP("0"&amp;$A173,'01_ipo_master'!$A:$C,3,FALSE)))</f>
        <v>2023</v>
      </c>
      <c r="C173" s="73">
        <f>[1]!wss($A173:$A173,"hks_stm_is","item=83","rptDate="&amp;($B173-3)&amp;"1231","rptType=1","currencyType=Cur=CNY","WssConvert=0","WssDivide=8","showcodes=N","cols=1;rows=1")</f>
        <v>0.47655000000000003</v>
      </c>
      <c r="D173" s="73">
        <f>[1]!wss($A173:$A173,"hks_stm_is","item=83","rptDate="&amp;($B173-2)&amp;"1231","rptType=1","currencyType=Cur=CNY","WssConvert=0","WssDivide=8","showcodes=N","cols=1;rows=1")</f>
        <v>1.7825800000000001</v>
      </c>
      <c r="E173" s="73">
        <f>[1]!wss($A173:$A173,"hks_stm_is","item=83","rptDate="&amp;($B173-1)&amp;"1231","rptType=1","currencyType=Cur=CNY","WssConvert=0","WssDivide=8","showcodes=N","cols=1;rows=1")</f>
        <v>13.261340000000001</v>
      </c>
      <c r="F173" s="73">
        <f>[1]!wss($A173:$A173,"hks_stm_is","item=61","rptDate="&amp;($B173-3)&amp;"1231","rptType=1","currencyType=Cur=CNY","WssConvert=0","WssDivide=8","showcodes=N","cols=1;rows=1")</f>
        <v>-0.53827000000000003</v>
      </c>
      <c r="G173" s="73">
        <f>[1]!wss($A173:$A173,"hks_stm_is","item=61","rptDate="&amp;($B173-2)&amp;"1231","rptType=1","currencyType=Cur=CNY","WssConvert=0","WssDivide=8","showcodes=N","cols=1;rows=1")</f>
        <v>-4.6419899999999998</v>
      </c>
      <c r="H173" s="73">
        <f>[1]!wss($A173:$A173,"hks_stm_is","item=61","rptDate="&amp;($B173-1)&amp;"1231","rptType=1","currencyType=Cur=CNY","WssConvert=0","WssDivide=8","showcodes=N","cols=1;rows=1")</f>
        <v>-3.4237600000000001</v>
      </c>
      <c r="I173" s="73">
        <f>[1]!wss($A173:$A173,"hks_fa_grossprofitmargin","rptDate="&amp;($B173-3)&amp;"1231","WssConvert=0","showcodes=N","cols=1;rows=1")</f>
        <v>20.136399999999998</v>
      </c>
      <c r="J173" s="43">
        <f>[1]!wss($A173:$A173,"hks_fa_grossprofitmargin","rptDate="&amp;($B173-2)&amp;"1231","WssConvert=0","showcodes=N","cols=1;rows=1")</f>
        <v>20.634699999999999</v>
      </c>
      <c r="K173" s="43">
        <f>[1]!wss($A173:$A173,"hks_fa_grossprofitmargin","rptDate="&amp;($B173-1)&amp;"1231","WssConvert=0","showcodes=N","cols=1;rows=1")</f>
        <v>8.3396000000000008</v>
      </c>
      <c r="L173" s="73">
        <f>[1]!wss($A173:$A173,"hks_fa_roe","rptDate="&amp;($B173-1)&amp;"1231","WssConvert=0","showcodes=N","cols=1;rows=1")</f>
        <v>-633.24980000000005</v>
      </c>
      <c r="M173" s="43">
        <f>[1]!wss($A173:$A173,"hks_fa_debttoassets","rptDate="&amp;($B173-1)&amp;"1231","WssConvert=0","showcodes=N","cols=1;rows=1")</f>
        <v>46.7423</v>
      </c>
      <c r="P173" s="50">
        <v>12.16408</v>
      </c>
      <c r="Q173" s="50">
        <v>12.477209999999999</v>
      </c>
      <c r="R173" s="50">
        <v>10.005710000000001</v>
      </c>
      <c r="S173" s="50">
        <v>-1.9510799999999999</v>
      </c>
      <c r="T173" s="50">
        <v>-2.8833899999999999</v>
      </c>
      <c r="U173" s="50">
        <v>-4.1582800000000004</v>
      </c>
      <c r="V173" s="50">
        <v>9.9443999999999999</v>
      </c>
      <c r="W173" s="50">
        <v>7.2793999999999999</v>
      </c>
      <c r="X173" s="50">
        <v>1.5228999999999999</v>
      </c>
    </row>
    <row r="174" spans="1:24">
      <c r="A174" t="s">
        <v>598</v>
      </c>
      <c r="B174" s="17">
        <f>IFERROR(YEAR(VLOOKUP($A174,'01_ipo_master'!$A:$C,3,FALSE)),YEAR(VLOOKUP("0"&amp;$A174,'01_ipo_master'!$A:$C,3,FALSE)))</f>
        <v>2024</v>
      </c>
      <c r="C174" s="73" t="str">
        <f>[1]!wss($A174:$A174,"hks_stm_is","item=83","rptDate="&amp;($B174-3)&amp;"1231","rptType=1","currencyType=Cur=CNY","WssConvert=0","WssDivide=8","showcodes=N","cols=1;rows=1")</f>
        <v/>
      </c>
      <c r="D174" s="73">
        <f>[1]!wss($A174:$A174,"hks_stm_is","item=83","rptDate="&amp;($B174-2)&amp;"1231","rptType=1","currencyType=Cur=CNY","WssConvert=0","WssDivide=8","showcodes=N","cols=1;rows=1")</f>
        <v>7.1015800000000002</v>
      </c>
      <c r="E174" s="73">
        <f>[1]!wss($A174:$A174,"hks_stm_is","item=83","rptDate="&amp;($B174-1)&amp;"1231","rptType=1","currencyType=Cur=CNY","WssConvert=0","WssDivide=8","showcodes=N","cols=1;rows=1")</f>
        <v>12.113290000000001</v>
      </c>
      <c r="F174" s="73">
        <f>[1]!wss($A174:$A174,"hks_stm_is","item=61","rptDate="&amp;($B174-3)&amp;"1231","rptType=1","currencyType=Cur=CNY","WssConvert=0","WssDivide=8","showcodes=N","cols=1;rows=1")</f>
        <v>3.0460000000000001E-2</v>
      </c>
      <c r="G174" s="73">
        <f>[1]!wss($A174:$A174,"hks_stm_is","item=61","rptDate="&amp;($B174-2)&amp;"1231","rptType=1","currencyType=Cur=CNY","WssConvert=0","WssDivide=8","showcodes=N","cols=1;rows=1")</f>
        <v>0.36292000000000002</v>
      </c>
      <c r="H174" s="73">
        <f>[1]!wss($A174:$A174,"hks_stm_is","item=61","rptDate="&amp;($B174-1)&amp;"1231","rptType=1","currencyType=Cur=CNY","WssConvert=0","WssDivide=8","showcodes=N","cols=1;rows=1")</f>
        <v>0.69403000000000004</v>
      </c>
      <c r="I174" s="73" t="str">
        <f>[1]!wss($A174:$A174,"hks_fa_grossprofitmargin","rptDate="&amp;($B174-3)&amp;"1231","WssConvert=0","showcodes=N","cols=1;rows=1")</f>
        <v/>
      </c>
      <c r="J174" s="43">
        <f>[1]!wss($A174:$A174,"hks_fa_grossprofitmargin","rptDate="&amp;($B174-2)&amp;"1231","WssConvert=0","showcodes=N","cols=1;rows=1")</f>
        <v>15.0274</v>
      </c>
      <c r="K174" s="43">
        <f>[1]!wss($A174:$A174,"hks_fa_grossprofitmargin","rptDate="&amp;($B174-1)&amp;"1231","WssConvert=0","showcodes=N","cols=1;rows=1")</f>
        <v>16.298999999999999</v>
      </c>
      <c r="L174" s="73">
        <f>[1]!wss($A174:$A174,"hks_fa_roe","rptDate="&amp;($B174-1)&amp;"1231","WssConvert=0","showcodes=N","cols=1;rows=1")</f>
        <v>24.945499999999999</v>
      </c>
      <c r="M174" s="43">
        <f>[1]!wss($A174:$A174,"hks_fa_debttoassets","rptDate="&amp;($B174-1)&amp;"1231","WssConvert=0","showcodes=N","cols=1;rows=1")</f>
        <v>52.276200000000003</v>
      </c>
      <c r="P174" s="50">
        <v>12.113289999999999</v>
      </c>
      <c r="Q174" s="50">
        <v>16.90081</v>
      </c>
      <c r="R174" s="50">
        <v>19.872710000000001</v>
      </c>
      <c r="S174" s="50">
        <v>0.69403000000000004</v>
      </c>
      <c r="T174" s="50">
        <v>0.47067999999999999</v>
      </c>
      <c r="U174" s="50">
        <v>-0.12156</v>
      </c>
      <c r="V174" s="50">
        <v>16.298999999999999</v>
      </c>
      <c r="W174" s="50">
        <v>14.851100000000001</v>
      </c>
      <c r="X174" s="50">
        <v>9.9909999999999997</v>
      </c>
    </row>
    <row r="175" spans="1:24">
      <c r="A175" t="s">
        <v>600</v>
      </c>
      <c r="B175" s="17">
        <f>IFERROR(YEAR(VLOOKUP($A175,'01_ipo_master'!$A:$C,3,FALSE)),YEAR(VLOOKUP("0"&amp;$A175,'01_ipo_master'!$A:$C,3,FALSE)))</f>
        <v>2026</v>
      </c>
      <c r="C175" s="73">
        <f>[1]!wss($A175:$A175,"hks_stm_is","item=83","rptDate="&amp;($B175-3)&amp;"1231","rptType=1","currencyType=Cur=CNY","WssConvert=0","WssDivide=8","showcodes=N","cols=1;rows=1")</f>
        <v>12.05945</v>
      </c>
      <c r="D175" s="73">
        <f>[1]!wss($A175:$A175,"hks_stm_is","item=83","rptDate="&amp;($B175-2)&amp;"1231","rptType=1","currencyType=Cur=CNY","WssConvert=0","WssDivide=8","showcodes=N","cols=1;rows=1")</f>
        <v>15.245990000000001</v>
      </c>
      <c r="E175" s="73">
        <f>[1]!wss($A175:$A175,"hks_stm_is","item=83","rptDate="&amp;($B175-1)&amp;"1231","rptType=1","currencyType=Cur=CNY","WssConvert=0","WssDivide=8","showcodes=N","cols=1;rows=1")</f>
        <v>17.155339999999999</v>
      </c>
      <c r="F175" s="73">
        <f>[1]!wss($A175:$A175,"hks_stm_is","item=61","rptDate="&amp;($B175-3)&amp;"1231","rptType=1","currencyType=Cur=CNY","WssConvert=0","WssDivide=8","showcodes=N","cols=1;rows=1")</f>
        <v>1.7992300000000001</v>
      </c>
      <c r="G175" s="73">
        <f>[1]!wss($A175:$A175,"hks_stm_is","item=61","rptDate="&amp;($B175-2)&amp;"1231","rptType=1","currencyType=Cur=CNY","WssConvert=0","WssDivide=8","showcodes=N","cols=1;rows=1")</f>
        <v>2.2541899999999999</v>
      </c>
      <c r="H175" s="73">
        <f>[1]!wss($A175:$A175,"hks_stm_is","item=61","rptDate="&amp;($B175-1)&amp;"1231","rptType=1","currencyType=Cur=CNY","WssConvert=0","WssDivide=8","showcodes=N","cols=1;rows=1")</f>
        <v>2.5517500000000002</v>
      </c>
      <c r="I175" s="73">
        <f>[1]!wss($A175:$A175,"hks_fa_grossprofitmargin","rptDate="&amp;($B175-3)&amp;"1231","WssConvert=0","showcodes=N","cols=1;rows=1")</f>
        <v>28.947500000000002</v>
      </c>
      <c r="J175" s="43">
        <f>[1]!wss($A175:$A175,"hks_fa_grossprofitmargin","rptDate="&amp;($B175-2)&amp;"1231","WssConvert=0","showcodes=N","cols=1;rows=1")</f>
        <v>31.193000000000001</v>
      </c>
      <c r="K175" s="43">
        <f>[1]!wss($A175:$A175,"hks_fa_grossprofitmargin","rptDate="&amp;($B175-1)&amp;"1231","WssConvert=0","showcodes=N","cols=1;rows=1")</f>
        <v>33.389499999999998</v>
      </c>
      <c r="L175" s="73">
        <f>[1]!wss($A175:$A175,"hks_fa_roe","rptDate="&amp;($B175-1)&amp;"1231","WssConvert=0","showcodes=N","cols=1;rows=1")</f>
        <v>7.6067</v>
      </c>
      <c r="M175" s="43">
        <f>[1]!wss($A175:$A175,"hks_fa_debttoassets","rptDate="&amp;($B175-1)&amp;"1231","WssConvert=0","showcodes=N","cols=1;rows=1")</f>
        <v>19.3339</v>
      </c>
      <c r="P175" s="50">
        <v>12.05945</v>
      </c>
      <c r="Q175" s="50">
        <v>15.245990000000001</v>
      </c>
      <c r="R175" s="50">
        <v>17.155339999999999</v>
      </c>
      <c r="S175" s="50">
        <v>1.7992300000000001</v>
      </c>
      <c r="T175" s="50">
        <v>2.2541899999999999</v>
      </c>
      <c r="U175" s="50">
        <v>2.5517500000000002</v>
      </c>
      <c r="V175" s="50">
        <v>28.947500000000002</v>
      </c>
      <c r="W175" s="50">
        <v>31.193000000000001</v>
      </c>
      <c r="X175" s="50">
        <v>33.389499999999998</v>
      </c>
    </row>
    <row r="176" spans="1:24">
      <c r="A176" t="s">
        <v>603</v>
      </c>
      <c r="B176" s="17">
        <f>IFERROR(YEAR(VLOOKUP($A176,'01_ipo_master'!$A:$C,3,FALSE)),YEAR(VLOOKUP("0"&amp;$A176,'01_ipo_master'!$A:$C,3,FALSE)))</f>
        <v>2022</v>
      </c>
      <c r="C176" s="73">
        <f>[1]!wss($A176:$A176,"hks_stm_is","item=83","rptDate="&amp;($B176-3)&amp;"1231","rptType=1","currencyType=Cur=CNY","WssConvert=0","WssDivide=8","showcodes=N","cols=1;rows=1")</f>
        <v>3.9106100000000001</v>
      </c>
      <c r="D176" s="73">
        <f>[1]!wss($A176:$A176,"hks_stm_is","item=83","rptDate="&amp;($B176-2)&amp;"1231","rptType=1","currencyType=Cur=CNY","WssConvert=0","WssDivide=8","showcodes=N","cols=1;rows=1")</f>
        <v>3.08453</v>
      </c>
      <c r="E176" s="73">
        <f>[1]!wss($A176:$A176,"hks_stm_is","item=83","rptDate="&amp;($B176-1)&amp;"1231","rptType=1","currencyType=Cur=CNY","WssConvert=0","WssDivide=8","showcodes=N","cols=1;rows=1")</f>
        <v>3.5331900000000003</v>
      </c>
      <c r="F176" s="73">
        <f>[1]!wss($A176:$A176,"hks_stm_is","item=61","rptDate="&amp;($B176-3)&amp;"1231","rptType=1","currencyType=Cur=CNY","WssConvert=0","WssDivide=8","showcodes=N","cols=1;rows=1")</f>
        <v>0.66515999999999997</v>
      </c>
      <c r="G176" s="73">
        <f>[1]!wss($A176:$A176,"hks_stm_is","item=61","rptDate="&amp;($B176-2)&amp;"1231","rptType=1","currencyType=Cur=CNY","WssConvert=0","WssDivide=8","showcodes=N","cols=1;rows=1")</f>
        <v>0.26418999999999998</v>
      </c>
      <c r="H176" s="73">
        <f>[1]!wss($A176:$A176,"hks_stm_is","item=61","rptDate="&amp;($B176-1)&amp;"1231","rptType=1","currencyType=Cur=CNY","WssConvert=0","WssDivide=8","showcodes=N","cols=1;rows=1")</f>
        <v>0.56145999999999996</v>
      </c>
      <c r="I176" s="73">
        <f>[1]!wss($A176:$A176,"hks_fa_grossprofitmargin","rptDate="&amp;($B176-3)&amp;"1231","WssConvert=0","showcodes=N","cols=1;rows=1")</f>
        <v>33.0779</v>
      </c>
      <c r="J176" s="43">
        <f>[1]!wss($A176:$A176,"hks_fa_grossprofitmargin","rptDate="&amp;($B176-2)&amp;"1231","WssConvert=0","showcodes=N","cols=1;rows=1")</f>
        <v>24.204799999999999</v>
      </c>
      <c r="K176" s="43">
        <f>[1]!wss($A176:$A176,"hks_fa_grossprofitmargin","rptDate="&amp;($B176-1)&amp;"1231","WssConvert=0","showcodes=N","cols=1;rows=1")</f>
        <v>32.418900000000001</v>
      </c>
      <c r="L176" s="73">
        <f>[1]!wss($A176:$A176,"hks_fa_roe","rptDate="&amp;($B176-1)&amp;"1231","WssConvert=0","showcodes=N","cols=1;rows=1")</f>
        <v>29.4529</v>
      </c>
      <c r="M176" s="43">
        <f>[1]!wss($A176:$A176,"hks_fa_debttoassets","rptDate="&amp;($B176-1)&amp;"1231","WssConvert=0","showcodes=N","cols=1;rows=1")</f>
        <v>56.107599999999998</v>
      </c>
      <c r="P176" s="50">
        <v>11.92074</v>
      </c>
      <c r="Q176" s="50">
        <v>17.90774</v>
      </c>
      <c r="R176" s="50"/>
      <c r="S176" s="50">
        <v>0.33067000000000002</v>
      </c>
      <c r="T176" s="50">
        <v>-1.85503</v>
      </c>
      <c r="U176" s="50"/>
      <c r="V176" s="50">
        <v>9.8861000000000008</v>
      </c>
      <c r="W176" s="50">
        <v>7.1303999999999998</v>
      </c>
      <c r="X176" s="50"/>
    </row>
    <row r="177" spans="1:24">
      <c r="A177" t="s">
        <v>605</v>
      </c>
      <c r="B177" s="17">
        <f>IFERROR(YEAR(VLOOKUP($A177,'01_ipo_master'!$A:$C,3,FALSE)),YEAR(VLOOKUP("0"&amp;$A177,'01_ipo_master'!$A:$C,3,FALSE)))</f>
        <v>2025</v>
      </c>
      <c r="C177" s="73">
        <f>[1]!wss($A177:$A177,"hks_stm_is","item=83","rptDate="&amp;($B177-3)&amp;"1231","rptType=1","currencyType=Cur=CNY","WssConvert=0","WssDivide=8","showcodes=N","cols=1;rows=1")</f>
        <v>10.96965</v>
      </c>
      <c r="D177" s="73">
        <f>[1]!wss($A177:$A177,"hks_stm_is","item=83","rptDate="&amp;($B177-2)&amp;"1231","rptType=1","currencyType=Cur=CNY","WssConvert=0","WssDivide=8","showcodes=N","cols=1;rows=1")</f>
        <v>11.88321</v>
      </c>
      <c r="E177" s="73">
        <f>[1]!wss($A177:$A177,"hks_stm_is","item=83","rptDate="&amp;($B177-1)&amp;"1231","rptType=1","currencyType=Cur=CNY","WssConvert=0","WssDivide=8","showcodes=N","cols=1;rows=1")</f>
        <v>15.0151</v>
      </c>
      <c r="F177" s="73">
        <f>[1]!wss($A177:$A177,"hks_stm_is","item=61","rptDate="&amp;($B177-3)&amp;"1231","rptType=1","currencyType=Cur=CNY","WssConvert=0","WssDivide=8","showcodes=N","cols=1;rows=1")</f>
        <v>0.80261000000000005</v>
      </c>
      <c r="G177" s="73">
        <f>[1]!wss($A177:$A177,"hks_stm_is","item=61","rptDate="&amp;($B177-2)&amp;"1231","rptType=1","currencyType=Cur=CNY","WssConvert=0","WssDivide=8","showcodes=N","cols=1;rows=1")</f>
        <v>1.21462</v>
      </c>
      <c r="H177" s="73">
        <f>[1]!wss($A177:$A177,"hks_stm_is","item=61","rptDate="&amp;($B177-1)&amp;"1231","rptType=1","currencyType=Cur=CNY","WssConvert=0","WssDivide=8","showcodes=N","cols=1;rows=1")</f>
        <v>1.40425</v>
      </c>
      <c r="I177" s="73">
        <f>[1]!wss($A177:$A177,"hks_fa_grossprofitmargin","rptDate="&amp;($B177-3)&amp;"1231","WssConvert=0","showcodes=N","cols=1;rows=1")</f>
        <v>20.408100000000001</v>
      </c>
      <c r="J177" s="43">
        <f>[1]!wss($A177:$A177,"hks_fa_grossprofitmargin","rptDate="&amp;($B177-2)&amp;"1231","WssConvert=0","showcodes=N","cols=1;rows=1")</f>
        <v>24.069299999999998</v>
      </c>
      <c r="K177" s="43">
        <f>[1]!wss($A177:$A177,"hks_fa_grossprofitmargin","rptDate="&amp;($B177-1)&amp;"1231","WssConvert=0","showcodes=N","cols=1;rows=1")</f>
        <v>21.8796</v>
      </c>
      <c r="L177" s="73">
        <f>[1]!wss($A177:$A177,"hks_fa_roe","rptDate="&amp;($B177-1)&amp;"1231","WssConvert=0","showcodes=N","cols=1;rows=1")</f>
        <v>16.413</v>
      </c>
      <c r="M177" s="43">
        <f>[1]!wss($A177:$A177,"hks_fa_debttoassets","rptDate="&amp;($B177-1)&amp;"1231","WssConvert=0","showcodes=N","cols=1;rows=1")</f>
        <v>45.739800000000002</v>
      </c>
      <c r="P177" s="50">
        <v>11.88321</v>
      </c>
      <c r="Q177" s="50">
        <v>15.0151</v>
      </c>
      <c r="R177" s="50">
        <v>12.898009999999999</v>
      </c>
      <c r="S177" s="50">
        <v>1.21462</v>
      </c>
      <c r="T177" s="50">
        <v>1.40425</v>
      </c>
      <c r="U177" s="50">
        <v>0.50722999999999996</v>
      </c>
      <c r="V177" s="50">
        <v>24.069299999999998</v>
      </c>
      <c r="W177" s="50">
        <v>21.8796</v>
      </c>
      <c r="X177" s="50">
        <v>19.635200000000001</v>
      </c>
    </row>
    <row r="178" spans="1:24">
      <c r="A178" t="s">
        <v>607</v>
      </c>
      <c r="B178" s="17">
        <f>IFERROR(YEAR(VLOOKUP($A178,'01_ipo_master'!$A:$C,3,FALSE)),YEAR(VLOOKUP("0"&amp;$A178,'01_ipo_master'!$A:$C,3,FALSE)))</f>
        <v>2022</v>
      </c>
      <c r="C178" s="73">
        <f>[1]!wss($A178:$A178,"hks_stm_is","item=83","rptDate="&amp;($B178-3)&amp;"1231","rptType=1","currencyType=Cur=CNY","WssConvert=0","WssDivide=8","showcodes=N","cols=1;rows=1")</f>
        <v>9.5326000000000004</v>
      </c>
      <c r="D178" s="73">
        <f>[1]!wss($A178:$A178,"hks_stm_is","item=83","rptDate="&amp;($B178-2)&amp;"1231","rptType=1","currencyType=Cur=CNY","WssConvert=0","WssDivide=8","showcodes=N","cols=1;rows=1")</f>
        <v>16.3797</v>
      </c>
      <c r="E178" s="73">
        <f>[1]!wss($A178:$A178,"hks_stm_is","item=83","rptDate="&amp;($B178-1)&amp;"1231","rptType=1","currencyType=Cur=CNY","WssConvert=0","WssDivide=8","showcodes=N","cols=1;rows=1")</f>
        <v>15.70129</v>
      </c>
      <c r="F178" s="73">
        <f>[1]!wss($A178:$A178,"hks_stm_is","item=61","rptDate="&amp;($B178-3)&amp;"1231","rptType=1","currencyType=Cur=CNY","WssConvert=0","WssDivide=8","showcodes=N","cols=1;rows=1")</f>
        <v>1.1740600000000001</v>
      </c>
      <c r="G178" s="73">
        <f>[1]!wss($A178:$A178,"hks_stm_is","item=61","rptDate="&amp;($B178-2)&amp;"1231","rptType=1","currencyType=Cur=CNY","WssConvert=0","WssDivide=8","showcodes=N","cols=1;rows=1")</f>
        <v>3.7928700000000002</v>
      </c>
      <c r="H178" s="73">
        <f>[1]!wss($A178:$A178,"hks_stm_is","item=61","rptDate="&amp;($B178-1)&amp;"1231","rptType=1","currencyType=Cur=CNY","WssConvert=0","WssDivide=8","showcodes=N","cols=1;rows=1")</f>
        <v>-6.92774</v>
      </c>
      <c r="I178" s="73">
        <f>[1]!wss($A178:$A178,"hks_fa_grossprofitmargin","rptDate="&amp;($B178-3)&amp;"1231","WssConvert=0","showcodes=N","cols=1;rows=1")</f>
        <v>77.007999999999996</v>
      </c>
      <c r="J178" s="43">
        <f>[1]!wss($A178:$A178,"hks_fa_grossprofitmargin","rptDate="&amp;($B178-2)&amp;"1231","WssConvert=0","showcodes=N","cols=1;rows=1")</f>
        <v>82.668700000000001</v>
      </c>
      <c r="K178" s="43">
        <f>[1]!wss($A178:$A178,"hks_fa_grossprofitmargin","rptDate="&amp;($B178-1)&amp;"1231","WssConvert=0","showcodes=N","cols=1;rows=1")</f>
        <v>82.458200000000005</v>
      </c>
      <c r="L178" s="73">
        <f>[1]!wss($A178:$A178,"hks_fa_roe","rptDate="&amp;($B178-1)&amp;"1231","WssConvert=0","showcodes=N","cols=1;rows=1")</f>
        <v>-16.6648</v>
      </c>
      <c r="M178" s="43">
        <f>[1]!wss($A178:$A178,"hks_fa_debttoassets","rptDate="&amp;($B178-1)&amp;"1231","WssConvert=0","showcodes=N","cols=1;rows=1")</f>
        <v>29.397400000000001</v>
      </c>
      <c r="P178" s="50">
        <v>11.87468</v>
      </c>
      <c r="Q178" s="50">
        <v>12.85031</v>
      </c>
      <c r="R178" s="50">
        <v>11.65673</v>
      </c>
      <c r="S178" s="50">
        <v>-13.01005</v>
      </c>
      <c r="T178" s="50">
        <v>-2.7723399999999998</v>
      </c>
      <c r="U178" s="50">
        <v>-6.7545999999999999</v>
      </c>
      <c r="V178" s="50">
        <v>75.877099999999999</v>
      </c>
      <c r="W178" s="50">
        <v>74.2012</v>
      </c>
      <c r="X178" s="50">
        <v>65.215900000000005</v>
      </c>
    </row>
    <row r="179" spans="1:24">
      <c r="A179" t="s">
        <v>609</v>
      </c>
      <c r="B179" s="17">
        <f>IFERROR(YEAR(VLOOKUP($A179,'01_ipo_master'!$A:$C,3,FALSE)),YEAR(VLOOKUP("0"&amp;$A179,'01_ipo_master'!$A:$C,3,FALSE)))</f>
        <v>2025</v>
      </c>
      <c r="C179" s="73">
        <f>[1]!wss($A179:$A179,"hks_stm_is","item=83","rptDate="&amp;($B179-3)&amp;"1231","rptType=1","currencyType=Cur=CNY","WssConvert=0","WssDivide=8","showcodes=N","cols=1;rows=1")</f>
        <v>8.4358900000000006</v>
      </c>
      <c r="D179" s="73">
        <f>[1]!wss($A179:$A179,"hks_stm_is","item=83","rptDate="&amp;($B179-2)&amp;"1231","rptType=1","currencyType=Cur=CNY","WssConvert=0","WssDivide=8","showcodes=N","cols=1;rows=1")</f>
        <v>11.84923</v>
      </c>
      <c r="E179" s="73">
        <f>[1]!wss($A179:$A179,"hks_stm_is","item=83","rptDate="&amp;($B179-1)&amp;"1231","rptType=1","currencyType=Cur=CNY","WssConvert=0","WssDivide=8","showcodes=N","cols=1;rows=1")</f>
        <v>12.8314</v>
      </c>
      <c r="F179" s="73">
        <f>[1]!wss($A179:$A179,"hks_stm_is","item=61","rptDate="&amp;($B179-3)&amp;"1231","rptType=1","currencyType=Cur=CNY","WssConvert=0","WssDivide=8","showcodes=N","cols=1;rows=1")</f>
        <v>2.4605999999999999</v>
      </c>
      <c r="G179" s="73">
        <f>[1]!wss($A179:$A179,"hks_stm_is","item=61","rptDate="&amp;($B179-2)&amp;"1231","rptType=1","currencyType=Cur=CNY","WssConvert=0","WssDivide=8","showcodes=N","cols=1;rows=1")</f>
        <v>4.0185500000000003</v>
      </c>
      <c r="H179" s="73">
        <f>[1]!wss($A179:$A179,"hks_stm_is","item=61","rptDate="&amp;($B179-1)&amp;"1231","rptType=1","currencyType=Cur=CNY","WssConvert=0","WssDivide=8","showcodes=N","cols=1;rows=1")</f>
        <v>4.57972</v>
      </c>
      <c r="I179" s="73" t="str">
        <f>[1]!wss($A179:$A179,"hks_fa_grossprofitmargin","rptDate="&amp;($B179-3)&amp;"1231","WssConvert=0","showcodes=N","cols=1;rows=1")</f>
        <v/>
      </c>
      <c r="J179" s="43" t="str">
        <f>[1]!wss($A179:$A179,"hks_fa_grossprofitmargin","rptDate="&amp;($B179-2)&amp;"1231","WssConvert=0","showcodes=N","cols=1;rows=1")</f>
        <v/>
      </c>
      <c r="K179" s="43" t="str">
        <f>[1]!wss($A179:$A179,"hks_fa_grossprofitmargin","rptDate="&amp;($B179-1)&amp;"1231","WssConvert=0","showcodes=N","cols=1;rows=1")</f>
        <v/>
      </c>
      <c r="L179" s="73">
        <f>[1]!wss($A179:$A179,"hks_fa_roe","rptDate="&amp;($B179-1)&amp;"1231","WssConvert=0","showcodes=N","cols=1;rows=1")</f>
        <v>11.7149</v>
      </c>
      <c r="M179" s="43">
        <f>[1]!wss($A179:$A179,"hks_fa_debttoassets","rptDate="&amp;($B179-1)&amp;"1231","WssConvert=0","showcodes=N","cols=1;rows=1")</f>
        <v>91.558400000000006</v>
      </c>
      <c r="P179" s="50">
        <v>11.84923</v>
      </c>
      <c r="Q179" s="50">
        <v>12.8314</v>
      </c>
      <c r="R179" s="50">
        <v>12.38199</v>
      </c>
      <c r="S179" s="50">
        <v>4.0185500000000003</v>
      </c>
      <c r="T179" s="50">
        <v>4.57972</v>
      </c>
      <c r="U179" s="50">
        <v>4.8626399999999999</v>
      </c>
      <c r="V179" s="50"/>
      <c r="W179" s="50"/>
      <c r="X179" s="50"/>
    </row>
    <row r="180" spans="1:24">
      <c r="A180" t="s">
        <v>612</v>
      </c>
      <c r="B180" s="17">
        <f>IFERROR(YEAR(VLOOKUP($A180,'01_ipo_master'!$A:$C,3,FALSE)),YEAR(VLOOKUP("0"&amp;$A180,'01_ipo_master'!$A:$C,3,FALSE)))</f>
        <v>2025</v>
      </c>
      <c r="C180" s="73">
        <f>[1]!wss($A180:$A180,"hks_stm_is","item=83","rptDate="&amp;($B180-3)&amp;"1231","rptType=1","currencyType=Cur=CNY","WssConvert=0","WssDivide=8","showcodes=N","cols=1;rows=1")</f>
        <v>4.3685499999999999</v>
      </c>
      <c r="D180" s="73">
        <f>[1]!wss($A180:$A180,"hks_stm_is","item=83","rptDate="&amp;($B180-2)&amp;"1231","rptType=1","currencyType=Cur=CNY","WssConvert=0","WssDivide=8","showcodes=N","cols=1;rows=1")</f>
        <v>11.71214</v>
      </c>
      <c r="E180" s="73">
        <f>[1]!wss($A180:$A180,"hks_stm_is","item=83","rptDate="&amp;($B180-1)&amp;"1231","rptType=1","currencyType=Cur=CNY","WssConvert=0","WssDivide=8","showcodes=N","cols=1;rows=1")</f>
        <v>5.1962200000000003</v>
      </c>
      <c r="F180" s="73">
        <f>[1]!wss($A180:$A180,"hks_stm_is","item=61","rptDate="&amp;($B180-3)&amp;"1231","rptType=1","currencyType=Cur=CNY","WssConvert=0","WssDivide=8","showcodes=N","cols=1;rows=1")</f>
        <v>6.9510000000000002E-2</v>
      </c>
      <c r="G180" s="73">
        <f>[1]!wss($A180:$A180,"hks_stm_is","item=61","rptDate="&amp;($B180-2)&amp;"1231","rptType=1","currencyType=Cur=CNY","WssConvert=0","WssDivide=8","showcodes=N","cols=1;rows=1")</f>
        <v>1.0143599999999999</v>
      </c>
      <c r="H180" s="73">
        <f>[1]!wss($A180:$A180,"hks_stm_is","item=61","rptDate="&amp;($B180-1)&amp;"1231","rptType=1","currencyType=Cur=CNY","WssConvert=0","WssDivide=8","showcodes=N","cols=1;rows=1")</f>
        <v>-4.92455</v>
      </c>
      <c r="I180" s="73">
        <f>[1]!wss($A180:$A180,"hks_fa_grossprofitmargin","rptDate="&amp;($B180-3)&amp;"1231","WssConvert=0","showcodes=N","cols=1;rows=1")</f>
        <v>20.026299999999999</v>
      </c>
      <c r="J180" s="43">
        <f>[1]!wss($A180:$A180,"hks_fa_grossprofitmargin","rptDate="&amp;($B180-2)&amp;"1231","WssConvert=0","showcodes=N","cols=1;rows=1")</f>
        <v>18.495200000000001</v>
      </c>
      <c r="K180" s="43">
        <f>[1]!wss($A180:$A180,"hks_fa_grossprofitmargin","rptDate="&amp;($B180-1)&amp;"1231","WssConvert=0","showcodes=N","cols=1;rows=1")</f>
        <v>-72.044700000000006</v>
      </c>
      <c r="L180" s="73">
        <f>[1]!wss($A180:$A180,"hks_fa_roe","rptDate="&amp;($B180-1)&amp;"1231","WssConvert=0","showcodes=N","cols=1;rows=1")</f>
        <v>-33.972200000000001</v>
      </c>
      <c r="M180" s="43">
        <f>[1]!wss($A180:$A180,"hks_fa_debttoassets","rptDate="&amp;($B180-1)&amp;"1231","WssConvert=0","showcodes=N","cols=1;rows=1")</f>
        <v>64.949299999999994</v>
      </c>
      <c r="P180" s="50">
        <v>11.71214</v>
      </c>
      <c r="Q180" s="50">
        <v>5.1962200000000003</v>
      </c>
      <c r="R180" s="50">
        <v>7.0922799999999997</v>
      </c>
      <c r="S180" s="50">
        <v>1.0143599999999999</v>
      </c>
      <c r="T180" s="50">
        <v>-4.92455</v>
      </c>
      <c r="U180" s="50">
        <v>-0.55605000000000004</v>
      </c>
      <c r="V180" s="50">
        <v>18.495200000000001</v>
      </c>
      <c r="W180" s="50">
        <v>-72.044700000000006</v>
      </c>
      <c r="X180" s="50">
        <v>18.8126</v>
      </c>
    </row>
    <row r="181" spans="1:24">
      <c r="A181" t="s">
        <v>614</v>
      </c>
      <c r="B181" s="17">
        <f>IFERROR(YEAR(VLOOKUP($A181,'01_ipo_master'!$A:$C,3,FALSE)),YEAR(VLOOKUP("0"&amp;$A181,'01_ipo_master'!$A:$C,3,FALSE)))</f>
        <v>2025</v>
      </c>
      <c r="C181" s="73">
        <f>[1]!wss($A181:$A181,"hks_stm_is","item=83","rptDate="&amp;($B181-3)&amp;"1231","rptType=1","currencyType=Cur=CNY","WssConvert=0","WssDivide=8","showcodes=N","cols=1;rows=1")</f>
        <v>9.0536300000000001</v>
      </c>
      <c r="D181" s="73">
        <f>[1]!wss($A181:$A181,"hks_stm_is","item=83","rptDate="&amp;($B181-2)&amp;"1231","rptType=1","currencyType=Cur=CNY","WssConvert=0","WssDivide=8","showcodes=N","cols=1;rows=1")</f>
        <v>11.68451</v>
      </c>
      <c r="E181" s="73">
        <f>[1]!wss($A181:$A181,"hks_stm_is","item=83","rptDate="&amp;($B181-1)&amp;"1231","rptType=1","currencyType=Cur=CNY","WssConvert=0","WssDivide=8","showcodes=N","cols=1;rows=1")</f>
        <v>15.510429999999999</v>
      </c>
      <c r="F181" s="73">
        <f>[1]!wss($A181:$A181,"hks_stm_is","item=61","rptDate="&amp;($B181-3)&amp;"1231","rptType=1","currencyType=Cur=CNY","WssConvert=0","WssDivide=8","showcodes=N","cols=1;rows=1")</f>
        <v>-3.5890300000000002</v>
      </c>
      <c r="G181" s="73">
        <f>[1]!wss($A181:$A181,"hks_stm_is","item=61","rptDate="&amp;($B181-2)&amp;"1231","rptType=1","currencyType=Cur=CNY","WssConvert=0","WssDivide=8","showcodes=N","cols=1;rows=1")</f>
        <v>-4.6827199999999998</v>
      </c>
      <c r="H181" s="73">
        <f>[1]!wss($A181:$A181,"hks_stm_is","item=61","rptDate="&amp;($B181-1)&amp;"1231","rptType=1","currencyType=Cur=CNY","WssConvert=0","WssDivide=8","showcodes=N","cols=1;rows=1")</f>
        <v>-0.69001999999999997</v>
      </c>
      <c r="I181" s="73">
        <f>[1]!wss($A181:$A181,"hks_fa_grossprofitmargin","rptDate="&amp;($B181-3)&amp;"1231","WssConvert=0","showcodes=N","cols=1;rows=1")</f>
        <v>25.445399999999999</v>
      </c>
      <c r="J181" s="43">
        <f>[1]!wss($A181:$A181,"hks_fa_grossprofitmargin","rptDate="&amp;($B181-2)&amp;"1231","WssConvert=0","showcodes=N","cols=1;rows=1")</f>
        <v>32.536499999999997</v>
      </c>
      <c r="K181" s="43">
        <f>[1]!wss($A181:$A181,"hks_fa_grossprofitmargin","rptDate="&amp;($B181-1)&amp;"1231","WssConvert=0","showcodes=N","cols=1;rows=1")</f>
        <v>27.477599999999999</v>
      </c>
      <c r="L181" s="73" t="str">
        <f>[1]!wss($A181:$A181,"hks_fa_roe","rptDate="&amp;($B181-1)&amp;"1231","WssConvert=0","showcodes=N","cols=1;rows=1")</f>
        <v/>
      </c>
      <c r="M181" s="43">
        <f>[1]!wss($A181:$A181,"hks_fa_debttoassets","rptDate="&amp;($B181-1)&amp;"1231","WssConvert=0","showcodes=N","cols=1;rows=1")</f>
        <v>164.74969999999999</v>
      </c>
      <c r="P181" s="50">
        <v>11.68451</v>
      </c>
      <c r="Q181" s="50">
        <v>15.510429999999999</v>
      </c>
      <c r="R181" s="50">
        <v>21.203019999999999</v>
      </c>
      <c r="S181" s="50">
        <v>-4.6827199999999998</v>
      </c>
      <c r="T181" s="50">
        <v>-0.69001999999999997</v>
      </c>
      <c r="U181" s="50">
        <v>-5.92523</v>
      </c>
      <c r="V181" s="50">
        <v>32.536499999999997</v>
      </c>
      <c r="W181" s="50">
        <v>27.477599999999999</v>
      </c>
      <c r="X181" s="50">
        <v>17.878299999999999</v>
      </c>
    </row>
    <row r="182" spans="1:24">
      <c r="A182" t="s">
        <v>616</v>
      </c>
      <c r="B182" s="17">
        <f>IFERROR(YEAR(VLOOKUP($A182,'01_ipo_master'!$A:$C,3,FALSE)),YEAR(VLOOKUP("0"&amp;$A182,'01_ipo_master'!$A:$C,3,FALSE)))</f>
        <v>2026</v>
      </c>
      <c r="C182" s="73">
        <f>[1]!wss($A182:$A182,"hks_stm_is","item=83","rptDate="&amp;($B182-3)&amp;"1231","rptType=1","currencyType=Cur=CNY","WssConvert=0","WssDivide=8","showcodes=N","cols=1;rows=1")</f>
        <v>11.42502</v>
      </c>
      <c r="D182" s="73">
        <f>[1]!wss($A182:$A182,"hks_stm_is","item=83","rptDate="&amp;($B182-2)&amp;"1231","rptType=1","currencyType=Cur=CNY","WssConvert=0","WssDivide=8","showcodes=N","cols=1;rows=1")</f>
        <v>9.7431599999999996</v>
      </c>
      <c r="E182" s="73">
        <f>[1]!wss($A182:$A182,"hks_stm_is","item=83","rptDate="&amp;($B182-1)&amp;"1231","rptType=1","currencyType=Cur=CNY","WssConvert=0","WssDivide=8","showcodes=N","cols=1;rows=1")</f>
        <v>7.6533300000000004</v>
      </c>
      <c r="F182" s="73">
        <f>[1]!wss($A182:$A182,"hks_stm_is","item=61","rptDate="&amp;($B182-3)&amp;"1231","rptType=1","currencyType=Cur=CNY","WssConvert=0","WssDivide=8","showcodes=N","cols=1;rows=1")</f>
        <v>1.0750500000000001</v>
      </c>
      <c r="G182" s="73">
        <f>[1]!wss($A182:$A182,"hks_stm_is","item=61","rptDate="&amp;($B182-2)&amp;"1231","rptType=1","currencyType=Cur=CNY","WssConvert=0","WssDivide=8","showcodes=N","cols=1;rows=1")</f>
        <v>1.6506700000000001</v>
      </c>
      <c r="H182" s="73">
        <f>[1]!wss($A182:$A182,"hks_stm_is","item=61","rptDate="&amp;($B182-1)&amp;"1231","rptType=1","currencyType=Cur=CNY","WssConvert=0","WssDivide=8","showcodes=N","cols=1;rows=1")</f>
        <v>0.11888</v>
      </c>
      <c r="I182" s="73">
        <f>[1]!wss($A182:$A182,"hks_fa_grossprofitmargin","rptDate="&amp;($B182-3)&amp;"1231","WssConvert=0","showcodes=N","cols=1;rows=1")</f>
        <v>24.739599999999999</v>
      </c>
      <c r="J182" s="43">
        <f>[1]!wss($A182:$A182,"hks_fa_grossprofitmargin","rptDate="&amp;($B182-2)&amp;"1231","WssConvert=0","showcodes=N","cols=1;rows=1")</f>
        <v>16.086600000000001</v>
      </c>
      <c r="K182" s="43">
        <f>[1]!wss($A182:$A182,"hks_fa_grossprofitmargin","rptDate="&amp;($B182-1)&amp;"1231","WssConvert=0","showcodes=N","cols=1;rows=1")</f>
        <v>24.814</v>
      </c>
      <c r="L182" s="73">
        <f>[1]!wss($A182:$A182,"hks_fa_roe","rptDate="&amp;($B182-1)&amp;"1231","WssConvert=0","showcodes=N","cols=1;rows=1")</f>
        <v>0.4083</v>
      </c>
      <c r="M182" s="43">
        <f>[1]!wss($A182:$A182,"hks_fa_debttoassets","rptDate="&amp;($B182-1)&amp;"1231","WssConvert=0","showcodes=N","cols=1;rows=1")</f>
        <v>33.470500000000001</v>
      </c>
      <c r="P182" s="50">
        <v>11.42502</v>
      </c>
      <c r="Q182" s="50">
        <v>9.7431599999999996</v>
      </c>
      <c r="R182" s="50">
        <v>7.6533300000000004</v>
      </c>
      <c r="S182" s="50">
        <v>1.0750500000000001</v>
      </c>
      <c r="T182" s="50">
        <v>1.6506700000000001</v>
      </c>
      <c r="U182" s="50">
        <v>0.11888</v>
      </c>
      <c r="V182" s="50">
        <v>24.739599999999999</v>
      </c>
      <c r="W182" s="50">
        <v>16.086600000000001</v>
      </c>
      <c r="X182" s="50">
        <v>24.814</v>
      </c>
    </row>
    <row r="183" spans="1:24">
      <c r="A183" t="s">
        <v>618</v>
      </c>
      <c r="B183" s="17">
        <f>IFERROR(YEAR(VLOOKUP($A183,'01_ipo_master'!$A:$C,3,FALSE)),YEAR(VLOOKUP("0"&amp;$A183,'01_ipo_master'!$A:$C,3,FALSE)))</f>
        <v>2024</v>
      </c>
      <c r="C183" s="73">
        <f>[1]!wss($A183:$A183,"hks_stm_is","item=83","rptDate="&amp;($B183-3)&amp;"1231","rptType=1","currencyType=Cur=CNY","WssConvert=0","WssDivide=8","showcodes=N","cols=1;rows=1")</f>
        <v>3.3117000000000001</v>
      </c>
      <c r="D183" s="73">
        <f>[1]!wss($A183:$A183,"hks_stm_is","item=83","rptDate="&amp;($B183-2)&amp;"1231","rptType=1","currencyType=Cur=CNY","WssConvert=0","WssDivide=8","showcodes=N","cols=1;rows=1")</f>
        <v>5.3032200000000005</v>
      </c>
      <c r="E183" s="73">
        <f>[1]!wss($A183:$A183,"hks_stm_is","item=83","rptDate="&amp;($B183-1)&amp;"1231","rptType=1","currencyType=Cur=CNY","WssConvert=0","WssDivide=8","showcodes=N","cols=1;rows=1")</f>
        <v>11.20149</v>
      </c>
      <c r="F183" s="73">
        <f>[1]!wss($A183:$A183,"hks_stm_is","item=61","rptDate="&amp;($B183-3)&amp;"1231","rptType=1","currencyType=Cur=CNY","WssConvert=0","WssDivide=8","showcodes=N","cols=1;rows=1")</f>
        <v>-16.587299999999999</v>
      </c>
      <c r="G183" s="73">
        <f>[1]!wss($A183:$A183,"hks_stm_is","item=61","rptDate="&amp;($B183-2)&amp;"1231","rptType=1","currencyType=Cur=CNY","WssConvert=0","WssDivide=8","showcodes=N","cols=1;rows=1")</f>
        <v>-20.886520000000001</v>
      </c>
      <c r="H183" s="73">
        <f>[1]!wss($A183:$A183,"hks_stm_is","item=61","rptDate="&amp;($B183-1)&amp;"1231","rptType=1","currencyType=Cur=CNY","WssConvert=0","WssDivide=8","showcodes=N","cols=1;rows=1")</f>
        <v>-43.366289999999999</v>
      </c>
      <c r="I183" s="73">
        <f>[1]!wss($A183:$A183,"hks_fa_grossprofitmargin","rptDate="&amp;($B183-3)&amp;"1231","WssConvert=0","showcodes=N","cols=1;rows=1")</f>
        <v>42.369</v>
      </c>
      <c r="J183" s="43">
        <f>[1]!wss($A183:$A183,"hks_fa_grossprofitmargin","rptDate="&amp;($B183-2)&amp;"1231","WssConvert=0","showcodes=N","cols=1;rows=1")</f>
        <v>-7.4096000000000002</v>
      </c>
      <c r="K183" s="43">
        <f>[1]!wss($A183:$A183,"hks_fa_grossprofitmargin","rptDate="&amp;($B183-1)&amp;"1231","WssConvert=0","showcodes=N","cols=1;rows=1")</f>
        <v>8.3596000000000004</v>
      </c>
      <c r="L183" s="73" t="str">
        <f>[1]!wss($A183:$A183,"hks_fa_roe","rptDate="&amp;($B183-1)&amp;"1231","WssConvert=0","showcodes=N","cols=1;rows=1")</f>
        <v/>
      </c>
      <c r="M183" s="43">
        <f>[1]!wss($A183:$A183,"hks_fa_debttoassets","rptDate="&amp;($B183-1)&amp;"1231","WssConvert=0","showcodes=N","cols=1;rows=1")</f>
        <v>377.24189999999999</v>
      </c>
      <c r="P183" s="50">
        <v>11.20149</v>
      </c>
      <c r="Q183" s="50">
        <v>16.48902</v>
      </c>
      <c r="R183" s="50">
        <v>19.410080000000001</v>
      </c>
      <c r="S183" s="50">
        <v>-43.366289999999999</v>
      </c>
      <c r="T183" s="50">
        <v>-4.8182700000000001</v>
      </c>
      <c r="U183" s="50">
        <v>-1.45922</v>
      </c>
      <c r="V183" s="50">
        <v>8.3596000000000004</v>
      </c>
      <c r="W183" s="50">
        <v>17.1965</v>
      </c>
      <c r="X183" s="50">
        <v>26.488900000000001</v>
      </c>
    </row>
    <row r="184" spans="1:24">
      <c r="A184" t="s">
        <v>620</v>
      </c>
      <c r="B184" s="17">
        <f>IFERROR(YEAR(VLOOKUP($A184,'01_ipo_master'!$A:$C,3,FALSE)),YEAR(VLOOKUP("0"&amp;$A184,'01_ipo_master'!$A:$C,3,FALSE)))</f>
        <v>2022</v>
      </c>
      <c r="C184" s="73">
        <f>[1]!wss($A184:$A184,"hks_stm_is","item=83","rptDate="&amp;($B184-3)&amp;"1231","rptType=1","currencyType=Cur=CNY","WssConvert=0","WssDivide=8","showcodes=N","cols=1;rows=1")</f>
        <v>6.7278472799999998</v>
      </c>
      <c r="D184" s="73">
        <f>[1]!wss($A184:$A184,"hks_stm_is","item=83","rptDate="&amp;($B184-2)&amp;"1231","rptType=1","currencyType=Cur=CNY","WssConvert=0","WssDivide=8","showcodes=N","cols=1;rows=1")</f>
        <v>5.772709528</v>
      </c>
      <c r="E184" s="73">
        <f>[1]!wss($A184:$A184,"hks_stm_is","item=83","rptDate="&amp;($B184-1)&amp;"1231","rptType=1","currencyType=Cur=CNY","WssConvert=0","WssDivide=8","showcodes=N","cols=1;rows=1")</f>
        <v>7.4252677340000002</v>
      </c>
      <c r="F184" s="73">
        <f>[1]!wss($A184:$A184,"hks_stm_is","item=61","rptDate="&amp;($B184-3)&amp;"1231","rptType=1","currencyType=Cur=CNY","WssConvert=0","WssDivide=8","showcodes=N","cols=1;rows=1")</f>
        <v>0.485403996</v>
      </c>
      <c r="G184" s="73">
        <f>[1]!wss($A184:$A184,"hks_stm_is","item=61","rptDate="&amp;($B184-2)&amp;"1231","rptType=1","currencyType=Cur=CNY","WssConvert=0","WssDivide=8","showcodes=N","cols=1;rows=1")</f>
        <v>0.46137567899999998</v>
      </c>
      <c r="H184" s="73">
        <f>[1]!wss($A184:$A184,"hks_stm_is","item=61","rptDate="&amp;($B184-1)&amp;"1231","rptType=1","currencyType=Cur=CNY","WssConvert=0","WssDivide=8","showcodes=N","cols=1;rows=1")</f>
        <v>-0.28333610800000003</v>
      </c>
      <c r="I184" s="73">
        <f>[1]!wss($A184:$A184,"hks_fa_grossprofitmargin","rptDate="&amp;($B184-3)&amp;"1231","WssConvert=0","showcodes=N","cols=1;rows=1")</f>
        <v>67.932000000000002</v>
      </c>
      <c r="J184" s="43">
        <f>[1]!wss($A184:$A184,"hks_fa_grossprofitmargin","rptDate="&amp;($B184-2)&amp;"1231","WssConvert=0","showcodes=N","cols=1;rows=1")</f>
        <v>65.580100000000002</v>
      </c>
      <c r="K184" s="43">
        <f>[1]!wss($A184:$A184,"hks_fa_grossprofitmargin","rptDate="&amp;($B184-1)&amp;"1231","WssConvert=0","showcodes=N","cols=1;rows=1")</f>
        <v>69.698300000000003</v>
      </c>
      <c r="L184" s="73">
        <f>[1]!wss($A184:$A184,"hks_fa_roe","rptDate="&amp;($B184-1)&amp;"1231","WssConvert=0","showcodes=N","cols=1;rows=1")</f>
        <v>-4.0769000000000002</v>
      </c>
      <c r="M184" s="43">
        <f>[1]!wss($A184:$A184,"hks_fa_debttoassets","rptDate="&amp;($B184-1)&amp;"1231","WssConvert=0","showcodes=N","cols=1;rows=1")</f>
        <v>31.808700000000002</v>
      </c>
      <c r="P184" s="50">
        <v>10.897796355000001</v>
      </c>
      <c r="Q184" s="50">
        <v>11.795948748000001</v>
      </c>
      <c r="R184" s="50">
        <v>12.683750752</v>
      </c>
      <c r="S184" s="50">
        <v>3.1923853709999999</v>
      </c>
      <c r="T184" s="50">
        <v>2.8550168280000001</v>
      </c>
      <c r="U184" s="50">
        <v>2.9449969120000001</v>
      </c>
      <c r="V184" s="50">
        <v>69.215199999999996</v>
      </c>
      <c r="W184" s="50">
        <v>69.755700000000004</v>
      </c>
      <c r="X184" s="50">
        <v>67.846100000000007</v>
      </c>
    </row>
    <row r="185" spans="1:24">
      <c r="A185" t="s">
        <v>622</v>
      </c>
      <c r="B185" s="17">
        <f>IFERROR(YEAR(VLOOKUP($A185,'01_ipo_master'!$A:$C,3,FALSE)),YEAR(VLOOKUP("0"&amp;$A185,'01_ipo_master'!$A:$C,3,FALSE)))</f>
        <v>2025</v>
      </c>
      <c r="C185" s="73">
        <f>[1]!wss($A185:$A185,"hks_stm_is","item=83","rptDate="&amp;($B185-3)&amp;"1231","rptType=1","currencyType=Cur=CNY","WssConvert=0","WssDivide=8","showcodes=N","cols=1;rows=1")</f>
        <v>8.0265199999999997</v>
      </c>
      <c r="D185" s="73">
        <f>[1]!wss($A185:$A185,"hks_stm_is","item=83","rptDate="&amp;($B185-2)&amp;"1231","rptType=1","currencyType=Cur=CNY","WssConvert=0","WssDivide=8","showcodes=N","cols=1;rows=1")</f>
        <v>10.721730000000001</v>
      </c>
      <c r="E185" s="73">
        <f>[1]!wss($A185:$A185,"hks_stm_is","item=83","rptDate="&amp;($B185-1)&amp;"1231","rptType=1","currencyType=Cur=CNY","WssConvert=0","WssDivide=8","showcodes=N","cols=1;rows=1")</f>
        <v>11.88846</v>
      </c>
      <c r="F185" s="73">
        <f>[1]!wss($A185:$A185,"hks_stm_is","item=61","rptDate="&amp;($B185-3)&amp;"1231","rptType=1","currencyType=Cur=CNY","WssConvert=0","WssDivide=8","showcodes=N","cols=1;rows=1")</f>
        <v>-0.58018000000000003</v>
      </c>
      <c r="G185" s="73">
        <f>[1]!wss($A185:$A185,"hks_stm_is","item=61","rptDate="&amp;($B185-2)&amp;"1231","rptType=1","currencyType=Cur=CNY","WssConvert=0","WssDivide=8","showcodes=N","cols=1;rows=1")</f>
        <v>-0.26389000000000001</v>
      </c>
      <c r="H185" s="73">
        <f>[1]!wss($A185:$A185,"hks_stm_is","item=61","rptDate="&amp;($B185-1)&amp;"1231","rptType=1","currencyType=Cur=CNY","WssConvert=0","WssDivide=8","showcodes=N","cols=1;rows=1")</f>
        <v>-0.13457</v>
      </c>
      <c r="I185" s="73">
        <f>[1]!wss($A185:$A185,"hks_fa_grossprofitmargin","rptDate="&amp;($B185-3)&amp;"1231","WssConvert=0","showcodes=N","cols=1;rows=1")</f>
        <v>9.9117999999999995</v>
      </c>
      <c r="J185" s="43">
        <f>[1]!wss($A185:$A185,"hks_fa_grossprofitmargin","rptDate="&amp;($B185-2)&amp;"1231","WssConvert=0","showcodes=N","cols=1;rows=1")</f>
        <v>16.617100000000001</v>
      </c>
      <c r="K185" s="43">
        <f>[1]!wss($A185:$A185,"hks_fa_grossprofitmargin","rptDate="&amp;($B185-1)&amp;"1231","WssConvert=0","showcodes=N","cols=1;rows=1")</f>
        <v>17.512499999999999</v>
      </c>
      <c r="L185" s="73">
        <f>[1]!wss($A185:$A185,"hks_fa_roe","rptDate="&amp;($B185-1)&amp;"1231","WssConvert=0","showcodes=N","cols=1;rows=1")</f>
        <v>-1.2499</v>
      </c>
      <c r="M185" s="43">
        <f>[1]!wss($A185:$A185,"hks_fa_debttoassets","rptDate="&amp;($B185-1)&amp;"1231","WssConvert=0","showcodes=N","cols=1;rows=1")</f>
        <v>46.889699999999998</v>
      </c>
      <c r="P185" s="50">
        <v>10.721730000000001</v>
      </c>
      <c r="Q185" s="50">
        <v>11.88846</v>
      </c>
      <c r="R185" s="50">
        <v>11.19849</v>
      </c>
      <c r="S185" s="50">
        <v>-0.26389000000000001</v>
      </c>
      <c r="T185" s="50">
        <v>-0.13457</v>
      </c>
      <c r="U185" s="50">
        <v>-0.12956999999999999</v>
      </c>
      <c r="V185" s="50">
        <v>16.617100000000001</v>
      </c>
      <c r="W185" s="50">
        <v>17.512499999999999</v>
      </c>
      <c r="X185" s="50">
        <v>17.039100000000001</v>
      </c>
    </row>
    <row r="186" spans="1:24">
      <c r="A186" t="s">
        <v>624</v>
      </c>
      <c r="B186" s="17">
        <f>IFERROR(YEAR(VLOOKUP($A186,'01_ipo_master'!$A:$C,3,FALSE)),YEAR(VLOOKUP("0"&amp;$A186,'01_ipo_master'!$A:$C,3,FALSE)))</f>
        <v>2023</v>
      </c>
      <c r="C186" s="73">
        <f>[1]!wss($A186:$A186,"hks_stm_is","item=83","rptDate="&amp;($B186-3)&amp;"1231","rptType=1","currencyType=Cur=CNY","WssConvert=0","WssDivide=8","showcodes=N","cols=1;rows=1")</f>
        <v>7.4022600000000001</v>
      </c>
      <c r="D186" s="73">
        <f>[1]!wss($A186:$A186,"hks_stm_is","item=83","rptDate="&amp;($B186-2)&amp;"1231","rptType=1","currencyType=Cur=CNY","WssConvert=0","WssDivide=8","showcodes=N","cols=1;rows=1")</f>
        <v>8.1722999999999999</v>
      </c>
      <c r="E186" s="73">
        <f>[1]!wss($A186:$A186,"hks_stm_is","item=83","rptDate="&amp;($B186-1)&amp;"1231","rptType=1","currencyType=Cur=CNY","WssConvert=0","WssDivide=8","showcodes=N","cols=1;rows=1")</f>
        <v>10.08272</v>
      </c>
      <c r="F186" s="73">
        <f>[1]!wss($A186:$A186,"hks_stm_is","item=61","rptDate="&amp;($B186-3)&amp;"1231","rptType=1","currencyType=Cur=CNY","WssConvert=0","WssDivide=8","showcodes=N","cols=1;rows=1")</f>
        <v>-7.0699000000000005</v>
      </c>
      <c r="G186" s="73">
        <f>[1]!wss($A186:$A186,"hks_stm_is","item=61","rptDate="&amp;($B186-2)&amp;"1231","rptType=1","currencyType=Cur=CNY","WssConvert=0","WssDivide=8","showcodes=N","cols=1;rows=1")</f>
        <v>-9.2018000000000004</v>
      </c>
      <c r="H186" s="73">
        <f>[1]!wss($A186:$A186,"hks_stm_is","item=61","rptDate="&amp;($B186-1)&amp;"1231","rptType=1","currencyType=Cur=CNY","WssConvert=0","WssDivide=8","showcodes=N","cols=1;rows=1")</f>
        <v>-9.7480899999999995</v>
      </c>
      <c r="I186" s="73">
        <f>[1]!wss($A186:$A186,"hks_fa_grossprofitmargin","rptDate="&amp;($B186-3)&amp;"1231","WssConvert=0","showcodes=N","cols=1;rows=1")</f>
        <v>44.680700000000002</v>
      </c>
      <c r="J186" s="43">
        <f>[1]!wss($A186:$A186,"hks_fa_grossprofitmargin","rptDate="&amp;($B186-2)&amp;"1231","WssConvert=0","showcodes=N","cols=1;rows=1")</f>
        <v>31.319600000000001</v>
      </c>
      <c r="K186" s="43">
        <f>[1]!wss($A186:$A186,"hks_fa_grossprofitmargin","rptDate="&amp;($B186-1)&amp;"1231","WssConvert=0","showcodes=N","cols=1;rows=1")</f>
        <v>29.1633</v>
      </c>
      <c r="L186" s="73">
        <f>[1]!wss($A186:$A186,"hks_fa_roe","rptDate="&amp;($B186-1)&amp;"1231","WssConvert=0","showcodes=N","cols=1;rows=1")</f>
        <v>-113.7649</v>
      </c>
      <c r="M186" s="43">
        <f>[1]!wss($A186:$A186,"hks_fa_debttoassets","rptDate="&amp;($B186-1)&amp;"1231","WssConvert=0","showcodes=N","cols=1;rows=1")</f>
        <v>62.197899999999997</v>
      </c>
      <c r="P186" s="50">
        <v>10.556979999999999</v>
      </c>
      <c r="Q186" s="50">
        <v>13.053610000000001</v>
      </c>
      <c r="R186" s="50">
        <v>20.009989999999998</v>
      </c>
      <c r="S186" s="50">
        <v>-12.340479999999999</v>
      </c>
      <c r="T186" s="50">
        <v>-11.235900000000001</v>
      </c>
      <c r="U186" s="50">
        <v>-7.0319099999999999</v>
      </c>
      <c r="V186" s="50">
        <v>31.5259</v>
      </c>
      <c r="W186" s="50">
        <v>28.651800000000001</v>
      </c>
      <c r="X186" s="50">
        <v>37.671799999999998</v>
      </c>
    </row>
    <row r="187" spans="1:24">
      <c r="A187" t="s">
        <v>626</v>
      </c>
      <c r="B187" s="17">
        <f>IFERROR(YEAR(VLOOKUP($A187,'01_ipo_master'!$A:$C,3,FALSE)),YEAR(VLOOKUP("0"&amp;$A187,'01_ipo_master'!$A:$C,3,FALSE)))</f>
        <v>2026</v>
      </c>
      <c r="C187" s="73">
        <f>[1]!wss($A187:$A187,"hks_stm_is","item=83","rptDate="&amp;($B187-3)&amp;"1231","rptType=1","currencyType=Cur=CNY","WssConvert=0","WssDivide=8","showcodes=N","cols=1;rows=1")</f>
        <v>10.36753</v>
      </c>
      <c r="D187" s="73">
        <f>[1]!wss($A187:$A187,"hks_stm_is","item=83","rptDate="&amp;($B187-2)&amp;"1231","rptType=1","currencyType=Cur=CNY","WssConvert=0","WssDivide=8","showcodes=N","cols=1;rows=1")</f>
        <v>11.6755</v>
      </c>
      <c r="E187" s="73">
        <f>[1]!wss($A187:$A187,"hks_stm_is","item=83","rptDate="&amp;($B187-1)&amp;"1231","rptType=1","currencyType=Cur=CNY","WssConvert=0","WssDivide=8","showcodes=N","cols=1;rows=1")</f>
        <v>13.60266</v>
      </c>
      <c r="F187" s="73">
        <f>[1]!wss($A187:$A187,"hks_stm_is","item=61","rptDate="&amp;($B187-3)&amp;"1231","rptType=1","currencyType=Cur=CNY","WssConvert=0","WssDivide=8","showcodes=N","cols=1;rows=1")</f>
        <v>-5.7152400000000005</v>
      </c>
      <c r="G187" s="73">
        <f>[1]!wss($A187:$A187,"hks_stm_is","item=61","rptDate="&amp;($B187-2)&amp;"1231","rptType=1","currencyType=Cur=CNY","WssConvert=0","WssDivide=8","showcodes=N","cols=1;rows=1")</f>
        <v>-2.3534199999999998</v>
      </c>
      <c r="H187" s="73">
        <f>[1]!wss($A187:$A187,"hks_stm_is","item=61","rptDate="&amp;($B187-1)&amp;"1231","rptType=1","currencyType=Cur=CNY","WssConvert=0","WssDivide=8","showcodes=N","cols=1;rows=1")</f>
        <v>-1.15418</v>
      </c>
      <c r="I187" s="73">
        <f>[1]!wss($A187:$A187,"hks_fa_grossprofitmargin","rptDate="&amp;($B187-3)&amp;"1231","WssConvert=0","showcodes=N","cols=1;rows=1")</f>
        <v>1.7373000000000001</v>
      </c>
      <c r="J187" s="43">
        <f>[1]!wss($A187:$A187,"hks_fa_grossprofitmargin","rptDate="&amp;($B187-2)&amp;"1231","WssConvert=0","showcodes=N","cols=1;rows=1")</f>
        <v>15.6218</v>
      </c>
      <c r="K187" s="43">
        <f>[1]!wss($A187:$A187,"hks_fa_grossprofitmargin","rptDate="&amp;($B187-1)&amp;"1231","WssConvert=0","showcodes=N","cols=1;rows=1")</f>
        <v>18.254999999999999</v>
      </c>
      <c r="L187" s="73">
        <f>[1]!wss($A187:$A187,"hks_fa_roe","rptDate="&amp;($B187-1)&amp;"1231","WssConvert=0","showcodes=N","cols=1;rows=1")</f>
        <v>-12.09</v>
      </c>
      <c r="M187" s="43">
        <f>[1]!wss($A187:$A187,"hks_fa_debttoassets","rptDate="&amp;($B187-1)&amp;"1231","WssConvert=0","showcodes=N","cols=1;rows=1")</f>
        <v>73.8249</v>
      </c>
      <c r="P187" s="50">
        <v>10.36753</v>
      </c>
      <c r="Q187" s="50">
        <v>11.6755</v>
      </c>
      <c r="R187" s="50">
        <v>13.60266</v>
      </c>
      <c r="S187" s="50">
        <v>-5.7152399999999997</v>
      </c>
      <c r="T187" s="50">
        <v>-2.3534199999999998</v>
      </c>
      <c r="U187" s="50">
        <v>-1.15418</v>
      </c>
      <c r="V187" s="50">
        <v>1.7373000000000001</v>
      </c>
      <c r="W187" s="50">
        <v>15.6218</v>
      </c>
      <c r="X187" s="50">
        <v>18.254999999999999</v>
      </c>
    </row>
    <row r="188" spans="1:24">
      <c r="A188" t="s">
        <v>629</v>
      </c>
      <c r="B188" s="17">
        <f>IFERROR(YEAR(VLOOKUP($A188,'01_ipo_master'!$A:$C,3,FALSE)),YEAR(VLOOKUP("0"&amp;$A188,'01_ipo_master'!$A:$C,3,FALSE)))</f>
        <v>2024</v>
      </c>
      <c r="C188" s="73">
        <f>[1]!wss($A188:$A188,"hks_stm_is","item=83","rptDate="&amp;($B188-3)&amp;"1231","rptType=1","currencyType=Cur=CNY","WssConvert=0","WssDivide=8","showcodes=N","cols=1;rows=1")</f>
        <v>6.4364400000000002</v>
      </c>
      <c r="D188" s="73">
        <f>[1]!wss($A188:$A188,"hks_stm_is","item=83","rptDate="&amp;($B188-2)&amp;"1231","rptType=1","currencyType=Cur=CNY","WssConvert=0","WssDivide=8","showcodes=N","cols=1;rows=1")</f>
        <v>7.4274800000000001</v>
      </c>
      <c r="E188" s="73">
        <f>[1]!wss($A188:$A188,"hks_stm_is","item=83","rptDate="&amp;($B188-1)&amp;"1231","rptType=1","currencyType=Cur=CNY","WssConvert=0","WssDivide=8","showcodes=N","cols=1;rows=1")</f>
        <v>10.28256</v>
      </c>
      <c r="F188" s="73">
        <f>[1]!wss($A188:$A188,"hks_stm_is","item=61","rptDate="&amp;($B188-3)&amp;"1231","rptType=1","currencyType=Cur=CNY","WssConvert=0","WssDivide=8","showcodes=N","cols=1;rows=1")</f>
        <v>-7.4658600000000002</v>
      </c>
      <c r="G188" s="73">
        <f>[1]!wss($A188:$A188,"hks_stm_is","item=61","rptDate="&amp;($B188-2)&amp;"1231","rptType=1","currencyType=Cur=CNY","WssConvert=0","WssDivide=8","showcodes=N","cols=1;rows=1")</f>
        <v>-9.1654</v>
      </c>
      <c r="H188" s="73">
        <f>[1]!wss($A188:$A188,"hks_stm_is","item=61","rptDate="&amp;($B188-1)&amp;"1231","rptType=1","currencyType=Cur=CNY","WssConvert=0","WssDivide=8","showcodes=N","cols=1;rows=1")</f>
        <v>-6.5606400000000002</v>
      </c>
      <c r="I188" s="73">
        <f>[1]!wss($A188:$A188,"hks_fa_grossprofitmargin","rptDate="&amp;($B188-3)&amp;"1231","WssConvert=0","showcodes=N","cols=1;rows=1")</f>
        <v>68.243300000000005</v>
      </c>
      <c r="J188" s="43">
        <f>[1]!wss($A188:$A188,"hks_fa_grossprofitmargin","rptDate="&amp;($B188-2)&amp;"1231","WssConvert=0","showcodes=N","cols=1;rows=1")</f>
        <v>62.735799999999998</v>
      </c>
      <c r="K188" s="43">
        <f>[1]!wss($A188:$A188,"hks_fa_grossprofitmargin","rptDate="&amp;($B188-1)&amp;"1231","WssConvert=0","showcodes=N","cols=1;rows=1")</f>
        <v>56.148699999999998</v>
      </c>
      <c r="L188" s="73">
        <f>[1]!wss($A188:$A188,"hks_fa_roe","rptDate="&amp;($B188-1)&amp;"1231","WssConvert=0","showcodes=N","cols=1;rows=1")</f>
        <v>-79.634299999999996</v>
      </c>
      <c r="M188" s="43">
        <f>[1]!wss($A188:$A188,"hks_fa_debttoassets","rptDate="&amp;($B188-1)&amp;"1231","WssConvert=0","showcodes=N","cols=1;rows=1")</f>
        <v>94.328699999999998</v>
      </c>
      <c r="P188" s="50">
        <v>10.28256</v>
      </c>
      <c r="Q188" s="50">
        <v>13.14959</v>
      </c>
      <c r="R188" s="50">
        <v>17.338010000000001</v>
      </c>
      <c r="S188" s="50">
        <v>-6.5606400000000002</v>
      </c>
      <c r="T188" s="50">
        <v>-1.6821900000000001</v>
      </c>
      <c r="U188" s="50">
        <v>16.637540000000001</v>
      </c>
      <c r="V188" s="50">
        <v>56.148699999999998</v>
      </c>
      <c r="W188" s="50">
        <v>51.904400000000003</v>
      </c>
      <c r="X188" s="50">
        <v>50.377800000000001</v>
      </c>
    </row>
    <row r="189" spans="1:24">
      <c r="A189" t="s">
        <v>631</v>
      </c>
      <c r="B189" s="17">
        <f>IFERROR(YEAR(VLOOKUP($A189,'01_ipo_master'!$A:$C,3,FALSE)),YEAR(VLOOKUP("0"&amp;$A189,'01_ipo_master'!$A:$C,3,FALSE)))</f>
        <v>2024</v>
      </c>
      <c r="C189" s="73">
        <f>[1]!wss($A189:$A189,"hks_stm_is","item=83","rptDate="&amp;($B189-3)&amp;"1231","rptType=1","currencyType=Cur=CNY","WssConvert=0","WssDivide=8","showcodes=N","cols=1;rows=1")</f>
        <v>5.0236799999999997</v>
      </c>
      <c r="D189" s="73">
        <f>[1]!wss($A189:$A189,"hks_stm_is","item=83","rptDate="&amp;($B189-2)&amp;"1231","rptType=1","currencyType=Cur=CNY","WssConvert=0","WssDivide=8","showcodes=N","cols=1;rows=1")</f>
        <v>5.5361700000000003</v>
      </c>
      <c r="E189" s="73">
        <f>[1]!wss($A189:$A189,"hks_stm_is","item=83","rptDate="&amp;($B189-1)&amp;"1231","rptType=1","currencyType=Cur=CNY","WssConvert=0","WssDivide=8","showcodes=N","cols=1;rows=1")</f>
        <v>10.06697</v>
      </c>
      <c r="F189" s="73">
        <f>[1]!wss($A189:$A189,"hks_stm_is","item=61","rptDate="&amp;($B189-3)&amp;"1231","rptType=1","currencyType=Cur=CNY","WssConvert=0","WssDivide=8","showcodes=N","cols=1;rows=1")</f>
        <v>-1.3946499999999999</v>
      </c>
      <c r="G189" s="73">
        <f>[1]!wss($A189:$A189,"hks_stm_is","item=61","rptDate="&amp;($B189-2)&amp;"1231","rptType=1","currencyType=Cur=CNY","WssConvert=0","WssDivide=8","showcodes=N","cols=1;rows=1")</f>
        <v>-1.16025</v>
      </c>
      <c r="H189" s="73">
        <f>[1]!wss($A189:$A189,"hks_stm_is","item=61","rptDate="&amp;($B189-1)&amp;"1231","rptType=1","currencyType=Cur=CNY","WssConvert=0","WssDivide=8","showcodes=N","cols=1;rows=1")</f>
        <v>1.30942</v>
      </c>
      <c r="I189" s="73">
        <f>[1]!wss($A189:$A189,"hks_fa_grossprofitmargin","rptDate="&amp;($B189-3)&amp;"1231","WssConvert=0","showcodes=N","cols=1;rows=1")</f>
        <v>68.772499999999994</v>
      </c>
      <c r="J189" s="43">
        <f>[1]!wss($A189:$A189,"hks_fa_grossprofitmargin","rptDate="&amp;($B189-2)&amp;"1231","WssConvert=0","showcodes=N","cols=1;rows=1")</f>
        <v>60.446100000000001</v>
      </c>
      <c r="K189" s="43">
        <f>[1]!wss($A189:$A189,"hks_fa_grossprofitmargin","rptDate="&amp;($B189-1)&amp;"1231","WssConvert=0","showcodes=N","cols=1;rows=1")</f>
        <v>53.1706</v>
      </c>
      <c r="L189" s="73" t="str">
        <f>[1]!wss($A189:$A189,"hks_fa_roe","rptDate="&amp;($B189-1)&amp;"1231","WssConvert=0","showcodes=N","cols=1;rows=1")</f>
        <v/>
      </c>
      <c r="M189" s="43">
        <f>[1]!wss($A189:$A189,"hks_fa_debttoassets","rptDate="&amp;($B189-1)&amp;"1231","WssConvert=0","showcodes=N","cols=1;rows=1")</f>
        <v>134.4718</v>
      </c>
      <c r="P189" s="50">
        <v>10.06697</v>
      </c>
      <c r="Q189" s="50">
        <v>13.395</v>
      </c>
      <c r="R189" s="50">
        <v>16.632439999999999</v>
      </c>
      <c r="S189" s="50">
        <v>1.30942</v>
      </c>
      <c r="T189" s="50">
        <v>-16.72156</v>
      </c>
      <c r="U189" s="50">
        <v>2.85738</v>
      </c>
      <c r="V189" s="50">
        <v>53.1706</v>
      </c>
      <c r="W189" s="50">
        <v>55.975099999999998</v>
      </c>
      <c r="X189" s="50">
        <v>57.313699999999997</v>
      </c>
    </row>
    <row r="190" spans="1:24">
      <c r="A190" t="s">
        <v>633</v>
      </c>
      <c r="B190" s="17">
        <f>IFERROR(YEAR(VLOOKUP($A190,'01_ipo_master'!$A:$C,3,FALSE)),YEAR(VLOOKUP("0"&amp;$A190,'01_ipo_master'!$A:$C,3,FALSE)))</f>
        <v>2024</v>
      </c>
      <c r="C190" s="73">
        <f>[1]!wss($A190:$A190,"hks_stm_is","item=83","rptDate="&amp;($B190-3)&amp;"1231","rptType=1","currencyType=Cur=CNY","WssConvert=0","WssDivide=8","showcodes=N","cols=1;rows=1")</f>
        <v>5.9201300000000003</v>
      </c>
      <c r="D190" s="73">
        <f>[1]!wss($A190:$A190,"hks_stm_is","item=83","rptDate="&amp;($B190-2)&amp;"1231","rptType=1","currencyType=Cur=CNY","WssConvert=0","WssDivide=8","showcodes=N","cols=1;rows=1")</f>
        <v>7.8444400000000005</v>
      </c>
      <c r="E190" s="73">
        <f>[1]!wss($A190:$A190,"hks_stm_is","item=83","rptDate="&amp;($B190-1)&amp;"1231","rptType=1","currencyType=Cur=CNY","WssConvert=0","WssDivide=8","showcodes=N","cols=1;rows=1")</f>
        <v>9.2891399999999997</v>
      </c>
      <c r="F190" s="73">
        <f>[1]!wss($A190:$A190,"hks_stm_is","item=61","rptDate="&amp;($B190-3)&amp;"1231","rptType=1","currencyType=Cur=CNY","WssConvert=0","WssDivide=8","showcodes=N","cols=1;rows=1")</f>
        <v>-3.60731</v>
      </c>
      <c r="G190" s="73">
        <f>[1]!wss($A190:$A190,"hks_stm_is","item=61","rptDate="&amp;($B190-2)&amp;"1231","rptType=1","currencyType=Cur=CNY","WssConvert=0","WssDivide=8","showcodes=N","cols=1;rows=1")</f>
        <v>3.64E-3</v>
      </c>
      <c r="H190" s="73">
        <f>[1]!wss($A190:$A190,"hks_stm_is","item=61","rptDate="&amp;($B190-1)&amp;"1231","rptType=1","currencyType=Cur=CNY","WssConvert=0","WssDivide=8","showcodes=N","cols=1;rows=1")</f>
        <v>0.44414999999999999</v>
      </c>
      <c r="I190" s="73">
        <f>[1]!wss($A190:$A190,"hks_fa_grossprofitmargin","rptDate="&amp;($B190-3)&amp;"1231","WssConvert=0","showcodes=N","cols=1;rows=1")</f>
        <v>29.591899999999999</v>
      </c>
      <c r="J190" s="43">
        <f>[1]!wss($A190:$A190,"hks_fa_grossprofitmargin","rptDate="&amp;($B190-2)&amp;"1231","WssConvert=0","showcodes=N","cols=1;rows=1")</f>
        <v>30.206099999999999</v>
      </c>
      <c r="K190" s="43">
        <f>[1]!wss($A190:$A190,"hks_fa_grossprofitmargin","rptDate="&amp;($B190-1)&amp;"1231","WssConvert=0","showcodes=N","cols=1;rows=1")</f>
        <v>35.804900000000004</v>
      </c>
      <c r="L190" s="73">
        <f>[1]!wss($A190:$A190,"hks_fa_roe","rptDate="&amp;($B190-1)&amp;"1231","WssConvert=0","showcodes=N","cols=1;rows=1")</f>
        <v>3.4628000000000001</v>
      </c>
      <c r="M190" s="43">
        <f>[1]!wss($A190:$A190,"hks_fa_debttoassets","rptDate="&amp;($B190-1)&amp;"1231","WssConvert=0","showcodes=N","cols=1;rows=1")</f>
        <v>28.932600000000001</v>
      </c>
      <c r="P190" s="50">
        <v>9.2891399999999997</v>
      </c>
      <c r="Q190" s="50">
        <v>7.6059099999999997</v>
      </c>
      <c r="R190" s="50">
        <v>8.7311999999999994</v>
      </c>
      <c r="S190" s="50">
        <v>0.44414999999999999</v>
      </c>
      <c r="T190" s="50">
        <v>-0.45918999999999999</v>
      </c>
      <c r="U190" s="50">
        <v>3.7479999999999999E-2</v>
      </c>
      <c r="V190" s="50">
        <v>35.804900000000004</v>
      </c>
      <c r="W190" s="50">
        <v>36.462699999999998</v>
      </c>
      <c r="X190" s="50">
        <v>33.814300000000003</v>
      </c>
    </row>
    <row r="191" spans="1:24">
      <c r="A191" t="s">
        <v>635</v>
      </c>
      <c r="B191" s="17">
        <f>IFERROR(YEAR(VLOOKUP($A191,'01_ipo_master'!$A:$C,3,FALSE)),YEAR(VLOOKUP("0"&amp;$A191,'01_ipo_master'!$A:$C,3,FALSE)))</f>
        <v>2025</v>
      </c>
      <c r="C191" s="73">
        <f>[1]!wss($A191:$A191,"hks_stm_is","item=83","rptDate="&amp;($B191-3)&amp;"1231","rptType=1","currencyType=Cur=CNY","WssConvert=0","WssDivide=8","showcodes=N","cols=1;rows=1")</f>
        <v>8.097430000000001</v>
      </c>
      <c r="D191" s="73">
        <f>[1]!wss($A191:$A191,"hks_stm_is","item=83","rptDate="&amp;($B191-2)&amp;"1231","rptType=1","currencyType=Cur=CNY","WssConvert=0","WssDivide=8","showcodes=N","cols=1;rows=1")</f>
        <v>9.1562999999999999</v>
      </c>
      <c r="E191" s="73">
        <f>[1]!wss($A191:$A191,"hks_stm_is","item=83","rptDate="&amp;($B191-1)&amp;"1231","rptType=1","currencyType=Cur=CNY","WssConvert=0","WssDivide=8","showcodes=N","cols=1;rows=1")</f>
        <v>9.1760599999999997</v>
      </c>
      <c r="F191" s="73">
        <f>[1]!wss($A191:$A191,"hks_stm_is","item=61","rptDate="&amp;($B191-3)&amp;"1231","rptType=1","currencyType=Cur=CNY","WssConvert=0","WssDivide=8","showcodes=N","cols=1;rows=1")</f>
        <v>0.75972000000000006</v>
      </c>
      <c r="G191" s="73">
        <f>[1]!wss($A191:$A191,"hks_stm_is","item=61","rptDate="&amp;($B191-2)&amp;"1231","rptType=1","currencyType=Cur=CNY","WssConvert=0","WssDivide=8","showcodes=N","cols=1;rows=1")</f>
        <v>0.77621000000000007</v>
      </c>
      <c r="H191" s="73">
        <f>[1]!wss($A191:$A191,"hks_stm_is","item=61","rptDate="&amp;($B191-1)&amp;"1231","rptType=1","currencyType=Cur=CNY","WssConvert=0","WssDivide=8","showcodes=N","cols=1;rows=1")</f>
        <v>0.53544999999999998</v>
      </c>
      <c r="I191" s="73">
        <f>[1]!wss($A191:$A191,"hks_fa_grossprofitmargin","rptDate="&amp;($B191-3)&amp;"1231","WssConvert=0","showcodes=N","cols=1;rows=1")</f>
        <v>24.129300000000001</v>
      </c>
      <c r="J191" s="43">
        <f>[1]!wss($A191:$A191,"hks_fa_grossprofitmargin","rptDate="&amp;($B191-2)&amp;"1231","WssConvert=0","showcodes=N","cols=1;rows=1")</f>
        <v>21.367100000000001</v>
      </c>
      <c r="K191" s="43">
        <f>[1]!wss($A191:$A191,"hks_fa_grossprofitmargin","rptDate="&amp;($B191-1)&amp;"1231","WssConvert=0","showcodes=N","cols=1;rows=1")</f>
        <v>22.122</v>
      </c>
      <c r="L191" s="73">
        <f>[1]!wss($A191:$A191,"hks_fa_roe","rptDate="&amp;($B191-1)&amp;"1231","WssConvert=0","showcodes=N","cols=1;rows=1")</f>
        <v>6.5732999999999997</v>
      </c>
      <c r="M191" s="43">
        <f>[1]!wss($A191:$A191,"hks_fa_debttoassets","rptDate="&amp;($B191-1)&amp;"1231","WssConvert=0","showcodes=N","cols=1;rows=1")</f>
        <v>43.407800000000002</v>
      </c>
      <c r="P191" s="50">
        <v>9.1562999999999999</v>
      </c>
      <c r="Q191" s="50">
        <v>9.1760599999999997</v>
      </c>
      <c r="R191" s="50">
        <v>9.0391382383999996</v>
      </c>
      <c r="S191" s="50">
        <v>0.77620999999999996</v>
      </c>
      <c r="T191" s="50">
        <v>0.53544999999999998</v>
      </c>
      <c r="U191" s="50">
        <v>0.73018868989999997</v>
      </c>
      <c r="V191" s="50">
        <v>21.367100000000001</v>
      </c>
      <c r="W191" s="50">
        <v>22.122</v>
      </c>
      <c r="X191" s="50">
        <v>19.6312</v>
      </c>
    </row>
    <row r="192" spans="1:24">
      <c r="A192" t="s">
        <v>637</v>
      </c>
      <c r="B192" s="17">
        <f>IFERROR(YEAR(VLOOKUP($A192,'01_ipo_master'!$A:$C,3,FALSE)),YEAR(VLOOKUP("0"&amp;$A192,'01_ipo_master'!$A:$C,3,FALSE)))</f>
        <v>2024</v>
      </c>
      <c r="C192" s="73">
        <f>[1]!wss($A192:$A192,"hks_stm_is","item=83","rptDate="&amp;($B192-3)&amp;"1231","rptType=1","currencyType=Cur=CNY","WssConvert=0","WssDivide=8","showcodes=N","cols=1;rows=1")</f>
        <v>5.2410899999999998</v>
      </c>
      <c r="D192" s="73">
        <f>[1]!wss($A192:$A192,"hks_stm_is","item=83","rptDate="&amp;($B192-2)&amp;"1231","rptType=1","currencyType=Cur=CNY","WssConvert=0","WssDivide=8","showcodes=N","cols=1;rows=1")</f>
        <v>6.0464799999999999</v>
      </c>
      <c r="E192" s="73">
        <f>[1]!wss($A192:$A192,"hks_stm_is","item=83","rptDate="&amp;($B192-1)&amp;"1231","rptType=1","currencyType=Cur=CNY","WssConvert=0","WssDivide=8","showcodes=N","cols=1;rows=1")</f>
        <v>8.9527800000000006</v>
      </c>
      <c r="F192" s="73">
        <f>[1]!wss($A192:$A192,"hks_stm_is","item=61","rptDate="&amp;($B192-3)&amp;"1231","rptType=1","currencyType=Cur=CNY","WssConvert=0","WssDivide=8","showcodes=N","cols=1;rows=1")</f>
        <v>-5.7280199999999999</v>
      </c>
      <c r="G192" s="73">
        <f>[1]!wss($A192:$A192,"hks_stm_is","item=61","rptDate="&amp;($B192-2)&amp;"1231","rptType=1","currencyType=Cur=CNY","WssConvert=0","WssDivide=8","showcodes=N","cols=1;rows=1")</f>
        <v>-5.05966</v>
      </c>
      <c r="H192" s="73">
        <f>[1]!wss($A192:$A192,"hks_stm_is","item=61","rptDate="&amp;($B192-1)&amp;"1231","rptType=1","currencyType=Cur=CNY","WssConvert=0","WssDivide=8","showcodes=N","cols=1;rows=1")</f>
        <v>-5.2947199999999999</v>
      </c>
      <c r="I192" s="73">
        <f>[1]!wss($A192:$A192,"hks_fa_grossprofitmargin","rptDate="&amp;($B192-3)&amp;"1231","WssConvert=0","showcodes=N","cols=1;rows=1")</f>
        <v>11.788600000000001</v>
      </c>
      <c r="J192" s="43">
        <f>[1]!wss($A192:$A192,"hks_fa_grossprofitmargin","rptDate="&amp;($B192-2)&amp;"1231","WssConvert=0","showcodes=N","cols=1;rows=1")</f>
        <v>8.24</v>
      </c>
      <c r="K192" s="43">
        <f>[1]!wss($A192:$A192,"hks_fa_grossprofitmargin","rptDate="&amp;($B192-1)&amp;"1231","WssConvert=0","showcodes=N","cols=1;rows=1")</f>
        <v>20.0626</v>
      </c>
      <c r="L192" s="73">
        <f>[1]!wss($A192:$A192,"hks_fa_roe","rptDate="&amp;($B192-1)&amp;"1231","WssConvert=0","showcodes=N","cols=1;rows=1")</f>
        <v>-25.8535</v>
      </c>
      <c r="M192" s="43">
        <f>[1]!wss($A192:$A192,"hks_fa_debttoassets","rptDate="&amp;($B192-1)&amp;"1231","WssConvert=0","showcodes=N","cols=1;rows=1")</f>
        <v>56.634900000000002</v>
      </c>
      <c r="P192" s="50">
        <v>8.9527800000000006</v>
      </c>
      <c r="Q192" s="50">
        <v>6.4877500000000001</v>
      </c>
      <c r="R192" s="50">
        <v>5.9518599999999999</v>
      </c>
      <c r="S192" s="50">
        <v>-5.2947199999999999</v>
      </c>
      <c r="T192" s="50">
        <v>-7.3730099999999998</v>
      </c>
      <c r="U192" s="50">
        <v>-6.0283100000000003</v>
      </c>
      <c r="V192" s="50">
        <v>20.0626</v>
      </c>
      <c r="W192" s="50">
        <v>17.2272</v>
      </c>
      <c r="X192" s="50">
        <v>11.5428</v>
      </c>
    </row>
    <row r="193" spans="1:24">
      <c r="A193" t="s">
        <v>639</v>
      </c>
      <c r="B193" s="17">
        <f>IFERROR(YEAR(VLOOKUP($A193,'01_ipo_master'!$A:$C,3,FALSE)),YEAR(VLOOKUP("0"&amp;$A193,'01_ipo_master'!$A:$C,3,FALSE)))</f>
        <v>2022</v>
      </c>
      <c r="C193" s="73">
        <f>[1]!wss($A193:$A193,"hks_stm_is","item=83","rptDate="&amp;($B193-3)&amp;"1231","rptType=1","currencyType=Cur=CNY","WssConvert=0","WssDivide=8","showcodes=N","cols=1;rows=1")</f>
        <v>6.7806100000000002</v>
      </c>
      <c r="D193" s="73">
        <f>[1]!wss($A193:$A193,"hks_stm_is","item=83","rptDate="&amp;($B193-2)&amp;"1231","rptType=1","currencyType=Cur=CNY","WssConvert=0","WssDivide=8","showcodes=N","cols=1;rows=1")</f>
        <v>12.11491</v>
      </c>
      <c r="E193" s="73">
        <f>[1]!wss($A193:$A193,"hks_stm_is","item=83","rptDate="&amp;($B193-1)&amp;"1231","rptType=1","currencyType=Cur=CNY","WssConvert=0","WssDivide=8","showcodes=N","cols=1;rows=1")</f>
        <v>16.98414</v>
      </c>
      <c r="F193" s="73">
        <f>[1]!wss($A193:$A193,"hks_stm_is","item=61","rptDate="&amp;($B193-3)&amp;"1231","rptType=1","currencyType=Cur=CNY","WssConvert=0","WssDivide=8","showcodes=N","cols=1;rows=1")</f>
        <v>-0.30957000000000001</v>
      </c>
      <c r="G193" s="73">
        <f>[1]!wss($A193:$A193,"hks_stm_is","item=61","rptDate="&amp;($B193-2)&amp;"1231","rptType=1","currencyType=Cur=CNY","WssConvert=0","WssDivide=8","showcodes=N","cols=1;rows=1")</f>
        <v>2.5533399999999999</v>
      </c>
      <c r="H193" s="73">
        <f>[1]!wss($A193:$A193,"hks_stm_is","item=61","rptDate="&amp;($B193-1)&amp;"1231","rptType=1","currencyType=Cur=CNY","WssConvert=0","WssDivide=8","showcodes=N","cols=1;rows=1")</f>
        <v>3.80932</v>
      </c>
      <c r="I193" s="73">
        <f>[1]!wss($A193:$A193,"hks_fa_grossprofitmargin","rptDate="&amp;($B193-3)&amp;"1231","WssConvert=0","showcodes=N","cols=1;rows=1")</f>
        <v>44.1402</v>
      </c>
      <c r="J193" s="43">
        <f>[1]!wss($A193:$A193,"hks_fa_grossprofitmargin","rptDate="&amp;($B193-2)&amp;"1231","WssConvert=0","showcodes=N","cols=1;rows=1")</f>
        <v>54.643300000000004</v>
      </c>
      <c r="K193" s="43">
        <f>[1]!wss($A193:$A193,"hks_fa_grossprofitmargin","rptDate="&amp;($B193-1)&amp;"1231","WssConvert=0","showcodes=N","cols=1;rows=1")</f>
        <v>52.991999999999997</v>
      </c>
      <c r="L193" s="73">
        <f>[1]!wss($A193:$A193,"hks_fa_roe","rptDate="&amp;($B193-1)&amp;"1231","WssConvert=0","showcodes=N","cols=1;rows=1")</f>
        <v>30.479299999999999</v>
      </c>
      <c r="M193" s="43">
        <f>[1]!wss($A193:$A193,"hks_fa_debttoassets","rptDate="&amp;($B193-1)&amp;"1231","WssConvert=0","showcodes=N","cols=1;rows=1")</f>
        <v>40.8825</v>
      </c>
      <c r="P193" s="50">
        <v>8.9424399999999995</v>
      </c>
      <c r="Q193" s="50">
        <v>7.1188399999999996</v>
      </c>
      <c r="R193" s="50">
        <v>6.0138800000000003</v>
      </c>
      <c r="S193" s="50">
        <v>-1.0225900000000001</v>
      </c>
      <c r="T193" s="50">
        <v>-7.9168200000000004</v>
      </c>
      <c r="U193" s="50">
        <v>2.92E-2</v>
      </c>
      <c r="V193" s="50">
        <v>36.543599999999998</v>
      </c>
      <c r="W193" s="50">
        <v>29.6494</v>
      </c>
      <c r="X193" s="50">
        <v>30.3992</v>
      </c>
    </row>
    <row r="194" spans="1:24">
      <c r="A194" t="s">
        <v>641</v>
      </c>
      <c r="B194" s="17">
        <f>IFERROR(YEAR(VLOOKUP($A194,'01_ipo_master'!$A:$C,3,FALSE)),YEAR(VLOOKUP("0"&amp;$A194,'01_ipo_master'!$A:$C,3,FALSE)))</f>
        <v>2025</v>
      </c>
      <c r="C194" s="73">
        <f>[1]!wss($A194:$A194,"hks_stm_is","item=83","rptDate="&amp;($B194-3)&amp;"1231","rptType=1","currencyType=Cur=CNY","WssConvert=0","WssDivide=8","showcodes=N","cols=1;rows=1")</f>
        <v>3.2557399999999999</v>
      </c>
      <c r="D194" s="73">
        <f>[1]!wss($A194:$A194,"hks_stm_is","item=83","rptDate="&amp;($B194-2)&amp;"1231","rptType=1","currencyType=Cur=CNY","WssConvert=0","WssDivide=8","showcodes=N","cols=1;rows=1")</f>
        <v>8.7668599999999994</v>
      </c>
      <c r="E194" s="73">
        <f>[1]!wss($A194:$A194,"hks_stm_is","item=83","rptDate="&amp;($B194-1)&amp;"1231","rptType=1","currencyType=Cur=CNY","WssConvert=0","WssDivide=8","showcodes=N","cols=1;rows=1")</f>
        <v>22.409290000000002</v>
      </c>
      <c r="F194" s="73">
        <f>[1]!wss($A194:$A194,"hks_stm_is","item=61","rptDate="&amp;($B194-3)&amp;"1231","rptType=1","currencyType=Cur=CNY","WssConvert=0","WssDivide=8","showcodes=N","cols=1;rows=1")</f>
        <v>-4.1988599999999998</v>
      </c>
      <c r="G194" s="73">
        <f>[1]!wss($A194:$A194,"hks_stm_is","item=61","rptDate="&amp;($B194-2)&amp;"1231","rptType=1","currencyType=Cur=CNY","WssConvert=0","WssDivide=8","showcodes=N","cols=1;rows=1")</f>
        <v>-2.0609999999999999</v>
      </c>
      <c r="H194" s="73">
        <f>[1]!wss($A194:$A194,"hks_stm_is","item=61","rptDate="&amp;($B194-1)&amp;"1231","rptType=1","currencyType=Cur=CNY","WssConvert=0","WssDivide=8","showcodes=N","cols=1;rows=1")</f>
        <v>-4.0104699999999998</v>
      </c>
      <c r="I194" s="73">
        <f>[1]!wss($A194:$A194,"hks_fa_grossprofitmargin","rptDate="&amp;($B194-3)&amp;"1231","WssConvert=0","showcodes=N","cols=1;rows=1")</f>
        <v>37.908099999999997</v>
      </c>
      <c r="J194" s="43">
        <f>[1]!wss($A194:$A194,"hks_fa_grossprofitmargin","rptDate="&amp;($B194-2)&amp;"1231","WssConvert=0","showcodes=N","cols=1;rows=1")</f>
        <v>47.328499999999998</v>
      </c>
      <c r="K194" s="43">
        <f>[1]!wss($A194:$A194,"hks_fa_grossprofitmargin","rptDate="&amp;($B194-1)&amp;"1231","WssConvert=0","showcodes=N","cols=1;rows=1")</f>
        <v>52.603499999999997</v>
      </c>
      <c r="L194" s="73" t="str">
        <f>[1]!wss($A194:$A194,"hks_fa_roe","rptDate="&amp;($B194-1)&amp;"1231","WssConvert=0","showcodes=N","cols=1;rows=1")</f>
        <v/>
      </c>
      <c r="M194" s="43">
        <f>[1]!wss($A194:$A194,"hks_fa_debttoassets","rptDate="&amp;($B194-1)&amp;"1231","WssConvert=0","showcodes=N","cols=1;rows=1")</f>
        <v>199.66370000000001</v>
      </c>
      <c r="P194" s="50">
        <v>8.7668599999999994</v>
      </c>
      <c r="Q194" s="50">
        <v>22.409289999999999</v>
      </c>
      <c r="R194" s="50">
        <v>29.133379999999999</v>
      </c>
      <c r="S194" s="50">
        <v>-2.0609999999999999</v>
      </c>
      <c r="T194" s="50">
        <v>-4.0104699999999998</v>
      </c>
      <c r="U194" s="50">
        <v>6.3373699999999999</v>
      </c>
      <c r="V194" s="50">
        <v>47.328499999999998</v>
      </c>
      <c r="W194" s="50">
        <v>52.603499999999997</v>
      </c>
      <c r="X194" s="50">
        <v>46.818600000000004</v>
      </c>
    </row>
    <row r="195" spans="1:24">
      <c r="A195" t="s">
        <v>643</v>
      </c>
      <c r="B195" s="17">
        <f>IFERROR(YEAR(VLOOKUP($A195,'01_ipo_master'!$A:$C,3,FALSE)),YEAR(VLOOKUP("0"&amp;$A195,'01_ipo_master'!$A:$C,3,FALSE)))</f>
        <v>2024</v>
      </c>
      <c r="C195" s="73">
        <f>[1]!wss($A195:$A195,"hks_stm_is","item=83","rptDate="&amp;($B195-3)&amp;"1231","rptType=1","currencyType=Cur=CNY","WssConvert=0","WssDivide=8","showcodes=N","cols=1;rows=1")</f>
        <v>5.9373100000000001</v>
      </c>
      <c r="D195" s="73">
        <f>[1]!wss($A195:$A195,"hks_stm_is","item=83","rptDate="&amp;($B195-2)&amp;"1231","rptType=1","currencyType=Cur=CNY","WssConvert=0","WssDivide=8","showcodes=N","cols=1;rows=1")</f>
        <v>7.0694699999999999</v>
      </c>
      <c r="E195" s="73">
        <f>[1]!wss($A195:$A195,"hks_stm_is","item=83","rptDate="&amp;($B195-1)&amp;"1231","rptType=1","currencyType=Cur=CNY","WssConvert=0","WssDivide=8","showcodes=N","cols=1;rows=1")</f>
        <v>8.6283100000000008</v>
      </c>
      <c r="F195" s="73">
        <f>[1]!wss($A195:$A195,"hks_stm_is","item=61","rptDate="&amp;($B195-3)&amp;"1231","rptType=1","currencyType=Cur=CNY","WssConvert=0","WssDivide=8","showcodes=N","cols=1;rows=1")</f>
        <v>0.32186999999999999</v>
      </c>
      <c r="G195" s="73">
        <f>[1]!wss($A195:$A195,"hks_stm_is","item=61","rptDate="&amp;($B195-2)&amp;"1231","rptType=1","currencyType=Cur=CNY","WssConvert=0","WssDivide=8","showcodes=N","cols=1;rows=1")</f>
        <v>0.37501000000000001</v>
      </c>
      <c r="H195" s="73">
        <f>[1]!wss($A195:$A195,"hks_stm_is","item=61","rptDate="&amp;($B195-1)&amp;"1231","rptType=1","currencyType=Cur=CNY","WssConvert=0","WssDivide=8","showcodes=N","cols=1;rows=1")</f>
        <v>0.49726000000000004</v>
      </c>
      <c r="I195" s="73">
        <f>[1]!wss($A195:$A195,"hks_fa_grossprofitmargin","rptDate="&amp;($B195-3)&amp;"1231","WssConvert=0","showcodes=N","cols=1;rows=1")</f>
        <v>14.5245</v>
      </c>
      <c r="J195" s="43">
        <f>[1]!wss($A195:$A195,"hks_fa_grossprofitmargin","rptDate="&amp;($B195-2)&amp;"1231","WssConvert=0","showcodes=N","cols=1;rows=1")</f>
        <v>14.289</v>
      </c>
      <c r="K195" s="43">
        <f>[1]!wss($A195:$A195,"hks_fa_grossprofitmargin","rptDate="&amp;($B195-1)&amp;"1231","WssConvert=0","showcodes=N","cols=1;rows=1")</f>
        <v>13.689299999999999</v>
      </c>
      <c r="L195" s="73">
        <f>[1]!wss($A195:$A195,"hks_fa_roe","rptDate="&amp;($B195-1)&amp;"1231","WssConvert=0","showcodes=N","cols=1;rows=1")</f>
        <v>54.002699999999997</v>
      </c>
      <c r="M195" s="43">
        <f>[1]!wss($A195:$A195,"hks_fa_debttoassets","rptDate="&amp;($B195-1)&amp;"1231","WssConvert=0","showcodes=N","cols=1;rows=1")</f>
        <v>81.232600000000005</v>
      </c>
      <c r="P195" s="50">
        <v>8.6283100000000008</v>
      </c>
      <c r="Q195" s="50">
        <v>9.5152699999999992</v>
      </c>
      <c r="R195" s="50">
        <v>10.492179999999999</v>
      </c>
      <c r="S195" s="50">
        <v>0.49725999999999998</v>
      </c>
      <c r="T195" s="50">
        <v>0.59031</v>
      </c>
      <c r="U195" s="50">
        <v>0.63948000000000005</v>
      </c>
      <c r="V195" s="50">
        <v>13.689299999999999</v>
      </c>
      <c r="W195" s="50">
        <v>15.051600000000001</v>
      </c>
      <c r="X195" s="50">
        <v>15.462899999999999</v>
      </c>
    </row>
    <row r="196" spans="1:24">
      <c r="A196" t="s">
        <v>645</v>
      </c>
      <c r="B196" s="17">
        <f>IFERROR(YEAR(VLOOKUP($A196,'01_ipo_master'!$A:$C,3,FALSE)),YEAR(VLOOKUP("0"&amp;$A196,'01_ipo_master'!$A:$C,3,FALSE)))</f>
        <v>2025</v>
      </c>
      <c r="C196" s="73">
        <f>[1]!wss($A196:$A196,"hks_stm_is","item=83","rptDate="&amp;($B196-3)&amp;"1231","rptType=1","currencyType=Cur=CNY","WssConvert=0","WssDivide=8","showcodes=N","cols=1;rows=1")</f>
        <v>4.6176690920000008</v>
      </c>
      <c r="D196" s="73">
        <f>[1]!wss($A196:$A196,"hks_stm_is","item=83","rptDate="&amp;($B196-2)&amp;"1231","rptType=1","currencyType=Cur=CNY","WssConvert=0","WssDivide=8","showcodes=N","cols=1;rows=1")</f>
        <v>8.5777163160000001</v>
      </c>
      <c r="E196" s="73">
        <f>[1]!wss($A196:$A196,"hks_stm_is","item=83","rptDate="&amp;($B196-1)&amp;"1231","rptType=1","currencyType=Cur=CNY","WssConvert=0","WssDivide=8","showcodes=N","cols=1;rows=1")</f>
        <v>11.4708893</v>
      </c>
      <c r="F196" s="73">
        <f>[1]!wss($A196:$A196,"hks_stm_is","item=61","rptDate="&amp;($B196-3)&amp;"1231","rptType=1","currencyType=Cur=CNY","WssConvert=0","WssDivide=8","showcodes=N","cols=1;rows=1")</f>
        <v>-13.104939590000003</v>
      </c>
      <c r="G196" s="73">
        <f>[1]!wss($A196:$A196,"hks_stm_is","item=61","rptDate="&amp;($B196-2)&amp;"1231","rptType=1","currencyType=Cur=CNY","WssConvert=0","WssDivide=8","showcodes=N","cols=1;rows=1")</f>
        <v>-15.50898819</v>
      </c>
      <c r="H196" s="73">
        <f>[1]!wss($A196:$A196,"hks_stm_is","item=61","rptDate="&amp;($B196-1)&amp;"1231","rptType=1","currencyType=Cur=CNY","WssConvert=0","WssDivide=8","showcodes=N","cols=1;rows=1")</f>
        <v>-28.623849379999999</v>
      </c>
      <c r="I196" s="73">
        <f>[1]!wss($A196:$A196,"hks_fa_grossprofitmargin","rptDate="&amp;($B196-3)&amp;"1231","WssConvert=0","showcodes=N","cols=1;rows=1")</f>
        <v>-62.322400000000002</v>
      </c>
      <c r="J196" s="43">
        <f>[1]!wss($A196:$A196,"hks_fa_grossprofitmargin","rptDate="&amp;($B196-2)&amp;"1231","WssConvert=0","showcodes=N","cols=1;rows=1")</f>
        <v>-34.976199999999999</v>
      </c>
      <c r="K196" s="43">
        <f>[1]!wss($A196:$A196,"hks_fa_grossprofitmargin","rptDate="&amp;($B196-1)&amp;"1231","WssConvert=0","showcodes=N","cols=1;rows=1")</f>
        <v>-8.7143999999999995</v>
      </c>
      <c r="L196" s="73" t="str">
        <f>[1]!wss($A196:$A196,"hks_fa_roe","rptDate="&amp;($B196-1)&amp;"1231","WssConvert=0","showcodes=N","cols=1;rows=1")</f>
        <v/>
      </c>
      <c r="M196" s="43">
        <f>[1]!wss($A196:$A196,"hks_fa_debttoassets","rptDate="&amp;($B196-1)&amp;"1231","WssConvert=0","showcodes=N","cols=1;rows=1")</f>
        <v>650.19129999999996</v>
      </c>
      <c r="P196" s="50">
        <v>8.5777163160000001</v>
      </c>
      <c r="Q196" s="50">
        <v>11.4708893</v>
      </c>
      <c r="R196" s="50">
        <v>10.838971903999999</v>
      </c>
      <c r="S196" s="50">
        <v>-15.50898819</v>
      </c>
      <c r="T196" s="50">
        <v>-28.623849379999999</v>
      </c>
      <c r="U196" s="50">
        <v>-23.0579784</v>
      </c>
      <c r="V196" s="50">
        <v>-34.976199999999999</v>
      </c>
      <c r="W196" s="50">
        <v>-8.7143999999999995</v>
      </c>
      <c r="X196" s="50">
        <v>7.9463999999999997</v>
      </c>
    </row>
    <row r="197" spans="1:24">
      <c r="A197" t="s">
        <v>647</v>
      </c>
      <c r="B197" s="17">
        <f>IFERROR(YEAR(VLOOKUP($A197,'01_ipo_master'!$A:$C,3,FALSE)),YEAR(VLOOKUP("0"&amp;$A197,'01_ipo_master'!$A:$C,3,FALSE)))</f>
        <v>2025</v>
      </c>
      <c r="C197" s="73">
        <f>[1]!wss($A197:$A197,"hks_stm_is","item=83","rptDate="&amp;($B197-3)&amp;"1231","rptType=1","currencyType=Cur=CNY","WssConvert=0","WssDivide=8","showcodes=N","cols=1;rows=1")</f>
        <v>5.0720200000000002</v>
      </c>
      <c r="D197" s="73">
        <f>[1]!wss($A197:$A197,"hks_stm_is","item=83","rptDate="&amp;($B197-2)&amp;"1231","rptType=1","currencyType=Cur=CNY","WssConvert=0","WssDivide=8","showcodes=N","cols=1;rows=1")</f>
        <v>8.5210299999999997</v>
      </c>
      <c r="E197" s="73">
        <f>[1]!wss($A197:$A197,"hks_stm_is","item=83","rptDate="&amp;($B197-1)&amp;"1231","rptType=1","currencyType=Cur=CNY","WssConvert=0","WssDivide=8","showcodes=N","cols=1;rows=1")</f>
        <v>12.48875</v>
      </c>
      <c r="F197" s="73">
        <f>[1]!wss($A197:$A197,"hks_stm_is","item=61","rptDate="&amp;($B197-3)&amp;"1231","rptType=1","currencyType=Cur=CNY","WssConvert=0","WssDivide=8","showcodes=N","cols=1;rows=1")</f>
        <v>-0.21229000000000001</v>
      </c>
      <c r="G197" s="73">
        <f>[1]!wss($A197:$A197,"hks_stm_is","item=61","rptDate="&amp;($B197-2)&amp;"1231","rptType=1","currencyType=Cur=CNY","WssConvert=0","WssDivide=8","showcodes=N","cols=1;rows=1")</f>
        <v>0.27223999999999998</v>
      </c>
      <c r="H197" s="73">
        <f>[1]!wss($A197:$A197,"hks_stm_is","item=61","rptDate="&amp;($B197-1)&amp;"1231","rptType=1","currencyType=Cur=CNY","WssConvert=0","WssDivide=8","showcodes=N","cols=1;rows=1")</f>
        <v>0.58516000000000001</v>
      </c>
      <c r="I197" s="73">
        <f>[1]!wss($A197:$A197,"hks_fa_grossprofitmargin","rptDate="&amp;($B197-3)&amp;"1231","WssConvert=0","showcodes=N","cols=1;rows=1")</f>
        <v>47.669600000000003</v>
      </c>
      <c r="J197" s="43">
        <f>[1]!wss($A197:$A197,"hks_fa_grossprofitmargin","rptDate="&amp;($B197-2)&amp;"1231","WssConvert=0","showcodes=N","cols=1;rows=1")</f>
        <v>50.1511</v>
      </c>
      <c r="K197" s="43">
        <f>[1]!wss($A197:$A197,"hks_fa_grossprofitmargin","rptDate="&amp;($B197-1)&amp;"1231","WssConvert=0","showcodes=N","cols=1;rows=1")</f>
        <v>50.369700000000002</v>
      </c>
      <c r="L197" s="73" t="str">
        <f>[1]!wss($A197:$A197,"hks_fa_roe","rptDate="&amp;($B197-1)&amp;"1231","WssConvert=0","showcodes=N","cols=1;rows=1")</f>
        <v/>
      </c>
      <c r="M197" s="43">
        <f>[1]!wss($A197:$A197,"hks_fa_debttoassets","rptDate="&amp;($B197-1)&amp;"1231","WssConvert=0","showcodes=N","cols=1;rows=1")</f>
        <v>107.4036</v>
      </c>
      <c r="P197" s="50">
        <v>8.5210299999999997</v>
      </c>
      <c r="Q197" s="50">
        <v>12.48875</v>
      </c>
      <c r="R197" s="50">
        <v>14.45823</v>
      </c>
      <c r="S197" s="50">
        <v>0.27223999999999998</v>
      </c>
      <c r="T197" s="50">
        <v>0.58516000000000001</v>
      </c>
      <c r="U197" s="50">
        <v>0.65198</v>
      </c>
      <c r="V197" s="50">
        <v>50.1511</v>
      </c>
      <c r="W197" s="50">
        <v>50.369700000000002</v>
      </c>
      <c r="X197" s="50">
        <v>49.505400000000002</v>
      </c>
    </row>
    <row r="198" spans="1:24">
      <c r="A198" t="s">
        <v>649</v>
      </c>
      <c r="B198" s="17">
        <f>IFERROR(YEAR(VLOOKUP($A198,'01_ipo_master'!$A:$C,3,FALSE)),YEAR(VLOOKUP("0"&amp;$A198,'01_ipo_master'!$A:$C,3,FALSE)))</f>
        <v>2024</v>
      </c>
      <c r="C198" s="73">
        <f>[1]!wss($A198:$A198,"hks_stm_is","item=83","rptDate="&amp;($B198-3)&amp;"1231","rptType=1","currencyType=Cur=CNY","WssConvert=0","WssDivide=8","showcodes=N","cols=1;rows=1")</f>
        <v>7.8094099999999997</v>
      </c>
      <c r="D198" s="73">
        <f>[1]!wss($A198:$A198,"hks_stm_is","item=83","rptDate="&amp;($B198-2)&amp;"1231","rptType=1","currencyType=Cur=CNY","WssConvert=0","WssDivide=8","showcodes=N","cols=1;rows=1")</f>
        <v>5.6907800000000002</v>
      </c>
      <c r="E198" s="73">
        <f>[1]!wss($A198:$A198,"hks_stm_is","item=83","rptDate="&amp;($B198-1)&amp;"1231","rptType=1","currencyType=Cur=CNY","WssConvert=0","WssDivide=8","showcodes=N","cols=1;rows=1")</f>
        <v>8.1583699999999997</v>
      </c>
      <c r="F198" s="73">
        <f>[1]!wss($A198:$A198,"hks_stm_is","item=61","rptDate="&amp;($B198-3)&amp;"1231","rptType=1","currencyType=Cur=CNY","WssConvert=0","WssDivide=8","showcodes=N","cols=1;rows=1")</f>
        <v>17.31006</v>
      </c>
      <c r="G198" s="73">
        <f>[1]!wss($A198:$A198,"hks_stm_is","item=61","rptDate="&amp;($B198-2)&amp;"1231","rptType=1","currencyType=Cur=CNY","WssConvert=0","WssDivide=8","showcodes=N","cols=1;rows=1")</f>
        <v>-1.8763100000000001</v>
      </c>
      <c r="H198" s="73">
        <f>[1]!wss($A198:$A198,"hks_stm_is","item=61","rptDate="&amp;($B198-1)&amp;"1231","rptType=1","currencyType=Cur=CNY","WssConvert=0","WssDivide=8","showcodes=N","cols=1;rows=1")</f>
        <v>3.0038399999999998</v>
      </c>
      <c r="I198" s="73">
        <f>[1]!wss($A198:$A198,"hks_fa_grossprofitmargin","rptDate="&amp;($B198-3)&amp;"1231","WssConvert=0","showcodes=N","cols=1;rows=1")</f>
        <v>80.870800000000003</v>
      </c>
      <c r="J198" s="43">
        <f>[1]!wss($A198:$A198,"hks_fa_grossprofitmargin","rptDate="&amp;($B198-2)&amp;"1231","WssConvert=0","showcodes=N","cols=1;rows=1")</f>
        <v>75.132599999999996</v>
      </c>
      <c r="K198" s="43">
        <f>[1]!wss($A198:$A198,"hks_fa_grossprofitmargin","rptDate="&amp;($B198-1)&amp;"1231","WssConvert=0","showcodes=N","cols=1;rows=1")</f>
        <v>74.270899999999997</v>
      </c>
      <c r="L198" s="73" t="str">
        <f>[1]!wss($A198:$A198,"hks_fa_roe","rptDate="&amp;($B198-1)&amp;"1231","WssConvert=0","showcodes=N","cols=1;rows=1")</f>
        <v/>
      </c>
      <c r="M198" s="43">
        <f>[1]!wss($A198:$A198,"hks_fa_debttoassets","rptDate="&amp;($B198-1)&amp;"1231","WssConvert=0","showcodes=N","cols=1;rows=1")</f>
        <v>310.34559999999999</v>
      </c>
      <c r="P198" s="50">
        <v>8.1583699999999997</v>
      </c>
      <c r="Q198" s="50">
        <v>7.8721800000000002</v>
      </c>
      <c r="R198" s="50">
        <v>5.0244099999999996</v>
      </c>
      <c r="S198" s="50">
        <v>3.0038399999999998</v>
      </c>
      <c r="T198" s="50">
        <v>10.04336</v>
      </c>
      <c r="U198" s="50">
        <v>1.2981400000000001</v>
      </c>
      <c r="V198" s="50">
        <v>74.270899999999997</v>
      </c>
      <c r="W198" s="50">
        <v>72.025000000000006</v>
      </c>
      <c r="X198" s="50">
        <v>66.262900000000002</v>
      </c>
    </row>
    <row r="199" spans="1:24">
      <c r="A199" t="s">
        <v>651</v>
      </c>
      <c r="B199" s="17">
        <f>IFERROR(YEAR(VLOOKUP($A199,'01_ipo_master'!$A:$C,3,FALSE)),YEAR(VLOOKUP("0"&amp;$A199,'01_ipo_master'!$A:$C,3,FALSE)))</f>
        <v>2024</v>
      </c>
      <c r="C199" s="73">
        <f>[1]!wss($A199:$A199,"hks_stm_is","item=83","rptDate="&amp;($B199-3)&amp;"1231","rptType=1","currencyType=Cur=CNY","WssConvert=0","WssDivide=8","showcodes=N","cols=1;rows=1")</f>
        <v>4.5993500000000003</v>
      </c>
      <c r="D199" s="73">
        <f>[1]!wss($A199:$A199,"hks_stm_is","item=83","rptDate="&amp;($B199-2)&amp;"1231","rptType=1","currencyType=Cur=CNY","WssConvert=0","WssDivide=8","showcodes=N","cols=1;rows=1")</f>
        <v>5.1499199999999998</v>
      </c>
      <c r="E199" s="73">
        <f>[1]!wss($A199:$A199,"hks_stm_is","item=83","rptDate="&amp;($B199-1)&amp;"1231","rptType=1","currencyType=Cur=CNY","WssConvert=0","WssDivide=8","showcodes=N","cols=1;rows=1")</f>
        <v>8.1301699999999997</v>
      </c>
      <c r="F199" s="73">
        <f>[1]!wss($A199:$A199,"hks_stm_is","item=61","rptDate="&amp;($B199-3)&amp;"1231","rptType=1","currencyType=Cur=CNY","WssConvert=0","WssDivide=8","showcodes=N","cols=1;rows=1")</f>
        <v>0.36895</v>
      </c>
      <c r="G199" s="73">
        <f>[1]!wss($A199:$A199,"hks_stm_is","item=61","rptDate="&amp;($B199-2)&amp;"1231","rptType=1","currencyType=Cur=CNY","WssConvert=0","WssDivide=8","showcodes=N","cols=1;rows=1")</f>
        <v>-0.87155000000000005</v>
      </c>
      <c r="H199" s="73">
        <f>[1]!wss($A199:$A199,"hks_stm_is","item=61","rptDate="&amp;($B199-1)&amp;"1231","rptType=1","currencyType=Cur=CNY","WssConvert=0","WssDivide=8","showcodes=N","cols=1;rows=1")</f>
        <v>-0.33754000000000001</v>
      </c>
      <c r="I199" s="73">
        <f>[1]!wss($A199:$A199,"hks_fa_grossprofitmargin","rptDate="&amp;($B199-3)&amp;"1231","WssConvert=0","showcodes=N","cols=1;rows=1")</f>
        <v>33.083399999999997</v>
      </c>
      <c r="J199" s="43">
        <f>[1]!wss($A199:$A199,"hks_fa_grossprofitmargin","rptDate="&amp;($B199-2)&amp;"1231","WssConvert=0","showcodes=N","cols=1;rows=1")</f>
        <v>39.120199999999997</v>
      </c>
      <c r="K199" s="43">
        <f>[1]!wss($A199:$A199,"hks_fa_grossprofitmargin","rptDate="&amp;($B199-1)&amp;"1231","WssConvert=0","showcodes=N","cols=1;rows=1")</f>
        <v>40.0259</v>
      </c>
      <c r="L199" s="73" t="str">
        <f>[1]!wss($A199:$A199,"hks_fa_roe","rptDate="&amp;($B199-1)&amp;"1231","WssConvert=0","showcodes=N","cols=1;rows=1")</f>
        <v/>
      </c>
      <c r="M199" s="43">
        <f>[1]!wss($A199:$A199,"hks_fa_debttoassets","rptDate="&amp;($B199-1)&amp;"1231","WssConvert=0","showcodes=N","cols=1;rows=1")</f>
        <v>99.451400000000007</v>
      </c>
      <c r="P199" s="50">
        <v>8.1301699999999997</v>
      </c>
      <c r="Q199" s="50">
        <v>9.4141399999999997</v>
      </c>
      <c r="R199" s="50">
        <v>10.06934</v>
      </c>
      <c r="S199" s="50">
        <v>-0.33754000000000001</v>
      </c>
      <c r="T199" s="50">
        <v>-4.8867500000000001</v>
      </c>
      <c r="U199" s="50">
        <v>1.35484</v>
      </c>
      <c r="V199" s="50">
        <v>40.0259</v>
      </c>
      <c r="W199" s="50">
        <v>54.218699999999998</v>
      </c>
      <c r="X199" s="50">
        <v>54.744999999999997</v>
      </c>
    </row>
    <row r="200" spans="1:24">
      <c r="A200" t="s">
        <v>653</v>
      </c>
      <c r="B200" s="17">
        <f>IFERROR(YEAR(VLOOKUP($A200,'01_ipo_master'!$A:$C,3,FALSE)),YEAR(VLOOKUP("0"&amp;$A200,'01_ipo_master'!$A:$C,3,FALSE)))</f>
        <v>2025</v>
      </c>
      <c r="C200" s="73">
        <f>[1]!wss($A200:$A200,"hks_stm_is","item=83","rptDate="&amp;($B200-3)&amp;"1231","rptType=1","currencyType=Cur=CNY","WssConvert=0","WssDivide=8","showcodes=N","cols=1;rows=1")</f>
        <v>6.9115000000000002</v>
      </c>
      <c r="D200" s="73">
        <f>[1]!wss($A200:$A200,"hks_stm_is","item=83","rptDate="&amp;($B200-2)&amp;"1231","rptType=1","currencyType=Cur=CNY","WssConvert=0","WssDivide=8","showcodes=N","cols=1;rows=1")</f>
        <v>8.050040000000001</v>
      </c>
      <c r="E200" s="73">
        <f>[1]!wss($A200:$A200,"hks_stm_is","item=83","rptDate="&amp;($B200-1)&amp;"1231","rptType=1","currencyType=Cur=CNY","WssConvert=0","WssDivide=8","showcodes=N","cols=1;rows=1")</f>
        <v>12.096410000000001</v>
      </c>
      <c r="F200" s="73">
        <f>[1]!wss($A200:$A200,"hks_stm_is","item=61","rptDate="&amp;($B200-3)&amp;"1231","rptType=1","currencyType=Cur=CNY","WssConvert=0","WssDivide=8","showcodes=N","cols=1;rows=1")</f>
        <v>-5.8709999999999998E-2</v>
      </c>
      <c r="G200" s="73">
        <f>[1]!wss($A200:$A200,"hks_stm_is","item=61","rptDate="&amp;($B200-2)&amp;"1231","rptType=1","currencyType=Cur=CNY","WssConvert=0","WssDivide=8","showcodes=N","cols=1;rows=1")</f>
        <v>0.84518000000000004</v>
      </c>
      <c r="H200" s="73">
        <f>[1]!wss($A200:$A200,"hks_stm_is","item=61","rptDate="&amp;($B200-1)&amp;"1231","rptType=1","currencyType=Cur=CNY","WssConvert=0","WssDivide=8","showcodes=N","cols=1;rows=1")</f>
        <v>1.86833</v>
      </c>
      <c r="I200" s="73">
        <f>[1]!wss($A200:$A200,"hks_fa_grossprofitmargin","rptDate="&amp;($B200-3)&amp;"1231","WssConvert=0","showcodes=N","cols=1;rows=1")</f>
        <v>77.997100000000003</v>
      </c>
      <c r="J200" s="43">
        <f>[1]!wss($A200:$A200,"hks_fa_grossprofitmargin","rptDate="&amp;($B200-2)&amp;"1231","WssConvert=0","showcodes=N","cols=1;rows=1")</f>
        <v>81.224800000000002</v>
      </c>
      <c r="K200" s="43">
        <f>[1]!wss($A200:$A200,"hks_fa_grossprofitmargin","rptDate="&amp;($B200-1)&amp;"1231","WssConvert=0","showcodes=N","cols=1;rows=1")</f>
        <v>82.475399999999993</v>
      </c>
      <c r="L200" s="73">
        <f>[1]!wss($A200:$A200,"hks_fa_roe","rptDate="&amp;($B200-1)&amp;"1231","WssConvert=0","showcodes=N","cols=1;rows=1")</f>
        <v>34.528700000000001</v>
      </c>
      <c r="M200" s="43">
        <f>[1]!wss($A200:$A200,"hks_fa_debttoassets","rptDate="&amp;($B200-1)&amp;"1231","WssConvert=0","showcodes=N","cols=1;rows=1")</f>
        <v>43.007399999999997</v>
      </c>
      <c r="P200" s="50">
        <v>8.0500399999999992</v>
      </c>
      <c r="Q200" s="50">
        <v>12.096410000000001</v>
      </c>
      <c r="R200" s="50">
        <v>24.495370000000001</v>
      </c>
      <c r="S200" s="50">
        <v>0.84518000000000004</v>
      </c>
      <c r="T200" s="50">
        <v>1.86833</v>
      </c>
      <c r="U200" s="50">
        <v>3.6036700000000002</v>
      </c>
      <c r="V200" s="50">
        <v>81.224800000000002</v>
      </c>
      <c r="W200" s="50">
        <v>82.475399999999993</v>
      </c>
      <c r="X200" s="50">
        <v>82.008099999999999</v>
      </c>
    </row>
    <row r="201" spans="1:24">
      <c r="A201" t="s">
        <v>655</v>
      </c>
      <c r="B201" s="17">
        <f>IFERROR(YEAR(VLOOKUP($A201,'01_ipo_master'!$A:$C,3,FALSE)),YEAR(VLOOKUP("0"&amp;$A201,'01_ipo_master'!$A:$C,3,FALSE)))</f>
        <v>2023</v>
      </c>
      <c r="C201" s="73">
        <f>[1]!wss($A201:$A201,"hks_stm_is","item=83","rptDate="&amp;($B201-3)&amp;"1231","rptType=1","currencyType=Cur=CNY","WssConvert=0","WssDivide=8","showcodes=N","cols=1;rows=1")</f>
        <v>5.7229299999999999</v>
      </c>
      <c r="D201" s="73">
        <f>[1]!wss($A201:$A201,"hks_stm_is","item=83","rptDate="&amp;($B201-2)&amp;"1231","rptType=1","currencyType=Cur=CNY","WssConvert=0","WssDivide=8","showcodes=N","cols=1;rows=1")</f>
        <v>6.2936899999999998</v>
      </c>
      <c r="E201" s="73">
        <f>[1]!wss($A201:$A201,"hks_stm_is","item=83","rptDate="&amp;($B201-1)&amp;"1231","rptType=1","currencyType=Cur=CNY","WssConvert=0","WssDivide=8","showcodes=N","cols=1;rows=1")</f>
        <v>7.3811658020000008</v>
      </c>
      <c r="F201" s="73">
        <f>[1]!wss($A201:$A201,"hks_stm_is","item=61","rptDate="&amp;($B201-3)&amp;"1231","rptType=1","currencyType=Cur=CNY","WssConvert=0","WssDivide=8","showcodes=N","cols=1;rows=1")</f>
        <v>-3.6600000000000001E-3</v>
      </c>
      <c r="G201" s="73">
        <f>[1]!wss($A201:$A201,"hks_stm_is","item=61","rptDate="&amp;($B201-2)&amp;"1231","rptType=1","currencyType=Cur=CNY","WssConvert=0","WssDivide=8","showcodes=N","cols=1;rows=1")</f>
        <v>-1.4636899999999999</v>
      </c>
      <c r="H201" s="73">
        <f>[1]!wss($A201:$A201,"hks_stm_is","item=61","rptDate="&amp;($B201-1)&amp;"1231","rptType=1","currencyType=Cur=CNY","WssConvert=0","WssDivide=8","showcodes=N","cols=1;rows=1")</f>
        <v>-1.6645426066</v>
      </c>
      <c r="I201" s="73">
        <f>[1]!wss($A201:$A201,"hks_fa_grossprofitmargin","rptDate="&amp;($B201-3)&amp;"1231","WssConvert=0","showcodes=N","cols=1;rows=1")</f>
        <v>43.219499999999996</v>
      </c>
      <c r="J201" s="43">
        <f>[1]!wss($A201:$A201,"hks_fa_grossprofitmargin","rptDate="&amp;($B201-2)&amp;"1231","WssConvert=0","showcodes=N","cols=1;rows=1")</f>
        <v>37.502600000000001</v>
      </c>
      <c r="K201" s="43">
        <f>[1]!wss($A201:$A201,"hks_fa_grossprofitmargin","rptDate="&amp;($B201-1)&amp;"1231","WssConvert=0","showcodes=N","cols=1;rows=1")</f>
        <v>38.400300000000001</v>
      </c>
      <c r="L201" s="73">
        <f>[1]!wss($A201:$A201,"hks_fa_roe","rptDate="&amp;($B201-1)&amp;"1231","WssConvert=0","showcodes=N","cols=1;rows=1")</f>
        <v>-6.8708</v>
      </c>
      <c r="M201" s="43">
        <f>[1]!wss($A201:$A201,"hks_fa_debttoassets","rptDate="&amp;($B201-1)&amp;"1231","WssConvert=0","showcodes=N","cols=1;rows=1")</f>
        <v>27.373100000000001</v>
      </c>
      <c r="P201" s="50">
        <v>8.0070188577000003</v>
      </c>
      <c r="Q201" s="50">
        <v>3.6667135592000002</v>
      </c>
      <c r="R201" s="50">
        <v>2.5853700000000002</v>
      </c>
      <c r="S201" s="50">
        <v>-2.4320367462000001</v>
      </c>
      <c r="T201" s="50">
        <v>-4.5643285437000003</v>
      </c>
      <c r="U201" s="50">
        <v>-6.1849800000000004</v>
      </c>
      <c r="V201" s="50">
        <v>32.532299999999999</v>
      </c>
      <c r="W201" s="50">
        <v>12.4679</v>
      </c>
      <c r="X201" s="50">
        <v>21.138200000000001</v>
      </c>
    </row>
    <row r="202" spans="1:24">
      <c r="A202" t="s">
        <v>658</v>
      </c>
      <c r="B202" s="17">
        <f>IFERROR(YEAR(VLOOKUP($A202,'01_ipo_master'!$A:$C,3,FALSE)),YEAR(VLOOKUP("0"&amp;$A202,'01_ipo_master'!$A:$C,3,FALSE)))</f>
        <v>2025</v>
      </c>
      <c r="C202" s="73">
        <f>[1]!wss($A202:$A202,"hks_stm_is","item=83","rptDate="&amp;($B202-3)&amp;"1231","rptType=1","currencyType=Cur=CNY","WssConvert=0","WssDivide=8","showcodes=N","cols=1;rows=1")</f>
        <v>4.1809599999999998</v>
      </c>
      <c r="D202" s="73">
        <f>[1]!wss($A202:$A202,"hks_stm_is","item=83","rptDate="&amp;($B202-2)&amp;"1231","rptType=1","currencyType=Cur=CNY","WssConvert=0","WssDivide=8","showcodes=N","cols=1;rows=1")</f>
        <v>8.0051400000000008</v>
      </c>
      <c r="E202" s="73">
        <f>[1]!wss($A202:$A202,"hks_stm_is","item=83","rptDate="&amp;($B202-1)&amp;"1231","rptType=1","currencyType=Cur=CNY","WssConvert=0","WssDivide=8","showcodes=N","cols=1;rows=1")</f>
        <v>11.54434</v>
      </c>
      <c r="F202" s="73">
        <f>[1]!wss($A202:$A202,"hks_stm_is","item=61","rptDate="&amp;($B202-3)&amp;"1231","rptType=1","currencyType=Cur=CNY","WssConvert=0","WssDivide=8","showcodes=N","cols=1;rows=1")</f>
        <v>-0.35972999999999999</v>
      </c>
      <c r="G202" s="73">
        <f>[1]!wss($A202:$A202,"hks_stm_is","item=61","rptDate="&amp;($B202-2)&amp;"1231","rptType=1","currencyType=Cur=CNY","WssConvert=0","WssDivide=8","showcodes=N","cols=1;rows=1")</f>
        <v>0.45913999999999999</v>
      </c>
      <c r="H202" s="73">
        <f>[1]!wss($A202:$A202,"hks_stm_is","item=61","rptDate="&amp;($B202-1)&amp;"1231","rptType=1","currencyType=Cur=CNY","WssConvert=0","WssDivide=8","showcodes=N","cols=1;rows=1")</f>
        <v>0.60699999999999998</v>
      </c>
      <c r="I202" s="73">
        <f>[1]!wss($A202:$A202,"hks_fa_grossprofitmargin","rptDate="&amp;($B202-3)&amp;"1231","WssConvert=0","showcodes=N","cols=1;rows=1")</f>
        <v>61.698300000000003</v>
      </c>
      <c r="J202" s="43">
        <f>[1]!wss($A202:$A202,"hks_fa_grossprofitmargin","rptDate="&amp;($B202-2)&amp;"1231","WssConvert=0","showcodes=N","cols=1;rows=1")</f>
        <v>63.7395</v>
      </c>
      <c r="K202" s="43">
        <f>[1]!wss($A202:$A202,"hks_fa_grossprofitmargin","rptDate="&amp;($B202-1)&amp;"1231","WssConvert=0","showcodes=N","cols=1;rows=1")</f>
        <v>65.723399999999998</v>
      </c>
      <c r="L202" s="73">
        <f>[1]!wss($A202:$A202,"hks_fa_roe","rptDate="&amp;($B202-1)&amp;"1231","WssConvert=0","showcodes=N","cols=1;rows=1")</f>
        <v>70.758300000000006</v>
      </c>
      <c r="M202" s="43">
        <f>[1]!wss($A202:$A202,"hks_fa_debttoassets","rptDate="&amp;($B202-1)&amp;"1231","WssConvert=0","showcodes=N","cols=1;rows=1")</f>
        <v>89.856700000000004</v>
      </c>
      <c r="P202" s="50">
        <v>8.0051400000000008</v>
      </c>
      <c r="Q202" s="50">
        <v>11.54434</v>
      </c>
      <c r="R202" s="50">
        <v>16.223579999999998</v>
      </c>
      <c r="S202" s="50">
        <v>0.45913999999999999</v>
      </c>
      <c r="T202" s="50">
        <v>0.60699999999999998</v>
      </c>
      <c r="U202" s="50">
        <v>1.06124</v>
      </c>
      <c r="V202" s="50">
        <v>63.7395</v>
      </c>
      <c r="W202" s="50">
        <v>65.723399999999998</v>
      </c>
      <c r="X202" s="50">
        <v>67.597499999999997</v>
      </c>
    </row>
    <row r="203" spans="1:24">
      <c r="A203" t="s">
        <v>660</v>
      </c>
      <c r="B203" s="17">
        <f>IFERROR(YEAR(VLOOKUP($A203,'01_ipo_master'!$A:$C,3,FALSE)),YEAR(VLOOKUP("0"&amp;$A203,'01_ipo_master'!$A:$C,3,FALSE)))</f>
        <v>2026</v>
      </c>
      <c r="C203" s="73">
        <f>[1]!wss($A203:$A203,"hks_stm_is","item=83","rptDate="&amp;($B203-3)&amp;"1231","rptType=1","currencyType=Cur=CNY","WssConvert=0","WssDivide=8","showcodes=N","cols=1;rows=1")</f>
        <v>7.9401900000000003</v>
      </c>
      <c r="D203" s="73">
        <f>[1]!wss($A203:$A203,"hks_stm_is","item=83","rptDate="&amp;($B203-2)&amp;"1231","rptType=1","currencyType=Cur=CNY","WssConvert=0","WssDivide=8","showcodes=N","cols=1;rows=1")</f>
        <v>8.3762000000000008</v>
      </c>
      <c r="E203" s="73" t="str">
        <f>[1]!wss($A203:$A203,"hks_stm_is","item=83","rptDate="&amp;($B203-1)&amp;"1231","rptType=1","currencyType=Cur=CNY","WssConvert=0","WssDivide=8","showcodes=N","cols=1;rows=1")</f>
        <v/>
      </c>
      <c r="F203" s="73">
        <f>[1]!wss($A203:$A203,"hks_stm_is","item=61","rptDate="&amp;($B203-3)&amp;"1231","rptType=1","currencyType=Cur=CNY","WssConvert=0","WssDivide=8","showcodes=N","cols=1;rows=1")</f>
        <v>0.50822999999999996</v>
      </c>
      <c r="G203" s="73">
        <f>[1]!wss($A203:$A203,"hks_stm_is","item=61","rptDate="&amp;($B203-2)&amp;"1231","rptType=1","currencyType=Cur=CNY","WssConvert=0","WssDivide=8","showcodes=N","cols=1;rows=1")</f>
        <v>0.40114</v>
      </c>
      <c r="H203" s="73" t="str">
        <f>[1]!wss($A203:$A203,"hks_stm_is","item=61","rptDate="&amp;($B203-1)&amp;"1231","rptType=1","currencyType=Cur=CNY","WssConvert=0","WssDivide=8","showcodes=N","cols=1;rows=1")</f>
        <v/>
      </c>
      <c r="I203" s="73">
        <f>[1]!wss($A203:$A203,"hks_fa_grossprofitmargin","rptDate="&amp;($B203-3)&amp;"1231","WssConvert=0","showcodes=N","cols=1;rows=1")</f>
        <v>21.393899999999999</v>
      </c>
      <c r="J203" s="43">
        <f>[1]!wss($A203:$A203,"hks_fa_grossprofitmargin","rptDate="&amp;($B203-2)&amp;"1231","WssConvert=0","showcodes=N","cols=1;rows=1")</f>
        <v>21.983799999999999</v>
      </c>
      <c r="K203" s="43" t="str">
        <f>[1]!wss($A203:$A203,"hks_fa_grossprofitmargin","rptDate="&amp;($B203-1)&amp;"1231","WssConvert=0","showcodes=N","cols=1;rows=1")</f>
        <v/>
      </c>
      <c r="L203" s="73" t="str">
        <f>[1]!wss($A203:$A203,"hks_fa_roe","rptDate="&amp;($B203-1)&amp;"1231","WssConvert=0","showcodes=N","cols=1;rows=1")</f>
        <v/>
      </c>
      <c r="M203" s="43" t="str">
        <f>[1]!wss($A203:$A203,"hks_fa_debttoassets","rptDate="&amp;($B203-1)&amp;"1231","WssConvert=0","showcodes=N","cols=1;rows=1")</f>
        <v/>
      </c>
      <c r="P203" s="50">
        <v>7.9401900000000003</v>
      </c>
      <c r="Q203" s="50">
        <v>8.3762000000000008</v>
      </c>
      <c r="R203" s="50"/>
      <c r="S203" s="50">
        <v>0.50822999999999996</v>
      </c>
      <c r="T203" s="50">
        <v>0.40114</v>
      </c>
      <c r="U203" s="50"/>
      <c r="V203" s="50">
        <v>21.393899999999999</v>
      </c>
      <c r="W203" s="50">
        <v>21.983799999999999</v>
      </c>
      <c r="X203" s="50"/>
    </row>
    <row r="204" spans="1:24">
      <c r="A204" t="s">
        <v>662</v>
      </c>
      <c r="B204" s="17">
        <f>IFERROR(YEAR(VLOOKUP($A204,'01_ipo_master'!$A:$C,3,FALSE)),YEAR(VLOOKUP("0"&amp;$A204,'01_ipo_master'!$A:$C,3,FALSE)))</f>
        <v>2023</v>
      </c>
      <c r="C204" s="73">
        <f>[1]!wss($A204:$A204,"hks_stm_is","item=83","rptDate="&amp;($B204-3)&amp;"1231","rptType=1","currencyType=Cur=CNY","WssConvert=0","WssDivide=8","showcodes=N","cols=1;rows=1")</f>
        <v>4.8636900000000001</v>
      </c>
      <c r="D204" s="73">
        <f>[1]!wss($A204:$A204,"hks_stm_is","item=83","rptDate="&amp;($B204-2)&amp;"1231","rptType=1","currencyType=Cur=CNY","WssConvert=0","WssDivide=8","showcodes=N","cols=1;rows=1")</f>
        <v>6.0148099999999998</v>
      </c>
      <c r="E204" s="73">
        <f>[1]!wss($A204:$A204,"hks_stm_is","item=83","rptDate="&amp;($B204-1)&amp;"1231","rptType=1","currencyType=Cur=CNY","WssConvert=0","WssDivide=8","showcodes=N","cols=1;rows=1")</f>
        <v>6.9227300000000005</v>
      </c>
      <c r="F204" s="73">
        <f>[1]!wss($A204:$A204,"hks_stm_is","item=61","rptDate="&amp;($B204-3)&amp;"1231","rptType=1","currencyType=Cur=CNY","WssConvert=0","WssDivide=8","showcodes=N","cols=1;rows=1")</f>
        <v>0.48674000000000001</v>
      </c>
      <c r="G204" s="73">
        <f>[1]!wss($A204:$A204,"hks_stm_is","item=61","rptDate="&amp;($B204-2)&amp;"1231","rptType=1","currencyType=Cur=CNY","WssConvert=0","WssDivide=8","showcodes=N","cols=1;rows=1")</f>
        <v>0.443</v>
      </c>
      <c r="H204" s="73">
        <f>[1]!wss($A204:$A204,"hks_stm_is","item=61","rptDate="&amp;($B204-1)&amp;"1231","rptType=1","currencyType=Cur=CNY","WssConvert=0","WssDivide=8","showcodes=N","cols=1;rows=1")</f>
        <v>0.40167000000000003</v>
      </c>
      <c r="I204" s="73">
        <f>[1]!wss($A204:$A204,"hks_fa_grossprofitmargin","rptDate="&amp;($B204-3)&amp;"1231","WssConvert=0","showcodes=N","cols=1;rows=1")</f>
        <v>21.159199999999998</v>
      </c>
      <c r="J204" s="43">
        <f>[1]!wss($A204:$A204,"hks_fa_grossprofitmargin","rptDate="&amp;($B204-2)&amp;"1231","WssConvert=0","showcodes=N","cols=1;rows=1")</f>
        <v>18.982600000000001</v>
      </c>
      <c r="K204" s="43">
        <f>[1]!wss($A204:$A204,"hks_fa_grossprofitmargin","rptDate="&amp;($B204-1)&amp;"1231","WssConvert=0","showcodes=N","cols=1;rows=1")</f>
        <v>17.651800000000001</v>
      </c>
      <c r="L204" s="73">
        <f>[1]!wss($A204:$A204,"hks_fa_roe","rptDate="&amp;($B204-1)&amp;"1231","WssConvert=0","showcodes=N","cols=1;rows=1")</f>
        <v>22.404199999999999</v>
      </c>
      <c r="M204" s="43">
        <f>[1]!wss($A204:$A204,"hks_fa_debttoassets","rptDate="&amp;($B204-1)&amp;"1231","WssConvert=0","showcodes=N","cols=1;rows=1")</f>
        <v>62.837800000000001</v>
      </c>
      <c r="P204" s="50">
        <v>7.6899600000000001</v>
      </c>
      <c r="Q204" s="50">
        <v>9.0369100000000007</v>
      </c>
      <c r="R204" s="50">
        <v>9.3076299999999996</v>
      </c>
      <c r="S204" s="50">
        <v>0.41459000000000001</v>
      </c>
      <c r="T204" s="50">
        <v>0.45557999999999998</v>
      </c>
      <c r="U204" s="50">
        <v>0.46323999999999999</v>
      </c>
      <c r="V204" s="50">
        <v>17.336500000000001</v>
      </c>
      <c r="W204" s="50">
        <v>14.1515</v>
      </c>
      <c r="X204" s="50">
        <v>13.7134</v>
      </c>
    </row>
    <row r="205" spans="1:24">
      <c r="A205" t="s">
        <v>664</v>
      </c>
      <c r="B205" s="17">
        <f>IFERROR(YEAR(VLOOKUP($A205,'01_ipo_master'!$A:$C,3,FALSE)),YEAR(VLOOKUP("0"&amp;$A205,'01_ipo_master'!$A:$C,3,FALSE)))</f>
        <v>2023</v>
      </c>
      <c r="C205" s="73">
        <f>[1]!wss($A205:$A205,"hks_stm_is","item=83","rptDate="&amp;($B205-3)&amp;"1231","rptType=1","currencyType=Cur=CNY","WssConvert=0","WssDivide=8","showcodes=N","cols=1;rows=1")</f>
        <v>9.2263900000000003</v>
      </c>
      <c r="D205" s="73">
        <f>[1]!wss($A205:$A205,"hks_stm_is","item=83","rptDate="&amp;($B205-2)&amp;"1231","rptType=1","currencyType=Cur=CNY","WssConvert=0","WssDivide=8","showcodes=N","cols=1;rows=1")</f>
        <v>12.910690000000001</v>
      </c>
      <c r="E205" s="73">
        <f>[1]!wss($A205:$A205,"hks_stm_is","item=83","rptDate="&amp;($B205-1)&amp;"1231","rptType=1","currencyType=Cur=CNY","WssConvert=0","WssDivide=8","showcodes=N","cols=1;rows=1")</f>
        <v>9.8083200000000001</v>
      </c>
      <c r="F205" s="73">
        <f>[1]!wss($A205:$A205,"hks_stm_is","item=61","rptDate="&amp;($B205-3)&amp;"1231","rptType=1","currencyType=Cur=CNY","WssConvert=0","WssDivide=8","showcodes=N","cols=1;rows=1")</f>
        <v>2.9137</v>
      </c>
      <c r="G205" s="73">
        <f>[1]!wss($A205:$A205,"hks_stm_is","item=61","rptDate="&amp;($B205-2)&amp;"1231","rptType=1","currencyType=Cur=CNY","WssConvert=0","WssDivide=8","showcodes=N","cols=1;rows=1")</f>
        <v>3.3668400000000003</v>
      </c>
      <c r="H205" s="73">
        <f>[1]!wss($A205:$A205,"hks_stm_is","item=61","rptDate="&amp;($B205-1)&amp;"1231","rptType=1","currencyType=Cur=CNY","WssConvert=0","WssDivide=8","showcodes=N","cols=1;rows=1")</f>
        <v>17.244700000000002</v>
      </c>
      <c r="I205" s="73">
        <f>[1]!wss($A205:$A205,"hks_fa_grossprofitmargin","rptDate="&amp;($B205-3)&amp;"1231","WssConvert=0","showcodes=N","cols=1;rows=1")</f>
        <v>53.466299999999997</v>
      </c>
      <c r="J205" s="43">
        <f>[1]!wss($A205:$A205,"hks_fa_grossprofitmargin","rptDate="&amp;($B205-2)&amp;"1231","WssConvert=0","showcodes=N","cols=1;rows=1")</f>
        <v>46.647300000000001</v>
      </c>
      <c r="K205" s="43">
        <f>[1]!wss($A205:$A205,"hks_fa_grossprofitmargin","rptDate="&amp;($B205-1)&amp;"1231","WssConvert=0","showcodes=N","cols=1;rows=1")</f>
        <v>37.04</v>
      </c>
      <c r="L205" s="73" t="str">
        <f>[1]!wss($A205:$A205,"hks_fa_roe","rptDate="&amp;($B205-1)&amp;"1231","WssConvert=0","showcodes=N","cols=1;rows=1")</f>
        <v/>
      </c>
      <c r="M205" s="43">
        <f>[1]!wss($A205:$A205,"hks_fa_debttoassets","rptDate="&amp;($B205-1)&amp;"1231","WssConvert=0","showcodes=N","cols=1;rows=1")</f>
        <v>108.8373</v>
      </c>
      <c r="P205" s="50">
        <v>7.5568099999999996</v>
      </c>
      <c r="Q205" s="50">
        <v>7.6453800000000003</v>
      </c>
      <c r="R205" s="50">
        <v>9.0697200000000002</v>
      </c>
      <c r="S205" s="50">
        <v>-1.4083699999999999</v>
      </c>
      <c r="T205" s="50">
        <v>0.46942</v>
      </c>
      <c r="U205" s="50">
        <v>0.64168000000000003</v>
      </c>
      <c r="V205" s="50">
        <v>23.162600000000001</v>
      </c>
      <c r="W205" s="50">
        <v>20.411200000000001</v>
      </c>
      <c r="X205" s="50">
        <v>24.6083</v>
      </c>
    </row>
    <row r="206" spans="1:24">
      <c r="A206" t="s">
        <v>666</v>
      </c>
      <c r="B206" s="17">
        <f>IFERROR(YEAR(VLOOKUP($A206,'01_ipo_master'!$A:$C,3,FALSE)),YEAR(VLOOKUP("0"&amp;$A206,'01_ipo_master'!$A:$C,3,FALSE)))</f>
        <v>2022</v>
      </c>
      <c r="C206" s="73">
        <f>[1]!wss($A206:$A206,"hks_stm_is","item=83","rptDate="&amp;($B206-3)&amp;"1231","rptType=1","currencyType=Cur=CNY","WssConvert=0","WssDivide=8","showcodes=N","cols=1;rows=1")</f>
        <v>5.4845699999999997</v>
      </c>
      <c r="D206" s="73">
        <f>[1]!wss($A206:$A206,"hks_stm_is","item=83","rptDate="&amp;($B206-2)&amp;"1231","rptType=1","currencyType=Cur=CNY","WssConvert=0","WssDivide=8","showcodes=N","cols=1;rows=1")</f>
        <v>5.3040900000000004</v>
      </c>
      <c r="E206" s="73">
        <f>[1]!wss($A206:$A206,"hks_stm_is","item=83","rptDate="&amp;($B206-1)&amp;"1231","rptType=1","currencyType=Cur=CNY","WssConvert=0","WssDivide=8","showcodes=N","cols=1;rows=1")</f>
        <v>6.6085700000000003</v>
      </c>
      <c r="F206" s="73">
        <f>[1]!wss($A206:$A206,"hks_stm_is","item=61","rptDate="&amp;($B206-3)&amp;"1231","rptType=1","currencyType=Cur=CNY","WssConvert=0","WssDivide=8","showcodes=N","cols=1;rows=1")</f>
        <v>-1.8384500000000001</v>
      </c>
      <c r="G206" s="73">
        <f>[1]!wss($A206:$A206,"hks_stm_is","item=61","rptDate="&amp;($B206-2)&amp;"1231","rptType=1","currencyType=Cur=CNY","WssConvert=0","WssDivide=8","showcodes=N","cols=1;rows=1")</f>
        <v>-6.5822599999999998</v>
      </c>
      <c r="H206" s="73">
        <f>[1]!wss($A206:$A206,"hks_stm_is","item=61","rptDate="&amp;($B206-1)&amp;"1231","rptType=1","currencyType=Cur=CNY","WssConvert=0","WssDivide=8","showcodes=N","cols=1;rows=1")</f>
        <v>-8.7285400000000006</v>
      </c>
      <c r="I206" s="73">
        <f>[1]!wss($A206:$A206,"hks_fa_grossprofitmargin","rptDate="&amp;($B206-3)&amp;"1231","WssConvert=0","showcodes=N","cols=1;rows=1")</f>
        <v>31.560500000000001</v>
      </c>
      <c r="J206" s="43">
        <f>[1]!wss($A206:$A206,"hks_fa_grossprofitmargin","rptDate="&amp;($B206-2)&amp;"1231","WssConvert=0","showcodes=N","cols=1;rows=1")</f>
        <v>34.571100000000001</v>
      </c>
      <c r="K206" s="43">
        <f>[1]!wss($A206:$A206,"hks_fa_grossprofitmargin","rptDate="&amp;($B206-1)&amp;"1231","WssConvert=0","showcodes=N","cols=1;rows=1")</f>
        <v>36.577399999999997</v>
      </c>
      <c r="L206" s="73" t="str">
        <f>[1]!wss($A206:$A206,"hks_fa_roe","rptDate="&amp;($B206-1)&amp;"1231","WssConvert=0","showcodes=N","cols=1;rows=1")</f>
        <v/>
      </c>
      <c r="M206" s="43">
        <f>[1]!wss($A206:$A206,"hks_fa_debttoassets","rptDate="&amp;($B206-1)&amp;"1231","WssConvert=0","showcodes=N","cols=1;rows=1")</f>
        <v>227.82060000000001</v>
      </c>
      <c r="P206" s="50">
        <v>7.55572</v>
      </c>
      <c r="Q206" s="50">
        <v>6.6011899999999999</v>
      </c>
      <c r="R206" s="50">
        <v>6.7058</v>
      </c>
      <c r="S206" s="50">
        <v>-10.99615</v>
      </c>
      <c r="T206" s="50">
        <v>-1.9298200000000001</v>
      </c>
      <c r="U206" s="50">
        <v>-1.6148400000000001</v>
      </c>
      <c r="V206" s="50">
        <v>34.257300000000001</v>
      </c>
      <c r="W206" s="50">
        <v>33.131599999999999</v>
      </c>
      <c r="X206" s="50">
        <v>28.122699999999998</v>
      </c>
    </row>
    <row r="207" spans="1:24">
      <c r="A207" t="s">
        <v>668</v>
      </c>
      <c r="B207" s="17">
        <f>IFERROR(YEAR(VLOOKUP($A207,'01_ipo_master'!$A:$C,3,FALSE)),YEAR(VLOOKUP("0"&amp;$A207,'01_ipo_master'!$A:$C,3,FALSE)))</f>
        <v>2023</v>
      </c>
      <c r="C207" s="73">
        <f>[1]!wss($A207:$A207,"hks_stm_is","item=83","rptDate="&amp;($B207-3)&amp;"1231","rptType=1","currencyType=Cur=CNY","WssConvert=0","WssDivide=8","showcodes=N","cols=1;rows=1")</f>
        <v>4.5853700000000002</v>
      </c>
      <c r="D207" s="73">
        <f>[1]!wss($A207:$A207,"hks_stm_is","item=83","rptDate="&amp;($B207-2)&amp;"1231","rptType=1","currencyType=Cur=CNY","WssConvert=0","WssDivide=8","showcodes=N","cols=1;rows=1")</f>
        <v>5.5632700000000002</v>
      </c>
      <c r="E207" s="73">
        <f>[1]!wss($A207:$A207,"hks_stm_is","item=83","rptDate="&amp;($B207-1)&amp;"1231","rptType=1","currencyType=Cur=CNY","WssConvert=0","WssDivide=8","showcodes=N","cols=1;rows=1")</f>
        <v>6.7962699999999998</v>
      </c>
      <c r="F207" s="73">
        <f>[1]!wss($A207:$A207,"hks_stm_is","item=61","rptDate="&amp;($B207-3)&amp;"1231","rptType=1","currencyType=Cur=CNY","WssConvert=0","WssDivide=8","showcodes=N","cols=1;rows=1")</f>
        <v>-12.67206</v>
      </c>
      <c r="G207" s="73">
        <f>[1]!wss($A207:$A207,"hks_stm_is","item=61","rptDate="&amp;($B207-2)&amp;"1231","rptType=1","currencyType=Cur=CNY","WssConvert=0","WssDivide=8","showcodes=N","cols=1;rows=1")</f>
        <v>-9.4014199999999999</v>
      </c>
      <c r="H207" s="73">
        <f>[1]!wss($A207:$A207,"hks_stm_is","item=61","rptDate="&amp;($B207-1)&amp;"1231","rptType=1","currencyType=Cur=CNY","WssConvert=0","WssDivide=8","showcodes=N","cols=1;rows=1")</f>
        <v>-19.087720000000001</v>
      </c>
      <c r="I207" s="73">
        <f>[1]!wss($A207:$A207,"hks_fa_grossprofitmargin","rptDate="&amp;($B207-3)&amp;"1231","WssConvert=0","showcodes=N","cols=1;rows=1")</f>
        <v>59.830100000000002</v>
      </c>
      <c r="J207" s="43">
        <f>[1]!wss($A207:$A207,"hks_fa_grossprofitmargin","rptDate="&amp;($B207-2)&amp;"1231","WssConvert=0","showcodes=N","cols=1;rows=1")</f>
        <v>66.435199999999995</v>
      </c>
      <c r="K207" s="43">
        <f>[1]!wss($A207:$A207,"hks_fa_grossprofitmargin","rptDate="&amp;($B207-1)&amp;"1231","WssConvert=0","showcodes=N","cols=1;rows=1")</f>
        <v>58.930999999999997</v>
      </c>
      <c r="L207" s="73" t="str">
        <f>[1]!wss($A207:$A207,"hks_fa_roe","rptDate="&amp;($B207-1)&amp;"1231","WssConvert=0","showcodes=N","cols=1;rows=1")</f>
        <v/>
      </c>
      <c r="M207" s="43">
        <f>[1]!wss($A207:$A207,"hks_fa_debttoassets","rptDate="&amp;($B207-1)&amp;"1231","WssConvert=0","showcodes=N","cols=1;rows=1")</f>
        <v>359.51429999999999</v>
      </c>
      <c r="P207" s="50">
        <v>7.5091400000000004</v>
      </c>
      <c r="Q207" s="50">
        <v>8.5474099999999993</v>
      </c>
      <c r="R207" s="50">
        <v>9.4507600000000007</v>
      </c>
      <c r="S207" s="50">
        <v>-25.989920000000001</v>
      </c>
      <c r="T207" s="50">
        <v>-32.08587</v>
      </c>
      <c r="U207" s="50">
        <v>-1.4740599999999999</v>
      </c>
      <c r="V207" s="50">
        <v>55.341099999999997</v>
      </c>
      <c r="W207" s="50">
        <v>60.243600000000001</v>
      </c>
      <c r="X207" s="50">
        <v>64.918599999999998</v>
      </c>
    </row>
    <row r="208" spans="1:24">
      <c r="A208" t="s">
        <v>670</v>
      </c>
      <c r="B208" s="17">
        <f>IFERROR(YEAR(VLOOKUP($A208,'01_ipo_master'!$A:$C,3,FALSE)),YEAR(VLOOKUP("0"&amp;$A208,'01_ipo_master'!$A:$C,3,FALSE)))</f>
        <v>2022</v>
      </c>
      <c r="C208" s="73">
        <f>[1]!wss($A208:$A208,"hks_stm_is","item=83","rptDate="&amp;($B208-3)&amp;"1231","rptType=1","currencyType=Cur=CNY","WssConvert=0","WssDivide=8","showcodes=N","cols=1;rows=1")</f>
        <v>1.1616363738</v>
      </c>
      <c r="D208" s="73">
        <f>[1]!wss($A208:$A208,"hks_stm_is","item=83","rptDate="&amp;($B208-2)&amp;"1231","rptType=1","currencyType=Cur=CNY","WssConvert=0","WssDivide=8","showcodes=N","cols=1;rows=1")</f>
        <v>2.3751905610000001</v>
      </c>
      <c r="E208" s="73">
        <f>[1]!wss($A208:$A208,"hks_stm_is","item=83","rptDate="&amp;($B208-1)&amp;"1231","rptType=1","currencyType=Cur=CNY","WssConvert=0","WssDivide=8","showcodes=N","cols=1;rows=1")</f>
        <v>4.4205534058000007</v>
      </c>
      <c r="F208" s="73">
        <f>[1]!wss($A208:$A208,"hks_stm_is","item=61","rptDate="&amp;($B208-3)&amp;"1231","rptType=1","currencyType=Cur=CNY","WssConvert=0","WssDivide=8","showcodes=N","cols=1;rows=1")</f>
        <v>0.10526798879999999</v>
      </c>
      <c r="G208" s="73">
        <f>[1]!wss($A208:$A208,"hks_stm_is","item=61","rptDate="&amp;($B208-2)&amp;"1231","rptType=1","currencyType=Cur=CNY","WssConvert=0","WssDivide=8","showcodes=N","cols=1;rows=1")</f>
        <v>0.16742638800000001</v>
      </c>
      <c r="H208" s="73">
        <f>[1]!wss($A208:$A208,"hks_stm_is","item=61","rptDate="&amp;($B208-1)&amp;"1231","rptType=1","currencyType=Cur=CNY","WssConvert=0","WssDivide=8","showcodes=N","cols=1;rows=1")</f>
        <v>0.24284556940000002</v>
      </c>
      <c r="I208" s="73">
        <f>[1]!wss($A208:$A208,"hks_fa_grossprofitmargin","rptDate="&amp;($B208-3)&amp;"1231","WssConvert=0","showcodes=N","cols=1;rows=1")</f>
        <v>24.261199999999999</v>
      </c>
      <c r="J208" s="43">
        <f>[1]!wss($A208:$A208,"hks_fa_grossprofitmargin","rptDate="&amp;($B208-2)&amp;"1231","WssConvert=0","showcodes=N","cols=1;rows=1")</f>
        <v>20.487200000000001</v>
      </c>
      <c r="K208" s="43">
        <f>[1]!wss($A208:$A208,"hks_fa_grossprofitmargin","rptDate="&amp;($B208-1)&amp;"1231","WssConvert=0","showcodes=N","cols=1;rows=1")</f>
        <v>17.410499999999999</v>
      </c>
      <c r="L208" s="73">
        <f>[1]!wss($A208:$A208,"hks_fa_roe","rptDate="&amp;($B208-1)&amp;"1231","WssConvert=0","showcodes=N","cols=1;rows=1")</f>
        <v>38.473799999999997</v>
      </c>
      <c r="M208" s="43">
        <f>[1]!wss($A208:$A208,"hks_fa_debttoassets","rptDate="&amp;($B208-1)&amp;"1231","WssConvert=0","showcodes=N","cols=1;rows=1")</f>
        <v>44.487099999999998</v>
      </c>
      <c r="P208" s="50">
        <v>7.4854208116000001</v>
      </c>
      <c r="Q208" s="50">
        <v>7.6254271940000002</v>
      </c>
      <c r="R208" s="50">
        <v>6.9562463985000003</v>
      </c>
      <c r="S208" s="50">
        <v>5.5177092300000001E-2</v>
      </c>
      <c r="T208" s="50">
        <v>0.20219691200000001</v>
      </c>
      <c r="U208" s="50">
        <v>0.18886638780000001</v>
      </c>
      <c r="V208" s="50">
        <v>15.3437</v>
      </c>
      <c r="W208" s="50">
        <v>14.4841</v>
      </c>
      <c r="X208" s="50">
        <v>15.670199999999999</v>
      </c>
    </row>
    <row r="209" spans="1:24">
      <c r="A209" t="s">
        <v>672</v>
      </c>
      <c r="B209" s="17">
        <f>IFERROR(YEAR(VLOOKUP($A209,'01_ipo_master'!$A:$C,3,FALSE)),YEAR(VLOOKUP("0"&amp;$A209,'01_ipo_master'!$A:$C,3,FALSE)))</f>
        <v>2025</v>
      </c>
      <c r="C209" s="73">
        <f>[1]!wss($A209:$A209,"hks_stm_is","item=83","rptDate="&amp;($B209-3)&amp;"1231","rptType=1","currencyType=Cur=CNY","WssConvert=0","WssDivide=8","showcodes=N","cols=1;rows=1")</f>
        <v>6.0061900000000001</v>
      </c>
      <c r="D209" s="73">
        <f>[1]!wss($A209:$A209,"hks_stm_is","item=83","rptDate="&amp;($B209-2)&amp;"1231","rptType=1","currencyType=Cur=CNY","WssConvert=0","WssDivide=8","showcodes=N","cols=1;rows=1")</f>
        <v>7.2731599999999998</v>
      </c>
      <c r="E209" s="73">
        <f>[1]!wss($A209:$A209,"hks_stm_is","item=83","rptDate="&amp;($B209-1)&amp;"1231","rptType=1","currencyType=Cur=CNY","WssConvert=0","WssDivide=8","showcodes=N","cols=1;rows=1")</f>
        <v>9.3901699999999995</v>
      </c>
      <c r="F209" s="73">
        <f>[1]!wss($A209:$A209,"hks_stm_is","item=61","rptDate="&amp;($B209-3)&amp;"1231","rptType=1","currencyType=Cur=CNY","WssConvert=0","WssDivide=8","showcodes=N","cols=1;rows=1")</f>
        <v>-3.66012</v>
      </c>
      <c r="G209" s="73">
        <f>[1]!wss($A209:$A209,"hks_stm_is","item=61","rptDate="&amp;($B209-2)&amp;"1231","rptType=1","currencyType=Cur=CNY","WssConvert=0","WssDivide=8","showcodes=N","cols=1;rows=1")</f>
        <v>-3.75461</v>
      </c>
      <c r="H209" s="73">
        <f>[1]!wss($A209:$A209,"hks_stm_is","item=61","rptDate="&amp;($B209-1)&amp;"1231","rptType=1","currencyType=Cur=CNY","WssConvert=0","WssDivide=8","showcodes=N","cols=1;rows=1")</f>
        <v>-4.5236400000000003</v>
      </c>
      <c r="I209" s="73">
        <f>[1]!wss($A209:$A209,"hks_fa_grossprofitmargin","rptDate="&amp;($B209-3)&amp;"1231","WssConvert=0","showcodes=N","cols=1;rows=1")</f>
        <v>39.94</v>
      </c>
      <c r="J209" s="43">
        <f>[1]!wss($A209:$A209,"hks_fa_grossprofitmargin","rptDate="&amp;($B209-2)&amp;"1231","WssConvert=0","showcodes=N","cols=1;rows=1")</f>
        <v>40.492400000000004</v>
      </c>
      <c r="K209" s="43">
        <f>[1]!wss($A209:$A209,"hks_fa_grossprofitmargin","rptDate="&amp;($B209-1)&amp;"1231","WssConvert=0","showcodes=N","cols=1;rows=1")</f>
        <v>38.815100000000001</v>
      </c>
      <c r="L209" s="73" t="str">
        <f>[1]!wss($A209:$A209,"hks_fa_roe","rptDate="&amp;($B209-1)&amp;"1231","WssConvert=0","showcodes=N","cols=1;rows=1")</f>
        <v/>
      </c>
      <c r="M209" s="43">
        <f>[1]!wss($A209:$A209,"hks_fa_debttoassets","rptDate="&amp;($B209-1)&amp;"1231","WssConvert=0","showcodes=N","cols=1;rows=1")</f>
        <v>354.90460000000002</v>
      </c>
      <c r="P209" s="50">
        <v>7.2731599999999998</v>
      </c>
      <c r="Q209" s="50">
        <v>9.3901699999999995</v>
      </c>
      <c r="R209" s="50">
        <v>12.11383</v>
      </c>
      <c r="S209" s="50">
        <v>-3.75461</v>
      </c>
      <c r="T209" s="50">
        <v>-4.5236400000000003</v>
      </c>
      <c r="U209" s="50">
        <v>-3.2662599999999999</v>
      </c>
      <c r="V209" s="50">
        <v>40.492400000000004</v>
      </c>
      <c r="W209" s="50">
        <v>38.815100000000001</v>
      </c>
      <c r="X209" s="50">
        <v>36.0779</v>
      </c>
    </row>
    <row r="210" spans="1:24">
      <c r="A210" t="s">
        <v>674</v>
      </c>
      <c r="B210" s="17">
        <f>IFERROR(YEAR(VLOOKUP($A210,'01_ipo_master'!$A:$C,3,FALSE)),YEAR(VLOOKUP("0"&amp;$A210,'01_ipo_master'!$A:$C,3,FALSE)))</f>
        <v>2022</v>
      </c>
      <c r="C210" s="73">
        <f>[1]!wss($A210:$A210,"hks_stm_is","item=83","rptDate="&amp;($B210-3)&amp;"1231","rptType=1","currencyType=Cur=CNY","WssConvert=0","WssDivide=8","showcodes=N","cols=1;rows=1")</f>
        <v>4.3606400000000001</v>
      </c>
      <c r="D210" s="73">
        <f>[1]!wss($A210:$A210,"hks_stm_is","item=83","rptDate="&amp;($B210-2)&amp;"1231","rptType=1","currencyType=Cur=CNY","WssConvert=0","WssDivide=8","showcodes=N","cols=1;rows=1")</f>
        <v>4.3806400000000005</v>
      </c>
      <c r="E210" s="73">
        <f>[1]!wss($A210:$A210,"hks_stm_is","item=83","rptDate="&amp;($B210-1)&amp;"1231","rptType=1","currencyType=Cur=CNY","WssConvert=0","WssDivide=8","showcodes=N","cols=1;rows=1")</f>
        <v>4.6273600000000004</v>
      </c>
      <c r="F210" s="73">
        <f>[1]!wss($A210:$A210,"hks_stm_is","item=61","rptDate="&amp;($B210-3)&amp;"1231","rptType=1","currencyType=Cur=CNY","WssConvert=0","WssDivide=8","showcodes=N","cols=1;rows=1")</f>
        <v>0.42521999999999999</v>
      </c>
      <c r="G210" s="73">
        <f>[1]!wss($A210:$A210,"hks_stm_is","item=61","rptDate="&amp;($B210-2)&amp;"1231","rptType=1","currencyType=Cur=CNY","WssConvert=0","WssDivide=8","showcodes=N","cols=1;rows=1")</f>
        <v>0.47339000000000003</v>
      </c>
      <c r="H210" s="73">
        <f>[1]!wss($A210:$A210,"hks_stm_is","item=61","rptDate="&amp;($B210-1)&amp;"1231","rptType=1","currencyType=Cur=CNY","WssConvert=0","WssDivide=8","showcodes=N","cols=1;rows=1")</f>
        <v>0.55464999999999998</v>
      </c>
      <c r="I210" s="73">
        <f>[1]!wss($A210:$A210,"hks_fa_grossprofitmargin","rptDate="&amp;($B210-3)&amp;"1231","WssConvert=0","showcodes=N","cols=1;rows=1")</f>
        <v>20.285699999999999</v>
      </c>
      <c r="J210" s="43">
        <f>[1]!wss($A210:$A210,"hks_fa_grossprofitmargin","rptDate="&amp;($B210-2)&amp;"1231","WssConvert=0","showcodes=N","cols=1;rows=1")</f>
        <v>21.0793</v>
      </c>
      <c r="K210" s="43">
        <f>[1]!wss($A210:$A210,"hks_fa_grossprofitmargin","rptDate="&amp;($B210-1)&amp;"1231","WssConvert=0","showcodes=N","cols=1;rows=1")</f>
        <v>22.993400000000001</v>
      </c>
      <c r="L210" s="73">
        <f>[1]!wss($A210:$A210,"hks_fa_roe","rptDate="&amp;($B210-1)&amp;"1231","WssConvert=0","showcodes=N","cols=1;rows=1")</f>
        <v>10.619199999999999</v>
      </c>
      <c r="M210" s="43">
        <f>[1]!wss($A210:$A210,"hks_fa_debttoassets","rptDate="&amp;($B210-1)&amp;"1231","WssConvert=0","showcodes=N","cols=1;rows=1")</f>
        <v>57.927799999999998</v>
      </c>
      <c r="P210" s="50">
        <v>7.2664200000000001</v>
      </c>
      <c r="Q210" s="50">
        <v>9.2460100000000001</v>
      </c>
      <c r="R210" s="50">
        <v>9.7271000000000001</v>
      </c>
      <c r="S210" s="50">
        <v>0.74429999999999996</v>
      </c>
      <c r="T210" s="50">
        <v>0.65315999999999996</v>
      </c>
      <c r="U210" s="50">
        <v>0.66796</v>
      </c>
      <c r="V210" s="50">
        <v>20.269200000000001</v>
      </c>
      <c r="W210" s="50">
        <v>17.5077</v>
      </c>
      <c r="X210" s="50">
        <v>17.543500000000002</v>
      </c>
    </row>
    <row r="211" spans="1:24">
      <c r="A211" t="s">
        <v>676</v>
      </c>
      <c r="B211" s="17">
        <f>IFERROR(YEAR(VLOOKUP($A211,'01_ipo_master'!$A:$C,3,FALSE)),YEAR(VLOOKUP("0"&amp;$A211,'01_ipo_master'!$A:$C,3,FALSE)))</f>
        <v>2023</v>
      </c>
      <c r="C211" s="73">
        <f>[1]!wss($A211:$A211,"hks_stm_is","item=83","rptDate="&amp;($B211-3)&amp;"1231","rptType=1","currencyType=Cur=CNY","WssConvert=0","WssDivide=8","showcodes=N","cols=1;rows=1")</f>
        <v>4.1357100000000004</v>
      </c>
      <c r="D211" s="73">
        <f>[1]!wss($A211:$A211,"hks_stm_is","item=83","rptDate="&amp;($B211-2)&amp;"1231","rptType=1","currencyType=Cur=CNY","WssConvert=0","WssDivide=8","showcodes=N","cols=1;rows=1")</f>
        <v>4.16289</v>
      </c>
      <c r="E211" s="73">
        <f>[1]!wss($A211:$A211,"hks_stm_is","item=83","rptDate="&amp;($B211-1)&amp;"1231","rptType=1","currencyType=Cur=CNY","WssConvert=0","WssDivide=8","showcodes=N","cols=1;rows=1")</f>
        <v>6.1810999999999998</v>
      </c>
      <c r="F211" s="73">
        <f>[1]!wss($A211:$A211,"hks_stm_is","item=61","rptDate="&amp;($B211-3)&amp;"1231","rptType=1","currencyType=Cur=CNY","WssConvert=0","WssDivide=8","showcodes=N","cols=1;rows=1")</f>
        <v>0.53874</v>
      </c>
      <c r="G211" s="73">
        <f>[1]!wss($A211:$A211,"hks_stm_is","item=61","rptDate="&amp;($B211-2)&amp;"1231","rptType=1","currencyType=Cur=CNY","WssConvert=0","WssDivide=8","showcodes=N","cols=1;rows=1")</f>
        <v>0.58664000000000005</v>
      </c>
      <c r="H211" s="73">
        <f>[1]!wss($A211:$A211,"hks_stm_is","item=61","rptDate="&amp;($B211-1)&amp;"1231","rptType=1","currencyType=Cur=CNY","WssConvert=0","WssDivide=8","showcodes=N","cols=1;rows=1")</f>
        <v>0.52702000000000004</v>
      </c>
      <c r="I211" s="73">
        <f>[1]!wss($A211:$A211,"hks_fa_grossprofitmargin","rptDate="&amp;($B211-3)&amp;"1231","WssConvert=0","showcodes=N","cols=1;rows=1")</f>
        <v>39.6464</v>
      </c>
      <c r="J211" s="43">
        <f>[1]!wss($A211:$A211,"hks_fa_grossprofitmargin","rptDate="&amp;($B211-2)&amp;"1231","WssConvert=0","showcodes=N","cols=1;rows=1")</f>
        <v>40.896799999999999</v>
      </c>
      <c r="K211" s="43">
        <f>[1]!wss($A211:$A211,"hks_fa_grossprofitmargin","rptDate="&amp;($B211-1)&amp;"1231","WssConvert=0","showcodes=N","cols=1;rows=1")</f>
        <v>28.080300000000001</v>
      </c>
      <c r="L211" s="73">
        <f>[1]!wss($A211:$A211,"hks_fa_roe","rptDate="&amp;($B211-1)&amp;"1231","WssConvert=0","showcodes=N","cols=1;rows=1")</f>
        <v>15.696199999999999</v>
      </c>
      <c r="M211" s="43">
        <f>[1]!wss($A211:$A211,"hks_fa_debttoassets","rptDate="&amp;($B211-1)&amp;"1231","WssConvert=0","showcodes=N","cols=1;rows=1")</f>
        <v>44.748899999999999</v>
      </c>
      <c r="P211" s="50">
        <v>7.2594799999999999</v>
      </c>
      <c r="Q211" s="50">
        <v>10.463609999999999</v>
      </c>
      <c r="R211" s="50">
        <v>20.272649999999999</v>
      </c>
      <c r="S211" s="50">
        <v>0.11502</v>
      </c>
      <c r="T211" s="50">
        <v>0.13008</v>
      </c>
      <c r="U211" s="50">
        <v>0.22427</v>
      </c>
      <c r="V211" s="50">
        <v>13.067299999999999</v>
      </c>
      <c r="W211" s="50">
        <v>11.8866</v>
      </c>
      <c r="X211" s="50">
        <v>8.7814999999999994</v>
      </c>
    </row>
    <row r="212" spans="1:24">
      <c r="A212" t="s">
        <v>678</v>
      </c>
      <c r="B212" s="17">
        <f>IFERROR(YEAR(VLOOKUP($A212,'01_ipo_master'!$A:$C,3,FALSE)),YEAR(VLOOKUP("0"&amp;$A212,'01_ipo_master'!$A:$C,3,FALSE)))</f>
        <v>2025</v>
      </c>
      <c r="C212" s="73">
        <f>[1]!wss($A212:$A212,"hks_stm_is","item=83","rptDate="&amp;($B212-3)&amp;"1231","rptType=1","currencyType=Cur=CNY","WssConvert=0","WssDivide=8","showcodes=N","cols=1;rows=1")</f>
        <v>4.9878</v>
      </c>
      <c r="D212" s="73">
        <f>[1]!wss($A212:$A212,"hks_stm_is","item=83","rptDate="&amp;($B212-2)&amp;"1231","rptType=1","currencyType=Cur=CNY","WssConvert=0","WssDivide=8","showcodes=N","cols=1;rows=1")</f>
        <v>7.20303</v>
      </c>
      <c r="E212" s="73">
        <f>[1]!wss($A212:$A212,"hks_stm_is","item=83","rptDate="&amp;($B212-1)&amp;"1231","rptType=1","currencyType=Cur=CNY","WssConvert=0","WssDivide=8","showcodes=N","cols=1;rows=1")</f>
        <v>8.6416500000000003</v>
      </c>
      <c r="F212" s="73">
        <f>[1]!wss($A212:$A212,"hks_stm_is","item=61","rptDate="&amp;($B212-3)&amp;"1231","rptType=1","currencyType=Cur=CNY","WssConvert=0","WssDivide=8","showcodes=N","cols=1;rows=1")</f>
        <v>0.32956000000000002</v>
      </c>
      <c r="G212" s="73">
        <f>[1]!wss($A212:$A212,"hks_stm_is","item=61","rptDate="&amp;($B212-2)&amp;"1231","rptType=1","currencyType=Cur=CNY","WssConvert=0","WssDivide=8","showcodes=N","cols=1;rows=1")</f>
        <v>0.79973000000000005</v>
      </c>
      <c r="H212" s="73">
        <f>[1]!wss($A212:$A212,"hks_stm_is","item=61","rptDate="&amp;($B212-1)&amp;"1231","rptType=1","currencyType=Cur=CNY","WssConvert=0","WssDivide=8","showcodes=N","cols=1;rows=1")</f>
        <v>0.43331000000000003</v>
      </c>
      <c r="I212" s="73">
        <f>[1]!wss($A212:$A212,"hks_fa_grossprofitmargin","rptDate="&amp;($B212-3)&amp;"1231","WssConvert=0","showcodes=N","cols=1;rows=1")</f>
        <v>16.489000000000001</v>
      </c>
      <c r="J212" s="43">
        <f>[1]!wss($A212:$A212,"hks_fa_grossprofitmargin","rptDate="&amp;($B212-2)&amp;"1231","WssConvert=0","showcodes=N","cols=1;rows=1")</f>
        <v>25.135400000000001</v>
      </c>
      <c r="K212" s="43">
        <f>[1]!wss($A212:$A212,"hks_fa_grossprofitmargin","rptDate="&amp;($B212-1)&amp;"1231","WssConvert=0","showcodes=N","cols=1;rows=1")</f>
        <v>31.072299999999998</v>
      </c>
      <c r="L212" s="73">
        <f>[1]!wss($A212:$A212,"hks_fa_roe","rptDate="&amp;($B212-1)&amp;"1231","WssConvert=0","showcodes=N","cols=1;rows=1")</f>
        <v>142.78039999999999</v>
      </c>
      <c r="M212" s="43">
        <f>[1]!wss($A212:$A212,"hks_fa_debttoassets","rptDate="&amp;($B212-1)&amp;"1231","WssConvert=0","showcodes=N","cols=1;rows=1")</f>
        <v>92.988900000000001</v>
      </c>
      <c r="P212" s="50">
        <v>7.20303</v>
      </c>
      <c r="Q212" s="50">
        <v>8.6416500000000003</v>
      </c>
      <c r="R212" s="50">
        <v>8.71373</v>
      </c>
      <c r="S212" s="50">
        <v>0.79973000000000005</v>
      </c>
      <c r="T212" s="50">
        <v>0.43330999999999997</v>
      </c>
      <c r="U212" s="50">
        <v>0.30819999999999997</v>
      </c>
      <c r="V212" s="50">
        <v>25.135400000000001</v>
      </c>
      <c r="W212" s="50">
        <v>31.072299999999998</v>
      </c>
      <c r="X212" s="50">
        <v>27.221900000000002</v>
      </c>
    </row>
    <row r="213" spans="1:24">
      <c r="A213" t="s">
        <v>680</v>
      </c>
      <c r="B213" s="17">
        <f>IFERROR(YEAR(VLOOKUP($A213,'01_ipo_master'!$A:$C,3,FALSE)),YEAR(VLOOKUP("0"&amp;$A213,'01_ipo_master'!$A:$C,3,FALSE)))</f>
        <v>2022</v>
      </c>
      <c r="C213" s="73">
        <f>[1]!wss($A213:$A213,"hks_stm_is","item=83","rptDate="&amp;($B213-3)&amp;"1231","rptType=1","currencyType=Cur=CNY","WssConvert=0","WssDivide=8","showcodes=N","cols=1;rows=1")</f>
        <v>1.7003600000000001</v>
      </c>
      <c r="D213" s="73">
        <f>[1]!wss($A213:$A213,"hks_stm_is","item=83","rptDate="&amp;($B213-2)&amp;"1231","rptType=1","currencyType=Cur=CNY","WssConvert=0","WssDivide=8","showcodes=N","cols=1;rows=1")</f>
        <v>2.5354200000000002</v>
      </c>
      <c r="E213" s="73">
        <f>[1]!wss($A213:$A213,"hks_stm_is","item=83","rptDate="&amp;($B213-1)&amp;"1231","rptType=1","currencyType=Cur=CNY","WssConvert=0","WssDivide=8","showcodes=N","cols=1;rows=1")</f>
        <v>3.54555</v>
      </c>
      <c r="F213" s="73">
        <f>[1]!wss($A213:$A213,"hks_stm_is","item=61","rptDate="&amp;($B213-3)&amp;"1231","rptType=1","currencyType=Cur=CNY","WssConvert=0","WssDivide=8","showcodes=N","cols=1;rows=1")</f>
        <v>-2.6324300000000003</v>
      </c>
      <c r="G213" s="73">
        <f>[1]!wss($A213:$A213,"hks_stm_is","item=61","rptDate="&amp;($B213-2)&amp;"1231","rptType=1","currencyType=Cur=CNY","WssConvert=0","WssDivide=8","showcodes=N","cols=1;rows=1")</f>
        <v>-4.2809100000000004</v>
      </c>
      <c r="H213" s="73">
        <f>[1]!wss($A213:$A213,"hks_stm_is","item=61","rptDate="&amp;($B213-1)&amp;"1231","rptType=1","currencyType=Cur=CNY","WssConvert=0","WssDivide=8","showcodes=N","cols=1;rows=1")</f>
        <v>-5.4557599999999997</v>
      </c>
      <c r="I213" s="73">
        <f>[1]!wss($A213:$A213,"hks_fa_grossprofitmargin","rptDate="&amp;($B213-3)&amp;"1231","WssConvert=0","showcodes=N","cols=1;rows=1")</f>
        <v>57.183</v>
      </c>
      <c r="J213" s="43">
        <f>[1]!wss($A213:$A213,"hks_fa_grossprofitmargin","rptDate="&amp;($B213-2)&amp;"1231","WssConvert=0","showcodes=N","cols=1;rows=1")</f>
        <v>65.864000000000004</v>
      </c>
      <c r="K213" s="43">
        <f>[1]!wss($A213:$A213,"hks_fa_grossprofitmargin","rptDate="&amp;($B213-1)&amp;"1231","WssConvert=0","showcodes=N","cols=1;rows=1")</f>
        <v>69.788899999999998</v>
      </c>
      <c r="L213" s="73">
        <f>[1]!wss($A213:$A213,"hks_fa_roe","rptDate="&amp;($B213-1)&amp;"1231","WssConvert=0","showcodes=N","cols=1;rows=1")</f>
        <v>-40.403799999999997</v>
      </c>
      <c r="M213" s="43">
        <f>[1]!wss($A213:$A213,"hks_fa_debttoassets","rptDate="&amp;($B213-1)&amp;"1231","WssConvert=0","showcodes=N","cols=1;rows=1")</f>
        <v>45.632300000000001</v>
      </c>
      <c r="P213" s="50">
        <v>7.1691200000000004</v>
      </c>
      <c r="Q213" s="50">
        <v>9.8045399999999994</v>
      </c>
      <c r="R213" s="50">
        <v>13.788080000000001</v>
      </c>
      <c r="S213" s="50">
        <v>-3.82951</v>
      </c>
      <c r="T213" s="50">
        <v>0.33542</v>
      </c>
      <c r="U213" s="50">
        <v>1.7319899999999999</v>
      </c>
      <c r="V213" s="50">
        <v>70.5852</v>
      </c>
      <c r="W213" s="50">
        <v>77.67</v>
      </c>
      <c r="X213" s="50">
        <v>75.832899999999995</v>
      </c>
    </row>
    <row r="214" spans="1:24">
      <c r="A214" t="s">
        <v>683</v>
      </c>
      <c r="B214" s="17">
        <f>IFERROR(YEAR(VLOOKUP($A214,'01_ipo_master'!$A:$C,3,FALSE)),YEAR(VLOOKUP("0"&amp;$A214,'01_ipo_master'!$A:$C,3,FALSE)))</f>
        <v>2024</v>
      </c>
      <c r="C214" s="73">
        <f>[1]!wss($A214:$A214,"hks_stm_is","item=83","rptDate="&amp;($B214-3)&amp;"1231","rptType=1","currencyType=Cur=CNY","WssConvert=0","WssDivide=8","showcodes=N","cols=1;rows=1")</f>
        <v>4.5376300000000001</v>
      </c>
      <c r="D214" s="73">
        <f>[1]!wss($A214:$A214,"hks_stm_is","item=83","rptDate="&amp;($B214-2)&amp;"1231","rptType=1","currencyType=Cur=CNY","WssConvert=0","WssDivide=8","showcodes=N","cols=1;rows=1")</f>
        <v>5.2576499999999999</v>
      </c>
      <c r="E214" s="73">
        <f>[1]!wss($A214:$A214,"hks_stm_is","item=83","rptDate="&amp;($B214-1)&amp;"1231","rptType=1","currencyType=Cur=CNY","WssConvert=0","WssDivide=8","showcodes=N","cols=1;rows=1")</f>
        <v>7.1299600000000005</v>
      </c>
      <c r="F214" s="73">
        <f>[1]!wss($A214:$A214,"hks_stm_is","item=61","rptDate="&amp;($B214-3)&amp;"1231","rptType=1","currencyType=Cur=CNY","WssConvert=0","WssDivide=8","showcodes=N","cols=1;rows=1")</f>
        <v>-4.4693800000000001</v>
      </c>
      <c r="G214" s="73">
        <f>[1]!wss($A214:$A214,"hks_stm_is","item=61","rptDate="&amp;($B214-2)&amp;"1231","rptType=1","currencyType=Cur=CNY","WssConvert=0","WssDivide=8","showcodes=N","cols=1;rows=1")</f>
        <v>-1.53501</v>
      </c>
      <c r="H214" s="73">
        <f>[1]!wss($A214:$A214,"hks_stm_is","item=61","rptDate="&amp;($B214-1)&amp;"1231","rptType=1","currencyType=Cur=CNY","WssConvert=0","WssDivide=8","showcodes=N","cols=1;rows=1")</f>
        <v>-3.5798000000000001</v>
      </c>
      <c r="I214" s="73">
        <f>[1]!wss($A214:$A214,"hks_fa_grossprofitmargin","rptDate="&amp;($B214-3)&amp;"1231","WssConvert=0","showcodes=N","cols=1;rows=1")</f>
        <v>47.637900000000002</v>
      </c>
      <c r="J214" s="43">
        <f>[1]!wss($A214:$A214,"hks_fa_grossprofitmargin","rptDate="&amp;($B214-2)&amp;"1231","WssConvert=0","showcodes=N","cols=1;rows=1")</f>
        <v>40.757800000000003</v>
      </c>
      <c r="K214" s="43">
        <f>[1]!wss($A214:$A214,"hks_fa_grossprofitmargin","rptDate="&amp;($B214-1)&amp;"1231","WssConvert=0","showcodes=N","cols=1;rows=1")</f>
        <v>39.555799999999998</v>
      </c>
      <c r="L214" s="73" t="str">
        <f>[1]!wss($A214:$A214,"hks_fa_roe","rptDate="&amp;($B214-1)&amp;"1231","WssConvert=0","showcodes=N","cols=1;rows=1")</f>
        <v/>
      </c>
      <c r="M214" s="43">
        <f>[1]!wss($A214:$A214,"hks_fa_debttoassets","rptDate="&amp;($B214-1)&amp;"1231","WssConvert=0","showcodes=N","cols=1;rows=1")</f>
        <v>221.68770000000001</v>
      </c>
      <c r="P214" s="50">
        <v>7.1299599999999996</v>
      </c>
      <c r="Q214" s="50">
        <v>6.5921200000000004</v>
      </c>
      <c r="R214" s="50">
        <v>7.2859600000000002</v>
      </c>
      <c r="S214" s="50">
        <v>-3.5798000000000001</v>
      </c>
      <c r="T214" s="50">
        <v>-5.0121000000000002</v>
      </c>
      <c r="U214" s="50">
        <v>-9.6280000000000004E-2</v>
      </c>
      <c r="V214" s="50">
        <v>39.555799999999998</v>
      </c>
      <c r="W214" s="50">
        <v>39.960299999999997</v>
      </c>
      <c r="X214" s="50">
        <v>42.291200000000003</v>
      </c>
    </row>
    <row r="215" spans="1:24">
      <c r="A215" t="s">
        <v>685</v>
      </c>
      <c r="B215" s="17">
        <f>IFERROR(YEAR(VLOOKUP($A215,'01_ipo_master'!$A:$C,3,FALSE)),YEAR(VLOOKUP("0"&amp;$A215,'01_ipo_master'!$A:$C,3,FALSE)))</f>
        <v>2023</v>
      </c>
      <c r="C215" s="73">
        <f>[1]!wss($A215:$A215,"hks_stm_is","item=83","rptDate="&amp;($B215-3)&amp;"1231","rptType=1","currencyType=Cur=CNY","WssConvert=0","WssDivide=8","showcodes=N","cols=1;rows=1")</f>
        <v>4.8326799999999999</v>
      </c>
      <c r="D215" s="73">
        <f>[1]!wss($A215:$A215,"hks_stm_is","item=83","rptDate="&amp;($B215-2)&amp;"1231","rptType=1","currencyType=Cur=CNY","WssConvert=0","WssDivide=8","showcodes=N","cols=1;rows=1")</f>
        <v>5.9228399999999999</v>
      </c>
      <c r="E215" s="73">
        <f>[1]!wss($A215:$A215,"hks_stm_is","item=83","rptDate="&amp;($B215-1)&amp;"1231","rptType=1","currencyType=Cur=CNY","WssConvert=0","WssDivide=8","showcodes=N","cols=1;rows=1")</f>
        <v>7.7717800000000006</v>
      </c>
      <c r="F215" s="73">
        <f>[1]!wss($A215:$A215,"hks_stm_is","item=61","rptDate="&amp;($B215-3)&amp;"1231","rptType=1","currencyType=Cur=CNY","WssConvert=0","WssDivide=8","showcodes=N","cols=1;rows=1")</f>
        <v>1.2893700000000001</v>
      </c>
      <c r="G215" s="73">
        <f>[1]!wss($A215:$A215,"hks_stm_is","item=61","rptDate="&amp;($B215-2)&amp;"1231","rptType=1","currencyType=Cur=CNY","WssConvert=0","WssDivide=8","showcodes=N","cols=1;rows=1")</f>
        <v>1.60503</v>
      </c>
      <c r="H215" s="73">
        <f>[1]!wss($A215:$A215,"hks_stm_is","item=61","rptDate="&amp;($B215-1)&amp;"1231","rptType=1","currencyType=Cur=CNY","WssConvert=0","WssDivide=8","showcodes=N","cols=1;rows=1")</f>
        <v>2.4365999999999999</v>
      </c>
      <c r="I215" s="73">
        <f>[1]!wss($A215:$A215,"hks_fa_grossprofitmargin","rptDate="&amp;($B215-3)&amp;"1231","WssConvert=0","showcodes=N","cols=1;rows=1")</f>
        <v>72.444599999999994</v>
      </c>
      <c r="J215" s="43">
        <f>[1]!wss($A215:$A215,"hks_fa_grossprofitmargin","rptDate="&amp;($B215-2)&amp;"1231","WssConvert=0","showcodes=N","cols=1;rows=1")</f>
        <v>72.668199999999999</v>
      </c>
      <c r="K215" s="43">
        <f>[1]!wss($A215:$A215,"hks_fa_grossprofitmargin","rptDate="&amp;($B215-1)&amp;"1231","WssConvert=0","showcodes=N","cols=1;rows=1")</f>
        <v>75.687899999999999</v>
      </c>
      <c r="L215" s="73">
        <f>[1]!wss($A215:$A215,"hks_fa_roe","rptDate="&amp;($B215-1)&amp;"1231","WssConvert=0","showcodes=N","cols=1;rows=1")</f>
        <v>41.334699999999998</v>
      </c>
      <c r="M215" s="43">
        <f>[1]!wss($A215:$A215,"hks_fa_debttoassets","rptDate="&amp;($B215-1)&amp;"1231","WssConvert=0","showcodes=N","cols=1;rows=1")</f>
        <v>62.096299999999999</v>
      </c>
      <c r="P215" s="50">
        <v>7.0303000000000004</v>
      </c>
      <c r="Q215" s="50">
        <v>2.3070300000000001</v>
      </c>
      <c r="R215" s="50">
        <v>1.8168299999999999</v>
      </c>
      <c r="S215" s="50">
        <v>1.80846</v>
      </c>
      <c r="T215" s="50">
        <v>0.40068999999999999</v>
      </c>
      <c r="U215" s="50">
        <v>0.20207</v>
      </c>
      <c r="V215" s="50">
        <v>73.768299999999996</v>
      </c>
      <c r="W215" s="50">
        <v>64.230400000000003</v>
      </c>
      <c r="X215" s="50">
        <v>58.502400000000002</v>
      </c>
    </row>
    <row r="216" spans="1:24">
      <c r="A216" t="s">
        <v>687</v>
      </c>
      <c r="B216" s="17">
        <f>IFERROR(YEAR(VLOOKUP($A216,'01_ipo_master'!$A:$C,3,FALSE)),YEAR(VLOOKUP("0"&amp;$A216,'01_ipo_master'!$A:$C,3,FALSE)))</f>
        <v>2023</v>
      </c>
      <c r="C216" s="73">
        <f>[1]!wss($A216:$A216,"hks_stm_is","item=83","rptDate="&amp;($B216-3)&amp;"1231","rptType=1","currencyType=Cur=CNY","WssConvert=0","WssDivide=8","showcodes=N","cols=1;rows=1")</f>
        <v>2.2688299999999999</v>
      </c>
      <c r="D216" s="73">
        <f>[1]!wss($A216:$A216,"hks_stm_is","item=83","rptDate="&amp;($B216-2)&amp;"1231","rptType=1","currencyType=Cur=CNY","WssConvert=0","WssDivide=8","showcodes=N","cols=1;rows=1")</f>
        <v>4.5713800000000004</v>
      </c>
      <c r="E216" s="73">
        <f>[1]!wss($A216:$A216,"hks_stm_is","item=83","rptDate="&amp;($B216-1)&amp;"1231","rptType=1","currencyType=Cur=CNY","WssConvert=0","WssDivide=8","showcodes=N","cols=1;rows=1")</f>
        <v>7.48475</v>
      </c>
      <c r="F216" s="73">
        <f>[1]!wss($A216:$A216,"hks_stm_is","item=61","rptDate="&amp;($B216-3)&amp;"1231","rptType=1","currencyType=Cur=CNY","WssConvert=0","WssDivide=8","showcodes=N","cols=1;rows=1")</f>
        <v>-2.1482600000000001</v>
      </c>
      <c r="G216" s="73">
        <f>[1]!wss($A216:$A216,"hks_stm_is","item=61","rptDate="&amp;($B216-2)&amp;"1231","rptType=1","currencyType=Cur=CNY","WssConvert=0","WssDivide=8","showcodes=N","cols=1;rows=1")</f>
        <v>-7.0307599999999999</v>
      </c>
      <c r="H216" s="73">
        <f>[1]!wss($A216:$A216,"hks_stm_is","item=61","rptDate="&amp;($B216-1)&amp;"1231","rptType=1","currencyType=Cur=CNY","WssConvert=0","WssDivide=8","showcodes=N","cols=1;rows=1")</f>
        <v>-2.7341600000000001</v>
      </c>
      <c r="I216" s="73">
        <f>[1]!wss($A216:$A216,"hks_fa_grossprofitmargin","rptDate="&amp;($B216-3)&amp;"1231","WssConvert=0","showcodes=N","cols=1;rows=1")</f>
        <v>3.5181</v>
      </c>
      <c r="J216" s="43">
        <f>[1]!wss($A216:$A216,"hks_fa_grossprofitmargin","rptDate="&amp;($B216-2)&amp;"1231","WssConvert=0","showcodes=N","cols=1;rows=1")</f>
        <v>27.896999999999998</v>
      </c>
      <c r="K216" s="43">
        <f>[1]!wss($A216:$A216,"hks_fa_grossprofitmargin","rptDate="&amp;($B216-1)&amp;"1231","WssConvert=0","showcodes=N","cols=1;rows=1")</f>
        <v>21.216899999999999</v>
      </c>
      <c r="L216" s="73">
        <f>[1]!wss($A216:$A216,"hks_fa_roe","rptDate="&amp;($B216-1)&amp;"1231","WssConvert=0","showcodes=N","cols=1;rows=1")</f>
        <v>-14.313499999999999</v>
      </c>
      <c r="M216" s="43">
        <f>[1]!wss($A216:$A216,"hks_fa_debttoassets","rptDate="&amp;($B216-1)&amp;"1231","WssConvert=0","showcodes=N","cols=1;rows=1")</f>
        <v>32.7761</v>
      </c>
      <c r="P216" s="50">
        <v>7.0061600000000004</v>
      </c>
      <c r="Q216" s="50">
        <v>4.4243899999999998</v>
      </c>
      <c r="R216" s="50">
        <v>2.99871</v>
      </c>
      <c r="S216" s="50">
        <v>-4.0444699999999996</v>
      </c>
      <c r="T216" s="50">
        <v>-4.0717600000000003</v>
      </c>
      <c r="U216" s="50">
        <v>-4.8378100000000002</v>
      </c>
      <c r="V216" s="50">
        <v>25.085100000000001</v>
      </c>
      <c r="W216" s="50">
        <v>9.048</v>
      </c>
      <c r="X216" s="50">
        <v>8.2218999999999998</v>
      </c>
    </row>
    <row r="217" spans="1:24">
      <c r="A217" t="s">
        <v>689</v>
      </c>
      <c r="B217" s="17">
        <f>IFERROR(YEAR(VLOOKUP($A217,'01_ipo_master'!$A:$C,3,FALSE)),YEAR(VLOOKUP("0"&amp;$A217,'01_ipo_master'!$A:$C,3,FALSE)))</f>
        <v>2025</v>
      </c>
      <c r="C217" s="73">
        <f>[1]!wss($A217:$A217,"hks_stm_is","item=83","rptDate="&amp;($B217-3)&amp;"1231","rptType=1","currencyType=Cur=CNY","WssConvert=0","WssDivide=8","showcodes=N","cols=1;rows=1")</f>
        <v>5.2307800000000002</v>
      </c>
      <c r="D217" s="73">
        <f>[1]!wss($A217:$A217,"hks_stm_is","item=83","rptDate="&amp;($B217-2)&amp;"1231","rptType=1","currencyType=Cur=CNY","WssConvert=0","WssDivide=8","showcodes=N","cols=1;rows=1")</f>
        <v>6.9719100000000003</v>
      </c>
      <c r="E217" s="73">
        <f>[1]!wss($A217:$A217,"hks_stm_is","item=83","rptDate="&amp;($B217-1)&amp;"1231","rptType=1","currencyType=Cur=CNY","WssConvert=0","WssDivide=8","showcodes=N","cols=1;rows=1")</f>
        <v>9.0975000000000001</v>
      </c>
      <c r="F217" s="73">
        <f>[1]!wss($A217:$A217,"hks_stm_is","item=61","rptDate="&amp;($B217-3)&amp;"1231","rptType=1","currencyType=Cur=CNY","WssConvert=0","WssDivide=8","showcodes=N","cols=1;rows=1")</f>
        <v>-5.05335</v>
      </c>
      <c r="G217" s="73">
        <f>[1]!wss($A217:$A217,"hks_stm_is","item=61","rptDate="&amp;($B217-2)&amp;"1231","rptType=1","currencyType=Cur=CNY","WssConvert=0","WssDivide=8","showcodes=N","cols=1;rows=1")</f>
        <v>-4.8655499999999998</v>
      </c>
      <c r="H217" s="73">
        <f>[1]!wss($A217:$A217,"hks_stm_is","item=61","rptDate="&amp;($B217-1)&amp;"1231","rptType=1","currencyType=Cur=CNY","WssConvert=0","WssDivide=8","showcodes=N","cols=1;rows=1")</f>
        <v>0.12152</v>
      </c>
      <c r="I217" s="73">
        <f>[1]!wss($A217:$A217,"hks_fa_grossprofitmargin","rptDate="&amp;($B217-3)&amp;"1231","WssConvert=0","showcodes=N","cols=1;rows=1")</f>
        <v>52.289099999999998</v>
      </c>
      <c r="J217" s="43">
        <f>[1]!wss($A217:$A217,"hks_fa_grossprofitmargin","rptDate="&amp;($B217-2)&amp;"1231","WssConvert=0","showcodes=N","cols=1;rows=1")</f>
        <v>62.3367</v>
      </c>
      <c r="K217" s="43">
        <f>[1]!wss($A217:$A217,"hks_fa_grossprofitmargin","rptDate="&amp;($B217-1)&amp;"1231","WssConvert=0","showcodes=N","cols=1;rows=1")</f>
        <v>68.463999999999999</v>
      </c>
      <c r="L217" s="73" t="str">
        <f>[1]!wss($A217:$A217,"hks_fa_roe","rptDate="&amp;($B217-1)&amp;"1231","WssConvert=0","showcodes=N","cols=1;rows=1")</f>
        <v/>
      </c>
      <c r="M217" s="43">
        <f>[1]!wss($A217:$A217,"hks_fa_debttoassets","rptDate="&amp;($B217-1)&amp;"1231","WssConvert=0","showcodes=N","cols=1;rows=1")</f>
        <v>264.73860000000002</v>
      </c>
      <c r="P217" s="50">
        <v>6.9719100000000003</v>
      </c>
      <c r="Q217" s="50">
        <v>9.0975000000000001</v>
      </c>
      <c r="R217" s="50">
        <v>11.4247</v>
      </c>
      <c r="S217" s="50">
        <v>-4.8655499999999998</v>
      </c>
      <c r="T217" s="50">
        <v>0.12152</v>
      </c>
      <c r="U217" s="50">
        <v>-16.550249999999998</v>
      </c>
      <c r="V217" s="50">
        <v>62.3367</v>
      </c>
      <c r="W217" s="50">
        <v>68.463999999999999</v>
      </c>
      <c r="X217" s="50">
        <v>73.613</v>
      </c>
    </row>
    <row r="218" spans="1:24">
      <c r="A218" t="s">
        <v>691</v>
      </c>
      <c r="B218" s="17">
        <f>IFERROR(YEAR(VLOOKUP($A218,'01_ipo_master'!$A:$C,3,FALSE)),YEAR(VLOOKUP("0"&amp;$A218,'01_ipo_master'!$A:$C,3,FALSE)))</f>
        <v>2024</v>
      </c>
      <c r="C218" s="73">
        <f>[1]!wss($A218:$A218,"hks_stm_is","item=83","rptDate="&amp;($B218-3)&amp;"1231","rptType=1","currencyType=Cur=CNY","WssConvert=0","WssDivide=8","showcodes=N","cols=1;rows=1")</f>
        <v>4.64276</v>
      </c>
      <c r="D218" s="73">
        <f>[1]!wss($A218:$A218,"hks_stm_is","item=83","rptDate="&amp;($B218-2)&amp;"1231","rptType=1","currencyType=Cur=CNY","WssConvert=0","WssDivide=8","showcodes=N","cols=1;rows=1")</f>
        <v>5.4875300000000005</v>
      </c>
      <c r="E218" s="73">
        <f>[1]!wss($A218:$A218,"hks_stm_is","item=83","rptDate="&amp;($B218-1)&amp;"1231","rptType=1","currencyType=Cur=CNY","WssConvert=0","WssDivide=8","showcodes=N","cols=1;rows=1")</f>
        <v>6.9594899999999997</v>
      </c>
      <c r="F218" s="73">
        <f>[1]!wss($A218:$A218,"hks_stm_is","item=61","rptDate="&amp;($B218-3)&amp;"1231","rptType=1","currencyType=Cur=CNY","WssConvert=0","WssDivide=8","showcodes=N","cols=1;rows=1")</f>
        <v>0.12684999999999999</v>
      </c>
      <c r="G218" s="73">
        <f>[1]!wss($A218:$A218,"hks_stm_is","item=61","rptDate="&amp;($B218-2)&amp;"1231","rptType=1","currencyType=Cur=CNY","WssConvert=0","WssDivide=8","showcodes=N","cols=1;rows=1")</f>
        <v>8.0339999999999995E-2</v>
      </c>
      <c r="H218" s="73">
        <f>[1]!wss($A218:$A218,"hks_stm_is","item=61","rptDate="&amp;($B218-1)&amp;"1231","rptType=1","currencyType=Cur=CNY","WssConvert=0","WssDivide=8","showcodes=N","cols=1;rows=1")</f>
        <v>0.13922999999999999</v>
      </c>
      <c r="I218" s="73">
        <f>[1]!wss($A218:$A218,"hks_fa_grossprofitmargin","rptDate="&amp;($B218-3)&amp;"1231","WssConvert=0","showcodes=N","cols=1;rows=1")</f>
        <v>12.1557</v>
      </c>
      <c r="J218" s="43">
        <f>[1]!wss($A218:$A218,"hks_fa_grossprofitmargin","rptDate="&amp;($B218-2)&amp;"1231","WssConvert=0","showcodes=N","cols=1;rows=1")</f>
        <v>12.563599999999999</v>
      </c>
      <c r="K218" s="43">
        <f>[1]!wss($A218:$A218,"hks_fa_grossprofitmargin","rptDate="&amp;($B218-1)&amp;"1231","WssConvert=0","showcodes=N","cols=1;rows=1")</f>
        <v>12.593</v>
      </c>
      <c r="L218" s="73">
        <f>[1]!wss($A218:$A218,"hks_fa_roe","rptDate="&amp;($B218-1)&amp;"1231","WssConvert=0","showcodes=N","cols=1;rows=1")</f>
        <v>27.897600000000001</v>
      </c>
      <c r="M218" s="43">
        <f>[1]!wss($A218:$A218,"hks_fa_debttoassets","rptDate="&amp;($B218-1)&amp;"1231","WssConvert=0","showcodes=N","cols=1;rows=1")</f>
        <v>89.057900000000004</v>
      </c>
      <c r="P218" s="50">
        <v>6.9594899999999997</v>
      </c>
      <c r="Q218" s="50">
        <v>7.0762900000000002</v>
      </c>
      <c r="R218" s="50">
        <v>9.4349699999999999</v>
      </c>
      <c r="S218" s="50">
        <v>0.13922999999999999</v>
      </c>
      <c r="T218" s="50">
        <v>0.12091</v>
      </c>
      <c r="U218" s="50">
        <v>0.11549</v>
      </c>
      <c r="V218" s="50">
        <v>12.593</v>
      </c>
      <c r="W218" s="50">
        <v>12.665100000000001</v>
      </c>
      <c r="X218" s="50">
        <v>10.176399999999999</v>
      </c>
    </row>
    <row r="219" spans="1:24">
      <c r="A219" t="s">
        <v>693</v>
      </c>
      <c r="B219" s="17">
        <f>IFERROR(YEAR(VLOOKUP($A219,'01_ipo_master'!$A:$C,3,FALSE)),YEAR(VLOOKUP("0"&amp;$A219,'01_ipo_master'!$A:$C,3,FALSE)))</f>
        <v>2026</v>
      </c>
      <c r="C219" s="73">
        <f>[1]!wss($A219:$A219,"hks_stm_is","item=83","rptDate="&amp;($B219-3)&amp;"1231","rptType=1","currencyType=Cur=CNY","WssConvert=0","WssDivide=8","showcodes=N","cols=1;rows=1")</f>
        <v>6.90435</v>
      </c>
      <c r="D219" s="73">
        <f>[1]!wss($A219:$A219,"hks_stm_is","item=83","rptDate="&amp;($B219-2)&amp;"1231","rptType=1","currencyType=Cur=CNY","WssConvert=0","WssDivide=8","showcodes=N","cols=1;rows=1")</f>
        <v>9.5857799999999997</v>
      </c>
      <c r="E219" s="73">
        <f>[1]!wss($A219:$A219,"hks_stm_is","item=83","rptDate="&amp;($B219-1)&amp;"1231","rptType=1","currencyType=Cur=CNY","WssConvert=0","WssDivide=8","showcodes=N","cols=1;rows=1")</f>
        <v>10.645290000000001</v>
      </c>
      <c r="F219" s="73">
        <f>[1]!wss($A219:$A219,"hks_stm_is","item=61","rptDate="&amp;($B219-3)&amp;"1231","rptType=1","currencyType=Cur=CNY","WssConvert=0","WssDivide=8","showcodes=N","cols=1;rows=1")</f>
        <v>-3.5066899999999999</v>
      </c>
      <c r="G219" s="73">
        <f>[1]!wss($A219:$A219,"hks_stm_is","item=61","rptDate="&amp;($B219-2)&amp;"1231","rptType=1","currencyType=Cur=CNY","WssConvert=0","WssDivide=8","showcodes=N","cols=1;rows=1")</f>
        <v>0.83805000000000007</v>
      </c>
      <c r="H219" s="73">
        <f>[1]!wss($A219:$A219,"hks_stm_is","item=61","rptDate="&amp;($B219-1)&amp;"1231","rptType=1","currencyType=Cur=CNY","WssConvert=0","WssDivide=8","showcodes=N","cols=1;rows=1")</f>
        <v>1.3506400000000001</v>
      </c>
      <c r="I219" s="73">
        <f>[1]!wss($A219:$A219,"hks_fa_grossprofitmargin","rptDate="&amp;($B219-3)&amp;"1231","WssConvert=0","showcodes=N","cols=1;rows=1")</f>
        <v>19.335899999999999</v>
      </c>
      <c r="J219" s="43">
        <f>[1]!wss($A219:$A219,"hks_fa_grossprofitmargin","rptDate="&amp;($B219-2)&amp;"1231","WssConvert=0","showcodes=N","cols=1;rows=1")</f>
        <v>23.576899999999998</v>
      </c>
      <c r="K219" s="43">
        <f>[1]!wss($A219:$A219,"hks_fa_grossprofitmargin","rptDate="&amp;($B219-1)&amp;"1231","WssConvert=0","showcodes=N","cols=1;rows=1")</f>
        <v>25.0853</v>
      </c>
      <c r="L219" s="73" t="str">
        <f>[1]!wss($A219:$A219,"hks_fa_roe","rptDate="&amp;($B219-1)&amp;"1231","WssConvert=0","showcodes=N","cols=1;rows=1")</f>
        <v/>
      </c>
      <c r="M219" s="43">
        <f>[1]!wss($A219:$A219,"hks_fa_debttoassets","rptDate="&amp;($B219-1)&amp;"1231","WssConvert=0","showcodes=N","cols=1;rows=1")</f>
        <v>219.80080000000001</v>
      </c>
      <c r="P219" s="50">
        <v>6.90435</v>
      </c>
      <c r="Q219" s="50">
        <v>9.5857799999999997</v>
      </c>
      <c r="R219" s="50">
        <v>10.645289999999999</v>
      </c>
      <c r="S219" s="50">
        <v>-3.5066899999999999</v>
      </c>
      <c r="T219" s="50">
        <v>0.83804999999999996</v>
      </c>
      <c r="U219" s="50">
        <v>1.3506400000000001</v>
      </c>
      <c r="V219" s="50">
        <v>19.335899999999999</v>
      </c>
      <c r="W219" s="50">
        <v>23.576899999999998</v>
      </c>
      <c r="X219" s="50">
        <v>25.0853</v>
      </c>
    </row>
    <row r="220" spans="1:24">
      <c r="A220" t="s">
        <v>695</v>
      </c>
      <c r="B220" s="17">
        <f>IFERROR(YEAR(VLOOKUP($A220,'01_ipo_master'!$A:$C,3,FALSE)),YEAR(VLOOKUP("0"&amp;$A220,'01_ipo_master'!$A:$C,3,FALSE)))</f>
        <v>2026</v>
      </c>
      <c r="C220" s="73">
        <f>[1]!wss($A220:$A220,"hks_stm_is","item=83","rptDate="&amp;($B220-3)&amp;"1231","rptType=1","currencyType=Cur=CNY","WssConvert=0","WssDivide=8","showcodes=N","cols=1;rows=1")</f>
        <v>6.7570100000000002</v>
      </c>
      <c r="D220" s="73">
        <f>[1]!wss($A220:$A220,"hks_stm_is","item=83","rptDate="&amp;($B220-2)&amp;"1231","rptType=1","currencyType=Cur=CNY","WssConvert=0","WssDivide=8","showcodes=N","cols=1;rows=1")</f>
        <v>17.698330000000002</v>
      </c>
      <c r="E220" s="73">
        <f>[1]!wss($A220:$A220,"hks_stm_is","item=83","rptDate="&amp;($B220-1)&amp;"1231","rptType=1","currencyType=Cur=CNY","WssConvert=0","WssDivide=8","showcodes=N","cols=1;rows=1")</f>
        <v>22.710709999999999</v>
      </c>
      <c r="F220" s="73">
        <f>[1]!wss($A220:$A220,"hks_stm_is","item=61","rptDate="&amp;($B220-3)&amp;"1231","rptType=1","currencyType=Cur=CNY","WssConvert=0","WssDivide=8","showcodes=N","cols=1;rows=1")</f>
        <v>0.29146</v>
      </c>
      <c r="G220" s="73">
        <f>[1]!wss($A220:$A220,"hks_stm_is","item=61","rptDate="&amp;($B220-2)&amp;"1231","rptType=1","currencyType=Cur=CNY","WssConvert=0","WssDivide=8","showcodes=N","cols=1;rows=1")</f>
        <v>2.0243799999999998</v>
      </c>
      <c r="H220" s="73">
        <f>[1]!wss($A220:$A220,"hks_stm_is","item=61","rptDate="&amp;($B220-1)&amp;"1231","rptType=1","currencyType=Cur=CNY","WssConvert=0","WssDivide=8","showcodes=N","cols=1;rows=1")</f>
        <v>3.28823</v>
      </c>
      <c r="I220" s="73">
        <f>[1]!wss($A220:$A220,"hks_fa_grossprofitmargin","rptDate="&amp;($B220-3)&amp;"1231","WssConvert=0","showcodes=N","cols=1;rows=1")</f>
        <v>19.260400000000001</v>
      </c>
      <c r="J220" s="43">
        <f>[1]!wss($A220:$A220,"hks_fa_grossprofitmargin","rptDate="&amp;($B220-2)&amp;"1231","WssConvert=0","showcodes=N","cols=1;rows=1")</f>
        <v>20.774100000000001</v>
      </c>
      <c r="K220" s="43">
        <f>[1]!wss($A220:$A220,"hks_fa_grossprofitmargin","rptDate="&amp;($B220-1)&amp;"1231","WssConvert=0","showcodes=N","cols=1;rows=1")</f>
        <v>22.846</v>
      </c>
      <c r="L220" s="73">
        <f>[1]!wss($A220:$A220,"hks_fa_roe","rptDate="&amp;($B220-1)&amp;"1231","WssConvert=0","showcodes=N","cols=1;rows=1")</f>
        <v>48.422600000000003</v>
      </c>
      <c r="M220" s="43">
        <f>[1]!wss($A220:$A220,"hks_fa_debttoassets","rptDate="&amp;($B220-1)&amp;"1231","WssConvert=0","showcodes=N","cols=1;rows=1")</f>
        <v>62.462299999999999</v>
      </c>
      <c r="P220" s="50">
        <v>6.7570100000000002</v>
      </c>
      <c r="Q220" s="50">
        <v>17.698329999999999</v>
      </c>
      <c r="R220" s="50">
        <v>22.710709999999999</v>
      </c>
      <c r="S220" s="50">
        <v>0.29146</v>
      </c>
      <c r="T220" s="50">
        <v>2.0243799999999998</v>
      </c>
      <c r="U220" s="50">
        <v>3.28823</v>
      </c>
      <c r="V220" s="50">
        <v>19.260400000000001</v>
      </c>
      <c r="W220" s="50">
        <v>20.774100000000001</v>
      </c>
      <c r="X220" s="50">
        <v>22.846</v>
      </c>
    </row>
    <row r="221" spans="1:24">
      <c r="A221" t="s">
        <v>697</v>
      </c>
      <c r="B221" s="17">
        <f>IFERROR(YEAR(VLOOKUP($A221,'01_ipo_master'!$A:$C,3,FALSE)),YEAR(VLOOKUP("0"&amp;$A221,'01_ipo_master'!$A:$C,3,FALSE)))</f>
        <v>2025</v>
      </c>
      <c r="C221" s="73">
        <f>[1]!wss($A221:$A221,"hks_stm_is","item=83","rptDate="&amp;($B221-3)&amp;"1231","rptType=1","currencyType=Cur=CNY","WssConvert=0","WssDivide=8","showcodes=N","cols=1;rows=1")</f>
        <v>6.9706000000000001</v>
      </c>
      <c r="D221" s="73">
        <f>[1]!wss($A221:$A221,"hks_stm_is","item=83","rptDate="&amp;($B221-2)&amp;"1231","rptType=1","currencyType=Cur=CNY","WssConvert=0","WssDivide=8","showcodes=N","cols=1;rows=1")</f>
        <v>6.7073299999999998</v>
      </c>
      <c r="E221" s="73">
        <f>[1]!wss($A221:$A221,"hks_stm_is","item=83","rptDate="&amp;($B221-1)&amp;"1231","rptType=1","currencyType=Cur=CNY","WssConvert=0","WssDivide=8","showcodes=N","cols=1;rows=1")</f>
        <v>5.9340799999999998</v>
      </c>
      <c r="F221" s="73">
        <f>[1]!wss($A221:$A221,"hks_stm_is","item=61","rptDate="&amp;($B221-3)&amp;"1231","rptType=1","currencyType=Cur=CNY","WssConvert=0","WssDivide=8","showcodes=N","cols=1;rows=1")</f>
        <v>-0.26306000000000002</v>
      </c>
      <c r="G221" s="73">
        <f>[1]!wss($A221:$A221,"hks_stm_is","item=61","rptDate="&amp;($B221-2)&amp;"1231","rptType=1","currencyType=Cur=CNY","WssConvert=0","WssDivide=8","showcodes=N","cols=1;rows=1")</f>
        <v>-0.58538000000000001</v>
      </c>
      <c r="H221" s="73">
        <f>[1]!wss($A221:$A221,"hks_stm_is","item=61","rptDate="&amp;($B221-1)&amp;"1231","rptType=1","currencyType=Cur=CNY","WssConvert=0","WssDivide=8","showcodes=N","cols=1;rows=1")</f>
        <v>-2.38842</v>
      </c>
      <c r="I221" s="73">
        <f>[1]!wss($A221:$A221,"hks_fa_grossprofitmargin","rptDate="&amp;($B221-3)&amp;"1231","WssConvert=0","showcodes=N","cols=1;rows=1")</f>
        <v>20.381900000000002</v>
      </c>
      <c r="J221" s="43">
        <f>[1]!wss($A221:$A221,"hks_fa_grossprofitmargin","rptDate="&amp;($B221-2)&amp;"1231","WssConvert=0","showcodes=N","cols=1;rows=1")</f>
        <v>20.504999999999999</v>
      </c>
      <c r="K221" s="43">
        <f>[1]!wss($A221:$A221,"hks_fa_grossprofitmargin","rptDate="&amp;($B221-1)&amp;"1231","WssConvert=0","showcodes=N","cols=1;rows=1")</f>
        <v>14.926500000000001</v>
      </c>
      <c r="L221" s="73">
        <f>[1]!wss($A221:$A221,"hks_fa_roe","rptDate="&amp;($B221-1)&amp;"1231","WssConvert=0","showcodes=N","cols=1;rows=1")</f>
        <v>-160.66159999999999</v>
      </c>
      <c r="M221" s="43">
        <f>[1]!wss($A221:$A221,"hks_fa_debttoassets","rptDate="&amp;($B221-1)&amp;"1231","WssConvert=0","showcodes=N","cols=1;rows=1")</f>
        <v>94.123699999999999</v>
      </c>
      <c r="P221" s="50">
        <v>6.7073299999999998</v>
      </c>
      <c r="Q221" s="50">
        <v>5.9340799999999998</v>
      </c>
      <c r="R221" s="50">
        <v>7.1651300000000004</v>
      </c>
      <c r="S221" s="50">
        <v>-0.58538000000000001</v>
      </c>
      <c r="T221" s="50">
        <v>-2.38842</v>
      </c>
      <c r="U221" s="50">
        <v>-1.63846</v>
      </c>
      <c r="V221" s="50">
        <v>20.504999999999999</v>
      </c>
      <c r="W221" s="50">
        <v>14.926500000000001</v>
      </c>
      <c r="X221" s="50">
        <v>15.2006</v>
      </c>
    </row>
    <row r="222" spans="1:24">
      <c r="A222" t="s">
        <v>699</v>
      </c>
      <c r="B222" s="17">
        <f>IFERROR(YEAR(VLOOKUP($A222,'01_ipo_master'!$A:$C,3,FALSE)),YEAR(VLOOKUP("0"&amp;$A222,'01_ipo_master'!$A:$C,3,FALSE)))</f>
        <v>2022</v>
      </c>
      <c r="C222" s="73">
        <f>[1]!wss($A222:$A222,"hks_stm_is","item=83","rptDate="&amp;($B222-3)&amp;"1231","rptType=1","currencyType=Cur=CNY","WssConvert=0","WssDivide=8","showcodes=N","cols=1;rows=1")</f>
        <v>1.8372999999999999</v>
      </c>
      <c r="D222" s="73">
        <f>[1]!wss($A222:$A222,"hks_stm_is","item=83","rptDate="&amp;($B222-2)&amp;"1231","rptType=1","currencyType=Cur=CNY","WssConvert=0","WssDivide=8","showcodes=N","cols=1;rows=1")</f>
        <v>2.21923</v>
      </c>
      <c r="E222" s="73">
        <f>[1]!wss($A222:$A222,"hks_stm_is","item=83","rptDate="&amp;($B222-1)&amp;"1231","rptType=1","currencyType=Cur=CNY","WssConvert=0","WssDivide=8","showcodes=N","cols=1;rows=1")</f>
        <v>3.8279900000000002</v>
      </c>
      <c r="F222" s="73">
        <f>[1]!wss($A222:$A222,"hks_stm_is","item=61","rptDate="&amp;($B222-3)&amp;"1231","rptType=1","currencyType=Cur=CNY","WssConvert=0","WssDivide=8","showcodes=N","cols=1;rows=1")</f>
        <v>0.46975</v>
      </c>
      <c r="G222" s="73">
        <f>[1]!wss($A222:$A222,"hks_stm_is","item=61","rptDate="&amp;($B222-2)&amp;"1231","rptType=1","currencyType=Cur=CNY","WssConvert=0","WssDivide=8","showcodes=N","cols=1;rows=1")</f>
        <v>0.45286999999999999</v>
      </c>
      <c r="H222" s="73">
        <f>[1]!wss($A222:$A222,"hks_stm_is","item=61","rptDate="&amp;($B222-1)&amp;"1231","rptType=1","currencyType=Cur=CNY","WssConvert=0","WssDivide=8","showcodes=N","cols=1;rows=1")</f>
        <v>0.2417</v>
      </c>
      <c r="I222" s="73">
        <f>[1]!wss($A222:$A222,"hks_fa_grossprofitmargin","rptDate="&amp;($B222-3)&amp;"1231","WssConvert=0","showcodes=N","cols=1;rows=1")</f>
        <v>79.715900000000005</v>
      </c>
      <c r="J222" s="43">
        <f>[1]!wss($A222:$A222,"hks_fa_grossprofitmargin","rptDate="&amp;($B222-2)&amp;"1231","WssConvert=0","showcodes=N","cols=1;rows=1")</f>
        <v>74.252300000000005</v>
      </c>
      <c r="K222" s="43">
        <f>[1]!wss($A222:$A222,"hks_fa_grossprofitmargin","rptDate="&amp;($B222-1)&amp;"1231","WssConvert=0","showcodes=N","cols=1;rows=1")</f>
        <v>77.940100000000001</v>
      </c>
      <c r="L222" s="73" t="str">
        <f>[1]!wss($A222:$A222,"hks_fa_roe","rptDate="&amp;($B222-1)&amp;"1231","WssConvert=0","showcodes=N","cols=1;rows=1")</f>
        <v/>
      </c>
      <c r="M222" s="43">
        <f>[1]!wss($A222:$A222,"hks_fa_debttoassets","rptDate="&amp;($B222-1)&amp;"1231","WssConvert=0","showcodes=N","cols=1;rows=1")</f>
        <v>113.0519</v>
      </c>
      <c r="P222" s="50">
        <v>6.6562400000000004</v>
      </c>
      <c r="Q222" s="50">
        <v>7.6176199999999996</v>
      </c>
      <c r="R222" s="50">
        <v>7.9048299999999996</v>
      </c>
      <c r="S222" s="50">
        <v>1.4554800000000001</v>
      </c>
      <c r="T222" s="50">
        <v>2.5416500000000002</v>
      </c>
      <c r="U222" s="50">
        <v>1.8451</v>
      </c>
      <c r="V222" s="50">
        <v>76.888900000000007</v>
      </c>
      <c r="W222" s="50">
        <v>72.979100000000003</v>
      </c>
      <c r="X222" s="50">
        <v>73.464100000000002</v>
      </c>
    </row>
    <row r="223" spans="1:24">
      <c r="A223" t="s">
        <v>701</v>
      </c>
      <c r="B223" s="17">
        <f>IFERROR(YEAR(VLOOKUP($A223,'01_ipo_master'!$A:$C,3,FALSE)),YEAR(VLOOKUP("0"&amp;$A223,'01_ipo_master'!$A:$C,3,FALSE)))</f>
        <v>2026</v>
      </c>
      <c r="C223" s="73">
        <f>[1]!wss($A223:$A223,"hks_stm_is","item=83","rptDate="&amp;($B223-3)&amp;"1231","rptType=1","currencyType=Cur=CNY","WssConvert=0","WssDivide=8","showcodes=N","cols=1;rows=1")</f>
        <v>6.6353999999999997</v>
      </c>
      <c r="D223" s="73">
        <f>[1]!wss($A223:$A223,"hks_stm_is","item=83","rptDate="&amp;($B223-2)&amp;"1231","rptType=1","currencyType=Cur=CNY","WssConvert=0","WssDivide=8","showcodes=N","cols=1;rows=1")</f>
        <v>7.5483000000000002</v>
      </c>
      <c r="E223" s="73">
        <f>[1]!wss($A223:$A223,"hks_stm_is","item=83","rptDate="&amp;($B223-1)&amp;"1231","rptType=1","currencyType=Cur=CNY","WssConvert=0","WssDivide=8","showcodes=N","cols=1;rows=1")</f>
        <v>8.1999399999999998</v>
      </c>
      <c r="F223" s="73">
        <f>[1]!wss($A223:$A223,"hks_stm_is","item=61","rptDate="&amp;($B223-3)&amp;"1231","rptType=1","currencyType=Cur=CNY","WssConvert=0","WssDivide=8","showcodes=N","cols=1;rows=1")</f>
        <v>-6.4609700000000005</v>
      </c>
      <c r="G223" s="73">
        <f>[1]!wss($A223:$A223,"hks_stm_is","item=61","rptDate="&amp;($B223-2)&amp;"1231","rptType=1","currencyType=Cur=CNY","WssConvert=0","WssDivide=8","showcodes=N","cols=1;rows=1")</f>
        <v>-5.1347199999999997</v>
      </c>
      <c r="H223" s="73">
        <f>[1]!wss($A223:$A223,"hks_stm_is","item=61","rptDate="&amp;($B223-1)&amp;"1231","rptType=1","currencyType=Cur=CNY","WssConvert=0","WssDivide=8","showcodes=N","cols=1;rows=1")</f>
        <v>-4.2790499999999998</v>
      </c>
      <c r="I223" s="73">
        <f>[1]!wss($A223:$A223,"hks_fa_grossprofitmargin","rptDate="&amp;($B223-3)&amp;"1231","WssConvert=0","showcodes=N","cols=1;rows=1")</f>
        <v>76.756</v>
      </c>
      <c r="J223" s="43">
        <f>[1]!wss($A223:$A223,"hks_fa_grossprofitmargin","rptDate="&amp;($B223-2)&amp;"1231","WssConvert=0","showcodes=N","cols=1;rows=1")</f>
        <v>80.913799999999995</v>
      </c>
      <c r="K223" s="43">
        <f>[1]!wss($A223:$A223,"hks_fa_grossprofitmargin","rptDate="&amp;($B223-1)&amp;"1231","WssConvert=0","showcodes=N","cols=1;rows=1")</f>
        <v>82.230800000000002</v>
      </c>
      <c r="L223" s="73" t="str">
        <f>[1]!wss($A223:$A223,"hks_fa_roe","rptDate="&amp;($B223-1)&amp;"1231","WssConvert=0","showcodes=N","cols=1;rows=1")</f>
        <v/>
      </c>
      <c r="M223" s="43">
        <f>[1]!wss($A223:$A223,"hks_fa_debttoassets","rptDate="&amp;($B223-1)&amp;"1231","WssConvert=0","showcodes=N","cols=1;rows=1")</f>
        <v>859.60209999999995</v>
      </c>
      <c r="P223" s="50">
        <v>6.6353999999999997</v>
      </c>
      <c r="Q223" s="50">
        <v>7.5483000000000002</v>
      </c>
      <c r="R223" s="50">
        <v>8.1999399999999998</v>
      </c>
      <c r="S223" s="50">
        <v>-6.4609699999999997</v>
      </c>
      <c r="T223" s="50">
        <v>-5.1347199999999997</v>
      </c>
      <c r="U223" s="50">
        <v>-4.2790499999999998</v>
      </c>
      <c r="V223" s="50">
        <v>76.756</v>
      </c>
      <c r="W223" s="50">
        <v>80.913799999999995</v>
      </c>
      <c r="X223" s="50">
        <v>82.230800000000002</v>
      </c>
    </row>
    <row r="224" spans="1:24">
      <c r="A224" t="s">
        <v>703</v>
      </c>
      <c r="B224" s="17">
        <f>IFERROR(YEAR(VLOOKUP($A224,'01_ipo_master'!$A:$C,3,FALSE)),YEAR(VLOOKUP("0"&amp;$A224,'01_ipo_master'!$A:$C,3,FALSE)))</f>
        <v>2022</v>
      </c>
      <c r="C224" s="73">
        <f>[1]!wss($A224:$A224,"hks_stm_is","item=83","rptDate="&amp;($B224-3)&amp;"1231","rptType=1","currencyType=Cur=CNY","WssConvert=0","WssDivide=8","showcodes=N","cols=1;rows=1")</f>
        <v>2.9206119698999999</v>
      </c>
      <c r="D224" s="73">
        <f>[1]!wss($A224:$A224,"hks_stm_is","item=83","rptDate="&amp;($B224-2)&amp;"1231","rptType=1","currencyType=Cur=CNY","WssConvert=0","WssDivide=8","showcodes=N","cols=1;rows=1")</f>
        <v>3.0326342590000004</v>
      </c>
      <c r="E224" s="73">
        <f>[1]!wss($A224:$A224,"hks_stm_is","item=83","rptDate="&amp;($B224-1)&amp;"1231","rptType=1","currencyType=Cur=CNY","WssConvert=0","WssDivide=8","showcodes=N","cols=1;rows=1")</f>
        <v>3.2768304744000001</v>
      </c>
      <c r="F224" s="73">
        <f>[1]!wss($A224:$A224,"hks_stm_is","item=61","rptDate="&amp;($B224-3)&amp;"1231","rptType=1","currencyType=Cur=CNY","WssConvert=0","WssDivide=8","showcodes=N","cols=1;rows=1")</f>
        <v>0.21498790770000001</v>
      </c>
      <c r="G224" s="73">
        <f>[1]!wss($A224:$A224,"hks_stm_is","item=61","rptDate="&amp;($B224-2)&amp;"1231","rptType=1","currencyType=Cur=CNY","WssConvert=0","WssDivide=8","showcodes=N","cols=1;rows=1")</f>
        <v>0.238557933</v>
      </c>
      <c r="H224" s="73">
        <f>[1]!wss($A224:$A224,"hks_stm_is","item=61","rptDate="&amp;($B224-1)&amp;"1231","rptType=1","currencyType=Cur=CNY","WssConvert=0","WssDivide=8","showcodes=N","cols=1;rows=1")</f>
        <v>0.20940179680000001</v>
      </c>
      <c r="I224" s="73">
        <f>[1]!wss($A224:$A224,"hks_fa_grossprofitmargin","rptDate="&amp;($B224-3)&amp;"1231","WssConvert=0","showcodes=N","cols=1;rows=1")</f>
        <v>19.267900000000001</v>
      </c>
      <c r="J224" s="43">
        <f>[1]!wss($A224:$A224,"hks_fa_grossprofitmargin","rptDate="&amp;($B224-2)&amp;"1231","WssConvert=0","showcodes=N","cols=1;rows=1")</f>
        <v>20.838799999999999</v>
      </c>
      <c r="K224" s="43">
        <f>[1]!wss($A224:$A224,"hks_fa_grossprofitmargin","rptDate="&amp;($B224-1)&amp;"1231","WssConvert=0","showcodes=N","cols=1;rows=1")</f>
        <v>22.263200000000001</v>
      </c>
      <c r="L224" s="73">
        <f>[1]!wss($A224:$A224,"hks_fa_roe","rptDate="&amp;($B224-1)&amp;"1231","WssConvert=0","showcodes=N","cols=1;rows=1")</f>
        <v>116.41759999999999</v>
      </c>
      <c r="M224" s="43">
        <f>[1]!wss($A224:$A224,"hks_fa_debttoassets","rptDate="&amp;($B224-1)&amp;"1231","WssConvert=0","showcodes=N","cols=1;rows=1")</f>
        <v>85.497900000000001</v>
      </c>
      <c r="P224" s="50">
        <v>6.5883006436000002</v>
      </c>
      <c r="Q224" s="50">
        <v>5.6945754145</v>
      </c>
      <c r="R224" s="50">
        <v>5.8154162675999999</v>
      </c>
      <c r="S224" s="50">
        <v>0.38287807169999999</v>
      </c>
      <c r="T224" s="50">
        <v>-0.13573773149999999</v>
      </c>
      <c r="U224" s="50">
        <v>-9.5236055999999999E-2</v>
      </c>
      <c r="V224" s="50">
        <v>16.8385</v>
      </c>
      <c r="W224" s="50">
        <v>11.300599999999999</v>
      </c>
      <c r="X224" s="50">
        <v>9.7375000000000007</v>
      </c>
    </row>
    <row r="225" spans="1:24">
      <c r="A225" t="s">
        <v>705</v>
      </c>
      <c r="B225" s="17">
        <f>IFERROR(YEAR(VLOOKUP($A225,'01_ipo_master'!$A:$C,3,FALSE)),YEAR(VLOOKUP("0"&amp;$A225,'01_ipo_master'!$A:$C,3,FALSE)))</f>
        <v>2025</v>
      </c>
      <c r="C225" s="73">
        <f>[1]!wss($A225:$A225,"hks_stm_is","item=83","rptDate="&amp;($B225-3)&amp;"1231","rptType=1","currencyType=Cur=CNY","WssConvert=0","WssDivide=8","showcodes=N","cols=1;rows=1")</f>
        <v>4.08066</v>
      </c>
      <c r="D225" s="73">
        <f>[1]!wss($A225:$A225,"hks_stm_is","item=83","rptDate="&amp;($B225-2)&amp;"1231","rptType=1","currencyType=Cur=CNY","WssConvert=0","WssDivide=8","showcodes=N","cols=1;rows=1")</f>
        <v>6.5456000000000003</v>
      </c>
      <c r="E225" s="73">
        <f>[1]!wss($A225:$A225,"hks_stm_is","item=83","rptDate="&amp;($B225-1)&amp;"1231","rptType=1","currencyType=Cur=CNY","WssConvert=0","WssDivide=8","showcodes=N","cols=1;rows=1")</f>
        <v>7.5283100000000003</v>
      </c>
      <c r="F225" s="73">
        <f>[1]!wss($A225:$A225,"hks_stm_is","item=61","rptDate="&amp;($B225-3)&amp;"1231","rptType=1","currencyType=Cur=CNY","WssConvert=0","WssDivide=8","showcodes=N","cols=1;rows=1")</f>
        <v>0.41860000000000003</v>
      </c>
      <c r="G225" s="73">
        <f>[1]!wss($A225:$A225,"hks_stm_is","item=61","rptDate="&amp;($B225-2)&amp;"1231","rptType=1","currencyType=Cur=CNY","WssConvert=0","WssDivide=8","showcodes=N","cols=1;rows=1")</f>
        <v>0.58899999999999997</v>
      </c>
      <c r="H225" s="73">
        <f>[1]!wss($A225:$A225,"hks_stm_is","item=61","rptDate="&amp;($B225-1)&amp;"1231","rptType=1","currencyType=Cur=CNY","WssConvert=0","WssDivide=8","showcodes=N","cols=1;rows=1")</f>
        <v>0.54751000000000005</v>
      </c>
      <c r="I225" s="73">
        <f>[1]!wss($A225:$A225,"hks_fa_grossprofitmargin","rptDate="&amp;($B225-3)&amp;"1231","WssConvert=0","showcodes=N","cols=1;rows=1")</f>
        <v>27.256900000000002</v>
      </c>
      <c r="J225" s="43">
        <f>[1]!wss($A225:$A225,"hks_fa_grossprofitmargin","rptDate="&amp;($B225-2)&amp;"1231","WssConvert=0","showcodes=N","cols=1;rows=1")</f>
        <v>30.1373</v>
      </c>
      <c r="K225" s="43">
        <f>[1]!wss($A225:$A225,"hks_fa_grossprofitmargin","rptDate="&amp;($B225-1)&amp;"1231","WssConvert=0","showcodes=N","cols=1;rows=1")</f>
        <v>30.941099999999999</v>
      </c>
      <c r="L225" s="73">
        <f>[1]!wss($A225:$A225,"hks_fa_roe","rptDate="&amp;($B225-1)&amp;"1231","WssConvert=0","showcodes=N","cols=1;rows=1")</f>
        <v>25.554600000000001</v>
      </c>
      <c r="M225" s="43">
        <f>[1]!wss($A225:$A225,"hks_fa_debttoassets","rptDate="&amp;($B225-1)&amp;"1231","WssConvert=0","showcodes=N","cols=1;rows=1")</f>
        <v>41.5124</v>
      </c>
      <c r="P225" s="50">
        <v>6.5456000000000003</v>
      </c>
      <c r="Q225" s="50">
        <v>7.5283100000000003</v>
      </c>
      <c r="R225" s="50">
        <v>9.0547400000000007</v>
      </c>
      <c r="S225" s="50">
        <v>0.58899999999999997</v>
      </c>
      <c r="T225" s="50">
        <v>0.54751000000000005</v>
      </c>
      <c r="U225" s="50">
        <v>0.55850999999999995</v>
      </c>
      <c r="V225" s="50">
        <v>30.1373</v>
      </c>
      <c r="W225" s="50">
        <v>30.941099999999999</v>
      </c>
      <c r="X225" s="50">
        <v>34.7654</v>
      </c>
    </row>
    <row r="226" spans="1:24">
      <c r="A226" t="s">
        <v>707</v>
      </c>
      <c r="B226" s="17">
        <f>IFERROR(YEAR(VLOOKUP($A226,'01_ipo_master'!$A:$C,3,FALSE)),YEAR(VLOOKUP("0"&amp;$A226,'01_ipo_master'!$A:$C,3,FALSE)))</f>
        <v>2025</v>
      </c>
      <c r="C226" s="73">
        <f>[1]!wss($A226:$A226,"hks_stm_is","item=83","rptDate="&amp;($B226-3)&amp;"1231","rptType=1","currencyType=Cur=CNY","WssConvert=0","WssDivide=8","showcodes=N","cols=1;rows=1")</f>
        <v>4.0011099999999997</v>
      </c>
      <c r="D226" s="73">
        <f>[1]!wss($A226:$A226,"hks_stm_is","item=83","rptDate="&amp;($B226-2)&amp;"1231","rptType=1","currencyType=Cur=CNY","WssConvert=0","WssDivide=8","showcodes=N","cols=1;rows=1")</f>
        <v>6.5296400000000006</v>
      </c>
      <c r="E226" s="73">
        <f>[1]!wss($A226:$A226,"hks_stm_is","item=83","rptDate="&amp;($B226-1)&amp;"1231","rptType=1","currencyType=Cur=CNY","WssConvert=0","WssDivide=8","showcodes=N","cols=1;rows=1")</f>
        <v>8.4819800000000001</v>
      </c>
      <c r="F226" s="73">
        <f>[1]!wss($A226:$A226,"hks_stm_is","item=61","rptDate="&amp;($B226-3)&amp;"1231","rptType=1","currencyType=Cur=CNY","WssConvert=0","WssDivide=8","showcodes=N","cols=1;rows=1")</f>
        <v>-0.59109999999999996</v>
      </c>
      <c r="G226" s="73">
        <f>[1]!wss($A226:$A226,"hks_stm_is","item=61","rptDate="&amp;($B226-2)&amp;"1231","rptType=1","currencyType=Cur=CNY","WssConvert=0","WssDivide=8","showcodes=N","cols=1;rows=1")</f>
        <v>0.81420999999999999</v>
      </c>
      <c r="H226" s="73">
        <f>[1]!wss($A226:$A226,"hks_stm_is","item=61","rptDate="&amp;($B226-1)&amp;"1231","rptType=1","currencyType=Cur=CNY","WssConvert=0","WssDivide=8","showcodes=N","cols=1;rows=1")</f>
        <v>1.05071</v>
      </c>
      <c r="I226" s="73">
        <f>[1]!wss($A226:$A226,"hks_fa_grossprofitmargin","rptDate="&amp;($B226-3)&amp;"1231","WssConvert=0","showcodes=N","cols=1;rows=1")</f>
        <v>44.124000000000002</v>
      </c>
      <c r="J226" s="43">
        <f>[1]!wss($A226:$A226,"hks_fa_grossprofitmargin","rptDate="&amp;($B226-2)&amp;"1231","WssConvert=0","showcodes=N","cols=1;rows=1")</f>
        <v>60.699100000000001</v>
      </c>
      <c r="K226" s="43">
        <f>[1]!wss($A226:$A226,"hks_fa_grossprofitmargin","rptDate="&amp;($B226-1)&amp;"1231","WssConvert=0","showcodes=N","cols=1;rows=1")</f>
        <v>61.9146</v>
      </c>
      <c r="L226" s="73">
        <f>[1]!wss($A226:$A226,"hks_fa_roe","rptDate="&amp;($B226-1)&amp;"1231","WssConvert=0","showcodes=N","cols=1;rows=1")</f>
        <v>23.626999999999999</v>
      </c>
      <c r="M226" s="43">
        <f>[1]!wss($A226:$A226,"hks_fa_debttoassets","rptDate="&amp;($B226-1)&amp;"1231","WssConvert=0","showcodes=N","cols=1;rows=1")</f>
        <v>37.051900000000003</v>
      </c>
      <c r="P226" s="50">
        <v>6.5296399999999997</v>
      </c>
      <c r="Q226" s="50">
        <v>8.4819800000000001</v>
      </c>
      <c r="R226" s="50">
        <v>9.6940600000000003</v>
      </c>
      <c r="S226" s="50">
        <v>0.81420999999999999</v>
      </c>
      <c r="T226" s="50">
        <v>1.05071</v>
      </c>
      <c r="U226" s="50">
        <v>1.3022400000000001</v>
      </c>
      <c r="V226" s="50">
        <v>60.699100000000001</v>
      </c>
      <c r="W226" s="50">
        <v>61.9146</v>
      </c>
      <c r="X226" s="50">
        <v>65.462599999999995</v>
      </c>
    </row>
    <row r="227" spans="1:24">
      <c r="A227" t="s">
        <v>709</v>
      </c>
      <c r="B227" s="17">
        <f>IFERROR(YEAR(VLOOKUP($A227,'01_ipo_master'!$A:$C,3,FALSE)),YEAR(VLOOKUP("0"&amp;$A227,'01_ipo_master'!$A:$C,3,FALSE)))</f>
        <v>2024</v>
      </c>
      <c r="C227" s="73">
        <f>[1]!wss($A227:$A227,"hks_stm_is","item=83","rptDate="&amp;($B227-3)&amp;"1231","rptType=1","currencyType=Cur=CNY","WssConvert=0","WssDivide=8","showcodes=N","cols=1;rows=1")</f>
        <v>4.31663</v>
      </c>
      <c r="D227" s="73">
        <f>[1]!wss($A227:$A227,"hks_stm_is","item=83","rptDate="&amp;($B227-2)&amp;"1231","rptType=1","currencyType=Cur=CNY","WssConvert=0","WssDivide=8","showcodes=N","cols=1;rows=1")</f>
        <v>5.2853000000000003</v>
      </c>
      <c r="E227" s="73">
        <f>[1]!wss($A227:$A227,"hks_stm_is","item=83","rptDate="&amp;($B227-1)&amp;"1231","rptType=1","currencyType=Cur=CNY","WssConvert=0","WssDivide=8","showcodes=N","cols=1;rows=1")</f>
        <v>6.5187499999999998</v>
      </c>
      <c r="F227" s="73">
        <f>[1]!wss($A227:$A227,"hks_stm_is","item=61","rptDate="&amp;($B227-3)&amp;"1231","rptType=1","currencyType=Cur=CNY","WssConvert=0","WssDivide=8","showcodes=N","cols=1;rows=1")</f>
        <v>0.40400000000000003</v>
      </c>
      <c r="G227" s="73">
        <f>[1]!wss($A227:$A227,"hks_stm_is","item=61","rptDate="&amp;($B227-2)&amp;"1231","rptType=1","currencyType=Cur=CNY","WssConvert=0","WssDivide=8","showcodes=N","cols=1;rows=1")</f>
        <v>0.53095000000000003</v>
      </c>
      <c r="H227" s="73">
        <f>[1]!wss($A227:$A227,"hks_stm_is","item=61","rptDate="&amp;($B227-1)&amp;"1231","rptType=1","currencyType=Cur=CNY","WssConvert=0","WssDivide=8","showcodes=N","cols=1;rows=1")</f>
        <v>0.70177999999999996</v>
      </c>
      <c r="I227" s="73">
        <f>[1]!wss($A227:$A227,"hks_fa_grossprofitmargin","rptDate="&amp;($B227-3)&amp;"1231","WssConvert=0","showcodes=N","cols=1;rows=1")</f>
        <v>24.859300000000001</v>
      </c>
      <c r="J227" s="43">
        <f>[1]!wss($A227:$A227,"hks_fa_grossprofitmargin","rptDate="&amp;($B227-2)&amp;"1231","WssConvert=0","showcodes=N","cols=1;rows=1")</f>
        <v>22.997499999999999</v>
      </c>
      <c r="K227" s="43">
        <f>[1]!wss($A227:$A227,"hks_fa_grossprofitmargin","rptDate="&amp;($B227-1)&amp;"1231","WssConvert=0","showcodes=N","cols=1;rows=1")</f>
        <v>23.291399999999999</v>
      </c>
      <c r="L227" s="73">
        <f>[1]!wss($A227:$A227,"hks_fa_roe","rptDate="&amp;($B227-1)&amp;"1231","WssConvert=0","showcodes=N","cols=1;rows=1")</f>
        <v>31.788599999999999</v>
      </c>
      <c r="M227" s="43">
        <f>[1]!wss($A227:$A227,"hks_fa_debttoassets","rptDate="&amp;($B227-1)&amp;"1231","WssConvert=0","showcodes=N","cols=1;rows=1")</f>
        <v>60.643500000000003</v>
      </c>
      <c r="P227" s="50">
        <v>6.5187499999999998</v>
      </c>
      <c r="Q227" s="50">
        <v>6.8351100000000002</v>
      </c>
      <c r="R227" s="50">
        <v>6.7466400000000002</v>
      </c>
      <c r="S227" s="50">
        <v>0.70177999999999996</v>
      </c>
      <c r="T227" s="50">
        <v>0.71858</v>
      </c>
      <c r="U227" s="50">
        <v>0.74375999999999998</v>
      </c>
      <c r="V227" s="50">
        <v>23.291399999999999</v>
      </c>
      <c r="W227" s="50">
        <v>25.211600000000001</v>
      </c>
      <c r="X227" s="50">
        <v>25.742599999999999</v>
      </c>
    </row>
    <row r="228" spans="1:24">
      <c r="A228" t="s">
        <v>711</v>
      </c>
      <c r="B228" s="17">
        <f>IFERROR(YEAR(VLOOKUP($A228,'01_ipo_master'!$A:$C,3,FALSE)),YEAR(VLOOKUP("0"&amp;$A228,'01_ipo_master'!$A:$C,3,FALSE)))</f>
        <v>2022</v>
      </c>
      <c r="C228" s="73">
        <f>[1]!wss($A228:$A228,"hks_stm_is","item=83","rptDate="&amp;($B228-3)&amp;"1231","rptType=1","currencyType=Cur=CNY","WssConvert=0","WssDivide=8","showcodes=N","cols=1;rows=1")</f>
        <v>4.5044745190000004</v>
      </c>
      <c r="D228" s="73">
        <f>[1]!wss($A228:$A228,"hks_stm_is","item=83","rptDate="&amp;($B228-2)&amp;"1231","rptType=1","currencyType=Cur=CNY","WssConvert=0","WssDivide=8","showcodes=N","cols=1;rows=1")</f>
        <v>4.0022338592000004</v>
      </c>
      <c r="E228" s="73">
        <f>[1]!wss($A228:$A228,"hks_stm_is","item=83","rptDate="&amp;($B228-1)&amp;"1231","rptType=1","currencyType=Cur=CNY","WssConvert=0","WssDivide=8","showcodes=N","cols=1;rows=1")</f>
        <v>4.3698348960000013</v>
      </c>
      <c r="F228" s="73">
        <f>[1]!wss($A228:$A228,"hks_stm_is","item=61","rptDate="&amp;($B228-3)&amp;"1231","rptType=1","currencyType=Cur=CNY","WssConvert=0","WssDivide=8","showcodes=N","cols=1;rows=1")</f>
        <v>0.2259067582</v>
      </c>
      <c r="G228" s="73">
        <f>[1]!wss($A228:$A228,"hks_stm_is","item=61","rptDate="&amp;($B228-2)&amp;"1231","rptType=1","currencyType=Cur=CNY","WssConvert=0","WssDivide=8","showcodes=N","cols=1;rows=1")</f>
        <v>0.25129687119999999</v>
      </c>
      <c r="H228" s="73">
        <f>[1]!wss($A228:$A228,"hks_stm_is","item=61","rptDate="&amp;($B228-1)&amp;"1231","rptType=1","currencyType=Cur=CNY","WssConvert=0","WssDivide=8","showcodes=N","cols=1;rows=1")</f>
        <v>0.19624852800000001</v>
      </c>
      <c r="I228" s="73">
        <f>[1]!wss($A228:$A228,"hks_fa_grossprofitmargin","rptDate="&amp;($B228-3)&amp;"1231","WssConvert=0","showcodes=N","cols=1;rows=1")</f>
        <v>17.038</v>
      </c>
      <c r="J228" s="43">
        <f>[1]!wss($A228:$A228,"hks_fa_grossprofitmargin","rptDate="&amp;($B228-2)&amp;"1231","WssConvert=0","showcodes=N","cols=1;rows=1")</f>
        <v>19.674199999999999</v>
      </c>
      <c r="K228" s="43">
        <f>[1]!wss($A228:$A228,"hks_fa_grossprofitmargin","rptDate="&amp;($B228-1)&amp;"1231","WssConvert=0","showcodes=N","cols=1;rows=1")</f>
        <v>20.982500000000002</v>
      </c>
      <c r="L228" s="73">
        <f>[1]!wss($A228:$A228,"hks_fa_roe","rptDate="&amp;($B228-1)&amp;"1231","WssConvert=0","showcodes=N","cols=1;rows=1")</f>
        <v>15.902799999999999</v>
      </c>
      <c r="M228" s="43">
        <f>[1]!wss($A228:$A228,"hks_fa_debttoassets","rptDate="&amp;($B228-1)&amp;"1231","WssConvert=0","showcodes=N","cols=1;rows=1")</f>
        <v>61.275799999999997</v>
      </c>
      <c r="P228" s="50">
        <v>6.5044937342000004</v>
      </c>
      <c r="Q228" s="50">
        <v>6.0008503248</v>
      </c>
      <c r="R228" s="50">
        <v>6.6288760951999999</v>
      </c>
      <c r="S228" s="50">
        <v>4.0798024400000001E-2</v>
      </c>
      <c r="T228" s="50">
        <v>8.8159008000000001E-3</v>
      </c>
      <c r="U228" s="50">
        <v>7.3531140199999998E-2</v>
      </c>
      <c r="V228" s="50">
        <v>16.1159</v>
      </c>
      <c r="W228" s="50">
        <v>19.258400000000002</v>
      </c>
      <c r="X228" s="50">
        <v>19.622299999999999</v>
      </c>
    </row>
    <row r="229" spans="1:24">
      <c r="A229" t="s">
        <v>713</v>
      </c>
      <c r="B229" s="17">
        <f>IFERROR(YEAR(VLOOKUP($A229,'01_ipo_master'!$A:$C,3,FALSE)),YEAR(VLOOKUP("0"&amp;$A229,'01_ipo_master'!$A:$C,3,FALSE)))</f>
        <v>2024</v>
      </c>
      <c r="C229" s="73">
        <f>[1]!wss($A229:$A229,"hks_stm_is","item=83","rptDate="&amp;($B229-3)&amp;"1231","rptType=1","currencyType=Cur=CNY","WssConvert=0","WssDivide=8","showcodes=N","cols=1;rows=1")</f>
        <v>4.7791199999999998</v>
      </c>
      <c r="D229" s="73">
        <f>[1]!wss($A229:$A229,"hks_stm_is","item=83","rptDate="&amp;($B229-2)&amp;"1231","rptType=1","currencyType=Cur=CNY","WssConvert=0","WssDivide=8","showcodes=N","cols=1;rows=1")</f>
        <v>5.4816000000000003</v>
      </c>
      <c r="E229" s="73">
        <f>[1]!wss($A229:$A229,"hks_stm_is","item=83","rptDate="&amp;($B229-1)&amp;"1231","rptType=1","currencyType=Cur=CNY","WssConvert=0","WssDivide=8","showcodes=N","cols=1;rows=1")</f>
        <v>6.4211900000000002</v>
      </c>
      <c r="F229" s="73">
        <f>[1]!wss($A229:$A229,"hks_stm_is","item=61","rptDate="&amp;($B229-3)&amp;"1231","rptType=1","currencyType=Cur=CNY","WssConvert=0","WssDivide=8","showcodes=N","cols=1;rows=1")</f>
        <v>0.83731</v>
      </c>
      <c r="G229" s="73">
        <f>[1]!wss($A229:$A229,"hks_stm_is","item=61","rptDate="&amp;($B229-2)&amp;"1231","rptType=1","currencyType=Cur=CNY","WssConvert=0","WssDivide=8","showcodes=N","cols=1;rows=1")</f>
        <v>0.95877000000000001</v>
      </c>
      <c r="H229" s="73">
        <f>[1]!wss($A229:$A229,"hks_stm_is","item=61","rptDate="&amp;($B229-1)&amp;"1231","rptType=1","currencyType=Cur=CNY","WssConvert=0","WssDivide=8","showcodes=N","cols=1;rows=1")</f>
        <v>1.0232300000000001</v>
      </c>
      <c r="I229" s="73">
        <f>[1]!wss($A229:$A229,"hks_fa_grossprofitmargin","rptDate="&amp;($B229-3)&amp;"1231","WssConvert=0","showcodes=N","cols=1;rows=1")</f>
        <v>38.1614</v>
      </c>
      <c r="J229" s="43">
        <f>[1]!wss($A229:$A229,"hks_fa_grossprofitmargin","rptDate="&amp;($B229-2)&amp;"1231","WssConvert=0","showcodes=N","cols=1;rows=1")</f>
        <v>41.075499999999998</v>
      </c>
      <c r="K229" s="43">
        <f>[1]!wss($A229:$A229,"hks_fa_grossprofitmargin","rptDate="&amp;($B229-1)&amp;"1231","WssConvert=0","showcodes=N","cols=1;rows=1")</f>
        <v>44.048000000000002</v>
      </c>
      <c r="L229" s="73">
        <f>[1]!wss($A229:$A229,"hks_fa_roe","rptDate="&amp;($B229-1)&amp;"1231","WssConvert=0","showcodes=N","cols=1;rows=1")</f>
        <v>132.85419999999999</v>
      </c>
      <c r="M229" s="43">
        <f>[1]!wss($A229:$A229,"hks_fa_debttoassets","rptDate="&amp;($B229-1)&amp;"1231","WssConvert=0","showcodes=N","cols=1;rows=1")</f>
        <v>57.753399999999999</v>
      </c>
      <c r="P229" s="50">
        <v>6.4211900000000002</v>
      </c>
      <c r="Q229" s="50">
        <v>6.7762700000000002</v>
      </c>
      <c r="R229" s="50">
        <v>16.24625</v>
      </c>
      <c r="S229" s="50">
        <v>1.0232300000000001</v>
      </c>
      <c r="T229" s="50">
        <v>1.6140699999999999</v>
      </c>
      <c r="U229" s="50">
        <v>1.4156500000000001</v>
      </c>
      <c r="V229" s="50">
        <v>44.048000000000002</v>
      </c>
      <c r="W229" s="50">
        <v>43.983499999999999</v>
      </c>
      <c r="X229" s="50">
        <v>20.1571</v>
      </c>
    </row>
    <row r="230" spans="1:24">
      <c r="A230" t="s">
        <v>715</v>
      </c>
      <c r="B230" s="17">
        <f>IFERROR(YEAR(VLOOKUP($A230,'01_ipo_master'!$A:$C,3,FALSE)),YEAR(VLOOKUP("0"&amp;$A230,'01_ipo_master'!$A:$C,3,FALSE)))</f>
        <v>2023</v>
      </c>
      <c r="C230" s="73">
        <f>[1]!wss($A230:$A230,"hks_stm_is","item=83","rptDate="&amp;($B230-3)&amp;"1231","rptType=1","currencyType=Cur=CNY","WssConvert=0","WssDivide=8","showcodes=N","cols=1;rows=1")</f>
        <v>4.0508300000000004</v>
      </c>
      <c r="D230" s="73">
        <f>[1]!wss($A230:$A230,"hks_stm_is","item=83","rptDate="&amp;($B230-2)&amp;"1231","rptType=1","currencyType=Cur=CNY","WssConvert=0","WssDivide=8","showcodes=N","cols=1;rows=1")</f>
        <v>4.6065199999999997</v>
      </c>
      <c r="E230" s="73">
        <f>[1]!wss($A230:$A230,"hks_stm_is","item=83","rptDate="&amp;($B230-1)&amp;"1231","rptType=1","currencyType=Cur=CNY","WssConvert=0","WssDivide=8","showcodes=N","cols=1;rows=1")</f>
        <v>6.3969100000000001</v>
      </c>
      <c r="F230" s="73">
        <f>[1]!wss($A230:$A230,"hks_stm_is","item=61","rptDate="&amp;($B230-3)&amp;"1231","rptType=1","currencyType=Cur=CNY","WssConvert=0","WssDivide=8","showcodes=N","cols=1;rows=1")</f>
        <v>0.41498000000000002</v>
      </c>
      <c r="G230" s="73">
        <f>[1]!wss($A230:$A230,"hks_stm_is","item=61","rptDate="&amp;($B230-2)&amp;"1231","rptType=1","currencyType=Cur=CNY","WssConvert=0","WssDivide=8","showcodes=N","cols=1;rows=1")</f>
        <v>0.39985999999999999</v>
      </c>
      <c r="H230" s="73">
        <f>[1]!wss($A230:$A230,"hks_stm_is","item=61","rptDate="&amp;($B230-1)&amp;"1231","rptType=1","currencyType=Cur=CNY","WssConvert=0","WssDivide=8","showcodes=N","cols=1;rows=1")</f>
        <v>0.13525000000000001</v>
      </c>
      <c r="I230" s="73">
        <f>[1]!wss($A230:$A230,"hks_fa_grossprofitmargin","rptDate="&amp;($B230-3)&amp;"1231","WssConvert=0","showcodes=N","cols=1;rows=1")</f>
        <v>44.569000000000003</v>
      </c>
      <c r="J230" s="43">
        <f>[1]!wss($A230:$A230,"hks_fa_grossprofitmargin","rptDate="&amp;($B230-2)&amp;"1231","WssConvert=0","showcodes=N","cols=1;rows=1")</f>
        <v>48.1736</v>
      </c>
      <c r="K230" s="43">
        <f>[1]!wss($A230:$A230,"hks_fa_grossprofitmargin","rptDate="&amp;($B230-1)&amp;"1231","WssConvert=0","showcodes=N","cols=1;rows=1")</f>
        <v>52.213700000000003</v>
      </c>
      <c r="L230" s="73">
        <f>[1]!wss($A230:$A230,"hks_fa_roe","rptDate="&amp;($B230-1)&amp;"1231","WssConvert=0","showcodes=N","cols=1;rows=1")</f>
        <v>11.625500000000001</v>
      </c>
      <c r="M230" s="43">
        <f>[1]!wss($A230:$A230,"hks_fa_debttoassets","rptDate="&amp;($B230-1)&amp;"1231","WssConvert=0","showcodes=N","cols=1;rows=1")</f>
        <v>66.884399999999999</v>
      </c>
      <c r="P230" s="50">
        <v>6.37554</v>
      </c>
      <c r="Q230" s="50">
        <v>7.7591799999999997</v>
      </c>
      <c r="R230" s="50">
        <v>9.2229200000000002</v>
      </c>
      <c r="S230" s="50">
        <v>0.74202999999999997</v>
      </c>
      <c r="T230" s="50">
        <v>0.84158999999999995</v>
      </c>
      <c r="U230" s="50">
        <v>0.95886000000000005</v>
      </c>
      <c r="V230" s="50">
        <v>54.393599999999999</v>
      </c>
      <c r="W230" s="50">
        <v>53.598799999999997</v>
      </c>
      <c r="X230" s="50">
        <v>52.051400000000001</v>
      </c>
    </row>
    <row r="231" spans="1:24">
      <c r="A231" t="s">
        <v>717</v>
      </c>
      <c r="B231" s="17">
        <f>IFERROR(YEAR(VLOOKUP($A231,'01_ipo_master'!$A:$C,3,FALSE)),YEAR(VLOOKUP("0"&amp;$A231,'01_ipo_master'!$A:$C,3,FALSE)))</f>
        <v>2023</v>
      </c>
      <c r="C231" s="73">
        <f>[1]!wss($A231:$A231,"hks_stm_is","item=83","rptDate="&amp;($B231-3)&amp;"1231","rptType=1","currencyType=Cur=CNY","WssConvert=0","WssDivide=8","showcodes=N","cols=1;rows=1")</f>
        <v>4.7011000000000003</v>
      </c>
      <c r="D231" s="73">
        <f>[1]!wss($A231:$A231,"hks_stm_is","item=83","rptDate="&amp;($B231-2)&amp;"1231","rptType=1","currencyType=Cur=CNY","WssConvert=0","WssDivide=8","showcodes=N","cols=1;rows=1")</f>
        <v>5.6871700000000001</v>
      </c>
      <c r="E231" s="73">
        <f>[1]!wss($A231:$A231,"hks_stm_is","item=83","rptDate="&amp;($B231-1)&amp;"1231","rptType=1","currencyType=Cur=CNY","WssConvert=0","WssDivide=8","showcodes=N","cols=1;rows=1")</f>
        <v>5.9721500000000001</v>
      </c>
      <c r="F231" s="73">
        <f>[1]!wss($A231:$A231,"hks_stm_is","item=61","rptDate="&amp;($B231-3)&amp;"1231","rptType=1","currencyType=Cur=CNY","WssConvert=0","WssDivide=8","showcodes=N","cols=1;rows=1")</f>
        <v>0.31312000000000001</v>
      </c>
      <c r="G231" s="73">
        <f>[1]!wss($A231:$A231,"hks_stm_is","item=61","rptDate="&amp;($B231-2)&amp;"1231","rptType=1","currencyType=Cur=CNY","WssConvert=0","WssDivide=8","showcodes=N","cols=1;rows=1")</f>
        <v>0.39921000000000001</v>
      </c>
      <c r="H231" s="73">
        <f>[1]!wss($A231:$A231,"hks_stm_is","item=61","rptDate="&amp;($B231-1)&amp;"1231","rptType=1","currencyType=Cur=CNY","WssConvert=0","WssDivide=8","showcodes=N","cols=1;rows=1")</f>
        <v>0.34389000000000003</v>
      </c>
      <c r="I231" s="73">
        <f>[1]!wss($A231:$A231,"hks_fa_grossprofitmargin","rptDate="&amp;($B231-3)&amp;"1231","WssConvert=0","showcodes=N","cols=1;rows=1")</f>
        <v>17.162199999999999</v>
      </c>
      <c r="J231" s="43">
        <f>[1]!wss($A231:$A231,"hks_fa_grossprofitmargin","rptDate="&amp;($B231-2)&amp;"1231","WssConvert=0","showcodes=N","cols=1;rows=1")</f>
        <v>15.836499999999999</v>
      </c>
      <c r="K231" s="43">
        <f>[1]!wss($A231:$A231,"hks_fa_grossprofitmargin","rptDate="&amp;($B231-1)&amp;"1231","WssConvert=0","showcodes=N","cols=1;rows=1")</f>
        <v>15.888299999999999</v>
      </c>
      <c r="L231" s="73">
        <f>[1]!wss($A231:$A231,"hks_fa_roe","rptDate="&amp;($B231-1)&amp;"1231","WssConvert=0","showcodes=N","cols=1;rows=1")</f>
        <v>21.515000000000001</v>
      </c>
      <c r="M231" s="43">
        <f>[1]!wss($A231:$A231,"hks_fa_debttoassets","rptDate="&amp;($B231-1)&amp;"1231","WssConvert=0","showcodes=N","cols=1;rows=1")</f>
        <v>44.008000000000003</v>
      </c>
      <c r="P231" s="50">
        <v>6.36273</v>
      </c>
      <c r="Q231" s="50">
        <v>6.7355799999999997</v>
      </c>
      <c r="R231" s="50">
        <v>6.94916</v>
      </c>
      <c r="S231" s="50">
        <v>0.27889000000000003</v>
      </c>
      <c r="T231" s="50">
        <v>0.49225999999999998</v>
      </c>
      <c r="U231" s="50">
        <v>0.26523000000000002</v>
      </c>
      <c r="V231" s="50">
        <v>14.8285</v>
      </c>
      <c r="W231" s="50">
        <v>14.9505</v>
      </c>
      <c r="X231" s="50">
        <v>17.032699999999998</v>
      </c>
    </row>
    <row r="232" spans="1:24">
      <c r="A232" t="s">
        <v>719</v>
      </c>
      <c r="B232" s="17">
        <f>IFERROR(YEAR(VLOOKUP($A232,'01_ipo_master'!$A:$C,3,FALSE)),YEAR(VLOOKUP("0"&amp;$A232,'01_ipo_master'!$A:$C,3,FALSE)))</f>
        <v>2022</v>
      </c>
      <c r="C232" s="73" t="str">
        <f>[1]!wss($A232:$A232,"hks_stm_is","item=83","rptDate="&amp;($B232-3)&amp;"1231","rptType=1","currencyType=Cur=CNY","WssConvert=0","WssDivide=8","showcodes=N","cols=1;rows=1")</f>
        <v/>
      </c>
      <c r="D232" s="73" t="str">
        <f>[1]!wss($A232:$A232,"hks_stm_is","item=83","rptDate="&amp;($B232-2)&amp;"1231","rptType=1","currencyType=Cur=CNY","WssConvert=0","WssDivide=8","showcodes=N","cols=1;rows=1")</f>
        <v/>
      </c>
      <c r="E232" s="73">
        <f>[1]!wss($A232:$A232,"hks_stm_is","item=83","rptDate="&amp;($B232-1)&amp;"1231","rptType=1","currencyType=Cur=CNY","WssConvert=0","WssDivide=8","showcodes=N","cols=1;rows=1")</f>
        <v>0.60260000000000002</v>
      </c>
      <c r="F232" s="73">
        <f>[1]!wss($A232:$A232,"hks_stm_is","item=61","rptDate="&amp;($B232-3)&amp;"1231","rptType=1","currencyType=Cur=CNY","WssConvert=0","WssDivide=8","showcodes=N","cols=1;rows=1")</f>
        <v>-3.20431</v>
      </c>
      <c r="G232" s="73">
        <f>[1]!wss($A232:$A232,"hks_stm_is","item=61","rptDate="&amp;($B232-2)&amp;"1231","rptType=1","currencyType=Cur=CNY","WssConvert=0","WssDivide=8","showcodes=N","cols=1;rows=1")</f>
        <v>-6.3538000000000006</v>
      </c>
      <c r="H232" s="73">
        <f>[1]!wss($A232:$A232,"hks_stm_is","item=61","rptDate="&amp;($B232-1)&amp;"1231","rptType=1","currencyType=Cur=CNY","WssConvert=0","WssDivide=8","showcodes=N","cols=1;rows=1")</f>
        <v>-14.340920000000001</v>
      </c>
      <c r="I232" s="73" t="str">
        <f>[1]!wss($A232:$A232,"hks_fa_grossprofitmargin","rptDate="&amp;($B232-3)&amp;"1231","WssConvert=0","showcodes=N","cols=1;rows=1")</f>
        <v/>
      </c>
      <c r="J232" s="43" t="str">
        <f>[1]!wss($A232:$A232,"hks_fa_grossprofitmargin","rptDate="&amp;($B232-2)&amp;"1231","WssConvert=0","showcodes=N","cols=1;rows=1")</f>
        <v/>
      </c>
      <c r="K232" s="43">
        <f>[1]!wss($A232:$A232,"hks_fa_grossprofitmargin","rptDate="&amp;($B232-1)&amp;"1231","WssConvert=0","showcodes=N","cols=1;rows=1")</f>
        <v>92.9024</v>
      </c>
      <c r="L232" s="73" t="str">
        <f>[1]!wss($A232:$A232,"hks_fa_roe","rptDate="&amp;($B232-1)&amp;"1231","WssConvert=0","showcodes=N","cols=1;rows=1")</f>
        <v/>
      </c>
      <c r="M232" s="43">
        <f>[1]!wss($A232:$A232,"hks_fa_debttoassets","rptDate="&amp;($B232-1)&amp;"1231","WssConvert=0","showcodes=N","cols=1;rows=1")</f>
        <v>314.33339999999998</v>
      </c>
      <c r="P232" s="50">
        <v>6.3495499999999998</v>
      </c>
      <c r="Q232" s="50">
        <v>4.4564700000000004</v>
      </c>
      <c r="R232" s="50">
        <v>3.56088</v>
      </c>
      <c r="S232" s="50">
        <v>-5.2469700000000001</v>
      </c>
      <c r="T232" s="50">
        <v>-1.82663</v>
      </c>
      <c r="U232" s="50">
        <v>-1.7753099999999999</v>
      </c>
      <c r="V232" s="50">
        <v>92.268500000000003</v>
      </c>
      <c r="W232" s="50">
        <v>91.793499999999995</v>
      </c>
      <c r="X232" s="50">
        <v>92.086500000000001</v>
      </c>
    </row>
    <row r="233" spans="1:24">
      <c r="A233" t="s">
        <v>721</v>
      </c>
      <c r="B233" s="17">
        <f>IFERROR(YEAR(VLOOKUP($A233,'01_ipo_master'!$A:$C,3,FALSE)),YEAR(VLOOKUP("0"&amp;$A233,'01_ipo_master'!$A:$C,3,FALSE)))</f>
        <v>2025</v>
      </c>
      <c r="C233" s="73">
        <f>[1]!wss($A233:$A233,"hks_stm_is","item=83","rptDate="&amp;($B233-3)&amp;"1231","rptType=1","currencyType=Cur=CNY","WssConvert=0","WssDivide=8","showcodes=N","cols=1;rows=1")</f>
        <v>5.2564599999999997</v>
      </c>
      <c r="D233" s="73">
        <f>[1]!wss($A233:$A233,"hks_stm_is","item=83","rptDate="&amp;($B233-2)&amp;"1231","rptType=1","currencyType=Cur=CNY","WssConvert=0","WssDivide=8","showcodes=N","cols=1;rows=1")</f>
        <v>6.28606</v>
      </c>
      <c r="E233" s="73">
        <f>[1]!wss($A233:$A233,"hks_stm_is","item=83","rptDate="&amp;($B233-1)&amp;"1231","rptType=1","currencyType=Cur=CNY","WssConvert=0","WssDivide=8","showcodes=N","cols=1;rows=1")</f>
        <v>6.2068200000000004</v>
      </c>
      <c r="F233" s="73">
        <f>[1]!wss($A233:$A233,"hks_stm_is","item=61","rptDate="&amp;($B233-3)&amp;"1231","rptType=1","currencyType=Cur=CNY","WssConvert=0","WssDivide=8","showcodes=N","cols=1;rows=1")</f>
        <v>-1.1130500000000001</v>
      </c>
      <c r="G233" s="73">
        <f>[1]!wss($A233:$A233,"hks_stm_is","item=61","rptDate="&amp;($B233-2)&amp;"1231","rptType=1","currencyType=Cur=CNY","WssConvert=0","WssDivide=8","showcodes=N","cols=1;rows=1")</f>
        <v>-1.08816</v>
      </c>
      <c r="H233" s="73">
        <f>[1]!wss($A233:$A233,"hks_stm_is","item=61","rptDate="&amp;($B233-1)&amp;"1231","rptType=1","currencyType=Cur=CNY","WssConvert=0","WssDivide=8","showcodes=N","cols=1;rows=1")</f>
        <v>-1.07687</v>
      </c>
      <c r="I233" s="73">
        <f>[1]!wss($A233:$A233,"hks_fa_grossprofitmargin","rptDate="&amp;($B233-3)&amp;"1231","WssConvert=0","showcodes=N","cols=1;rows=1")</f>
        <v>22.5032</v>
      </c>
      <c r="J233" s="43">
        <f>[1]!wss($A233:$A233,"hks_fa_grossprofitmargin","rptDate="&amp;($B233-2)&amp;"1231","WssConvert=0","showcodes=N","cols=1;rows=1")</f>
        <v>21.846299999999999</v>
      </c>
      <c r="K233" s="43">
        <f>[1]!wss($A233:$A233,"hks_fa_grossprofitmargin","rptDate="&amp;($B233-1)&amp;"1231","WssConvert=0","showcodes=N","cols=1;rows=1")</f>
        <v>25.808199999999999</v>
      </c>
      <c r="L233" s="73" t="str">
        <f>[1]!wss($A233:$A233,"hks_fa_roe","rptDate="&amp;($B233-1)&amp;"1231","WssConvert=0","showcodes=N","cols=1;rows=1")</f>
        <v/>
      </c>
      <c r="M233" s="43">
        <f>[1]!wss($A233:$A233,"hks_fa_debttoassets","rptDate="&amp;($B233-1)&amp;"1231","WssConvert=0","showcodes=N","cols=1;rows=1")</f>
        <v>129.72130000000001</v>
      </c>
      <c r="P233" s="50">
        <v>6.28606</v>
      </c>
      <c r="Q233" s="50">
        <v>6.2068199999999996</v>
      </c>
      <c r="R233" s="50">
        <v>6.5186799999999998</v>
      </c>
      <c r="S233" s="50">
        <v>-1.08816</v>
      </c>
      <c r="T233" s="50">
        <v>-1.07687</v>
      </c>
      <c r="U233" s="50">
        <v>-0.72985999999999995</v>
      </c>
      <c r="V233" s="50">
        <v>21.846299999999999</v>
      </c>
      <c r="W233" s="50">
        <v>25.808199999999999</v>
      </c>
      <c r="X233" s="50">
        <v>26.103100000000001</v>
      </c>
    </row>
    <row r="234" spans="1:24">
      <c r="A234" t="s">
        <v>723</v>
      </c>
      <c r="B234" s="17">
        <f>IFERROR(YEAR(VLOOKUP($A234,'01_ipo_master'!$A:$C,3,FALSE)),YEAR(VLOOKUP("0"&amp;$A234,'01_ipo_master'!$A:$C,3,FALSE)))</f>
        <v>2024</v>
      </c>
      <c r="C234" s="73">
        <f>[1]!wss($A234:$A234,"hks_stm_is","item=83","rptDate="&amp;($B234-3)&amp;"1231","rptType=1","currencyType=Cur=CNY","WssConvert=0","WssDivide=8","showcodes=N","cols=1;rows=1")</f>
        <v>4.7018000000000004</v>
      </c>
      <c r="D234" s="73">
        <f>[1]!wss($A234:$A234,"hks_stm_is","item=83","rptDate="&amp;($B234-2)&amp;"1231","rptType=1","currencyType=Cur=CNY","WssConvert=0","WssDivide=8","showcodes=N","cols=1;rows=1")</f>
        <v>4.9360800000000005</v>
      </c>
      <c r="E234" s="73">
        <f>[1]!wss($A234:$A234,"hks_stm_is","item=83","rptDate="&amp;($B234-1)&amp;"1231","rptType=1","currencyType=Cur=CNY","WssConvert=0","WssDivide=8","showcodes=N","cols=1;rows=1")</f>
        <v>6.2802600000000002</v>
      </c>
      <c r="F234" s="73">
        <f>[1]!wss($A234:$A234,"hks_stm_is","item=61","rptDate="&amp;($B234-3)&amp;"1231","rptType=1","currencyType=Cur=CNY","WssConvert=0","WssDivide=8","showcodes=N","cols=1;rows=1")</f>
        <v>0.57488000000000006</v>
      </c>
      <c r="G234" s="73">
        <f>[1]!wss($A234:$A234,"hks_stm_is","item=61","rptDate="&amp;($B234-2)&amp;"1231","rptType=1","currencyType=Cur=CNY","WssConvert=0","WssDivide=8","showcodes=N","cols=1;rows=1")</f>
        <v>0.67290000000000005</v>
      </c>
      <c r="H234" s="73">
        <f>[1]!wss($A234:$A234,"hks_stm_is","item=61","rptDate="&amp;($B234-1)&amp;"1231","rptType=1","currencyType=Cur=CNY","WssConvert=0","WssDivide=8","showcodes=N","cols=1;rows=1")</f>
        <v>0.65231000000000006</v>
      </c>
      <c r="I234" s="73">
        <f>[1]!wss($A234:$A234,"hks_fa_grossprofitmargin","rptDate="&amp;($B234-3)&amp;"1231","WssConvert=0","showcodes=N","cols=1;rows=1")</f>
        <v>19.926600000000001</v>
      </c>
      <c r="J234" s="43">
        <f>[1]!wss($A234:$A234,"hks_fa_grossprofitmargin","rptDate="&amp;($B234-2)&amp;"1231","WssConvert=0","showcodes=N","cols=1;rows=1")</f>
        <v>20.921500000000002</v>
      </c>
      <c r="K234" s="43">
        <f>[1]!wss($A234:$A234,"hks_fa_grossprofitmargin","rptDate="&amp;($B234-1)&amp;"1231","WssConvert=0","showcodes=N","cols=1;rows=1")</f>
        <v>16.5595</v>
      </c>
      <c r="L234" s="73">
        <f>[1]!wss($A234:$A234,"hks_fa_roe","rptDate="&amp;($B234-1)&amp;"1231","WssConvert=0","showcodes=N","cols=1;rows=1")</f>
        <v>16.634599999999999</v>
      </c>
      <c r="M234" s="43">
        <f>[1]!wss($A234:$A234,"hks_fa_debttoassets","rptDate="&amp;($B234-1)&amp;"1231","WssConvert=0","showcodes=N","cols=1;rows=1")</f>
        <v>27.278300000000002</v>
      </c>
      <c r="P234" s="50">
        <v>6.2802600000000002</v>
      </c>
      <c r="Q234" s="50">
        <v>6.8151099999999998</v>
      </c>
      <c r="R234" s="50">
        <v>15.49029</v>
      </c>
      <c r="S234" s="50">
        <v>0.65230999999999995</v>
      </c>
      <c r="T234" s="50">
        <v>0.72489000000000003</v>
      </c>
      <c r="U234" s="50">
        <v>0.39676</v>
      </c>
      <c r="V234" s="50">
        <v>16.5595</v>
      </c>
      <c r="W234" s="50">
        <v>14.8843</v>
      </c>
      <c r="X234" s="50">
        <v>5.4390000000000001</v>
      </c>
    </row>
    <row r="235" spans="1:24">
      <c r="A235" t="s">
        <v>725</v>
      </c>
      <c r="B235" s="17">
        <f>IFERROR(YEAR(VLOOKUP($A235,'01_ipo_master'!$A:$C,3,FALSE)),YEAR(VLOOKUP("0"&amp;$A235,'01_ipo_master'!$A:$C,3,FALSE)))</f>
        <v>2022</v>
      </c>
      <c r="C235" s="73">
        <f>[1]!wss($A235:$A235,"hks_stm_is","item=83","rptDate="&amp;($B235-3)&amp;"1231","rptType=1","currencyType=Cur=CNY","WssConvert=0","WssDivide=8","showcodes=N","cols=1;rows=1")</f>
        <v>3.2114500000000001</v>
      </c>
      <c r="D235" s="73">
        <f>[1]!wss($A235:$A235,"hks_stm_is","item=83","rptDate="&amp;($B235-2)&amp;"1231","rptType=1","currencyType=Cur=CNY","WssConvert=0","WssDivide=8","showcodes=N","cols=1;rows=1")</f>
        <v>4.0284399999999998</v>
      </c>
      <c r="E235" s="73">
        <f>[1]!wss($A235:$A235,"hks_stm_is","item=83","rptDate="&amp;($B235-1)&amp;"1231","rptType=1","currencyType=Cur=CNY","WssConvert=0","WssDivide=8","showcodes=N","cols=1;rows=1")</f>
        <v>5.82803</v>
      </c>
      <c r="F235" s="73">
        <f>[1]!wss($A235:$A235,"hks_stm_is","item=61","rptDate="&amp;($B235-3)&amp;"1231","rptType=1","currencyType=Cur=CNY","WssConvert=0","WssDivide=8","showcodes=N","cols=1;rows=1")</f>
        <v>0.28933999999999999</v>
      </c>
      <c r="G235" s="73">
        <f>[1]!wss($A235:$A235,"hks_stm_is","item=61","rptDate="&amp;($B235-2)&amp;"1231","rptType=1","currencyType=Cur=CNY","WssConvert=0","WssDivide=8","showcodes=N","cols=1;rows=1")</f>
        <v>0.45302000000000003</v>
      </c>
      <c r="H235" s="73">
        <f>[1]!wss($A235:$A235,"hks_stm_is","item=61","rptDate="&amp;($B235-1)&amp;"1231","rptType=1","currencyType=Cur=CNY","WssConvert=0","WssDivide=8","showcodes=N","cols=1;rows=1")</f>
        <v>0.7581</v>
      </c>
      <c r="I235" s="73">
        <f>[1]!wss($A235:$A235,"hks_fa_grossprofitmargin","rptDate="&amp;($B235-3)&amp;"1231","WssConvert=0","showcodes=N","cols=1;rows=1")</f>
        <v>17.444800000000001</v>
      </c>
      <c r="J235" s="43">
        <f>[1]!wss($A235:$A235,"hks_fa_grossprofitmargin","rptDate="&amp;($B235-2)&amp;"1231","WssConvert=0","showcodes=N","cols=1;rows=1")</f>
        <v>19.764700000000001</v>
      </c>
      <c r="K235" s="43">
        <f>[1]!wss($A235:$A235,"hks_fa_grossprofitmargin","rptDate="&amp;($B235-1)&amp;"1231","WssConvert=0","showcodes=N","cols=1;rows=1")</f>
        <v>25.368600000000001</v>
      </c>
      <c r="L235" s="73">
        <f>[1]!wss($A235:$A235,"hks_fa_roe","rptDate="&amp;($B235-1)&amp;"1231","WssConvert=0","showcodes=N","cols=1;rows=1")</f>
        <v>27.235199999999999</v>
      </c>
      <c r="M235" s="43">
        <f>[1]!wss($A235:$A235,"hks_fa_debttoassets","rptDate="&amp;($B235-1)&amp;"1231","WssConvert=0","showcodes=N","cols=1;rows=1")</f>
        <v>52.640900000000002</v>
      </c>
      <c r="P235" s="50">
        <v>6.2102186407</v>
      </c>
      <c r="Q235" s="50">
        <v>6.0891862382999999</v>
      </c>
      <c r="R235" s="50">
        <v>5.7069875910999999</v>
      </c>
      <c r="S235" s="50">
        <v>0.39431509259999997</v>
      </c>
      <c r="T235" s="50">
        <v>0.45091464060000003</v>
      </c>
      <c r="U235" s="50">
        <v>0.33948762310000002</v>
      </c>
      <c r="V235" s="50">
        <v>18.8505</v>
      </c>
      <c r="W235" s="50">
        <v>19.04</v>
      </c>
      <c r="X235" s="50">
        <v>21.169</v>
      </c>
    </row>
    <row r="236" spans="1:24">
      <c r="A236" t="s">
        <v>727</v>
      </c>
      <c r="B236" s="17">
        <f>IFERROR(YEAR(VLOOKUP($A236,'01_ipo_master'!$A:$C,3,FALSE)),YEAR(VLOOKUP("0"&amp;$A236,'01_ipo_master'!$A:$C,3,FALSE)))</f>
        <v>2025</v>
      </c>
      <c r="C236" s="73" t="str">
        <f>[1]!wss($A236:$A236,"hks_stm_is","item=83","rptDate="&amp;($B236-3)&amp;"1231","rptType=1","currencyType=Cur=CNY","WssConvert=0","WssDivide=8","showcodes=N","cols=1;rows=1")</f>
        <v/>
      </c>
      <c r="D236" s="73">
        <f>[1]!wss($A236:$A236,"hks_stm_is","item=83","rptDate="&amp;($B236-2)&amp;"1231","rptType=1","currencyType=Cur=CNY","WssConvert=0","WssDivide=8","showcodes=N","cols=1;rows=1")</f>
        <v>6.1932545340000003</v>
      </c>
      <c r="E236" s="73">
        <f>[1]!wss($A236:$A236,"hks_stm_is","item=83","rptDate="&amp;($B236-1)&amp;"1231","rptType=1","currencyType=Cur=CNY","WssConvert=0","WssDivide=8","showcodes=N","cols=1;rows=1")</f>
        <v>11.332368832</v>
      </c>
      <c r="F236" s="73" t="str">
        <f>[1]!wss($A236:$A236,"hks_stm_is","item=61","rptDate="&amp;($B236-3)&amp;"1231","rptType=1","currencyType=Cur=CNY","WssConvert=0","WssDivide=8","showcodes=N","cols=1;rows=1")</f>
        <v/>
      </c>
      <c r="G236" s="73">
        <f>[1]!wss($A236:$A236,"hks_stm_is","item=61","rptDate="&amp;($B236-2)&amp;"1231","rptType=1","currencyType=Cur=CNY","WssConvert=0","WssDivide=8","showcodes=N","cols=1;rows=1")</f>
        <v>1.1866355580000001</v>
      </c>
      <c r="H236" s="73">
        <f>[1]!wss($A236:$A236,"hks_stm_is","item=61","rptDate="&amp;($B236-1)&amp;"1231","rptType=1","currencyType=Cur=CNY","WssConvert=0","WssDivide=8","showcodes=N","cols=1;rows=1")</f>
        <v>2.3948873440000003</v>
      </c>
      <c r="I236" s="73" t="str">
        <f>[1]!wss($A236:$A236,"hks_fa_grossprofitmargin","rptDate="&amp;($B236-3)&amp;"1231","WssConvert=0","showcodes=N","cols=1;rows=1")</f>
        <v/>
      </c>
      <c r="J236" s="43">
        <f>[1]!wss($A236:$A236,"hks_fa_grossprofitmargin","rptDate="&amp;($B236-2)&amp;"1231","WssConvert=0","showcodes=N","cols=1;rows=1")</f>
        <v>30.507100000000001</v>
      </c>
      <c r="K236" s="43">
        <f>[1]!wss($A236:$A236,"hks_fa_grossprofitmargin","rptDate="&amp;($B236-1)&amp;"1231","WssConvert=0","showcodes=N","cols=1;rows=1")</f>
        <v>32.035899999999998</v>
      </c>
      <c r="L236" s="73">
        <f>[1]!wss($A236:$A236,"hks_fa_roe","rptDate="&amp;($B236-1)&amp;"1231","WssConvert=0","showcodes=N","cols=1;rows=1")</f>
        <v>115.75490000000001</v>
      </c>
      <c r="M236" s="43">
        <f>[1]!wss($A236:$A236,"hks_fa_debttoassets","rptDate="&amp;($B236-1)&amp;"1231","WssConvert=0","showcodes=N","cols=1;rows=1")</f>
        <v>35.134099999999997</v>
      </c>
      <c r="P236" s="50">
        <v>6.1932545340000003</v>
      </c>
      <c r="Q236" s="50">
        <v>11.332368832</v>
      </c>
      <c r="R236" s="50">
        <v>12.398732912</v>
      </c>
      <c r="S236" s="50">
        <v>1.1866355580000001</v>
      </c>
      <c r="T236" s="50">
        <v>2.3948873439999998</v>
      </c>
      <c r="U236" s="50">
        <v>1.6003171839999999</v>
      </c>
      <c r="V236" s="50">
        <v>30.507100000000001</v>
      </c>
      <c r="W236" s="50">
        <v>32.035899999999998</v>
      </c>
      <c r="X236" s="50">
        <v>25.503</v>
      </c>
    </row>
    <row r="237" spans="1:24">
      <c r="A237" t="s">
        <v>729</v>
      </c>
      <c r="B237" s="17">
        <f>IFERROR(YEAR(VLOOKUP($A237,'01_ipo_master'!$A:$C,3,FALSE)),YEAR(VLOOKUP("0"&amp;$A237,'01_ipo_master'!$A:$C,3,FALSE)))</f>
        <v>2022</v>
      </c>
      <c r="C237" s="73" t="str">
        <f>[1]!wss($A237:$A237,"hks_stm_is","item=83","rptDate="&amp;($B237-3)&amp;"1231","rptType=1","currencyType=Cur=CNY","WssConvert=0","WssDivide=8","showcodes=N","cols=1;rows=1")</f>
        <v/>
      </c>
      <c r="D237" s="73">
        <f>[1]!wss($A237:$A237,"hks_stm_is","item=83","rptDate="&amp;($B237-2)&amp;"1231","rptType=1","currencyType=Cur=CNY","WssConvert=0","WssDivide=8","showcodes=N","cols=1;rows=1")</f>
        <v>0.12073</v>
      </c>
      <c r="E237" s="73">
        <f>[1]!wss($A237:$A237,"hks_stm_is","item=83","rptDate="&amp;($B237-1)&amp;"1231","rptType=1","currencyType=Cur=CNY","WssConvert=0","WssDivide=8","showcodes=N","cols=1;rows=1")</f>
        <v>1.58704</v>
      </c>
      <c r="F237" s="73" t="str">
        <f>[1]!wss($A237:$A237,"hks_stm_is","item=61","rptDate="&amp;($B237-3)&amp;"1231","rptType=1","currencyType=Cur=CNY","WssConvert=0","WssDivide=8","showcodes=N","cols=1;rows=1")</f>
        <v/>
      </c>
      <c r="G237" s="73">
        <f>[1]!wss($A237:$A237,"hks_stm_is","item=61","rptDate="&amp;($B237-2)&amp;"1231","rptType=1","currencyType=Cur=CNY","WssConvert=0","WssDivide=8","showcodes=N","cols=1;rows=1")</f>
        <v>-2.4053800000000001</v>
      </c>
      <c r="H237" s="73">
        <f>[1]!wss($A237:$A237,"hks_stm_is","item=61","rptDate="&amp;($B237-1)&amp;"1231","rptType=1","currencyType=Cur=CNY","WssConvert=0","WssDivide=8","showcodes=N","cols=1;rows=1")</f>
        <v>-2.2541700000000002</v>
      </c>
      <c r="I237" s="73" t="str">
        <f>[1]!wss($A237:$A237,"hks_fa_grossprofitmargin","rptDate="&amp;($B237-3)&amp;"1231","WssConvert=0","showcodes=N","cols=1;rows=1")</f>
        <v/>
      </c>
      <c r="J237" s="43" t="str">
        <f>[1]!wss($A237:$A237,"hks_fa_grossprofitmargin","rptDate="&amp;($B237-2)&amp;"1231","WssConvert=0","showcodes=N","cols=1;rows=1")</f>
        <v/>
      </c>
      <c r="K237" s="43">
        <f>[1]!wss($A237:$A237,"hks_fa_grossprofitmargin","rptDate="&amp;($B237-1)&amp;"1231","WssConvert=0","showcodes=N","cols=1;rows=1")</f>
        <v>67.114900000000006</v>
      </c>
      <c r="L237" s="73">
        <f>[1]!wss($A237:$A237,"hks_fa_roe","rptDate="&amp;($B237-1)&amp;"1231","WssConvert=0","showcodes=N","cols=1;rows=1")</f>
        <v>-22.172799999999999</v>
      </c>
      <c r="M237" s="43">
        <f>[1]!wss($A237:$A237,"hks_fa_debttoassets","rptDate="&amp;($B237-1)&amp;"1231","WssConvert=0","showcodes=N","cols=1;rows=1")</f>
        <v>26.341799999999999</v>
      </c>
      <c r="P237" s="50">
        <v>6.1812899999999997</v>
      </c>
      <c r="Q237" s="50">
        <v>7.2631600000000001</v>
      </c>
      <c r="R237" s="50">
        <v>7.8482200000000004</v>
      </c>
      <c r="S237" s="50">
        <v>-1.19377</v>
      </c>
      <c r="T237" s="50">
        <v>0.73189000000000004</v>
      </c>
      <c r="U237" s="50">
        <v>7.1440000000000003E-2</v>
      </c>
      <c r="V237" s="50">
        <v>66.162199999999999</v>
      </c>
      <c r="W237" s="50">
        <v>74.713099999999997</v>
      </c>
      <c r="X237" s="50">
        <v>71.664100000000005</v>
      </c>
    </row>
    <row r="238" spans="1:24">
      <c r="A238" t="s">
        <v>731</v>
      </c>
      <c r="B238" s="17">
        <f>IFERROR(YEAR(VLOOKUP($A238,'01_ipo_master'!$A:$C,3,FALSE)),YEAR(VLOOKUP("0"&amp;$A238,'01_ipo_master'!$A:$C,3,FALSE)))</f>
        <v>2024</v>
      </c>
      <c r="C238" s="73">
        <f>[1]!wss($A238:$A238,"hks_stm_is","item=83","rptDate="&amp;($B238-3)&amp;"1231","rptType=1","currencyType=Cur=CNY","WssConvert=0","WssDivide=8","showcodes=N","cols=1;rows=1")</f>
        <v>4.7976000000000001</v>
      </c>
      <c r="D238" s="73">
        <f>[1]!wss($A238:$A238,"hks_stm_is","item=83","rptDate="&amp;($B238-2)&amp;"1231","rptType=1","currencyType=Cur=CNY","WssConvert=0","WssDivide=8","showcodes=N","cols=1;rows=1")</f>
        <v>4.1373300000000004</v>
      </c>
      <c r="E238" s="73">
        <f>[1]!wss($A238:$A238,"hks_stm_is","item=83","rptDate="&amp;($B238-1)&amp;"1231","rptType=1","currencyType=Cur=CNY","WssConvert=0","WssDivide=8","showcodes=N","cols=1;rows=1")</f>
        <v>6.1019300000000003</v>
      </c>
      <c r="F238" s="73">
        <f>[1]!wss($A238:$A238,"hks_stm_is","item=61","rptDate="&amp;($B238-3)&amp;"1231","rptType=1","currencyType=Cur=CNY","WssConvert=0","WssDivide=8","showcodes=N","cols=1;rows=1")</f>
        <v>0.36173</v>
      </c>
      <c r="G238" s="73">
        <f>[1]!wss($A238:$A238,"hks_stm_is","item=61","rptDate="&amp;($B238-2)&amp;"1231","rptType=1","currencyType=Cur=CNY","WssConvert=0","WssDivide=8","showcodes=N","cols=1;rows=1")</f>
        <v>0.34472999999999998</v>
      </c>
      <c r="H238" s="73">
        <f>[1]!wss($A238:$A238,"hks_stm_is","item=61","rptDate="&amp;($B238-1)&amp;"1231","rptType=1","currencyType=Cur=CNY","WssConvert=0","WssDivide=8","showcodes=N","cols=1;rows=1")</f>
        <v>0.68591999999999997</v>
      </c>
      <c r="I238" s="73">
        <f>[1]!wss($A238:$A238,"hks_fa_grossprofitmargin","rptDate="&amp;($B238-3)&amp;"1231","WssConvert=0","showcodes=N","cols=1;rows=1")</f>
        <v>19.032499999999999</v>
      </c>
      <c r="J238" s="43">
        <f>[1]!wss($A238:$A238,"hks_fa_grossprofitmargin","rptDate="&amp;($B238-2)&amp;"1231","WssConvert=0","showcodes=N","cols=1;rows=1")</f>
        <v>25.0884</v>
      </c>
      <c r="K238" s="43">
        <f>[1]!wss($A238:$A238,"hks_fa_grossprofitmargin","rptDate="&amp;($B238-1)&amp;"1231","WssConvert=0","showcodes=N","cols=1;rows=1")</f>
        <v>24.506599999999999</v>
      </c>
      <c r="L238" s="73">
        <f>[1]!wss($A238:$A238,"hks_fa_roe","rptDate="&amp;($B238-1)&amp;"1231","WssConvert=0","showcodes=N","cols=1;rows=1")</f>
        <v>43.761899999999997</v>
      </c>
      <c r="M238" s="43">
        <f>[1]!wss($A238:$A238,"hks_fa_debttoassets","rptDate="&amp;($B238-1)&amp;"1231","WssConvert=0","showcodes=N","cols=1;rows=1")</f>
        <v>88.959299999999999</v>
      </c>
      <c r="P238" s="50">
        <v>6.1019300000000003</v>
      </c>
      <c r="Q238" s="50">
        <v>5.5106200000000003</v>
      </c>
      <c r="R238" s="50">
        <v>4.6028099999999998</v>
      </c>
      <c r="S238" s="50">
        <v>0.68591999999999997</v>
      </c>
      <c r="T238" s="50">
        <v>9.7089999999999996E-2</v>
      </c>
      <c r="U238" s="50">
        <v>7.639E-2</v>
      </c>
      <c r="V238" s="50">
        <v>24.506599999999999</v>
      </c>
      <c r="W238" s="50">
        <v>19.276800000000001</v>
      </c>
      <c r="X238" s="50">
        <v>14.89</v>
      </c>
    </row>
    <row r="239" spans="1:24">
      <c r="A239" t="s">
        <v>733</v>
      </c>
      <c r="B239" s="17">
        <f>IFERROR(YEAR(VLOOKUP($A239,'01_ipo_master'!$A:$C,3,FALSE)),YEAR(VLOOKUP("0"&amp;$A239,'01_ipo_master'!$A:$C,3,FALSE)))</f>
        <v>2026</v>
      </c>
      <c r="C239" s="73">
        <f>[1]!wss($A239:$A239,"hks_stm_is","item=83","rptDate="&amp;($B239-3)&amp;"1231","rptType=1","currencyType=Cur=CNY","WssConvert=0","WssDivide=8","showcodes=N","cols=1;rows=1")</f>
        <v>6.0483500000000001</v>
      </c>
      <c r="D239" s="73">
        <f>[1]!wss($A239:$A239,"hks_stm_is","item=83","rptDate="&amp;($B239-2)&amp;"1231","rptType=1","currencyType=Cur=CNY","WssConvert=0","WssDivide=8","showcodes=N","cols=1;rows=1")</f>
        <v>6.73048</v>
      </c>
      <c r="E239" s="73">
        <f>[1]!wss($A239:$A239,"hks_stm_is","item=83","rptDate="&amp;($B239-1)&amp;"1231","rptType=1","currencyType=Cur=CNY","WssConvert=0","WssDivide=8","showcodes=N","cols=1;rows=1")</f>
        <v>8.5651299999999999</v>
      </c>
      <c r="F239" s="73">
        <f>[1]!wss($A239:$A239,"hks_stm_is","item=61","rptDate="&amp;($B239-3)&amp;"1231","rptType=1","currencyType=Cur=CNY","WssConvert=0","WssDivide=8","showcodes=N","cols=1;rows=1")</f>
        <v>1.7419899999999999</v>
      </c>
      <c r="G239" s="73">
        <f>[1]!wss($A239:$A239,"hks_stm_is","item=61","rptDate="&amp;($B239-2)&amp;"1231","rptType=1","currencyType=Cur=CNY","WssConvert=0","WssDivide=8","showcodes=N","cols=1;rows=1")</f>
        <v>1.98675</v>
      </c>
      <c r="H239" s="73">
        <f>[1]!wss($A239:$A239,"hks_stm_is","item=61","rptDate="&amp;($B239-1)&amp;"1231","rptType=1","currencyType=Cur=CNY","WssConvert=0","WssDivide=8","showcodes=N","cols=1;rows=1")</f>
        <v>2.9418199999999999</v>
      </c>
      <c r="I239" s="73">
        <f>[1]!wss($A239:$A239,"hks_fa_grossprofitmargin","rptDate="&amp;($B239-3)&amp;"1231","WssConvert=0","showcodes=N","cols=1;rows=1")</f>
        <v>63.480800000000002</v>
      </c>
      <c r="J239" s="43">
        <f>[1]!wss($A239:$A239,"hks_fa_grossprofitmargin","rptDate="&amp;($B239-2)&amp;"1231","WssConvert=0","showcodes=N","cols=1;rows=1")</f>
        <v>58.9649</v>
      </c>
      <c r="K239" s="43">
        <f>[1]!wss($A239:$A239,"hks_fa_grossprofitmargin","rptDate="&amp;($B239-1)&amp;"1231","WssConvert=0","showcodes=N","cols=1;rows=1")</f>
        <v>66.932000000000002</v>
      </c>
      <c r="L239" s="73">
        <f>[1]!wss($A239:$A239,"hks_fa_roe","rptDate="&amp;($B239-1)&amp;"1231","WssConvert=0","showcodes=N","cols=1;rows=1")</f>
        <v>21.312000000000001</v>
      </c>
      <c r="M239" s="43">
        <f>[1]!wss($A239:$A239,"hks_fa_debttoassets","rptDate="&amp;($B239-1)&amp;"1231","WssConvert=0","showcodes=N","cols=1;rows=1")</f>
        <v>24.6906</v>
      </c>
      <c r="P239" s="50">
        <v>6.0483500000000001</v>
      </c>
      <c r="Q239" s="50">
        <v>6.73048</v>
      </c>
      <c r="R239" s="50">
        <v>8.5651299999999999</v>
      </c>
      <c r="S239" s="50">
        <v>1.7419899999999999</v>
      </c>
      <c r="T239" s="50">
        <v>1.98675</v>
      </c>
      <c r="U239" s="50">
        <v>2.9418199999999999</v>
      </c>
      <c r="V239" s="50">
        <v>63.480800000000002</v>
      </c>
      <c r="W239" s="50">
        <v>58.9649</v>
      </c>
      <c r="X239" s="50">
        <v>66.932000000000002</v>
      </c>
    </row>
    <row r="240" spans="1:24">
      <c r="A240" t="s">
        <v>735</v>
      </c>
      <c r="B240" s="17">
        <f>IFERROR(YEAR(VLOOKUP($A240,'01_ipo_master'!$A:$C,3,FALSE)),YEAR(VLOOKUP("0"&amp;$A240,'01_ipo_master'!$A:$C,3,FALSE)))</f>
        <v>2024</v>
      </c>
      <c r="C240" s="73">
        <f>[1]!wss($A240:$A240,"hks_stm_is","item=83","rptDate="&amp;($B240-3)&amp;"1231","rptType=1","currencyType=Cur=CNY","WssConvert=0","WssDivide=8","showcodes=N","cols=1;rows=1")</f>
        <v>0.68215000000000003</v>
      </c>
      <c r="D240" s="73">
        <f>[1]!wss($A240:$A240,"hks_stm_is","item=83","rptDate="&amp;($B240-2)&amp;"1231","rptType=1","currencyType=Cur=CNY","WssConvert=0","WssDivide=8","showcodes=N","cols=1;rows=1")</f>
        <v>1.36174</v>
      </c>
      <c r="E240" s="73">
        <f>[1]!wss($A240:$A240,"hks_stm_is","item=83","rptDate="&amp;($B240-1)&amp;"1231","rptType=1","currencyType=Cur=CNY","WssConvert=0","WssDivide=8","showcodes=N","cols=1;rows=1")</f>
        <v>5.9271700000000003</v>
      </c>
      <c r="F240" s="73">
        <f>[1]!wss($A240:$A240,"hks_stm_is","item=61","rptDate="&amp;($B240-3)&amp;"1231","rptType=1","currencyType=Cur=CNY","WssConvert=0","WssDivide=8","showcodes=N","cols=1;rows=1")</f>
        <v>-33.99342</v>
      </c>
      <c r="G240" s="73">
        <f>[1]!wss($A240:$A240,"hks_stm_is","item=61","rptDate="&amp;($B240-2)&amp;"1231","rptType=1","currencyType=Cur=CNY","WssConvert=0","WssDivide=8","showcodes=N","cols=1;rows=1")</f>
        <v>-22.054760000000002</v>
      </c>
      <c r="H240" s="73">
        <f>[1]!wss($A240:$A240,"hks_stm_is","item=61","rptDate="&amp;($B240-1)&amp;"1231","rptType=1","currencyType=Cur=CNY","WssConvert=0","WssDivide=8","showcodes=N","cols=1;rows=1")</f>
        <v>-11.01946</v>
      </c>
      <c r="I240" s="73">
        <f>[1]!wss($A240:$A240,"hks_fa_grossprofitmargin","rptDate="&amp;($B240-3)&amp;"1231","WssConvert=0","showcodes=N","cols=1;rows=1")</f>
        <v>-266.12040000000002</v>
      </c>
      <c r="J240" s="43">
        <f>[1]!wss($A240:$A240,"hks_fa_grossprofitmargin","rptDate="&amp;($B240-2)&amp;"1231","WssConvert=0","showcodes=N","cols=1;rows=1")</f>
        <v>-289.4135</v>
      </c>
      <c r="K240" s="43">
        <f>[1]!wss($A240:$A240,"hks_fa_grossprofitmargin","rptDate="&amp;($B240-1)&amp;"1231","WssConvert=0","showcodes=N","cols=1;rows=1")</f>
        <v>-61.086199999999998</v>
      </c>
      <c r="L240" s="73">
        <f>[1]!wss($A240:$A240,"hks_fa_roe","rptDate="&amp;($B240-1)&amp;"1231","WssConvert=0","showcodes=N","cols=1;rows=1")</f>
        <v>-44.757800000000003</v>
      </c>
      <c r="M240" s="43">
        <f>[1]!wss($A240:$A240,"hks_fa_debttoassets","rptDate="&amp;($B240-1)&amp;"1231","WssConvert=0","showcodes=N","cols=1;rows=1")</f>
        <v>57.226100000000002</v>
      </c>
      <c r="P240" s="50">
        <v>5.9271700000000003</v>
      </c>
      <c r="Q240" s="50">
        <v>8.2845899999999997</v>
      </c>
      <c r="R240" s="50">
        <v>12.13273</v>
      </c>
      <c r="S240" s="50">
        <v>-11.01946</v>
      </c>
      <c r="T240" s="50">
        <v>-10.456770000000001</v>
      </c>
      <c r="U240" s="50">
        <v>-8.4051299999999998</v>
      </c>
      <c r="V240" s="50">
        <v>-61.086199999999998</v>
      </c>
      <c r="W240" s="50">
        <v>-19.484000000000002</v>
      </c>
      <c r="X240" s="50">
        <v>7.3160999999999996</v>
      </c>
    </row>
    <row r="241" spans="1:24">
      <c r="A241" t="s">
        <v>737</v>
      </c>
      <c r="B241" s="17">
        <f>IFERROR(YEAR(VLOOKUP($A241,'01_ipo_master'!$A:$C,3,FALSE)),YEAR(VLOOKUP("0"&amp;$A241,'01_ipo_master'!$A:$C,3,FALSE)))</f>
        <v>2025</v>
      </c>
      <c r="C241" s="73">
        <f>[1]!wss($A241:$A241,"hks_stm_is","item=83","rptDate="&amp;($B241-3)&amp;"1231","rptType=1","currencyType=Cur=CNY","WssConvert=0","WssDivide=8","showcodes=N","cols=1;rows=1")</f>
        <v>3.3015400000000001</v>
      </c>
      <c r="D241" s="73">
        <f>[1]!wss($A241:$A241,"hks_stm_is","item=83","rptDate="&amp;($B241-2)&amp;"1231","rptType=1","currencyType=Cur=CNY","WssConvert=0","WssDivide=8","showcodes=N","cols=1;rows=1")</f>
        <v>5.86836</v>
      </c>
      <c r="E241" s="73">
        <f>[1]!wss($A241:$A241,"hks_stm_is","item=83","rptDate="&amp;($B241-1)&amp;"1231","rptType=1","currencyType=Cur=CNY","WssConvert=0","WssDivide=8","showcodes=N","cols=1;rows=1")</f>
        <v>7.9799100000000003</v>
      </c>
      <c r="F241" s="73">
        <f>[1]!wss($A241:$A241,"hks_stm_is","item=61","rptDate="&amp;($B241-3)&amp;"1231","rptType=1","currencyType=Cur=CNY","WssConvert=0","WssDivide=8","showcodes=N","cols=1;rows=1")</f>
        <v>6.4810000000000006E-2</v>
      </c>
      <c r="G241" s="73">
        <f>[1]!wss($A241:$A241,"hks_stm_is","item=61","rptDate="&amp;($B241-2)&amp;"1231","rptType=1","currencyType=Cur=CNY","WssConvert=0","WssDivide=8","showcodes=N","cols=1;rows=1")</f>
        <v>0.87340000000000007</v>
      </c>
      <c r="H241" s="73">
        <f>[1]!wss($A241:$A241,"hks_stm_is","item=61","rptDate="&amp;($B241-1)&amp;"1231","rptType=1","currencyType=Cur=CNY","WssConvert=0","WssDivide=8","showcodes=N","cols=1;rows=1")</f>
        <v>0.85807</v>
      </c>
      <c r="I241" s="73">
        <f>[1]!wss($A241:$A241,"hks_fa_grossprofitmargin","rptDate="&amp;($B241-3)&amp;"1231","WssConvert=0","showcodes=N","cols=1;rows=1")</f>
        <v>25.847000000000001</v>
      </c>
      <c r="J241" s="43">
        <f>[1]!wss($A241:$A241,"hks_fa_grossprofitmargin","rptDate="&amp;($B241-2)&amp;"1231","WssConvert=0","showcodes=N","cols=1;rows=1")</f>
        <v>41.7911</v>
      </c>
      <c r="K241" s="43">
        <f>[1]!wss($A241:$A241,"hks_fa_grossprofitmargin","rptDate="&amp;($B241-1)&amp;"1231","WssConvert=0","showcodes=N","cols=1;rows=1")</f>
        <v>36.065399999999997</v>
      </c>
      <c r="L241" s="73">
        <f>[1]!wss($A241:$A241,"hks_fa_roe","rptDate="&amp;($B241-1)&amp;"1231","WssConvert=0","showcodes=N","cols=1;rows=1")</f>
        <v>43.789400000000001</v>
      </c>
      <c r="M241" s="43">
        <f>[1]!wss($A241:$A241,"hks_fa_debttoassets","rptDate="&amp;($B241-1)&amp;"1231","WssConvert=0","showcodes=N","cols=1;rows=1")</f>
        <v>49.221899999999998</v>
      </c>
      <c r="P241" s="50">
        <v>5.86836</v>
      </c>
      <c r="Q241" s="50">
        <v>7.9799100000000003</v>
      </c>
      <c r="R241" s="50">
        <v>9.0677800000000008</v>
      </c>
      <c r="S241" s="50">
        <v>0.87339999999999995</v>
      </c>
      <c r="T241" s="50">
        <v>0.85807</v>
      </c>
      <c r="U241" s="50">
        <v>0.93730999999999998</v>
      </c>
      <c r="V241" s="50">
        <v>41.7911</v>
      </c>
      <c r="W241" s="50">
        <v>36.065399999999997</v>
      </c>
      <c r="X241" s="50">
        <v>33.674100000000003</v>
      </c>
    </row>
    <row r="242" spans="1:24">
      <c r="A242" t="s">
        <v>739</v>
      </c>
      <c r="B242" s="17">
        <f>IFERROR(YEAR(VLOOKUP($A242,'01_ipo_master'!$A:$C,3,FALSE)),YEAR(VLOOKUP("0"&amp;$A242,'01_ipo_master'!$A:$C,3,FALSE)))</f>
        <v>2024</v>
      </c>
      <c r="C242" s="73">
        <f>[1]!wss($A242:$A242,"hks_stm_is","item=83","rptDate="&amp;($B242-3)&amp;"1231","rptType=1","currencyType=Cur=CNY","WssConvert=0","WssDivide=8","showcodes=N","cols=1;rows=1")</f>
        <v>4.6663300000000003</v>
      </c>
      <c r="D242" s="73">
        <f>[1]!wss($A242:$A242,"hks_stm_is","item=83","rptDate="&amp;($B242-2)&amp;"1231","rptType=1","currencyType=Cur=CNY","WssConvert=0","WssDivide=8","showcodes=N","cols=1;rows=1")</f>
        <v>5.4998300000000002</v>
      </c>
      <c r="E242" s="73">
        <f>[1]!wss($A242:$A242,"hks_stm_is","item=83","rptDate="&amp;($B242-1)&amp;"1231","rptType=1","currencyType=Cur=CNY","WssConvert=0","WssDivide=8","showcodes=N","cols=1;rows=1")</f>
        <v>5.7430300000000001</v>
      </c>
      <c r="F242" s="73">
        <f>[1]!wss($A242:$A242,"hks_stm_is","item=61","rptDate="&amp;($B242-3)&amp;"1231","rptType=1","currencyType=Cur=CNY","WssConvert=0","WssDivide=8","showcodes=N","cols=1;rows=1")</f>
        <v>-4.7961100000000005</v>
      </c>
      <c r="G242" s="73">
        <f>[1]!wss($A242:$A242,"hks_stm_is","item=61","rptDate="&amp;($B242-2)&amp;"1231","rptType=1","currencyType=Cur=CNY","WssConvert=0","WssDivide=8","showcodes=N","cols=1;rows=1")</f>
        <v>-4.1290700000000005</v>
      </c>
      <c r="H242" s="73">
        <f>[1]!wss($A242:$A242,"hks_stm_is","item=61","rptDate="&amp;($B242-1)&amp;"1231","rptType=1","currencyType=Cur=CNY","WssConvert=0","WssDivide=8","showcodes=N","cols=1;rows=1")</f>
        <v>-3.4677799999999999</v>
      </c>
      <c r="I242" s="73">
        <f>[1]!wss($A242:$A242,"hks_fa_grossprofitmargin","rptDate="&amp;($B242-3)&amp;"1231","WssConvert=0","showcodes=N","cols=1;rows=1")</f>
        <v>35.250900000000001</v>
      </c>
      <c r="J242" s="43">
        <f>[1]!wss($A242:$A242,"hks_fa_grossprofitmargin","rptDate="&amp;($B242-2)&amp;"1231","WssConvert=0","showcodes=N","cols=1;rows=1")</f>
        <v>33.7575</v>
      </c>
      <c r="K242" s="43">
        <f>[1]!wss($A242:$A242,"hks_fa_grossprofitmargin","rptDate="&amp;($B242-1)&amp;"1231","WssConvert=0","showcodes=N","cols=1;rows=1")</f>
        <v>31.231999999999999</v>
      </c>
      <c r="L242" s="73">
        <f>[1]!wss($A242:$A242,"hks_fa_roe","rptDate="&amp;($B242-1)&amp;"1231","WssConvert=0","showcodes=N","cols=1;rows=1")</f>
        <v>-30.3093</v>
      </c>
      <c r="M242" s="43">
        <f>[1]!wss($A242:$A242,"hks_fa_debttoassets","rptDate="&amp;($B242-1)&amp;"1231","WssConvert=0","showcodes=N","cols=1;rows=1")</f>
        <v>27.865100000000002</v>
      </c>
      <c r="P242" s="50">
        <v>5.7430300000000001</v>
      </c>
      <c r="Q242" s="50">
        <v>5.5115600000000002</v>
      </c>
      <c r="R242" s="50">
        <v>5.1254400000000002</v>
      </c>
      <c r="S242" s="50">
        <v>-3.4677799999999999</v>
      </c>
      <c r="T242" s="50">
        <v>-2.1460900000000001</v>
      </c>
      <c r="U242" s="50">
        <v>-0.42846000000000001</v>
      </c>
      <c r="V242" s="50">
        <v>31.231999999999999</v>
      </c>
      <c r="W242" s="50">
        <v>40.812899999999999</v>
      </c>
      <c r="X242" s="50">
        <v>42.443399999999997</v>
      </c>
    </row>
    <row r="243" spans="1:24">
      <c r="A243" t="s">
        <v>741</v>
      </c>
      <c r="B243" s="17">
        <f>IFERROR(YEAR(VLOOKUP($A243,'01_ipo_master'!$A:$C,3,FALSE)),YEAR(VLOOKUP("0"&amp;$A243,'01_ipo_master'!$A:$C,3,FALSE)))</f>
        <v>2024</v>
      </c>
      <c r="C243" s="73">
        <f>[1]!wss($A243:$A243,"hks_stm_is","item=83","rptDate="&amp;($B243-3)&amp;"1231","rptType=1","currencyType=Cur=CNY","WssConvert=0","WssDivide=8","showcodes=N","cols=1;rows=1")</f>
        <v>4.34945</v>
      </c>
      <c r="D243" s="73">
        <f>[1]!wss($A243:$A243,"hks_stm_is","item=83","rptDate="&amp;($B243-2)&amp;"1231","rptType=1","currencyType=Cur=CNY","WssConvert=0","WssDivide=8","showcodes=N","cols=1;rows=1")</f>
        <v>4.5919800000000004</v>
      </c>
      <c r="E243" s="73">
        <f>[1]!wss($A243:$A243,"hks_stm_is","item=83","rptDate="&amp;($B243-1)&amp;"1231","rptType=1","currencyType=Cur=CNY","WssConvert=0","WssDivide=8","showcodes=N","cols=1;rows=1")</f>
        <v>5.6080800000000002</v>
      </c>
      <c r="F243" s="73">
        <f>[1]!wss($A243:$A243,"hks_stm_is","item=61","rptDate="&amp;($B243-3)&amp;"1231","rptType=1","currencyType=Cur=CNY","WssConvert=0","WssDivide=8","showcodes=N","cols=1;rows=1")</f>
        <v>0.49983</v>
      </c>
      <c r="G243" s="73">
        <f>[1]!wss($A243:$A243,"hks_stm_is","item=61","rptDate="&amp;($B243-2)&amp;"1231","rptType=1","currencyType=Cur=CNY","WssConvert=0","WssDivide=8","showcodes=N","cols=1;rows=1")</f>
        <v>0.44388</v>
      </c>
      <c r="H243" s="73">
        <f>[1]!wss($A243:$A243,"hks_stm_is","item=61","rptDate="&amp;($B243-1)&amp;"1231","rptType=1","currencyType=Cur=CNY","WssConvert=0","WssDivide=8","showcodes=N","cols=1;rows=1")</f>
        <v>0.25011</v>
      </c>
      <c r="I243" s="73">
        <f>[1]!wss($A243:$A243,"hks_fa_grossprofitmargin","rptDate="&amp;($B243-3)&amp;"1231","WssConvert=0","showcodes=N","cols=1;rows=1")</f>
        <v>48.184699999999999</v>
      </c>
      <c r="J243" s="43">
        <f>[1]!wss($A243:$A243,"hks_fa_grossprofitmargin","rptDate="&amp;($B243-2)&amp;"1231","WssConvert=0","showcodes=N","cols=1;rows=1")</f>
        <v>52.2928</v>
      </c>
      <c r="K243" s="43">
        <f>[1]!wss($A243:$A243,"hks_fa_grossprofitmargin","rptDate="&amp;($B243-1)&amp;"1231","WssConvert=0","showcodes=N","cols=1;rows=1")</f>
        <v>46.459200000000003</v>
      </c>
      <c r="L243" s="73">
        <f>[1]!wss($A243:$A243,"hks_fa_roe","rptDate="&amp;($B243-1)&amp;"1231","WssConvert=0","showcodes=N","cols=1;rows=1")</f>
        <v>7.8800999999999997</v>
      </c>
      <c r="M243" s="43">
        <f>[1]!wss($A243:$A243,"hks_fa_debttoassets","rptDate="&amp;($B243-1)&amp;"1231","WssConvert=0","showcodes=N","cols=1;rows=1")</f>
        <v>24.948399999999999</v>
      </c>
      <c r="P243" s="50">
        <v>5.6080800000000002</v>
      </c>
      <c r="Q243" s="50">
        <v>6.0416400000000001</v>
      </c>
      <c r="R243" s="50">
        <v>7.8163200000000002</v>
      </c>
      <c r="S243" s="50">
        <v>0.25011</v>
      </c>
      <c r="T243" s="50">
        <v>-2.085E-2</v>
      </c>
      <c r="U243" s="50">
        <v>0.32516</v>
      </c>
      <c r="V243" s="50">
        <v>46.459200000000003</v>
      </c>
      <c r="W243" s="50">
        <v>42.340299999999999</v>
      </c>
      <c r="X243" s="50">
        <v>41.418599999999998</v>
      </c>
    </row>
    <row r="244" spans="1:24">
      <c r="A244" t="s">
        <v>743</v>
      </c>
      <c r="B244" s="17">
        <f>IFERROR(YEAR(VLOOKUP($A244,'01_ipo_master'!$A:$C,3,FALSE)),YEAR(VLOOKUP("0"&amp;$A244,'01_ipo_master'!$A:$C,3,FALSE)))</f>
        <v>2024</v>
      </c>
      <c r="C244" s="73">
        <f>[1]!wss($A244:$A244,"hks_stm_is","item=83","rptDate="&amp;($B244-3)&amp;"1231","rptType=1","currencyType=Cur=CNY","WssConvert=0","WssDivide=8","showcodes=N","cols=1;rows=1")</f>
        <v>3.2677399999999999</v>
      </c>
      <c r="D244" s="73">
        <f>[1]!wss($A244:$A244,"hks_stm_is","item=83","rptDate="&amp;($B244-2)&amp;"1231","rptType=1","currencyType=Cur=CNY","WssConvert=0","WssDivide=8","showcodes=N","cols=1;rows=1")</f>
        <v>4.1386000000000003</v>
      </c>
      <c r="E244" s="73">
        <f>[1]!wss($A244:$A244,"hks_stm_is","item=83","rptDate="&amp;($B244-1)&amp;"1231","rptType=1","currencyType=Cur=CNY","WssConvert=0","WssDivide=8","showcodes=N","cols=1;rows=1")</f>
        <v>5.6056900000000001</v>
      </c>
      <c r="F244" s="73">
        <f>[1]!wss($A244:$A244,"hks_stm_is","item=61","rptDate="&amp;($B244-3)&amp;"1231","rptType=1","currencyType=Cur=CNY","WssConvert=0","WssDivide=8","showcodes=N","cols=1;rows=1")</f>
        <v>0.31830999999999998</v>
      </c>
      <c r="G244" s="73">
        <f>[1]!wss($A244:$A244,"hks_stm_is","item=61","rptDate="&amp;($B244-2)&amp;"1231","rptType=1","currencyType=Cur=CNY","WssConvert=0","WssDivide=8","showcodes=N","cols=1;rows=1")</f>
        <v>0.44145000000000001</v>
      </c>
      <c r="H244" s="73">
        <f>[1]!wss($A244:$A244,"hks_stm_is","item=61","rptDate="&amp;($B244-1)&amp;"1231","rptType=1","currencyType=Cur=CNY","WssConvert=0","WssDivide=8","showcodes=N","cols=1;rows=1")</f>
        <v>0.51129000000000002</v>
      </c>
      <c r="I244" s="73">
        <f>[1]!wss($A244:$A244,"hks_fa_grossprofitmargin","rptDate="&amp;($B244-3)&amp;"1231","WssConvert=0","showcodes=N","cols=1;rows=1")</f>
        <v>28.974499999999999</v>
      </c>
      <c r="J244" s="43">
        <f>[1]!wss($A244:$A244,"hks_fa_grossprofitmargin","rptDate="&amp;($B244-2)&amp;"1231","WssConvert=0","showcodes=N","cols=1;rows=1")</f>
        <v>41.847200000000001</v>
      </c>
      <c r="K244" s="43">
        <f>[1]!wss($A244:$A244,"hks_fa_grossprofitmargin","rptDate="&amp;($B244-1)&amp;"1231","WssConvert=0","showcodes=N","cols=1;rows=1")</f>
        <v>44.914700000000003</v>
      </c>
      <c r="L244" s="73">
        <f>[1]!wss($A244:$A244,"hks_fa_roe","rptDate="&amp;($B244-1)&amp;"1231","WssConvert=0","showcodes=N","cols=1;rows=1")</f>
        <v>15.213699999999999</v>
      </c>
      <c r="M244" s="43">
        <f>[1]!wss($A244:$A244,"hks_fa_debttoassets","rptDate="&amp;($B244-1)&amp;"1231","WssConvert=0","showcodes=N","cols=1;rows=1")</f>
        <v>35.439900000000002</v>
      </c>
      <c r="P244" s="50">
        <v>5.6056900000000001</v>
      </c>
      <c r="Q244" s="50">
        <v>7.0041799999999999</v>
      </c>
      <c r="R244" s="50">
        <v>7.17075</v>
      </c>
      <c r="S244" s="50">
        <v>0.51129000000000002</v>
      </c>
      <c r="T244" s="50">
        <v>0.44440000000000002</v>
      </c>
      <c r="U244" s="50">
        <v>0.2074</v>
      </c>
      <c r="V244" s="50">
        <v>44.914700000000003</v>
      </c>
      <c r="W244" s="50">
        <v>62.442100000000003</v>
      </c>
      <c r="X244" s="50">
        <v>71.628600000000006</v>
      </c>
    </row>
    <row r="245" spans="1:24">
      <c r="A245" t="s">
        <v>745</v>
      </c>
      <c r="B245" s="17">
        <f>IFERROR(YEAR(VLOOKUP($A245,'01_ipo_master'!$A:$C,3,FALSE)),YEAR(VLOOKUP("0"&amp;$A245,'01_ipo_master'!$A:$C,3,FALSE)))</f>
        <v>2025</v>
      </c>
      <c r="C245" s="73">
        <f>[1]!wss($A245:$A245,"hks_stm_is","item=83","rptDate="&amp;($B245-3)&amp;"1231","rptType=1","currencyType=Cur=CNY","WssConvert=0","WssDivide=8","showcodes=N","cols=1;rows=1")</f>
        <v>4.7152200000000004</v>
      </c>
      <c r="D245" s="73">
        <f>[1]!wss($A245:$A245,"hks_stm_is","item=83","rptDate="&amp;($B245-2)&amp;"1231","rptType=1","currencyType=Cur=CNY","WssConvert=0","WssDivide=8","showcodes=N","cols=1;rows=1")</f>
        <v>5.5990900000000003</v>
      </c>
      <c r="E245" s="73">
        <f>[1]!wss($A245:$A245,"hks_stm_is","item=83","rptDate="&amp;($B245-1)&amp;"1231","rptType=1","currencyType=Cur=CNY","WssConvert=0","WssDivide=8","showcodes=N","cols=1;rows=1")</f>
        <v>7.9866600000000005</v>
      </c>
      <c r="F245" s="73">
        <f>[1]!wss($A245:$A245,"hks_stm_is","item=61","rptDate="&amp;($B245-3)&amp;"1231","rptType=1","currencyType=Cur=CNY","WssConvert=0","WssDivide=8","showcodes=N","cols=1;rows=1")</f>
        <v>-4.0749599999999999</v>
      </c>
      <c r="G245" s="73">
        <f>[1]!wss($A245:$A245,"hks_stm_is","item=61","rptDate="&amp;($B245-2)&amp;"1231","rptType=1","currencyType=Cur=CNY","WssConvert=0","WssDivide=8","showcodes=N","cols=1;rows=1")</f>
        <v>-2.3896500000000001</v>
      </c>
      <c r="H245" s="73">
        <f>[1]!wss($A245:$A245,"hks_stm_is","item=61","rptDate="&amp;($B245-1)&amp;"1231","rptType=1","currencyType=Cur=CNY","WssConvert=0","WssDivide=8","showcodes=N","cols=1;rows=1")</f>
        <v>-5.46577</v>
      </c>
      <c r="I245" s="73">
        <f>[1]!wss($A245:$A245,"hks_fa_grossprofitmargin","rptDate="&amp;($B245-3)&amp;"1231","WssConvert=0","showcodes=N","cols=1;rows=1")</f>
        <v>29.930700000000002</v>
      </c>
      <c r="J245" s="43">
        <f>[1]!wss($A245:$A245,"hks_fa_grossprofitmargin","rptDate="&amp;($B245-2)&amp;"1231","WssConvert=0","showcodes=N","cols=1;rows=1")</f>
        <v>36.543599999999998</v>
      </c>
      <c r="K245" s="43">
        <f>[1]!wss($A245:$A245,"hks_fa_grossprofitmargin","rptDate="&amp;($B245-1)&amp;"1231","WssConvert=0","showcodes=N","cols=1;rows=1")</f>
        <v>33.855699999999999</v>
      </c>
      <c r="L245" s="73" t="str">
        <f>[1]!wss($A245:$A245,"hks_fa_roe","rptDate="&amp;($B245-1)&amp;"1231","WssConvert=0","showcodes=N","cols=1;rows=1")</f>
        <v/>
      </c>
      <c r="M245" s="43">
        <f>[1]!wss($A245:$A245,"hks_fa_debttoassets","rptDate="&amp;($B245-1)&amp;"1231","WssConvert=0","showcodes=N","cols=1;rows=1")</f>
        <v>334.85539999999997</v>
      </c>
      <c r="P245" s="50">
        <v>5.5990900000000003</v>
      </c>
      <c r="Q245" s="50">
        <v>7.9866599999999996</v>
      </c>
      <c r="R245" s="50">
        <v>10.458589999999999</v>
      </c>
      <c r="S245" s="50">
        <v>-2.3896500000000001</v>
      </c>
      <c r="T245" s="50">
        <v>-5.46577</v>
      </c>
      <c r="U245" s="50">
        <v>4.0787100000000001</v>
      </c>
      <c r="V245" s="50">
        <v>36.543599999999998</v>
      </c>
      <c r="W245" s="50">
        <v>33.855699999999999</v>
      </c>
      <c r="X245" s="50">
        <v>35.972900000000003</v>
      </c>
    </row>
    <row r="246" spans="1:24">
      <c r="A246" t="s">
        <v>747</v>
      </c>
      <c r="B246" s="17">
        <f>IFERROR(YEAR(VLOOKUP($A246,'01_ipo_master'!$A:$C,3,FALSE)),YEAR(VLOOKUP("0"&amp;$A246,'01_ipo_master'!$A:$C,3,FALSE)))</f>
        <v>2025</v>
      </c>
      <c r="C246" s="73">
        <f>[1]!wss($A246:$A246,"hks_stm_is","item=83","rptDate="&amp;($B246-3)&amp;"1231","rptType=1","currencyType=Cur=CNY","WssConvert=0","WssDivide=8","showcodes=N","cols=1;rows=1")</f>
        <v>3.4912700000000001</v>
      </c>
      <c r="D246" s="73">
        <f>[1]!wss($A246:$A246,"hks_stm_is","item=83","rptDate="&amp;($B246-2)&amp;"1231","rptType=1","currencyType=Cur=CNY","WssConvert=0","WssDivide=8","showcodes=N","cols=1;rows=1")</f>
        <v>5.5642100000000001</v>
      </c>
      <c r="E246" s="73">
        <f>[1]!wss($A246:$A246,"hks_stm_is","item=83","rptDate="&amp;($B246-1)&amp;"1231","rptType=1","currencyType=Cur=CNY","WssConvert=0","WssDivide=8","showcodes=N","cols=1;rows=1")</f>
        <v>6.0775199999999998</v>
      </c>
      <c r="F246" s="73">
        <f>[1]!wss($A246:$A246,"hks_stm_is","item=61","rptDate="&amp;($B246-3)&amp;"1231","rptType=1","currencyType=Cur=CNY","WssConvert=0","WssDivide=8","showcodes=N","cols=1;rows=1")</f>
        <v>-0.49398999999999998</v>
      </c>
      <c r="G246" s="73">
        <f>[1]!wss($A246:$A246,"hks_stm_is","item=61","rptDate="&amp;($B246-2)&amp;"1231","rptType=1","currencyType=Cur=CNY","WssConvert=0","WssDivide=8","showcodes=N","cols=1;rows=1")</f>
        <v>0.31725999999999999</v>
      </c>
      <c r="H246" s="73">
        <f>[1]!wss($A246:$A246,"hks_stm_is","item=61","rptDate="&amp;($B246-1)&amp;"1231","rptType=1","currencyType=Cur=CNY","WssConvert=0","WssDivide=8","showcodes=N","cols=1;rows=1")</f>
        <v>0.21088000000000001</v>
      </c>
      <c r="I246" s="73">
        <f>[1]!wss($A246:$A246,"hks_fa_grossprofitmargin","rptDate="&amp;($B246-3)&amp;"1231","WssConvert=0","showcodes=N","cols=1;rows=1")</f>
        <v>76.606800000000007</v>
      </c>
      <c r="J246" s="43">
        <f>[1]!wss($A246:$A246,"hks_fa_grossprofitmargin","rptDate="&amp;($B246-2)&amp;"1231","WssConvert=0","showcodes=N","cols=1;rows=1")</f>
        <v>82.223399999999998</v>
      </c>
      <c r="K246" s="43">
        <f>[1]!wss($A246:$A246,"hks_fa_grossprofitmargin","rptDate="&amp;($B246-1)&amp;"1231","WssConvert=0","showcodes=N","cols=1;rows=1")</f>
        <v>80.850700000000003</v>
      </c>
      <c r="L246" s="73">
        <f>[1]!wss($A246:$A246,"hks_fa_roe","rptDate="&amp;($B246-1)&amp;"1231","WssConvert=0","showcodes=N","cols=1;rows=1")</f>
        <v>2.2806000000000002</v>
      </c>
      <c r="M246" s="43">
        <f>[1]!wss($A246:$A246,"hks_fa_debttoassets","rptDate="&amp;($B246-1)&amp;"1231","WssConvert=0","showcodes=N","cols=1;rows=1")</f>
        <v>25.396100000000001</v>
      </c>
      <c r="P246" s="50">
        <v>5.5642100000000001</v>
      </c>
      <c r="Q246" s="50">
        <v>6.0775199999999998</v>
      </c>
      <c r="R246" s="50">
        <v>4.3252100000000002</v>
      </c>
      <c r="S246" s="50">
        <v>0.31725999999999999</v>
      </c>
      <c r="T246" s="50">
        <v>0.21088000000000001</v>
      </c>
      <c r="U246" s="50">
        <v>2.4850000000000001E-2</v>
      </c>
      <c r="V246" s="50">
        <v>82.223399999999998</v>
      </c>
      <c r="W246" s="50">
        <v>80.850700000000003</v>
      </c>
      <c r="X246" s="50">
        <v>75.820099999999996</v>
      </c>
    </row>
    <row r="247" spans="1:24">
      <c r="A247" t="s">
        <v>749</v>
      </c>
      <c r="B247" s="17">
        <f>IFERROR(YEAR(VLOOKUP($A247,'01_ipo_master'!$A:$C,3,FALSE)),YEAR(VLOOKUP("0"&amp;$A247,'01_ipo_master'!$A:$C,3,FALSE)))</f>
        <v>2024</v>
      </c>
      <c r="C247" s="73">
        <f>[1]!wss($A247:$A247,"hks_stm_is","item=83","rptDate="&amp;($B247-3)&amp;"1231","rptType=1","currencyType=Cur=CNY","WssConvert=0","WssDivide=8","showcodes=N","cols=1;rows=1")</f>
        <v>3.7245200000000001</v>
      </c>
      <c r="D247" s="73">
        <f>[1]!wss($A247:$A247,"hks_stm_is","item=83","rptDate="&amp;($B247-2)&amp;"1231","rptType=1","currencyType=Cur=CNY","WssConvert=0","WssDivide=8","showcodes=N","cols=1;rows=1")</f>
        <v>4.7186000000000003</v>
      </c>
      <c r="E247" s="73">
        <f>[1]!wss($A247:$A247,"hks_stm_is","item=83","rptDate="&amp;($B247-1)&amp;"1231","rptType=1","currencyType=Cur=CNY","WssConvert=0","WssDivide=8","showcodes=N","cols=1;rows=1")</f>
        <v>5.5612500000000002</v>
      </c>
      <c r="F247" s="73">
        <f>[1]!wss($A247:$A247,"hks_stm_is","item=61","rptDate="&amp;($B247-3)&amp;"1231","rptType=1","currencyType=Cur=CNY","WssConvert=0","WssDivide=8","showcodes=N","cols=1;rows=1")</f>
        <v>-0.83706999999999998</v>
      </c>
      <c r="G247" s="73">
        <f>[1]!wss($A247:$A247,"hks_stm_is","item=61","rptDate="&amp;($B247-2)&amp;"1231","rptType=1","currencyType=Cur=CNY","WssConvert=0","WssDivide=8","showcodes=N","cols=1;rows=1")</f>
        <v>-1.8940000000000001</v>
      </c>
      <c r="H247" s="73">
        <f>[1]!wss($A247:$A247,"hks_stm_is","item=61","rptDate="&amp;($B247-1)&amp;"1231","rptType=1","currencyType=Cur=CNY","WssConvert=0","WssDivide=8","showcodes=N","cols=1;rows=1")</f>
        <v>-1.44842</v>
      </c>
      <c r="I247" s="73">
        <f>[1]!wss($A247:$A247,"hks_fa_grossprofitmargin","rptDate="&amp;($B247-3)&amp;"1231","WssConvert=0","showcodes=N","cols=1;rows=1")</f>
        <v>50.403500000000001</v>
      </c>
      <c r="J247" s="43">
        <f>[1]!wss($A247:$A247,"hks_fa_grossprofitmargin","rptDate="&amp;($B247-2)&amp;"1231","WssConvert=0","showcodes=N","cols=1;rows=1")</f>
        <v>48.885100000000001</v>
      </c>
      <c r="K247" s="43">
        <f>[1]!wss($A247:$A247,"hks_fa_grossprofitmargin","rptDate="&amp;($B247-1)&amp;"1231","WssConvert=0","showcodes=N","cols=1;rows=1")</f>
        <v>56.579700000000003</v>
      </c>
      <c r="L247" s="73">
        <f>[1]!wss($A247:$A247,"hks_fa_roe","rptDate="&amp;($B247-1)&amp;"1231","WssConvert=0","showcodes=N","cols=1;rows=1")</f>
        <v>-34.485500000000002</v>
      </c>
      <c r="M247" s="43">
        <f>[1]!wss($A247:$A247,"hks_fa_debttoassets","rptDate="&amp;($B247-1)&amp;"1231","WssConvert=0","showcodes=N","cols=1;rows=1")</f>
        <v>55.570999999999998</v>
      </c>
      <c r="P247" s="50">
        <v>5.5612500000000002</v>
      </c>
      <c r="Q247" s="50">
        <v>7.3398399999999997</v>
      </c>
      <c r="R247" s="50">
        <v>9.1499299999999995</v>
      </c>
      <c r="S247" s="50">
        <v>-1.44842</v>
      </c>
      <c r="T247" s="50">
        <v>-1.3260000000000001</v>
      </c>
      <c r="U247" s="50">
        <v>-0.64788000000000001</v>
      </c>
      <c r="V247" s="50">
        <v>56.579700000000003</v>
      </c>
      <c r="W247" s="50">
        <v>55.0535</v>
      </c>
      <c r="X247" s="50">
        <v>50.453299999999999</v>
      </c>
    </row>
    <row r="248" spans="1:24">
      <c r="A248" t="s">
        <v>751</v>
      </c>
      <c r="B248" s="17">
        <f>IFERROR(YEAR(VLOOKUP($A248,'01_ipo_master'!$A:$C,3,FALSE)),YEAR(VLOOKUP("0"&amp;$A248,'01_ipo_master'!$A:$C,3,FALSE)))</f>
        <v>2026</v>
      </c>
      <c r="C248" s="73">
        <f>[1]!wss($A248:$A248,"hks_stm_is","item=83","rptDate="&amp;($B248-3)&amp;"1231","rptType=1","currencyType=Cur=CNY","WssConvert=0","WssDivide=8","showcodes=N","cols=1;rows=1")</f>
        <v>5.5079000000000002</v>
      </c>
      <c r="D248" s="73">
        <f>[1]!wss($A248:$A248,"hks_stm_is","item=83","rptDate="&amp;($B248-2)&amp;"1231","rptType=1","currencyType=Cur=CNY","WssConvert=0","WssDivide=8","showcodes=N","cols=1;rows=1")</f>
        <v>7.2141700000000002</v>
      </c>
      <c r="E248" s="73">
        <f>[1]!wss($A248:$A248,"hks_stm_is","item=83","rptDate="&amp;($B248-1)&amp;"1231","rptType=1","currencyType=Cur=CNY","WssConvert=0","WssDivide=8","showcodes=N","cols=1;rows=1")</f>
        <v>9.0869900000000001</v>
      </c>
      <c r="F248" s="73">
        <f>[1]!wss($A248:$A248,"hks_stm_is","item=61","rptDate="&amp;($B248-3)&amp;"1231","rptType=1","currencyType=Cur=CNY","WssConvert=0","WssDivide=8","showcodes=N","cols=1;rows=1")</f>
        <v>-2.4171499999999999</v>
      </c>
      <c r="G248" s="73">
        <f>[1]!wss($A248:$A248,"hks_stm_is","item=61","rptDate="&amp;($B248-2)&amp;"1231","rptType=1","currencyType=Cur=CNY","WssConvert=0","WssDivide=8","showcodes=N","cols=1;rows=1")</f>
        <v>-1.6895800000000001</v>
      </c>
      <c r="H248" s="73">
        <f>[1]!wss($A248:$A248,"hks_stm_is","item=61","rptDate="&amp;($B248-1)&amp;"1231","rptType=1","currencyType=Cur=CNY","WssConvert=0","WssDivide=8","showcodes=N","cols=1;rows=1")</f>
        <v>-1.72448</v>
      </c>
      <c r="I248" s="73">
        <f>[1]!wss($A248:$A248,"hks_fa_grossprofitmargin","rptDate="&amp;($B248-3)&amp;"1231","WssConvert=0","showcodes=N","cols=1;rows=1")</f>
        <v>16.642800000000001</v>
      </c>
      <c r="J248" s="43">
        <f>[1]!wss($A248:$A248,"hks_fa_grossprofitmargin","rptDate="&amp;($B248-2)&amp;"1231","WssConvert=0","showcodes=N","cols=1;rows=1")</f>
        <v>15.7415</v>
      </c>
      <c r="K248" s="43">
        <f>[1]!wss($A248:$A248,"hks_fa_grossprofitmargin","rptDate="&amp;($B248-1)&amp;"1231","WssConvert=0","showcodes=N","cols=1;rows=1")</f>
        <v>16.992799999999999</v>
      </c>
      <c r="L248" s="73" t="str">
        <f>[1]!wss($A248:$A248,"hks_fa_roe","rptDate="&amp;($B248-1)&amp;"1231","WssConvert=0","showcodes=N","cols=1;rows=1")</f>
        <v/>
      </c>
      <c r="M248" s="43">
        <f>[1]!wss($A248:$A248,"hks_fa_debttoassets","rptDate="&amp;($B248-1)&amp;"1231","WssConvert=0","showcodes=N","cols=1;rows=1")</f>
        <v>168.54429999999999</v>
      </c>
      <c r="P248" s="50">
        <v>5.5079000000000002</v>
      </c>
      <c r="Q248" s="50">
        <v>7.2141700000000002</v>
      </c>
      <c r="R248" s="50">
        <v>9.0869900000000001</v>
      </c>
      <c r="S248" s="50">
        <v>-2.4171499999999999</v>
      </c>
      <c r="T248" s="50">
        <v>-1.6895800000000001</v>
      </c>
      <c r="U248" s="50">
        <v>-1.72448</v>
      </c>
      <c r="V248" s="50">
        <v>16.642800000000001</v>
      </c>
      <c r="W248" s="50">
        <v>15.7415</v>
      </c>
      <c r="X248" s="50">
        <v>16.992799999999999</v>
      </c>
    </row>
    <row r="249" spans="1:24">
      <c r="A249" t="s">
        <v>753</v>
      </c>
      <c r="B249" s="17">
        <f>IFERROR(YEAR(VLOOKUP($A249,'01_ipo_master'!$A:$C,3,FALSE)),YEAR(VLOOKUP("0"&amp;$A249,'01_ipo_master'!$A:$C,3,FALSE)))</f>
        <v>2026</v>
      </c>
      <c r="C249" s="73">
        <f>[1]!wss($A249:$A249,"hks_stm_is","item=83","rptDate="&amp;($B249-3)&amp;"1231","rptType=1","currencyType=Cur=CNY","WssConvert=0","WssDivide=8","showcodes=N","cols=1;rows=1")</f>
        <v>5.4936199999999999</v>
      </c>
      <c r="D249" s="73">
        <f>[1]!wss($A249:$A249,"hks_stm_is","item=83","rptDate="&amp;($B249-2)&amp;"1231","rptType=1","currencyType=Cur=CNY","WssConvert=0","WssDivide=8","showcodes=N","cols=1;rows=1")</f>
        <v>5.7762000000000002</v>
      </c>
      <c r="E249" s="73">
        <f>[1]!wss($A249:$A249,"hks_stm_is","item=83","rptDate="&amp;($B249-1)&amp;"1231","rptType=1","currencyType=Cur=CNY","WssConvert=0","WssDivide=8","showcodes=N","cols=1;rows=1")</f>
        <v>6.6660000000000004</v>
      </c>
      <c r="F249" s="73">
        <f>[1]!wss($A249:$A249,"hks_stm_is","item=61","rptDate="&amp;($B249-3)&amp;"1231","rptType=1","currencyType=Cur=CNY","WssConvert=0","WssDivide=8","showcodes=N","cols=1;rows=1")</f>
        <v>-1.81918</v>
      </c>
      <c r="G249" s="73">
        <f>[1]!wss($A249:$A249,"hks_stm_is","item=61","rptDate="&amp;($B249-2)&amp;"1231","rptType=1","currencyType=Cur=CNY","WssConvert=0","WssDivide=8","showcodes=N","cols=1;rows=1")</f>
        <v>-1.4327400000000001</v>
      </c>
      <c r="H249" s="73">
        <f>[1]!wss($A249:$A249,"hks_stm_is","item=61","rptDate="&amp;($B249-1)&amp;"1231","rptType=1","currencyType=Cur=CNY","WssConvert=0","WssDivide=8","showcodes=N","cols=1;rows=1")</f>
        <v>-6.7640400000000005</v>
      </c>
      <c r="I249" s="73">
        <f>[1]!wss($A249:$A249,"hks_fa_grossprofitmargin","rptDate="&amp;($B249-3)&amp;"1231","WssConvert=0","showcodes=N","cols=1;rows=1")</f>
        <v>25.5624</v>
      </c>
      <c r="J249" s="43">
        <f>[1]!wss($A249:$A249,"hks_fa_grossprofitmargin","rptDate="&amp;($B249-2)&amp;"1231","WssConvert=0","showcodes=N","cols=1;rows=1")</f>
        <v>27.331299999999999</v>
      </c>
      <c r="K249" s="43">
        <f>[1]!wss($A249:$A249,"hks_fa_grossprofitmargin","rptDate="&amp;($B249-1)&amp;"1231","WssConvert=0","showcodes=N","cols=1;rows=1")</f>
        <v>23.584900000000001</v>
      </c>
      <c r="L249" s="73" t="str">
        <f>[1]!wss($A249:$A249,"hks_fa_roe","rptDate="&amp;($B249-1)&amp;"1231","WssConvert=0","showcodes=N","cols=1;rows=1")</f>
        <v/>
      </c>
      <c r="M249" s="43">
        <f>[1]!wss($A249:$A249,"hks_fa_debttoassets","rptDate="&amp;($B249-1)&amp;"1231","WssConvert=0","showcodes=N","cols=1;rows=1")</f>
        <v>296.14440000000002</v>
      </c>
      <c r="P249" s="50">
        <v>5.4936199999999999</v>
      </c>
      <c r="Q249" s="50">
        <v>5.7762000000000002</v>
      </c>
      <c r="R249" s="50">
        <v>6.6660000000000004</v>
      </c>
      <c r="S249" s="50">
        <v>-1.81918</v>
      </c>
      <c r="T249" s="50">
        <v>-1.4327399999999999</v>
      </c>
      <c r="U249" s="50">
        <v>-6.7640399999999996</v>
      </c>
      <c r="V249" s="50">
        <v>25.5624</v>
      </c>
      <c r="W249" s="50">
        <v>27.331299999999999</v>
      </c>
      <c r="X249" s="50">
        <v>23.584900000000001</v>
      </c>
    </row>
    <row r="250" spans="1:24">
      <c r="A250" t="s">
        <v>755</v>
      </c>
      <c r="B250" s="17">
        <f>IFERROR(YEAR(VLOOKUP($A250,'01_ipo_master'!$A:$C,3,FALSE)),YEAR(VLOOKUP("0"&amp;$A250,'01_ipo_master'!$A:$C,3,FALSE)))</f>
        <v>2024</v>
      </c>
      <c r="C250" s="73">
        <f>[1]!wss($A250:$A250,"hks_stm_is","item=83","rptDate="&amp;($B250-3)&amp;"1231","rptType=1","currencyType=Cur=CNY","WssConvert=0","WssDivide=8","showcodes=N","cols=1;rows=1")</f>
        <v>2.4908200000000003</v>
      </c>
      <c r="D250" s="73">
        <f>[1]!wss($A250:$A250,"hks_stm_is","item=83","rptDate="&amp;($B250-2)&amp;"1231","rptType=1","currencyType=Cur=CNY","WssConvert=0","WssDivide=8","showcodes=N","cols=1;rows=1")</f>
        <v>4.1994199999999999</v>
      </c>
      <c r="E250" s="73">
        <f>[1]!wss($A250:$A250,"hks_stm_is","item=83","rptDate="&amp;($B250-1)&amp;"1231","rptType=1","currencyType=Cur=CNY","WssConvert=0","WssDivide=8","showcodes=N","cols=1;rows=1")</f>
        <v>5.4681100000000002</v>
      </c>
      <c r="F250" s="73">
        <f>[1]!wss($A250:$A250,"hks_stm_is","item=61","rptDate="&amp;($B250-3)&amp;"1231","rptType=1","currencyType=Cur=CNY","WssConvert=0","WssDivide=8","showcodes=N","cols=1;rows=1")</f>
        <v>0.13423000000000002</v>
      </c>
      <c r="G250" s="73">
        <f>[1]!wss($A250:$A250,"hks_stm_is","item=61","rptDate="&amp;($B250-2)&amp;"1231","rptType=1","currencyType=Cur=CNY","WssConvert=0","WssDivide=8","showcodes=N","cols=1;rows=1")</f>
        <v>0.36532999999999999</v>
      </c>
      <c r="H250" s="73">
        <f>[1]!wss($A250:$A250,"hks_stm_is","item=61","rptDate="&amp;($B250-1)&amp;"1231","rptType=1","currencyType=Cur=CNY","WssConvert=0","WssDivide=8","showcodes=N","cols=1;rows=1")</f>
        <v>0.55210999999999999</v>
      </c>
      <c r="I250" s="73">
        <f>[1]!wss($A250:$A250,"hks_fa_grossprofitmargin","rptDate="&amp;($B250-3)&amp;"1231","WssConvert=0","showcodes=N","cols=1;rows=1")</f>
        <v>28.582799999999999</v>
      </c>
      <c r="J250" s="43">
        <f>[1]!wss($A250:$A250,"hks_fa_grossprofitmargin","rptDate="&amp;($B250-2)&amp;"1231","WssConvert=0","showcodes=N","cols=1;rows=1")</f>
        <v>31.740500000000001</v>
      </c>
      <c r="K250" s="43">
        <f>[1]!wss($A250:$A250,"hks_fa_grossprofitmargin","rptDate="&amp;($B250-1)&amp;"1231","WssConvert=0","showcodes=N","cols=1;rows=1")</f>
        <v>35.2027</v>
      </c>
      <c r="L250" s="73">
        <f>[1]!wss($A250:$A250,"hks_fa_roe","rptDate="&amp;($B250-1)&amp;"1231","WssConvert=0","showcodes=N","cols=1;rows=1")</f>
        <v>20.614799999999999</v>
      </c>
      <c r="M250" s="43">
        <f>[1]!wss($A250:$A250,"hks_fa_debttoassets","rptDate="&amp;($B250-1)&amp;"1231","WssConvert=0","showcodes=N","cols=1;rows=1")</f>
        <v>57.570500000000003</v>
      </c>
      <c r="P250" s="50">
        <v>5.4681100000000002</v>
      </c>
      <c r="Q250" s="50">
        <v>4.4418800000000003</v>
      </c>
      <c r="R250" s="50">
        <v>5.01959</v>
      </c>
      <c r="S250" s="50">
        <v>0.55210999999999999</v>
      </c>
      <c r="T250" s="50">
        <v>0.10329000000000001</v>
      </c>
      <c r="U250" s="50">
        <v>5.0160000000000003E-2</v>
      </c>
      <c r="V250" s="50">
        <v>35.2027</v>
      </c>
      <c r="W250" s="50">
        <v>32.1877</v>
      </c>
      <c r="X250" s="50">
        <v>29.509799999999998</v>
      </c>
    </row>
    <row r="251" spans="1:24">
      <c r="A251" t="s">
        <v>757</v>
      </c>
      <c r="B251" s="17">
        <f>IFERROR(YEAR(VLOOKUP($A251,'01_ipo_master'!$A:$C,3,FALSE)),YEAR(VLOOKUP("0"&amp;$A251,'01_ipo_master'!$A:$C,3,FALSE)))</f>
        <v>2025</v>
      </c>
      <c r="C251" s="73">
        <f>[1]!wss($A251:$A251,"hks_stm_is","item=83","rptDate="&amp;($B251-3)&amp;"1231","rptType=1","currencyType=Cur=CNY","WssConvert=0","WssDivide=8","showcodes=N","cols=1;rows=1")</f>
        <v>4.8235400000000004</v>
      </c>
      <c r="D251" s="73">
        <f>[1]!wss($A251:$A251,"hks_stm_is","item=83","rptDate="&amp;($B251-2)&amp;"1231","rptType=1","currencyType=Cur=CNY","WssConvert=0","WssDivide=8","showcodes=N","cols=1;rows=1")</f>
        <v>5.4612800000000004</v>
      </c>
      <c r="E251" s="73">
        <f>[1]!wss($A251:$A251,"hks_stm_is","item=83","rptDate="&amp;($B251-1)&amp;"1231","rptType=1","currencyType=Cur=CNY","WssConvert=0","WssDivide=8","showcodes=N","cols=1;rows=1")</f>
        <v>3.0143400000000002</v>
      </c>
      <c r="F251" s="73">
        <f>[1]!wss($A251:$A251,"hks_stm_is","item=61","rptDate="&amp;($B251-3)&amp;"1231","rptType=1","currencyType=Cur=CNY","WssConvert=0","WssDivide=8","showcodes=N","cols=1;rows=1")</f>
        <v>1.1789000000000001</v>
      </c>
      <c r="G251" s="73">
        <f>[1]!wss($A251:$A251,"hks_stm_is","item=61","rptDate="&amp;($B251-2)&amp;"1231","rptType=1","currencyType=Cur=CNY","WssConvert=0","WssDivide=8","showcodes=N","cols=1;rows=1")</f>
        <v>1.54725</v>
      </c>
      <c r="H251" s="73">
        <f>[1]!wss($A251:$A251,"hks_stm_is","item=61","rptDate="&amp;($B251-1)&amp;"1231","rptType=1","currencyType=Cur=CNY","WssConvert=0","WssDivide=8","showcodes=N","cols=1;rows=1")</f>
        <v>0.55854000000000004</v>
      </c>
      <c r="I251" s="73">
        <f>[1]!wss($A251:$A251,"hks_fa_grossprofitmargin","rptDate="&amp;($B251-3)&amp;"1231","WssConvert=0","showcodes=N","cols=1;rows=1")</f>
        <v>36.206800000000001</v>
      </c>
      <c r="J251" s="43">
        <f>[1]!wss($A251:$A251,"hks_fa_grossprofitmargin","rptDate="&amp;($B251-2)&amp;"1231","WssConvert=0","showcodes=N","cols=1;rows=1")</f>
        <v>39.867199999999997</v>
      </c>
      <c r="K251" s="43">
        <f>[1]!wss($A251:$A251,"hks_fa_grossprofitmargin","rptDate="&amp;($B251-1)&amp;"1231","WssConvert=0","showcodes=N","cols=1;rows=1")</f>
        <v>34.664999999999999</v>
      </c>
      <c r="L251" s="73">
        <f>[1]!wss($A251:$A251,"hks_fa_roe","rptDate="&amp;($B251-1)&amp;"1231","WssConvert=0","showcodes=N","cols=1;rows=1")</f>
        <v>5.6085000000000003</v>
      </c>
      <c r="M251" s="43">
        <f>[1]!wss($A251:$A251,"hks_fa_debttoassets","rptDate="&amp;($B251-1)&amp;"1231","WssConvert=0","showcodes=N","cols=1;rows=1")</f>
        <v>28.922599999999999</v>
      </c>
      <c r="P251" s="50">
        <v>5.4612800000000004</v>
      </c>
      <c r="Q251" s="50">
        <v>3.0143399999999998</v>
      </c>
      <c r="R251" s="50">
        <v>6.1601400000000002</v>
      </c>
      <c r="S251" s="50">
        <v>1.54725</v>
      </c>
      <c r="T251" s="50">
        <v>0.55854000000000004</v>
      </c>
      <c r="U251" s="50">
        <v>1.50041</v>
      </c>
      <c r="V251" s="50">
        <v>39.867199999999997</v>
      </c>
      <c r="W251" s="50">
        <v>34.664999999999999</v>
      </c>
      <c r="X251" s="50">
        <v>36.371899999999997</v>
      </c>
    </row>
    <row r="252" spans="1:24">
      <c r="A252" t="s">
        <v>759</v>
      </c>
      <c r="B252" s="17">
        <f>IFERROR(YEAR(VLOOKUP($A252,'01_ipo_master'!$A:$C,3,FALSE)),YEAR(VLOOKUP("0"&amp;$A252,'01_ipo_master'!$A:$C,3,FALSE)))</f>
        <v>2024</v>
      </c>
      <c r="C252" s="73">
        <f>[1]!wss($A252:$A252,"hks_stm_is","item=83","rptDate="&amp;($B252-3)&amp;"1231","rptType=1","currencyType=Cur=CNY","WssConvert=0","WssDivide=8","showcodes=N","cols=1;rows=1")</f>
        <v>4.70505</v>
      </c>
      <c r="D252" s="73">
        <f>[1]!wss($A252:$A252,"hks_stm_is","item=83","rptDate="&amp;($B252-2)&amp;"1231","rptType=1","currencyType=Cur=CNY","WssConvert=0","WssDivide=8","showcodes=N","cols=1;rows=1")</f>
        <v>4.7217000000000002</v>
      </c>
      <c r="E252" s="73">
        <f>[1]!wss($A252:$A252,"hks_stm_is","item=83","rptDate="&amp;($B252-1)&amp;"1231","rptType=1","currencyType=Cur=CNY","WssConvert=0","WssDivide=8","showcodes=N","cols=1;rows=1")</f>
        <v>5.3864999999999998</v>
      </c>
      <c r="F252" s="73">
        <f>[1]!wss($A252:$A252,"hks_stm_is","item=61","rptDate="&amp;($B252-3)&amp;"1231","rptType=1","currencyType=Cur=CNY","WssConvert=0","WssDivide=8","showcodes=N","cols=1;rows=1")</f>
        <v>-8.1659299999999995</v>
      </c>
      <c r="G252" s="73">
        <f>[1]!wss($A252:$A252,"hks_stm_is","item=61","rptDate="&amp;($B252-2)&amp;"1231","rptType=1","currencyType=Cur=CNY","WssConvert=0","WssDivide=8","showcodes=N","cols=1;rows=1")</f>
        <v>-5.41404</v>
      </c>
      <c r="H252" s="73">
        <f>[1]!wss($A252:$A252,"hks_stm_is","item=61","rptDate="&amp;($B252-1)&amp;"1231","rptType=1","currencyType=Cur=CNY","WssConvert=0","WssDivide=8","showcodes=N","cols=1;rows=1")</f>
        <v>-3.7309000000000001</v>
      </c>
      <c r="I252" s="73">
        <f>[1]!wss($A252:$A252,"hks_fa_grossprofitmargin","rptDate="&amp;($B252-3)&amp;"1231","WssConvert=0","showcodes=N","cols=1;rows=1")</f>
        <v>-10.0192</v>
      </c>
      <c r="J252" s="43">
        <f>[1]!wss($A252:$A252,"hks_fa_grossprofitmargin","rptDate="&amp;($B252-2)&amp;"1231","WssConvert=0","showcodes=N","cols=1;rows=1")</f>
        <v>-30.203700000000001</v>
      </c>
      <c r="K252" s="43">
        <f>[1]!wss($A252:$A252,"hks_fa_grossprofitmargin","rptDate="&amp;($B252-1)&amp;"1231","WssConvert=0","showcodes=N","cols=1;rows=1")</f>
        <v>-12.0837</v>
      </c>
      <c r="L252" s="73">
        <f>[1]!wss($A252:$A252,"hks_fa_roe","rptDate="&amp;($B252-1)&amp;"1231","WssConvert=0","showcodes=N","cols=1;rows=1")</f>
        <v>-22.719200000000001</v>
      </c>
      <c r="M252" s="43">
        <f>[1]!wss($A252:$A252,"hks_fa_debttoassets","rptDate="&amp;($B252-1)&amp;"1231","WssConvert=0","showcodes=N","cols=1;rows=1")</f>
        <v>64.304000000000002</v>
      </c>
      <c r="P252" s="50">
        <v>5.3864999999999998</v>
      </c>
      <c r="Q252" s="50">
        <v>3.8830499999999999</v>
      </c>
      <c r="R252" s="50">
        <v>4.5992199999999999</v>
      </c>
      <c r="S252" s="50">
        <v>-3.7309000000000001</v>
      </c>
      <c r="T252" s="50">
        <v>-4.4322299999999997</v>
      </c>
      <c r="U252" s="50">
        <v>-2.56603</v>
      </c>
      <c r="V252" s="50">
        <v>-12.0837</v>
      </c>
      <c r="W252" s="50">
        <v>-17.318300000000001</v>
      </c>
      <c r="X252" s="50">
        <v>6.9467999999999996</v>
      </c>
    </row>
    <row r="253" spans="1:24">
      <c r="A253" t="s">
        <v>761</v>
      </c>
      <c r="B253" s="17">
        <f>IFERROR(YEAR(VLOOKUP($A253,'01_ipo_master'!$A:$C,3,FALSE)),YEAR(VLOOKUP("0"&amp;$A253,'01_ipo_master'!$A:$C,3,FALSE)))</f>
        <v>2023</v>
      </c>
      <c r="C253" s="73">
        <f>[1]!wss($A253:$A253,"hks_stm_is","item=83","rptDate="&amp;($B253-3)&amp;"1231","rptType=1","currencyType=Cur=CNY","WssConvert=0","WssDivide=8","showcodes=N","cols=1;rows=1")</f>
        <v>5.0458300000000005</v>
      </c>
      <c r="D253" s="73">
        <f>[1]!wss($A253:$A253,"hks_stm_is","item=83","rptDate="&amp;($B253-2)&amp;"1231","rptType=1","currencyType=Cur=CNY","WssConvert=0","WssDivide=8","showcodes=N","cols=1;rows=1")</f>
        <v>6.14344</v>
      </c>
      <c r="E253" s="73">
        <f>[1]!wss($A253:$A253,"hks_stm_is","item=83","rptDate="&amp;($B253-1)&amp;"1231","rptType=1","currencyType=Cur=CNY","WssConvert=0","WssDivide=8","showcodes=N","cols=1;rows=1")</f>
        <v>6.8757799999999998</v>
      </c>
      <c r="F253" s="73">
        <f>[1]!wss($A253:$A253,"hks_stm_is","item=61","rptDate="&amp;($B253-3)&amp;"1231","rptType=1","currencyType=Cur=CNY","WssConvert=0","WssDivide=8","showcodes=N","cols=1;rows=1")</f>
        <v>-1.96431</v>
      </c>
      <c r="G253" s="73">
        <f>[1]!wss($A253:$A253,"hks_stm_is","item=61","rptDate="&amp;($B253-2)&amp;"1231","rptType=1","currencyType=Cur=CNY","WssConvert=0","WssDivide=8","showcodes=N","cols=1;rows=1")</f>
        <v>-2.9653700000000001</v>
      </c>
      <c r="H253" s="73">
        <f>[1]!wss($A253:$A253,"hks_stm_is","item=61","rptDate="&amp;($B253-1)&amp;"1231","rptType=1","currencyType=Cur=CNY","WssConvert=0","WssDivide=8","showcodes=N","cols=1;rows=1")</f>
        <v>-2.41967</v>
      </c>
      <c r="I253" s="73">
        <f>[1]!wss($A253:$A253,"hks_fa_grossprofitmargin","rptDate="&amp;($B253-3)&amp;"1231","WssConvert=0","showcodes=N","cols=1;rows=1")</f>
        <v>26.661200000000001</v>
      </c>
      <c r="J253" s="43">
        <f>[1]!wss($A253:$A253,"hks_fa_grossprofitmargin","rptDate="&amp;($B253-2)&amp;"1231","WssConvert=0","showcodes=N","cols=1;rows=1")</f>
        <v>27.710999999999999</v>
      </c>
      <c r="K253" s="43">
        <f>[1]!wss($A253:$A253,"hks_fa_grossprofitmargin","rptDate="&amp;($B253-1)&amp;"1231","WssConvert=0","showcodes=N","cols=1;rows=1")</f>
        <v>24.504799999999999</v>
      </c>
      <c r="L253" s="73" t="str">
        <f>[1]!wss($A253:$A253,"hks_fa_roe","rptDate="&amp;($B253-1)&amp;"1231","WssConvert=0","showcodes=N","cols=1;rows=1")</f>
        <v/>
      </c>
      <c r="M253" s="43">
        <f>[1]!wss($A253:$A253,"hks_fa_debttoassets","rptDate="&amp;($B253-1)&amp;"1231","WssConvert=0","showcodes=N","cols=1;rows=1")</f>
        <v>147.74680000000001</v>
      </c>
      <c r="P253" s="50">
        <v>5.3791500000000001</v>
      </c>
      <c r="Q253" s="50">
        <v>5.0149600000000003</v>
      </c>
      <c r="R253" s="50">
        <v>4.6413799999999998</v>
      </c>
      <c r="S253" s="50">
        <v>-1.5465199999999999</v>
      </c>
      <c r="T253" s="50">
        <v>-0.83052999999999999</v>
      </c>
      <c r="U253" s="50">
        <v>-0.38925999999999999</v>
      </c>
      <c r="V253" s="50">
        <v>30.6127</v>
      </c>
      <c r="W253" s="50">
        <v>29.4116</v>
      </c>
      <c r="X253" s="50">
        <v>27.308499999999999</v>
      </c>
    </row>
    <row r="254" spans="1:24">
      <c r="A254" t="s">
        <v>763</v>
      </c>
      <c r="B254" s="17">
        <f>IFERROR(YEAR(VLOOKUP($A254,'01_ipo_master'!$A:$C,3,FALSE)),YEAR(VLOOKUP("0"&amp;$A254,'01_ipo_master'!$A:$C,3,FALSE)))</f>
        <v>2025</v>
      </c>
      <c r="C254" s="73">
        <f>[1]!wss($A254:$A254,"hks_stm_is","item=83","rptDate="&amp;($B254-3)&amp;"1231","rptType=1","currencyType=Cur=CNY","WssConvert=0","WssDivide=8","showcodes=N","cols=1;rows=1")</f>
        <v>2.8789899999999999</v>
      </c>
      <c r="D254" s="73">
        <f>[1]!wss($A254:$A254,"hks_stm_is","item=83","rptDate="&amp;($B254-2)&amp;"1231","rptType=1","currencyType=Cur=CNY","WssConvert=0","WssDivide=8","showcodes=N","cols=1;rows=1")</f>
        <v>5.3045800000000005</v>
      </c>
      <c r="E254" s="73">
        <f>[1]!wss($A254:$A254,"hks_stm_is","item=83","rptDate="&amp;($B254-1)&amp;"1231","rptType=1","currencyType=Cur=CNY","WssConvert=0","WssDivide=8","showcodes=N","cols=1;rows=1")</f>
        <v>6.3197799999999997</v>
      </c>
      <c r="F254" s="73">
        <f>[1]!wss($A254:$A254,"hks_stm_is","item=61","rptDate="&amp;($B254-3)&amp;"1231","rptType=1","currencyType=Cur=CNY","WssConvert=0","WssDivide=8","showcodes=N","cols=1;rows=1")</f>
        <v>-0.75141000000000002</v>
      </c>
      <c r="G254" s="73">
        <f>[1]!wss($A254:$A254,"hks_stm_is","item=61","rptDate="&amp;($B254-2)&amp;"1231","rptType=1","currencyType=Cur=CNY","WssConvert=0","WssDivide=8","showcodes=N","cols=1;rows=1")</f>
        <v>-0.55266999999999999</v>
      </c>
      <c r="H254" s="73">
        <f>[1]!wss($A254:$A254,"hks_stm_is","item=61","rptDate="&amp;($B254-1)&amp;"1231","rptType=1","currencyType=Cur=CNY","WssConvert=0","WssDivide=8","showcodes=N","cols=1;rows=1")</f>
        <v>-0.84011000000000002</v>
      </c>
      <c r="I254" s="73">
        <f>[1]!wss($A254:$A254,"hks_fa_grossprofitmargin","rptDate="&amp;($B254-3)&amp;"1231","WssConvert=0","showcodes=N","cols=1;rows=1")</f>
        <v>78.018299999999996</v>
      </c>
      <c r="J254" s="43">
        <f>[1]!wss($A254:$A254,"hks_fa_grossprofitmargin","rptDate="&amp;($B254-2)&amp;"1231","WssConvert=0","showcodes=N","cols=1;rows=1")</f>
        <v>79.021900000000002</v>
      </c>
      <c r="K254" s="43">
        <f>[1]!wss($A254:$A254,"hks_fa_grossprofitmargin","rptDate="&amp;($B254-1)&amp;"1231","WssConvert=0","showcodes=N","cols=1;rows=1")</f>
        <v>76.684200000000004</v>
      </c>
      <c r="L254" s="73">
        <f>[1]!wss($A254:$A254,"hks_fa_roe","rptDate="&amp;($B254-1)&amp;"1231","WssConvert=0","showcodes=N","cols=1;rows=1")</f>
        <v>-5.2102000000000004</v>
      </c>
      <c r="M254" s="43">
        <f>[1]!wss($A254:$A254,"hks_fa_debttoassets","rptDate="&amp;($B254-1)&amp;"1231","WssConvert=0","showcodes=N","cols=1;rows=1")</f>
        <v>9.9870999999999999</v>
      </c>
      <c r="P254" s="50">
        <v>5.3045799999999996</v>
      </c>
      <c r="Q254" s="50">
        <v>6.3197799999999997</v>
      </c>
      <c r="R254" s="50">
        <v>12.84657</v>
      </c>
      <c r="S254" s="50">
        <v>-0.55266999999999999</v>
      </c>
      <c r="T254" s="50">
        <v>-0.84011000000000002</v>
      </c>
      <c r="U254" s="50">
        <v>-0.94060999999999995</v>
      </c>
      <c r="V254" s="50">
        <v>79.021900000000002</v>
      </c>
      <c r="W254" s="50">
        <v>76.684200000000004</v>
      </c>
      <c r="X254" s="50">
        <v>61.6571</v>
      </c>
    </row>
    <row r="255" spans="1:24">
      <c r="A255" t="s">
        <v>765</v>
      </c>
      <c r="B255" s="17">
        <f>IFERROR(YEAR(VLOOKUP($A255,'01_ipo_master'!$A:$C,3,FALSE)),YEAR(VLOOKUP("0"&amp;$A255,'01_ipo_master'!$A:$C,3,FALSE)))</f>
        <v>2025</v>
      </c>
      <c r="C255" s="73">
        <f>[1]!wss($A255:$A255,"hks_stm_is","item=83","rptDate="&amp;($B255-3)&amp;"1231","rptType=1","currencyType=Cur=CNY","WssConvert=0","WssDivide=8","showcodes=N","cols=1;rows=1")</f>
        <v>4.7528500000000005</v>
      </c>
      <c r="D255" s="73">
        <f>[1]!wss($A255:$A255,"hks_stm_is","item=83","rptDate="&amp;($B255-2)&amp;"1231","rptType=1","currencyType=Cur=CNY","WssConvert=0","WssDivide=8","showcodes=N","cols=1;rows=1")</f>
        <v>5.2966899999999999</v>
      </c>
      <c r="E255" s="73">
        <f>[1]!wss($A255:$A255,"hks_stm_is","item=83","rptDate="&amp;($B255-1)&amp;"1231","rptType=1","currencyType=Cur=CNY","WssConvert=0","WssDivide=8","showcodes=N","cols=1;rows=1")</f>
        <v>9.9302899999999994</v>
      </c>
      <c r="F255" s="73">
        <f>[1]!wss($A255:$A255,"hks_stm_is","item=61","rptDate="&amp;($B255-3)&amp;"1231","rptType=1","currencyType=Cur=CNY","WssConvert=0","WssDivide=8","showcodes=N","cols=1;rows=1")</f>
        <v>-2.81E-3</v>
      </c>
      <c r="G255" s="73">
        <f>[1]!wss($A255:$A255,"hks_stm_is","item=61","rptDate="&amp;($B255-2)&amp;"1231","rptType=1","currencyType=Cur=CNY","WssConvert=0","WssDivide=8","showcodes=N","cols=1;rows=1")</f>
        <v>3.6430000000000004E-2</v>
      </c>
      <c r="H255" s="73">
        <f>[1]!wss($A255:$A255,"hks_stm_is","item=61","rptDate="&amp;($B255-1)&amp;"1231","rptType=1","currencyType=Cur=CNY","WssConvert=0","WssDivide=8","showcodes=N","cols=1;rows=1")</f>
        <v>1.4712799999999999</v>
      </c>
      <c r="I255" s="73">
        <f>[1]!wss($A255:$A255,"hks_fa_grossprofitmargin","rptDate="&amp;($B255-3)&amp;"1231","WssConvert=0","showcodes=N","cols=1;rows=1")</f>
        <v>65.804100000000005</v>
      </c>
      <c r="J255" s="43">
        <f>[1]!wss($A255:$A255,"hks_fa_grossprofitmargin","rptDate="&amp;($B255-2)&amp;"1231","WssConvert=0","showcodes=N","cols=1;rows=1")</f>
        <v>69.412199999999999</v>
      </c>
      <c r="K255" s="43">
        <f>[1]!wss($A255:$A255,"hks_fa_grossprofitmargin","rptDate="&amp;($B255-1)&amp;"1231","WssConvert=0","showcodes=N","cols=1;rows=1")</f>
        <v>96.8643</v>
      </c>
      <c r="L255" s="73" t="str">
        <f>[1]!wss($A255:$A255,"hks_fa_roe","rptDate="&amp;($B255-1)&amp;"1231","WssConvert=0","showcodes=N","cols=1;rows=1")</f>
        <v/>
      </c>
      <c r="M255" s="43">
        <f>[1]!wss($A255:$A255,"hks_fa_debttoassets","rptDate="&amp;($B255-1)&amp;"1231","WssConvert=0","showcodes=N","cols=1;rows=1")</f>
        <v>190.77430000000001</v>
      </c>
      <c r="P255" s="50">
        <v>5.2966899999999999</v>
      </c>
      <c r="Q255" s="50">
        <v>9.9302899999999994</v>
      </c>
      <c r="R255" s="50">
        <v>10.348229999999999</v>
      </c>
      <c r="S255" s="50">
        <v>3.6429999999999997E-2</v>
      </c>
      <c r="T255" s="50">
        <v>1.4712799999999999</v>
      </c>
      <c r="U255" s="50">
        <v>1.95146</v>
      </c>
      <c r="V255" s="50">
        <v>69.412199999999999</v>
      </c>
      <c r="W255" s="50">
        <v>96.8643</v>
      </c>
      <c r="X255" s="50">
        <v>95.3994</v>
      </c>
    </row>
    <row r="256" spans="1:24">
      <c r="A256" t="s">
        <v>767</v>
      </c>
      <c r="B256" s="17">
        <f>IFERROR(YEAR(VLOOKUP($A256,'01_ipo_master'!$A:$C,3,FALSE)),YEAR(VLOOKUP("0"&amp;$A256,'01_ipo_master'!$A:$C,3,FALSE)))</f>
        <v>2023</v>
      </c>
      <c r="C256" s="73">
        <f>[1]!wss($A256:$A256,"hks_stm_is","item=83","rptDate="&amp;($B256-3)&amp;"1231","rptType=1","currencyType=Cur=CNY","WssConvert=0","WssDivide=8","showcodes=N","cols=1;rows=1")</f>
        <v>4.0546499999999996</v>
      </c>
      <c r="D256" s="73">
        <f>[1]!wss($A256:$A256,"hks_stm_is","item=83","rptDate="&amp;($B256-2)&amp;"1231","rptType=1","currencyType=Cur=CNY","WssConvert=0","WssDivide=8","showcodes=N","cols=1;rows=1")</f>
        <v>5.5871300000000002</v>
      </c>
      <c r="E256" s="73">
        <f>[1]!wss($A256:$A256,"hks_stm_is","item=83","rptDate="&amp;($B256-1)&amp;"1231","rptType=1","currencyType=Cur=CNY","WssConvert=0","WssDivide=8","showcodes=N","cols=1;rows=1")</f>
        <v>4.62934</v>
      </c>
      <c r="F256" s="73">
        <f>[1]!wss($A256:$A256,"hks_stm_is","item=61","rptDate="&amp;($B256-3)&amp;"1231","rptType=1","currencyType=Cur=CNY","WssConvert=0","WssDivide=8","showcodes=N","cols=1;rows=1")</f>
        <v>1.22882</v>
      </c>
      <c r="G256" s="73">
        <f>[1]!wss($A256:$A256,"hks_stm_is","item=61","rptDate="&amp;($B256-2)&amp;"1231","rptType=1","currencyType=Cur=CNY","WssConvert=0","WssDivide=8","showcodes=N","cols=1;rows=1")</f>
        <v>1.31006</v>
      </c>
      <c r="H256" s="73">
        <f>[1]!wss($A256:$A256,"hks_stm_is","item=61","rptDate="&amp;($B256-1)&amp;"1231","rptType=1","currencyType=Cur=CNY","WssConvert=0","WssDivide=8","showcodes=N","cols=1;rows=1")</f>
        <v>0.72204999999999997</v>
      </c>
      <c r="I256" s="73">
        <f>[1]!wss($A256:$A256,"hks_fa_grossprofitmargin","rptDate="&amp;($B256-3)&amp;"1231","WssConvert=0","showcodes=N","cols=1;rows=1")</f>
        <v>70.397000000000006</v>
      </c>
      <c r="J256" s="43">
        <f>[1]!wss($A256:$A256,"hks_fa_grossprofitmargin","rptDate="&amp;($B256-2)&amp;"1231","WssConvert=0","showcodes=N","cols=1;rows=1")</f>
        <v>65.948700000000002</v>
      </c>
      <c r="K256" s="43">
        <f>[1]!wss($A256:$A256,"hks_fa_grossprofitmargin","rptDate="&amp;($B256-1)&amp;"1231","WssConvert=0","showcodes=N","cols=1;rows=1")</f>
        <v>65.892700000000005</v>
      </c>
      <c r="L256" s="73">
        <f>[1]!wss($A256:$A256,"hks_fa_roe","rptDate="&amp;($B256-1)&amp;"1231","WssConvert=0","showcodes=N","cols=1;rows=1")</f>
        <v>9.3633000000000006</v>
      </c>
      <c r="M256" s="43">
        <f>[1]!wss($A256:$A256,"hks_fa_debttoassets","rptDate="&amp;($B256-1)&amp;"1231","WssConvert=0","showcodes=N","cols=1;rows=1")</f>
        <v>43.3504</v>
      </c>
      <c r="P256" s="50">
        <v>5.2754099999999999</v>
      </c>
      <c r="Q256" s="50">
        <v>3.61328</v>
      </c>
      <c r="R256" s="50">
        <v>2.1867647093000002</v>
      </c>
      <c r="S256" s="50">
        <v>0.80079999999999996</v>
      </c>
      <c r="T256" s="50">
        <v>-3.07545</v>
      </c>
      <c r="U256" s="50">
        <v>-0.91005106130000002</v>
      </c>
      <c r="V256" s="50">
        <v>66.961500000000001</v>
      </c>
      <c r="W256" s="50">
        <v>52.034199999999998</v>
      </c>
      <c r="X256" s="50">
        <v>52.346299999999999</v>
      </c>
    </row>
    <row r="257" spans="1:24">
      <c r="A257" t="s">
        <v>769</v>
      </c>
      <c r="B257" s="17">
        <f>IFERROR(YEAR(VLOOKUP($A257,'01_ipo_master'!$A:$C,3,FALSE)),YEAR(VLOOKUP("0"&amp;$A257,'01_ipo_master'!$A:$C,3,FALSE)))</f>
        <v>2024</v>
      </c>
      <c r="C257" s="73">
        <f>[1]!wss($A257:$A257,"hks_stm_is","item=83","rptDate="&amp;($B257-3)&amp;"1231","rptType=1","currencyType=Cur=CNY","WssConvert=0","WssDivide=8","showcodes=N","cols=1;rows=1")</f>
        <v>3.29278</v>
      </c>
      <c r="D257" s="73">
        <f>[1]!wss($A257:$A257,"hks_stm_is","item=83","rptDate="&amp;($B257-2)&amp;"1231","rptType=1","currencyType=Cur=CNY","WssConvert=0","WssDivide=8","showcodes=N","cols=1;rows=1")</f>
        <v>3.5949200000000001</v>
      </c>
      <c r="E257" s="73">
        <f>[1]!wss($A257:$A257,"hks_stm_is","item=83","rptDate="&amp;($B257-1)&amp;"1231","rptType=1","currencyType=Cur=CNY","WssConvert=0","WssDivide=8","showcodes=N","cols=1;rows=1")</f>
        <v>5.2244200000000003</v>
      </c>
      <c r="F257" s="73">
        <f>[1]!wss($A257:$A257,"hks_stm_is","item=61","rptDate="&amp;($B257-3)&amp;"1231","rptType=1","currencyType=Cur=CNY","WssConvert=0","WssDivide=8","showcodes=N","cols=1;rows=1")</f>
        <v>-0.71187</v>
      </c>
      <c r="G257" s="73">
        <f>[1]!wss($A257:$A257,"hks_stm_is","item=61","rptDate="&amp;($B257-2)&amp;"1231","rptType=1","currencyType=Cur=CNY","WssConvert=0","WssDivide=8","showcodes=N","cols=1;rows=1")</f>
        <v>-0.93857000000000002</v>
      </c>
      <c r="H257" s="73">
        <f>[1]!wss($A257:$A257,"hks_stm_is","item=61","rptDate="&amp;($B257-1)&amp;"1231","rptType=1","currencyType=Cur=CNY","WssConvert=0","WssDivide=8","showcodes=N","cols=1;rows=1")</f>
        <v>-0.73303000000000007</v>
      </c>
      <c r="I257" s="73">
        <f>[1]!wss($A257:$A257,"hks_fa_grossprofitmargin","rptDate="&amp;($B257-3)&amp;"1231","WssConvert=0","showcodes=N","cols=1;rows=1")</f>
        <v>9.6489999999999991</v>
      </c>
      <c r="J257" s="43">
        <f>[1]!wss($A257:$A257,"hks_fa_grossprofitmargin","rptDate="&amp;($B257-2)&amp;"1231","WssConvert=0","showcodes=N","cols=1;rows=1")</f>
        <v>10.854799999999999</v>
      </c>
      <c r="K257" s="43">
        <f>[1]!wss($A257:$A257,"hks_fa_grossprofitmargin","rptDate="&amp;($B257-1)&amp;"1231","WssConvert=0","showcodes=N","cols=1;rows=1")</f>
        <v>17.870899999999999</v>
      </c>
      <c r="L257" s="73">
        <f>[1]!wss($A257:$A257,"hks_fa_roe","rptDate="&amp;($B257-1)&amp;"1231","WssConvert=0","showcodes=N","cols=1;rows=1")</f>
        <v>-12.453200000000001</v>
      </c>
      <c r="M257" s="43">
        <f>[1]!wss($A257:$A257,"hks_fa_debttoassets","rptDate="&amp;($B257-1)&amp;"1231","WssConvert=0","showcodes=N","cols=1;rows=1")</f>
        <v>73.034000000000006</v>
      </c>
      <c r="P257" s="50">
        <v>5.2244200000000003</v>
      </c>
      <c r="Q257" s="50">
        <v>4.5860900000000004</v>
      </c>
      <c r="R257" s="50">
        <v>3.46374</v>
      </c>
      <c r="S257" s="50">
        <v>-0.73302999999999996</v>
      </c>
      <c r="T257" s="50">
        <v>-2.1027999999999998</v>
      </c>
      <c r="U257" s="50">
        <v>-3.8297400000000001</v>
      </c>
      <c r="V257" s="50">
        <v>17.870899999999999</v>
      </c>
      <c r="W257" s="50">
        <v>10.0166</v>
      </c>
      <c r="X257" s="50">
        <v>1.1175999999999999</v>
      </c>
    </row>
    <row r="258" spans="1:24">
      <c r="A258" t="s">
        <v>771</v>
      </c>
      <c r="B258" s="17">
        <f>IFERROR(YEAR(VLOOKUP($A258,'01_ipo_master'!$A:$C,3,FALSE)),YEAR(VLOOKUP("0"&amp;$A258,'01_ipo_master'!$A:$C,3,FALSE)))</f>
        <v>2023</v>
      </c>
      <c r="C258" s="73">
        <f>[1]!wss($A258:$A258,"hks_stm_is","item=83","rptDate="&amp;($B258-3)&amp;"1231","rptType=1","currencyType=Cur=CNY","WssConvert=0","WssDivide=8","showcodes=N","cols=1;rows=1")</f>
        <v>7.1092700439999996</v>
      </c>
      <c r="D258" s="73">
        <f>[1]!wss($A258:$A258,"hks_stm_is","item=83","rptDate="&amp;($B258-2)&amp;"1231","rptType=1","currencyType=Cur=CNY","WssConvert=0","WssDivide=8","showcodes=N","cols=1;rows=1")</f>
        <v>6.9491942150000003</v>
      </c>
      <c r="E258" s="73">
        <f>[1]!wss($A258:$A258,"hks_stm_is","item=83","rptDate="&amp;($B258-1)&amp;"1231","rptType=1","currencyType=Cur=CNY","WssConvert=0","WssDivide=8","showcodes=N","cols=1;rows=1")</f>
        <v>8.0550474220000012</v>
      </c>
      <c r="F258" s="73">
        <f>[1]!wss($A258:$A258,"hks_stm_is","item=61","rptDate="&amp;($B258-3)&amp;"1231","rptType=1","currencyType=Cur=CNY","WssConvert=0","WssDivide=8","showcodes=N","cols=1;rows=1")</f>
        <v>0.27313231399999999</v>
      </c>
      <c r="G258" s="73">
        <f>[1]!wss($A258:$A258,"hks_stm_is","item=61","rptDate="&amp;($B258-2)&amp;"1231","rptType=1","currencyType=Cur=CNY","WssConvert=0","WssDivide=8","showcodes=N","cols=1;rows=1")</f>
        <v>0.279765716</v>
      </c>
      <c r="H258" s="73">
        <f>[1]!wss($A258:$A258,"hks_stm_is","item=61","rptDate="&amp;($B258-1)&amp;"1231","rptType=1","currencyType=Cur=CNY","WssConvert=0","WssDivide=8","showcodes=N","cols=1;rows=1")</f>
        <v>0.52206641600000014</v>
      </c>
      <c r="I258" s="73">
        <f>[1]!wss($A258:$A258,"hks_fa_grossprofitmargin","rptDate="&amp;($B258-3)&amp;"1231","WssConvert=0","showcodes=N","cols=1;rows=1")</f>
        <v>15.214700000000001</v>
      </c>
      <c r="J258" s="43">
        <f>[1]!wss($A258:$A258,"hks_fa_grossprofitmargin","rptDate="&amp;($B258-2)&amp;"1231","WssConvert=0","showcodes=N","cols=1;rows=1")</f>
        <v>21.003900000000002</v>
      </c>
      <c r="K258" s="43">
        <f>[1]!wss($A258:$A258,"hks_fa_grossprofitmargin","rptDate="&amp;($B258-1)&amp;"1231","WssConvert=0","showcodes=N","cols=1;rows=1")</f>
        <v>22.530999999999999</v>
      </c>
      <c r="L258" s="73">
        <f>[1]!wss($A258:$A258,"hks_fa_roe","rptDate="&amp;($B258-1)&amp;"1231","WssConvert=0","showcodes=N","cols=1;rows=1")</f>
        <v>5.5960000000000001</v>
      </c>
      <c r="M258" s="43">
        <f>[1]!wss($A258:$A258,"hks_fa_debttoassets","rptDate="&amp;($B258-1)&amp;"1231","WssConvert=0","showcodes=N","cols=1;rows=1")</f>
        <v>35.430500000000002</v>
      </c>
      <c r="P258" s="50">
        <v>5.1215003699999997</v>
      </c>
      <c r="Q258" s="50">
        <v>4.0938656839999998</v>
      </c>
      <c r="R258" s="50">
        <v>3.6461899999999998</v>
      </c>
      <c r="S258" s="50">
        <v>-1.0961186519999999</v>
      </c>
      <c r="T258" s="50">
        <v>-2.9460938560000001</v>
      </c>
      <c r="U258" s="50">
        <v>-1.7943120640000001</v>
      </c>
      <c r="V258" s="50">
        <v>1.1633</v>
      </c>
      <c r="W258" s="50">
        <v>-30.296199999999999</v>
      </c>
      <c r="X258" s="50">
        <v>8.7652999999999999</v>
      </c>
    </row>
    <row r="259" spans="1:24">
      <c r="A259" t="s">
        <v>773</v>
      </c>
      <c r="B259" s="17">
        <f>IFERROR(YEAR(VLOOKUP($A259,'01_ipo_master'!$A:$C,3,FALSE)),YEAR(VLOOKUP("0"&amp;$A259,'01_ipo_master'!$A:$C,3,FALSE)))</f>
        <v>2025</v>
      </c>
      <c r="C259" s="73">
        <f>[1]!wss($A259:$A259,"hks_stm_is","item=83","rptDate="&amp;($B259-3)&amp;"1231","rptType=1","currencyType=Cur=CNY","WssConvert=0","WssDivide=8","showcodes=N","cols=1;rows=1")</f>
        <v>2.6723300000000001</v>
      </c>
      <c r="D259" s="73">
        <f>[1]!wss($A259:$A259,"hks_stm_is","item=83","rptDate="&amp;($B259-2)&amp;"1231","rptType=1","currencyType=Cur=CNY","WssConvert=0","WssDivide=8","showcodes=N","cols=1;rows=1")</f>
        <v>5.1025499999999999</v>
      </c>
      <c r="E259" s="73">
        <f>[1]!wss($A259:$A259,"hks_stm_is","item=83","rptDate="&amp;($B259-1)&amp;"1231","rptType=1","currencyType=Cur=CNY","WssConvert=0","WssDivide=8","showcodes=N","cols=1;rows=1")</f>
        <v>6.1439500000000002</v>
      </c>
      <c r="F259" s="73">
        <f>[1]!wss($A259:$A259,"hks_stm_is","item=61","rptDate="&amp;($B259-3)&amp;"1231","rptType=1","currencyType=Cur=CNY","WssConvert=0","WssDivide=8","showcodes=N","cols=1;rows=1")</f>
        <v>0.36735000000000001</v>
      </c>
      <c r="G259" s="73">
        <f>[1]!wss($A259:$A259,"hks_stm_is","item=61","rptDate="&amp;($B259-2)&amp;"1231","rptType=1","currencyType=Cur=CNY","WssConvert=0","WssDivide=8","showcodes=N","cols=1;rows=1")</f>
        <v>1.20556</v>
      </c>
      <c r="H259" s="73">
        <f>[1]!wss($A259:$A259,"hks_stm_is","item=61","rptDate="&amp;($B259-1)&amp;"1231","rptType=1","currencyType=Cur=CNY","WssConvert=0","WssDivide=8","showcodes=N","cols=1;rows=1")</f>
        <v>1.2089099999999999</v>
      </c>
      <c r="I259" s="73">
        <f>[1]!wss($A259:$A259,"hks_fa_grossprofitmargin","rptDate="&amp;($B259-3)&amp;"1231","WssConvert=0","showcodes=N","cols=1;rows=1")</f>
        <v>37.4512</v>
      </c>
      <c r="J259" s="43">
        <f>[1]!wss($A259:$A259,"hks_fa_grossprofitmargin","rptDate="&amp;($B259-2)&amp;"1231","WssConvert=0","showcodes=N","cols=1;rows=1")</f>
        <v>47.375700000000002</v>
      </c>
      <c r="K259" s="43">
        <f>[1]!wss($A259:$A259,"hks_fa_grossprofitmargin","rptDate="&amp;($B259-1)&amp;"1231","WssConvert=0","showcodes=N","cols=1;rows=1")</f>
        <v>40.002000000000002</v>
      </c>
      <c r="L259" s="73">
        <f>[1]!wss($A259:$A259,"hks_fa_roe","rptDate="&amp;($B259-1)&amp;"1231","WssConvert=0","showcodes=N","cols=1;rows=1")</f>
        <v>45.230899999999998</v>
      </c>
      <c r="M259" s="43">
        <f>[1]!wss($A259:$A259,"hks_fa_debttoassets","rptDate="&amp;($B259-1)&amp;"1231","WssConvert=0","showcodes=N","cols=1;rows=1")</f>
        <v>37.341200000000001</v>
      </c>
      <c r="P259" s="50">
        <v>5.1025499999999999</v>
      </c>
      <c r="Q259" s="50">
        <v>6.1439500000000002</v>
      </c>
      <c r="R259" s="50">
        <v>3.8317899999999998</v>
      </c>
      <c r="S259" s="50">
        <v>1.20556</v>
      </c>
      <c r="T259" s="50">
        <v>1.2089099999999999</v>
      </c>
      <c r="U259" s="50">
        <v>5.6370000000000003E-2</v>
      </c>
      <c r="V259" s="50">
        <v>47.375700000000002</v>
      </c>
      <c r="W259" s="50">
        <v>40.002000000000002</v>
      </c>
      <c r="X259" s="50">
        <v>30.802299999999999</v>
      </c>
    </row>
    <row r="260" spans="1:24">
      <c r="A260" t="s">
        <v>775</v>
      </c>
      <c r="B260" s="17">
        <f>IFERROR(YEAR(VLOOKUP($A260,'01_ipo_master'!$A:$C,3,FALSE)),YEAR(VLOOKUP("0"&amp;$A260,'01_ipo_master'!$A:$C,3,FALSE)))</f>
        <v>2025</v>
      </c>
      <c r="C260" s="73">
        <f>[1]!wss($A260:$A260,"hks_stm_is","item=83","rptDate="&amp;($B260-3)&amp;"1231","rptType=1","currencyType=Cur=CNY","WssConvert=0","WssDivide=8","showcodes=N","cols=1;rows=1")</f>
        <v>4.7628113560000012</v>
      </c>
      <c r="D260" s="73">
        <f>[1]!wss($A260:$A260,"hks_stm_is","item=83","rptDate="&amp;($B260-2)&amp;"1231","rptType=1","currencyType=Cur=CNY","WssConvert=0","WssDivide=8","showcodes=N","cols=1;rows=1")</f>
        <v>5.092390473</v>
      </c>
      <c r="E260" s="73">
        <f>[1]!wss($A260:$A260,"hks_stm_is","item=83","rptDate="&amp;($B260-1)&amp;"1231","rptType=1","currencyType=Cur=CNY","WssConvert=0","WssDivide=8","showcodes=N","cols=1;rows=1")</f>
        <v>5.3930971000000003</v>
      </c>
      <c r="F260" s="73">
        <f>[1]!wss($A260:$A260,"hks_stm_is","item=61","rptDate="&amp;($B260-3)&amp;"1231","rptType=1","currencyType=Cur=CNY","WssConvert=0","WssDivide=8","showcodes=N","cols=1;rows=1")</f>
        <v>-10.308861628000001</v>
      </c>
      <c r="G260" s="73">
        <f>[1]!wss($A260:$A260,"hks_stm_is","item=61","rptDate="&amp;($B260-2)&amp;"1231","rptType=1","currencyType=Cur=CNY","WssConvert=0","WssDivide=8","showcodes=N","cols=1;rows=1")</f>
        <v>-8.8400595240000008</v>
      </c>
      <c r="H260" s="73">
        <f>[1]!wss($A260:$A260,"hks_stm_is","item=61","rptDate="&amp;($B260-1)&amp;"1231","rptType=1","currencyType=Cur=CNY","WssConvert=0","WssDivide=8","showcodes=N","cols=1;rows=1")</f>
        <v>-19.704913964000003</v>
      </c>
      <c r="I260" s="73">
        <f>[1]!wss($A260:$A260,"hks_fa_grossprofitmargin","rptDate="&amp;($B260-3)&amp;"1231","WssConvert=0","showcodes=N","cols=1;rows=1")</f>
        <v>46.886800000000001</v>
      </c>
      <c r="J260" s="43">
        <f>[1]!wss($A260:$A260,"hks_fa_grossprofitmargin","rptDate="&amp;($B260-2)&amp;"1231","WssConvert=0","showcodes=N","cols=1;rows=1")</f>
        <v>23.482900000000001</v>
      </c>
      <c r="K260" s="43">
        <f>[1]!wss($A260:$A260,"hks_fa_grossprofitmargin","rptDate="&amp;($B260-1)&amp;"1231","WssConvert=0","showcodes=N","cols=1;rows=1")</f>
        <v>15.1989</v>
      </c>
      <c r="L260" s="73">
        <f>[1]!wss($A260:$A260,"hks_fa_roe","rptDate="&amp;($B260-1)&amp;"1231","WssConvert=0","showcodes=N","cols=1;rows=1")</f>
        <v>-33.528500000000001</v>
      </c>
      <c r="M260" s="43">
        <f>[1]!wss($A260:$A260,"hks_fa_debttoassets","rptDate="&amp;($B260-1)&amp;"1231","WssConvert=0","showcodes=N","cols=1;rows=1")</f>
        <v>7.8139000000000003</v>
      </c>
      <c r="P260" s="50">
        <v>5.092390473</v>
      </c>
      <c r="Q260" s="50">
        <v>5.3930971000000003</v>
      </c>
      <c r="R260" s="50">
        <v>6.3259902879999999</v>
      </c>
      <c r="S260" s="50">
        <v>-8.8400595240000008</v>
      </c>
      <c r="T260" s="50">
        <v>-19.704913963999999</v>
      </c>
      <c r="U260" s="50">
        <v>-9.4164130719999992</v>
      </c>
      <c r="V260" s="50">
        <v>23.482900000000001</v>
      </c>
      <c r="W260" s="50">
        <v>15.1989</v>
      </c>
      <c r="X260" s="50">
        <v>15.734299999999999</v>
      </c>
    </row>
    <row r="261" spans="1:24">
      <c r="A261" t="s">
        <v>777</v>
      </c>
      <c r="B261" s="17">
        <f>IFERROR(YEAR(VLOOKUP($A261,'01_ipo_master'!$A:$C,3,FALSE)),YEAR(VLOOKUP("0"&amp;$A261,'01_ipo_master'!$A:$C,3,FALSE)))</f>
        <v>2024</v>
      </c>
      <c r="C261" s="73">
        <f>[1]!wss($A261:$A261,"hks_stm_is","item=83","rptDate="&amp;($B261-3)&amp;"1231","rptType=1","currencyType=Cur=CNY","WssConvert=0","WssDivide=8","showcodes=N","cols=1;rows=1")</f>
        <v>3.9989500000000002</v>
      </c>
      <c r="D261" s="73">
        <f>[1]!wss($A261:$A261,"hks_stm_is","item=83","rptDate="&amp;($B261-2)&amp;"1231","rptType=1","currencyType=Cur=CNY","WssConvert=0","WssDivide=8","showcodes=N","cols=1;rows=1")</f>
        <v>5.0096100000000003</v>
      </c>
      <c r="E261" s="73">
        <f>[1]!wss($A261:$A261,"hks_stm_is","item=83","rptDate="&amp;($B261-1)&amp;"1231","rptType=1","currencyType=Cur=CNY","WssConvert=0","WssDivide=8","showcodes=N","cols=1;rows=1")</f>
        <v>5.0845000000000002</v>
      </c>
      <c r="F261" s="73">
        <f>[1]!wss($A261:$A261,"hks_stm_is","item=61","rptDate="&amp;($B261-3)&amp;"1231","rptType=1","currencyType=Cur=CNY","WssConvert=0","WssDivide=8","showcodes=N","cols=1;rows=1")</f>
        <v>-2.7629600000000001</v>
      </c>
      <c r="G261" s="73">
        <f>[1]!wss($A261:$A261,"hks_stm_is","item=61","rptDate="&amp;($B261-2)&amp;"1231","rptType=1","currencyType=Cur=CNY","WssConvert=0","WssDivide=8","showcodes=N","cols=1;rows=1")</f>
        <v>-6.6980500000000003</v>
      </c>
      <c r="H261" s="73">
        <f>[1]!wss($A261:$A261,"hks_stm_is","item=61","rptDate="&amp;($B261-1)&amp;"1231","rptType=1","currencyType=Cur=CNY","WssConvert=0","WssDivide=8","showcodes=N","cols=1;rows=1")</f>
        <v>-8.0260200000000008</v>
      </c>
      <c r="I261" s="73">
        <f>[1]!wss($A261:$A261,"hks_fa_grossprofitmargin","rptDate="&amp;($B261-3)&amp;"1231","WssConvert=0","showcodes=N","cols=1;rows=1")</f>
        <v>37.494500000000002</v>
      </c>
      <c r="J261" s="43">
        <f>[1]!wss($A261:$A261,"hks_fa_grossprofitmargin","rptDate="&amp;($B261-2)&amp;"1231","WssConvert=0","showcodes=N","cols=1;rows=1")</f>
        <v>67.204099999999997</v>
      </c>
      <c r="K261" s="43">
        <f>[1]!wss($A261:$A261,"hks_fa_grossprofitmargin","rptDate="&amp;($B261-1)&amp;"1231","WssConvert=0","showcodes=N","cols=1;rows=1")</f>
        <v>64.3078</v>
      </c>
      <c r="L261" s="73" t="str">
        <f>[1]!wss($A261:$A261,"hks_fa_roe","rptDate="&amp;($B261-1)&amp;"1231","WssConvert=0","showcodes=N","cols=1;rows=1")</f>
        <v/>
      </c>
      <c r="M261" s="43">
        <f>[1]!wss($A261:$A261,"hks_fa_debttoassets","rptDate="&amp;($B261-1)&amp;"1231","WssConvert=0","showcodes=N","cols=1;rows=1")</f>
        <v>1114.4767999999999</v>
      </c>
      <c r="P261" s="50">
        <v>5.0845000000000002</v>
      </c>
      <c r="Q261" s="50">
        <v>3.9034800000000001</v>
      </c>
      <c r="R261" s="50">
        <v>3.2303299999999999</v>
      </c>
      <c r="S261" s="50">
        <v>-8.0260200000000008</v>
      </c>
      <c r="T261" s="50">
        <v>-7.2149000000000001</v>
      </c>
      <c r="U261" s="50">
        <v>-0.68852000000000002</v>
      </c>
      <c r="V261" s="50">
        <v>64.3078</v>
      </c>
      <c r="W261" s="50">
        <v>52.109400000000001</v>
      </c>
      <c r="X261" s="50">
        <v>50.0627</v>
      </c>
    </row>
    <row r="262" spans="1:24">
      <c r="A262" t="s">
        <v>779</v>
      </c>
      <c r="B262" s="17">
        <f>IFERROR(YEAR(VLOOKUP($A262,'01_ipo_master'!$A:$C,3,FALSE)),YEAR(VLOOKUP("0"&amp;$A262,'01_ipo_master'!$A:$C,3,FALSE)))</f>
        <v>2026</v>
      </c>
      <c r="C262" s="73">
        <f>[1]!wss($A262:$A262,"hks_stm_is","item=83","rptDate="&amp;($B262-3)&amp;"1231","rptType=1","currencyType=Cur=CNY","WssConvert=0","WssDivide=8","showcodes=N","cols=1;rows=1")</f>
        <v>5.0638300000000003</v>
      </c>
      <c r="D262" s="73">
        <f>[1]!wss($A262:$A262,"hks_stm_is","item=83","rptDate="&amp;($B262-2)&amp;"1231","rptType=1","currencyType=Cur=CNY","WssConvert=0","WssDivide=8","showcodes=N","cols=1;rows=1")</f>
        <v>5.7118799999999998</v>
      </c>
      <c r="E262" s="73">
        <f>[1]!wss($A262:$A262,"hks_stm_is","item=83","rptDate="&amp;($B262-1)&amp;"1231","rptType=1","currencyType=Cur=CNY","WssConvert=0","WssDivide=8","showcodes=N","cols=1;rows=1")</f>
        <v>6.1733700000000002</v>
      </c>
      <c r="F262" s="73">
        <f>[1]!wss($A262:$A262,"hks_stm_is","item=61","rptDate="&amp;($B262-3)&amp;"1231","rptType=1","currencyType=Cur=CNY","WssConvert=0","WssDivide=8","showcodes=N","cols=1;rows=1")</f>
        <v>0.44131000000000004</v>
      </c>
      <c r="G262" s="73">
        <f>[1]!wss($A262:$A262,"hks_stm_is","item=61","rptDate="&amp;($B262-2)&amp;"1231","rptType=1","currencyType=Cur=CNY","WssConvert=0","WssDivide=8","showcodes=N","cols=1;rows=1")</f>
        <v>0.78981999999999997</v>
      </c>
      <c r="H262" s="73">
        <f>[1]!wss($A262:$A262,"hks_stm_is","item=61","rptDate="&amp;($B262-1)&amp;"1231","rptType=1","currencyType=Cur=CNY","WssConvert=0","WssDivide=8","showcodes=N","cols=1;rows=1")</f>
        <v>0.47838000000000003</v>
      </c>
      <c r="I262" s="73">
        <f>[1]!wss($A262:$A262,"hks_fa_grossprofitmargin","rptDate="&amp;($B262-3)&amp;"1231","WssConvert=0","showcodes=N","cols=1;rows=1")</f>
        <v>32.427799999999998</v>
      </c>
      <c r="J262" s="43">
        <f>[1]!wss($A262:$A262,"hks_fa_grossprofitmargin","rptDate="&amp;($B262-2)&amp;"1231","WssConvert=0","showcodes=N","cols=1;rows=1")</f>
        <v>35.379800000000003</v>
      </c>
      <c r="K262" s="43">
        <f>[1]!wss($A262:$A262,"hks_fa_grossprofitmargin","rptDate="&amp;($B262-1)&amp;"1231","WssConvert=0","showcodes=N","cols=1;rows=1")</f>
        <v>33.666699999999999</v>
      </c>
      <c r="L262" s="73">
        <f>[1]!wss($A262:$A262,"hks_fa_roe","rptDate="&amp;($B262-1)&amp;"1231","WssConvert=0","showcodes=N","cols=1;rows=1")</f>
        <v>11.0465</v>
      </c>
      <c r="M262" s="43">
        <f>[1]!wss($A262:$A262,"hks_fa_debttoassets","rptDate="&amp;($B262-1)&amp;"1231","WssConvert=0","showcodes=N","cols=1;rows=1")</f>
        <v>18.121300000000002</v>
      </c>
      <c r="P262" s="50">
        <v>5.0638300000000003</v>
      </c>
      <c r="Q262" s="50">
        <v>5.7118799999999998</v>
      </c>
      <c r="R262" s="50">
        <v>6.1733700000000002</v>
      </c>
      <c r="S262" s="50">
        <v>0.44130999999999998</v>
      </c>
      <c r="T262" s="50">
        <v>0.78981999999999997</v>
      </c>
      <c r="U262" s="50">
        <v>0.47838000000000003</v>
      </c>
      <c r="V262" s="50">
        <v>32.427799999999998</v>
      </c>
      <c r="W262" s="50">
        <v>35.379800000000003</v>
      </c>
      <c r="X262" s="50">
        <v>33.666699999999999</v>
      </c>
    </row>
    <row r="263" spans="1:24">
      <c r="A263" t="s">
        <v>781</v>
      </c>
      <c r="B263" s="17">
        <f>IFERROR(YEAR(VLOOKUP($A263,'01_ipo_master'!$A:$C,3,FALSE)),YEAR(VLOOKUP("0"&amp;$A263,'01_ipo_master'!$A:$C,3,FALSE)))</f>
        <v>2024</v>
      </c>
      <c r="C263" s="73">
        <f>[1]!wss($A263:$A263,"hks_stm_is","item=83","rptDate="&amp;($B263-3)&amp;"1231","rptType=1","currencyType=Cur=CNY","WssConvert=0","WssDivide=8","showcodes=N","cols=1;rows=1")</f>
        <v>6.7768699999999997</v>
      </c>
      <c r="D263" s="73">
        <f>[1]!wss($A263:$A263,"hks_stm_is","item=83","rptDate="&amp;($B263-2)&amp;"1231","rptType=1","currencyType=Cur=CNY","WssConvert=0","WssDivide=8","showcodes=N","cols=1;rows=1")</f>
        <v>4.67631</v>
      </c>
      <c r="E263" s="73">
        <f>[1]!wss($A263:$A263,"hks_stm_is","item=83","rptDate="&amp;($B263-1)&amp;"1231","rptType=1","currencyType=Cur=CNY","WssConvert=0","WssDivide=8","showcodes=N","cols=1;rows=1")</f>
        <v>4.9196800000000005</v>
      </c>
      <c r="F263" s="73">
        <f>[1]!wss($A263:$A263,"hks_stm_is","item=61","rptDate="&amp;($B263-3)&amp;"1231","rptType=1","currencyType=Cur=CNY","WssConvert=0","WssDivide=8","showcodes=N","cols=1;rows=1")</f>
        <v>0.47968</v>
      </c>
      <c r="G263" s="73">
        <f>[1]!wss($A263:$A263,"hks_stm_is","item=61","rptDate="&amp;($B263-2)&amp;"1231","rptType=1","currencyType=Cur=CNY","WssConvert=0","WssDivide=8","showcodes=N","cols=1;rows=1")</f>
        <v>0.45236999999999999</v>
      </c>
      <c r="H263" s="73">
        <f>[1]!wss($A263:$A263,"hks_stm_is","item=61","rptDate="&amp;($B263-1)&amp;"1231","rptType=1","currencyType=Cur=CNY","WssConvert=0","WssDivide=8","showcodes=N","cols=1;rows=1")</f>
        <v>-0.15509000000000001</v>
      </c>
      <c r="I263" s="73">
        <f>[1]!wss($A263:$A263,"hks_fa_grossprofitmargin","rptDate="&amp;($B263-3)&amp;"1231","WssConvert=0","showcodes=N","cols=1;rows=1")</f>
        <v>62.796999999999997</v>
      </c>
      <c r="J263" s="43">
        <f>[1]!wss($A263:$A263,"hks_fa_grossprofitmargin","rptDate="&amp;($B263-2)&amp;"1231","WssConvert=0","showcodes=N","cols=1;rows=1")</f>
        <v>60.907200000000003</v>
      </c>
      <c r="K263" s="43">
        <f>[1]!wss($A263:$A263,"hks_fa_grossprofitmargin","rptDate="&amp;($B263-1)&amp;"1231","WssConvert=0","showcodes=N","cols=1;rows=1")</f>
        <v>63.5167</v>
      </c>
      <c r="L263" s="73">
        <f>[1]!wss($A263:$A263,"hks_fa_roe","rptDate="&amp;($B263-1)&amp;"1231","WssConvert=0","showcodes=N","cols=1;rows=1")</f>
        <v>-5.8795000000000002</v>
      </c>
      <c r="M263" s="43">
        <f>[1]!wss($A263:$A263,"hks_fa_debttoassets","rptDate="&amp;($B263-1)&amp;"1231","WssConvert=0","showcodes=N","cols=1;rows=1")</f>
        <v>65.5779</v>
      </c>
      <c r="P263" s="50">
        <v>4.9196799999999996</v>
      </c>
      <c r="Q263" s="50">
        <v>4.0859100000000002</v>
      </c>
      <c r="R263" s="50">
        <v>2.71075</v>
      </c>
      <c r="S263" s="50">
        <v>-0.15509000000000001</v>
      </c>
      <c r="T263" s="50">
        <v>-1.23003</v>
      </c>
      <c r="U263" s="50">
        <v>8.2659999999999997E-2</v>
      </c>
      <c r="V263" s="50">
        <v>63.5167</v>
      </c>
      <c r="W263" s="50">
        <v>62.440899999999999</v>
      </c>
      <c r="X263" s="50">
        <v>62.613300000000002</v>
      </c>
    </row>
    <row r="264" spans="1:24">
      <c r="A264" t="s">
        <v>783</v>
      </c>
      <c r="B264" s="17">
        <f>IFERROR(YEAR(VLOOKUP($A264,'01_ipo_master'!$A:$C,3,FALSE)),YEAR(VLOOKUP("0"&amp;$A264,'01_ipo_master'!$A:$C,3,FALSE)))</f>
        <v>2025</v>
      </c>
      <c r="C264" s="73">
        <f>[1]!wss($A264:$A264,"hks_stm_is","item=83","rptDate="&amp;($B264-3)&amp;"1231","rptType=1","currencyType=Cur=CNY","WssConvert=0","WssDivide=8","showcodes=N","cols=1;rows=1")</f>
        <v>3.93607</v>
      </c>
      <c r="D264" s="73">
        <f>[1]!wss($A264:$A264,"hks_stm_is","item=83","rptDate="&amp;($B264-2)&amp;"1231","rptType=1","currencyType=Cur=CNY","WssConvert=0","WssDivide=8","showcodes=N","cols=1;rows=1")</f>
        <v>4.89961</v>
      </c>
      <c r="E264" s="73">
        <f>[1]!wss($A264:$A264,"hks_stm_is","item=83","rptDate="&amp;($B264-1)&amp;"1231","rptType=1","currencyType=Cur=CNY","WssConvert=0","WssDivide=8","showcodes=N","cols=1;rows=1")</f>
        <v>9.4500600000000006</v>
      </c>
      <c r="F264" s="73">
        <f>[1]!wss($A264:$A264,"hks_stm_is","item=61","rptDate="&amp;($B264-3)&amp;"1231","rptType=1","currencyType=Cur=CNY","WssConvert=0","WssDivide=8","showcodes=N","cols=1;rows=1")</f>
        <v>-2.061E-2</v>
      </c>
      <c r="G264" s="73">
        <f>[1]!wss($A264:$A264,"hks_stm_is","item=61","rptDate="&amp;($B264-2)&amp;"1231","rptType=1","currencyType=Cur=CNY","WssConvert=0","WssDivide=8","showcodes=N","cols=1;rows=1")</f>
        <v>0.73645000000000005</v>
      </c>
      <c r="H264" s="73">
        <f>[1]!wss($A264:$A264,"hks_stm_is","item=61","rptDate="&amp;($B264-1)&amp;"1231","rptType=1","currencyType=Cur=CNY","WssConvert=0","WssDivide=8","showcodes=N","cols=1;rows=1")</f>
        <v>0.10398</v>
      </c>
      <c r="I264" s="73">
        <f>[1]!wss($A264:$A264,"hks_fa_grossprofitmargin","rptDate="&amp;($B264-3)&amp;"1231","WssConvert=0","showcodes=N","cols=1;rows=1")</f>
        <v>82.611099999999993</v>
      </c>
      <c r="J264" s="43">
        <f>[1]!wss($A264:$A264,"hks_fa_grossprofitmargin","rptDate="&amp;($B264-2)&amp;"1231","WssConvert=0","showcodes=N","cols=1;rows=1")</f>
        <v>79.899199999999993</v>
      </c>
      <c r="K264" s="43">
        <f>[1]!wss($A264:$A264,"hks_fa_grossprofitmargin","rptDate="&amp;($B264-1)&amp;"1231","WssConvert=0","showcodes=N","cols=1;rows=1")</f>
        <v>38.267000000000003</v>
      </c>
      <c r="L264" s="73" t="str">
        <f>[1]!wss($A264:$A264,"hks_fa_roe","rptDate="&amp;($B264-1)&amp;"1231","WssConvert=0","showcodes=N","cols=1;rows=1")</f>
        <v/>
      </c>
      <c r="M264" s="43">
        <f>[1]!wss($A264:$A264,"hks_fa_debttoassets","rptDate="&amp;($B264-1)&amp;"1231","WssConvert=0","showcodes=N","cols=1;rows=1")</f>
        <v>276.79840000000002</v>
      </c>
      <c r="P264" s="50">
        <v>4.89961</v>
      </c>
      <c r="Q264" s="50">
        <v>9.4500600000000006</v>
      </c>
      <c r="R264" s="50">
        <v>12.558870000000001</v>
      </c>
      <c r="S264" s="50">
        <v>0.73645000000000005</v>
      </c>
      <c r="T264" s="50">
        <v>0.10398</v>
      </c>
      <c r="U264" s="50">
        <v>-3.7972100000000002</v>
      </c>
      <c r="V264" s="50">
        <v>79.899199999999993</v>
      </c>
      <c r="W264" s="50">
        <v>38.267000000000003</v>
      </c>
      <c r="X264" s="50">
        <v>34.648299999999999</v>
      </c>
    </row>
    <row r="265" spans="1:24">
      <c r="A265" t="s">
        <v>785</v>
      </c>
      <c r="B265" s="17">
        <f>IFERROR(YEAR(VLOOKUP($A265,'01_ipo_master'!$A:$C,3,FALSE)),YEAR(VLOOKUP("0"&amp;$A265,'01_ipo_master'!$A:$C,3,FALSE)))</f>
        <v>2024</v>
      </c>
      <c r="C265" s="73">
        <f>[1]!wss($A265:$A265,"hks_stm_is","item=83","rptDate="&amp;($B265-3)&amp;"1231","rptType=1","currencyType=Cur=CNY","WssConvert=0","WssDivide=8","showcodes=N","cols=1;rows=1")</f>
        <v>1.7517400000000001</v>
      </c>
      <c r="D265" s="73">
        <f>[1]!wss($A265:$A265,"hks_stm_is","item=83","rptDate="&amp;($B265-2)&amp;"1231","rptType=1","currencyType=Cur=CNY","WssConvert=0","WssDivide=8","showcodes=N","cols=1;rows=1")</f>
        <v>2.79358</v>
      </c>
      <c r="E265" s="73">
        <f>[1]!wss($A265:$A265,"hks_stm_is","item=83","rptDate="&amp;($B265-1)&amp;"1231","rptType=1","currencyType=Cur=CNY","WssConvert=0","WssDivide=8","showcodes=N","cols=1;rows=1")</f>
        <v>4.76206</v>
      </c>
      <c r="F265" s="73">
        <f>[1]!wss($A265:$A265,"hks_stm_is","item=61","rptDate="&amp;($B265-3)&amp;"1231","rptType=1","currencyType=Cur=CNY","WssConvert=0","WssDivide=8","showcodes=N","cols=1;rows=1")</f>
        <v>-1.3222</v>
      </c>
      <c r="G265" s="73">
        <f>[1]!wss($A265:$A265,"hks_stm_is","item=61","rptDate="&amp;($B265-2)&amp;"1231","rptType=1","currencyType=Cur=CNY","WssConvert=0","WssDivide=8","showcodes=N","cols=1;rows=1")</f>
        <v>-2.1486399999999999</v>
      </c>
      <c r="H265" s="73">
        <f>[1]!wss($A265:$A265,"hks_stm_is","item=61","rptDate="&amp;($B265-1)&amp;"1231","rptType=1","currencyType=Cur=CNY","WssConvert=0","WssDivide=8","showcodes=N","cols=1;rows=1")</f>
        <v>-1.97238</v>
      </c>
      <c r="I265" s="73">
        <f>[1]!wss($A265:$A265,"hks_fa_grossprofitmargin","rptDate="&amp;($B265-3)&amp;"1231","WssConvert=0","showcodes=N","cols=1;rows=1")</f>
        <v>9.7051999999999996</v>
      </c>
      <c r="J265" s="43">
        <f>[1]!wss($A265:$A265,"hks_fa_grossprofitmargin","rptDate="&amp;($B265-2)&amp;"1231","WssConvert=0","showcodes=N","cols=1;rows=1")</f>
        <v>12.0168</v>
      </c>
      <c r="K265" s="43">
        <f>[1]!wss($A265:$A265,"hks_fa_grossprofitmargin","rptDate="&amp;($B265-1)&amp;"1231","WssConvert=0","showcodes=N","cols=1;rows=1")</f>
        <v>14.2842</v>
      </c>
      <c r="L265" s="73">
        <f>[1]!wss($A265:$A265,"hks_fa_roe","rptDate="&amp;($B265-1)&amp;"1231","WssConvert=0","showcodes=N","cols=1;rows=1")</f>
        <v>-31.231200000000001</v>
      </c>
      <c r="M265" s="43">
        <f>[1]!wss($A265:$A265,"hks_fa_debttoassets","rptDate="&amp;($B265-1)&amp;"1231","WssConvert=0","showcodes=N","cols=1;rows=1")</f>
        <v>30.7714</v>
      </c>
      <c r="P265" s="50">
        <v>4.76206</v>
      </c>
      <c r="Q265" s="50">
        <v>6.54481</v>
      </c>
      <c r="R265" s="50">
        <v>7.5901699999999996</v>
      </c>
      <c r="S265" s="50">
        <v>-1.97238</v>
      </c>
      <c r="T265" s="50">
        <v>-2.1648700000000001</v>
      </c>
      <c r="U265" s="50">
        <v>-4.0014900000000004</v>
      </c>
      <c r="V265" s="50">
        <v>14.2842</v>
      </c>
      <c r="W265" s="50">
        <v>16.009</v>
      </c>
      <c r="X265" s="50">
        <v>18.623200000000001</v>
      </c>
    </row>
    <row r="266" spans="1:24">
      <c r="A266" t="s">
        <v>787</v>
      </c>
      <c r="B266" s="17">
        <f>IFERROR(YEAR(VLOOKUP($A266,'01_ipo_master'!$A:$C,3,FALSE)),YEAR(VLOOKUP("0"&amp;$A266,'01_ipo_master'!$A:$C,3,FALSE)))</f>
        <v>2022</v>
      </c>
      <c r="C266" s="73">
        <f>[1]!wss($A266:$A266,"hks_stm_is","item=83","rptDate="&amp;($B266-3)&amp;"1231","rptType=1","currencyType=Cur=CNY","WssConvert=0","WssDivide=8","showcodes=N","cols=1;rows=1")</f>
        <v>3.8422129679999997</v>
      </c>
      <c r="D266" s="73">
        <f>[1]!wss($A266:$A266,"hks_stm_is","item=83","rptDate="&amp;($B266-2)&amp;"1231","rptType=1","currencyType=Cur=CNY","WssConvert=0","WssDivide=8","showcodes=N","cols=1;rows=1")</f>
        <v>4.6888799750000008</v>
      </c>
      <c r="E266" s="73">
        <f>[1]!wss($A266:$A266,"hks_stm_is","item=83","rptDate="&amp;($B266-1)&amp;"1231","rptType=1","currencyType=Cur=CNY","WssConvert=0","WssDivide=8","showcodes=N","cols=1;rows=1")</f>
        <v>3.7239222426</v>
      </c>
      <c r="F266" s="73">
        <f>[1]!wss($A266:$A266,"hks_stm_is","item=61","rptDate="&amp;($B266-3)&amp;"1231","rptType=1","currencyType=Cur=CNY","WssConvert=0","WssDivide=8","showcodes=N","cols=1;rows=1")</f>
        <v>0.13458725099999999</v>
      </c>
      <c r="G266" s="73">
        <f>[1]!wss($A266:$A266,"hks_stm_is","item=61","rptDate="&amp;($B266-2)&amp;"1231","rptType=1","currencyType=Cur=CNY","WssConvert=0","WssDivide=8","showcodes=N","cols=1;rows=1")</f>
        <v>0.23582597</v>
      </c>
      <c r="H266" s="73">
        <f>[1]!wss($A266:$A266,"hks_stm_is","item=61","rptDate="&amp;($B266-1)&amp;"1231","rptType=1","currencyType=Cur=CNY","WssConvert=0","WssDivide=8","showcodes=N","cols=1;rows=1")</f>
        <v>0.38911242020000003</v>
      </c>
      <c r="I266" s="73">
        <f>[1]!wss($A266:$A266,"hks_fa_grossprofitmargin","rptDate="&amp;($B266-3)&amp;"1231","WssConvert=0","showcodes=N","cols=1;rows=1")</f>
        <v>7.0350000000000001</v>
      </c>
      <c r="J266" s="43">
        <f>[1]!wss($A266:$A266,"hks_fa_grossprofitmargin","rptDate="&amp;($B266-2)&amp;"1231","WssConvert=0","showcodes=N","cols=1;rows=1")</f>
        <v>8.9643999999999995</v>
      </c>
      <c r="K266" s="43">
        <f>[1]!wss($A266:$A266,"hks_fa_grossprofitmargin","rptDate="&amp;($B266-1)&amp;"1231","WssConvert=0","showcodes=N","cols=1;rows=1")</f>
        <v>12.2447</v>
      </c>
      <c r="L266" s="73">
        <f>[1]!wss($A266:$A266,"hks_fa_roe","rptDate="&amp;($B266-1)&amp;"1231","WssConvert=0","showcodes=N","cols=1;rows=1")</f>
        <v>52.348300000000002</v>
      </c>
      <c r="M266" s="43">
        <f>[1]!wss($A266:$A266,"hks_fa_debttoassets","rptDate="&amp;($B266-1)&amp;"1231","WssConvert=0","showcodes=N","cols=1;rows=1")</f>
        <v>40.634099999999997</v>
      </c>
      <c r="P266" s="50">
        <v>4.7419821666999997</v>
      </c>
      <c r="Q266" s="50">
        <v>5.3048586350000004</v>
      </c>
      <c r="R266" s="50">
        <v>4.8970619931000003</v>
      </c>
      <c r="S266" s="50">
        <v>0.43182224479999998</v>
      </c>
      <c r="T266" s="50">
        <v>0.1728700195</v>
      </c>
      <c r="U266" s="50">
        <v>-0.49344642929999999</v>
      </c>
      <c r="V266" s="50">
        <v>12.0966</v>
      </c>
      <c r="W266" s="50">
        <v>7.1505999999999998</v>
      </c>
      <c r="X266" s="50">
        <v>0.39989999999999998</v>
      </c>
    </row>
    <row r="267" spans="1:24">
      <c r="A267" t="s">
        <v>789</v>
      </c>
      <c r="B267" s="17">
        <f>IFERROR(YEAR(VLOOKUP($A267,'01_ipo_master'!$A:$C,3,FALSE)),YEAR(VLOOKUP("0"&amp;$A267,'01_ipo_master'!$A:$C,3,FALSE)))</f>
        <v>2023</v>
      </c>
      <c r="C267" s="73">
        <f>[1]!wss($A267:$A267,"hks_stm_is","item=83","rptDate="&amp;($B267-3)&amp;"1231","rptType=1","currencyType=Cur=CNY","WssConvert=0","WssDivide=8","showcodes=N","cols=1;rows=1")</f>
        <v>0.88719999999999999</v>
      </c>
      <c r="D267" s="73">
        <f>[1]!wss($A267:$A267,"hks_stm_is","item=83","rptDate="&amp;($B267-2)&amp;"1231","rptType=1","currencyType=Cur=CNY","WssConvert=0","WssDivide=8","showcodes=N","cols=1;rows=1")</f>
        <v>2.1271100000000001</v>
      </c>
      <c r="E267" s="73">
        <f>[1]!wss($A267:$A267,"hks_stm_is","item=83","rptDate="&amp;($B267-1)&amp;"1231","rptType=1","currencyType=Cur=CNY","WssConvert=0","WssDivide=8","showcodes=N","cols=1;rows=1")</f>
        <v>3.5251000000000001</v>
      </c>
      <c r="F267" s="73">
        <f>[1]!wss($A267:$A267,"hks_stm_is","item=61","rptDate="&amp;($B267-3)&amp;"1231","rptType=1","currencyType=Cur=CNY","WssConvert=0","WssDivide=8","showcodes=N","cols=1;rows=1")</f>
        <v>0.13994999999999999</v>
      </c>
      <c r="G267" s="73">
        <f>[1]!wss($A267:$A267,"hks_stm_is","item=61","rptDate="&amp;($B267-2)&amp;"1231","rptType=1","currencyType=Cur=CNY","WssConvert=0","WssDivide=8","showcodes=N","cols=1;rows=1")</f>
        <v>0.56969000000000003</v>
      </c>
      <c r="H267" s="73">
        <f>[1]!wss($A267:$A267,"hks_stm_is","item=61","rptDate="&amp;($B267-1)&amp;"1231","rptType=1","currencyType=Cur=CNY","WssConvert=0","WssDivide=8","showcodes=N","cols=1;rows=1")</f>
        <v>0.95262000000000002</v>
      </c>
      <c r="I267" s="73">
        <f>[1]!wss($A267:$A267,"hks_fa_grossprofitmargin","rptDate="&amp;($B267-3)&amp;"1231","WssConvert=0","showcodes=N","cols=1;rows=1")</f>
        <v>54.947000000000003</v>
      </c>
      <c r="J267" s="43">
        <f>[1]!wss($A267:$A267,"hks_fa_grossprofitmargin","rptDate="&amp;($B267-2)&amp;"1231","WssConvert=0","showcodes=N","cols=1;rows=1")</f>
        <v>56.4146</v>
      </c>
      <c r="K267" s="43">
        <f>[1]!wss($A267:$A267,"hks_fa_grossprofitmargin","rptDate="&amp;($B267-1)&amp;"1231","WssConvert=0","showcodes=N","cols=1;rows=1")</f>
        <v>56.544199999999996</v>
      </c>
      <c r="L267" s="73">
        <f>[1]!wss($A267:$A267,"hks_fa_roe","rptDate="&amp;($B267-1)&amp;"1231","WssConvert=0","showcodes=N","cols=1;rows=1")</f>
        <v>27.3581</v>
      </c>
      <c r="M267" s="43">
        <f>[1]!wss($A267:$A267,"hks_fa_debttoassets","rptDate="&amp;($B267-1)&amp;"1231","WssConvert=0","showcodes=N","cols=1;rows=1")</f>
        <v>33.5321</v>
      </c>
      <c r="P267" s="50">
        <v>4.6388100000000003</v>
      </c>
      <c r="Q267" s="50">
        <v>5.7880700000000003</v>
      </c>
      <c r="R267" s="50">
        <v>5.8412300000000004</v>
      </c>
      <c r="S267" s="50">
        <v>1.09158</v>
      </c>
      <c r="T267" s="50">
        <v>1.66601</v>
      </c>
      <c r="U267" s="50">
        <v>1.2200500000000001</v>
      </c>
      <c r="V267" s="50">
        <v>55.426099999999998</v>
      </c>
      <c r="W267" s="50">
        <v>53.025799999999997</v>
      </c>
      <c r="X267" s="50">
        <v>51.744599999999998</v>
      </c>
    </row>
    <row r="268" spans="1:24">
      <c r="A268" t="s">
        <v>791</v>
      </c>
      <c r="B268" s="17">
        <f>IFERROR(YEAR(VLOOKUP($A268,'01_ipo_master'!$A:$C,3,FALSE)),YEAR(VLOOKUP("0"&amp;$A268,'01_ipo_master'!$A:$C,3,FALSE)))</f>
        <v>2025</v>
      </c>
      <c r="C268" s="73">
        <f>[1]!wss($A268:$A268,"hks_stm_is","item=83","rptDate="&amp;($B268-3)&amp;"1231","rptType=1","currencyType=Cur=CNY","WssConvert=0","WssDivide=8","showcodes=N","cols=1;rows=1")</f>
        <v>3.6010632400000002</v>
      </c>
      <c r="D268" s="73">
        <f>[1]!wss($A268:$A268,"hks_stm_is","item=83","rptDate="&amp;($B268-2)&amp;"1231","rptType=1","currencyType=Cur=CNY","WssConvert=0","WssDivide=8","showcodes=N","cols=1;rows=1")</f>
        <v>4.6373803100000002</v>
      </c>
      <c r="E268" s="73">
        <f>[1]!wss($A268:$A268,"hks_stm_is","item=83","rptDate="&amp;($B268-1)&amp;"1231","rptType=1","currencyType=Cur=CNY","WssConvert=0","WssDivide=8","showcodes=N","cols=1;rows=1")</f>
        <v>6.35456675</v>
      </c>
      <c r="F268" s="73">
        <f>[1]!wss($A268:$A268,"hks_stm_is","item=61","rptDate="&amp;($B268-3)&amp;"1231","rptType=1","currencyType=Cur=CNY","WssConvert=0","WssDivide=8","showcodes=N","cols=1;rows=1")</f>
        <v>-1.7810075300000001</v>
      </c>
      <c r="G268" s="73">
        <f>[1]!wss($A268:$A268,"hks_stm_is","item=61","rptDate="&amp;($B268-2)&amp;"1231","rptType=1","currencyType=Cur=CNY","WssConvert=0","WssDivide=8","showcodes=N","cols=1;rows=1")</f>
        <v>-2.2941353100000001</v>
      </c>
      <c r="H268" s="73">
        <f>[1]!wss($A268:$A268,"hks_stm_is","item=61","rptDate="&amp;($B268-1)&amp;"1231","rptType=1","currencyType=Cur=CNY","WssConvert=0","WssDivide=8","showcodes=N","cols=1;rows=1")</f>
        <v>-2.7454748000000002</v>
      </c>
      <c r="I268" s="73">
        <f>[1]!wss($A268:$A268,"hks_fa_grossprofitmargin","rptDate="&amp;($B268-3)&amp;"1231","WssConvert=0","showcodes=N","cols=1;rows=1")</f>
        <v>2.2694999999999999</v>
      </c>
      <c r="J268" s="43">
        <f>[1]!wss($A268:$A268,"hks_fa_grossprofitmargin","rptDate="&amp;($B268-2)&amp;"1231","WssConvert=0","showcodes=N","cols=1;rows=1")</f>
        <v>2.0009000000000001</v>
      </c>
      <c r="K268" s="43">
        <f>[1]!wss($A268:$A268,"hks_fa_grossprofitmargin","rptDate="&amp;($B268-1)&amp;"1231","WssConvert=0","showcodes=N","cols=1;rows=1")</f>
        <v>5.7972000000000001</v>
      </c>
      <c r="L268" s="73">
        <f>[1]!wss($A268:$A268,"hks_fa_roe","rptDate="&amp;($B268-1)&amp;"1231","WssConvert=0","showcodes=N","cols=1;rows=1")</f>
        <v>-34.220500000000001</v>
      </c>
      <c r="M268" s="43">
        <f>[1]!wss($A268:$A268,"hks_fa_debttoassets","rptDate="&amp;($B268-1)&amp;"1231","WssConvert=0","showcodes=N","cols=1;rows=1")</f>
        <v>52.564700000000002</v>
      </c>
      <c r="P268" s="50">
        <v>4.6373803100000002</v>
      </c>
      <c r="Q268" s="50">
        <v>6.35456675</v>
      </c>
      <c r="R268" s="50">
        <v>7.7948300000000001</v>
      </c>
      <c r="S268" s="50">
        <v>-2.2941353100000001</v>
      </c>
      <c r="T268" s="50">
        <v>-2.7454748000000002</v>
      </c>
      <c r="U268" s="50">
        <v>-3.1862900000000001</v>
      </c>
      <c r="V268" s="50">
        <v>2.0009000000000001</v>
      </c>
      <c r="W268" s="50">
        <v>5.7972000000000001</v>
      </c>
      <c r="X268" s="50">
        <v>11.055300000000001</v>
      </c>
    </row>
    <row r="269" spans="1:24">
      <c r="A269" t="s">
        <v>793</v>
      </c>
      <c r="B269" s="17">
        <f>IFERROR(YEAR(VLOOKUP($A269,'01_ipo_master'!$A:$C,3,FALSE)),YEAR(VLOOKUP("0"&amp;$A269,'01_ipo_master'!$A:$C,3,FALSE)))</f>
        <v>2026</v>
      </c>
      <c r="C269" s="73">
        <f>[1]!wss($A269:$A269,"hks_stm_is","item=83","rptDate="&amp;($B269-3)&amp;"1231","rptType=1","currencyType=Cur=CNY","WssConvert=0","WssDivide=8","showcodes=N","cols=1;rows=1")</f>
        <v>4.6325099999999999</v>
      </c>
      <c r="D269" s="73">
        <f>[1]!wss($A269:$A269,"hks_stm_is","item=83","rptDate="&amp;($B269-2)&amp;"1231","rptType=1","currencyType=Cur=CNY","WssConvert=0","WssDivide=8","showcodes=N","cols=1;rows=1")</f>
        <v>5.7346300000000001</v>
      </c>
      <c r="E269" s="73">
        <f>[1]!wss($A269:$A269,"hks_stm_is","item=83","rptDate="&amp;($B269-1)&amp;"1231","rptType=1","currencyType=Cur=CNY","WssConvert=0","WssDivide=8","showcodes=N","cols=1;rows=1")</f>
        <v>6.6247100000000003</v>
      </c>
      <c r="F269" s="73">
        <f>[1]!wss($A269:$A269,"hks_stm_is","item=61","rptDate="&amp;($B269-3)&amp;"1231","rptType=1","currencyType=Cur=CNY","WssConvert=0","WssDivide=8","showcodes=N","cols=1;rows=1")</f>
        <v>0.45973000000000003</v>
      </c>
      <c r="G269" s="73">
        <f>[1]!wss($A269:$A269,"hks_stm_is","item=61","rptDate="&amp;($B269-2)&amp;"1231","rptType=1","currencyType=Cur=CNY","WssConvert=0","WssDivide=8","showcodes=N","cols=1;rows=1")</f>
        <v>0.55740999999999996</v>
      </c>
      <c r="H269" s="73">
        <f>[1]!wss($A269:$A269,"hks_stm_is","item=61","rptDate="&amp;($B269-1)&amp;"1231","rptType=1","currencyType=Cur=CNY","WssConvert=0","WssDivide=8","showcodes=N","cols=1;rows=1")</f>
        <v>0.73870999999999998</v>
      </c>
      <c r="I269" s="73">
        <f>[1]!wss($A269:$A269,"hks_fa_grossprofitmargin","rptDate="&amp;($B269-3)&amp;"1231","WssConvert=0","showcodes=N","cols=1;rows=1")</f>
        <v>26.599799999999998</v>
      </c>
      <c r="J269" s="43">
        <f>[1]!wss($A269:$A269,"hks_fa_grossprofitmargin","rptDate="&amp;($B269-2)&amp;"1231","WssConvert=0","showcodes=N","cols=1;rows=1")</f>
        <v>26.624199999999998</v>
      </c>
      <c r="K269" s="43">
        <f>[1]!wss($A269:$A269,"hks_fa_grossprofitmargin","rptDate="&amp;($B269-1)&amp;"1231","WssConvert=0","showcodes=N","cols=1;rows=1")</f>
        <v>28.106999999999999</v>
      </c>
      <c r="L269" s="73">
        <f>[1]!wss($A269:$A269,"hks_fa_roe","rptDate="&amp;($B269-1)&amp;"1231","WssConvert=0","showcodes=N","cols=1;rows=1")</f>
        <v>-875.30070000000001</v>
      </c>
      <c r="M269" s="43">
        <f>[1]!wss($A269:$A269,"hks_fa_debttoassets","rptDate="&amp;($B269-1)&amp;"1231","WssConvert=0","showcodes=N","cols=1;rows=1")</f>
        <v>91.714699999999993</v>
      </c>
      <c r="P269" s="50">
        <v>4.6325099999999999</v>
      </c>
      <c r="Q269" s="50">
        <v>5.7346300000000001</v>
      </c>
      <c r="R269" s="50">
        <v>6.6247100000000003</v>
      </c>
      <c r="S269" s="50">
        <v>0.45973000000000003</v>
      </c>
      <c r="T269" s="50">
        <v>0.55740999999999996</v>
      </c>
      <c r="U269" s="50">
        <v>0.73870999999999998</v>
      </c>
      <c r="V269" s="50">
        <v>26.599799999999998</v>
      </c>
      <c r="W269" s="50">
        <v>26.624199999999998</v>
      </c>
      <c r="X269" s="50">
        <v>28.106999999999999</v>
      </c>
    </row>
    <row r="270" spans="1:24">
      <c r="A270" t="s">
        <v>795</v>
      </c>
      <c r="B270" s="17">
        <f>IFERROR(YEAR(VLOOKUP($A270,'01_ipo_master'!$A:$C,3,FALSE)),YEAR(VLOOKUP("0"&amp;$A270,'01_ipo_master'!$A:$C,3,FALSE)))</f>
        <v>2025</v>
      </c>
      <c r="C270" s="73">
        <f>[1]!wss($A270:$A270,"hks_stm_is","item=83","rptDate="&amp;($B270-3)&amp;"1231","rptType=1","currencyType=Cur=CNY","WssConvert=0","WssDivide=8","showcodes=N","cols=1;rows=1")</f>
        <v>2.7459700000000002</v>
      </c>
      <c r="D270" s="73">
        <f>[1]!wss($A270:$A270,"hks_stm_is","item=83","rptDate="&amp;($B270-2)&amp;"1231","rptType=1","currencyType=Cur=CNY","WssConvert=0","WssDivide=8","showcodes=N","cols=1;rows=1")</f>
        <v>4.5726399999999998</v>
      </c>
      <c r="E270" s="73">
        <f>[1]!wss($A270:$A270,"hks_stm_is","item=83","rptDate="&amp;($B270-1)&amp;"1231","rptType=1","currencyType=Cur=CNY","WssConvert=0","WssDivide=8","showcodes=N","cols=1;rows=1")</f>
        <v>6.09924</v>
      </c>
      <c r="F270" s="73">
        <f>[1]!wss($A270:$A270,"hks_stm_is","item=61","rptDate="&amp;($B270-3)&amp;"1231","rptType=1","currencyType=Cur=CNY","WssConvert=0","WssDivide=8","showcodes=N","cols=1;rows=1")</f>
        <v>-0.86982999999999999</v>
      </c>
      <c r="G270" s="73">
        <f>[1]!wss($A270:$A270,"hks_stm_is","item=61","rptDate="&amp;($B270-2)&amp;"1231","rptType=1","currencyType=Cur=CNY","WssConvert=0","WssDivide=8","showcodes=N","cols=1;rows=1")</f>
        <v>-0.16376000000000002</v>
      </c>
      <c r="H270" s="73">
        <f>[1]!wss($A270:$A270,"hks_stm_is","item=61","rptDate="&amp;($B270-1)&amp;"1231","rptType=1","currencyType=Cur=CNY","WssConvert=0","WssDivide=8","showcodes=N","cols=1;rows=1")</f>
        <v>-3.074E-2</v>
      </c>
      <c r="I270" s="73">
        <f>[1]!wss($A270:$A270,"hks_fa_grossprofitmargin","rptDate="&amp;($B270-3)&amp;"1231","WssConvert=0","showcodes=N","cols=1;rows=1")</f>
        <v>34.282600000000002</v>
      </c>
      <c r="J270" s="43">
        <f>[1]!wss($A270:$A270,"hks_fa_grossprofitmargin","rptDate="&amp;($B270-2)&amp;"1231","WssConvert=0","showcodes=N","cols=1;rows=1")</f>
        <v>50.416800000000002</v>
      </c>
      <c r="K270" s="43">
        <f>[1]!wss($A270:$A270,"hks_fa_grossprofitmargin","rptDate="&amp;($B270-1)&amp;"1231","WssConvert=0","showcodes=N","cols=1;rows=1")</f>
        <v>51.743699999999997</v>
      </c>
      <c r="L270" s="73">
        <f>[1]!wss($A270:$A270,"hks_fa_roe","rptDate="&amp;($B270-1)&amp;"1231","WssConvert=0","showcodes=N","cols=1;rows=1")</f>
        <v>-1.5608</v>
      </c>
      <c r="M270" s="43">
        <f>[1]!wss($A270:$A270,"hks_fa_debttoassets","rptDate="&amp;($B270-1)&amp;"1231","WssConvert=0","showcodes=N","cols=1;rows=1")</f>
        <v>56.355600000000003</v>
      </c>
      <c r="P270" s="50">
        <v>4.5726399999999998</v>
      </c>
      <c r="Q270" s="50">
        <v>6.09924</v>
      </c>
      <c r="R270" s="50">
        <v>9.0055999999999994</v>
      </c>
      <c r="S270" s="50">
        <v>-0.16375999999999999</v>
      </c>
      <c r="T270" s="50">
        <v>-3.074E-2</v>
      </c>
      <c r="U270" s="50">
        <v>-0.24676000000000001</v>
      </c>
      <c r="V270" s="50">
        <v>50.416800000000002</v>
      </c>
      <c r="W270" s="50">
        <v>51.743699999999997</v>
      </c>
      <c r="X270" s="50">
        <v>54.035800000000002</v>
      </c>
    </row>
    <row r="271" spans="1:24">
      <c r="A271" t="s">
        <v>797</v>
      </c>
      <c r="B271" s="17">
        <f>IFERROR(YEAR(VLOOKUP($A271,'01_ipo_master'!$A:$C,3,FALSE)),YEAR(VLOOKUP("0"&amp;$A271,'01_ipo_master'!$A:$C,3,FALSE)))</f>
        <v>2022</v>
      </c>
      <c r="C271" s="73">
        <f>[1]!wss($A271:$A271,"hks_stm_is","item=83","rptDate="&amp;($B271-3)&amp;"1231","rptType=1","currencyType=Cur=CNY","WssConvert=0","WssDivide=8","showcodes=N","cols=1;rows=1")</f>
        <v>1.81071</v>
      </c>
      <c r="D271" s="73">
        <f>[1]!wss($A271:$A271,"hks_stm_is","item=83","rptDate="&amp;($B271-2)&amp;"1231","rptType=1","currencyType=Cur=CNY","WssConvert=0","WssDivide=8","showcodes=N","cols=1;rows=1")</f>
        <v>2.21882</v>
      </c>
      <c r="E271" s="73">
        <f>[1]!wss($A271:$A271,"hks_stm_is","item=83","rptDate="&amp;($B271-1)&amp;"1231","rptType=1","currencyType=Cur=CNY","WssConvert=0","WssDivide=8","showcodes=N","cols=1;rows=1")</f>
        <v>3.54623</v>
      </c>
      <c r="F271" s="73">
        <f>[1]!wss($A271:$A271,"hks_stm_is","item=61","rptDate="&amp;($B271-3)&amp;"1231","rptType=1","currencyType=Cur=CNY","WssConvert=0","WssDivide=8","showcodes=N","cols=1;rows=1")</f>
        <v>0.27903</v>
      </c>
      <c r="G271" s="73">
        <f>[1]!wss($A271:$A271,"hks_stm_is","item=61","rptDate="&amp;($B271-2)&amp;"1231","rptType=1","currencyType=Cur=CNY","WssConvert=0","WssDivide=8","showcodes=N","cols=1;rows=1")</f>
        <v>0.39612000000000003</v>
      </c>
      <c r="H271" s="73">
        <f>[1]!wss($A271:$A271,"hks_stm_is","item=61","rptDate="&amp;($B271-1)&amp;"1231","rptType=1","currencyType=Cur=CNY","WssConvert=0","WssDivide=8","showcodes=N","cols=1;rows=1")</f>
        <v>0.32140000000000002</v>
      </c>
      <c r="I271" s="73">
        <f>[1]!wss($A271:$A271,"hks_fa_grossprofitmargin","rptDate="&amp;($B271-3)&amp;"1231","WssConvert=0","showcodes=N","cols=1;rows=1")</f>
        <v>30.9252</v>
      </c>
      <c r="J271" s="43">
        <f>[1]!wss($A271:$A271,"hks_fa_grossprofitmargin","rptDate="&amp;($B271-2)&amp;"1231","WssConvert=0","showcodes=N","cols=1;rows=1")</f>
        <v>34.656399999999998</v>
      </c>
      <c r="K271" s="43">
        <f>[1]!wss($A271:$A271,"hks_fa_grossprofitmargin","rptDate="&amp;($B271-1)&amp;"1231","WssConvert=0","showcodes=N","cols=1;rows=1")</f>
        <v>32.672899999999998</v>
      </c>
      <c r="L271" s="73">
        <f>[1]!wss($A271:$A271,"hks_fa_roe","rptDate="&amp;($B271-1)&amp;"1231","WssConvert=0","showcodes=N","cols=1;rows=1")</f>
        <v>28.602699999999999</v>
      </c>
      <c r="M271" s="43">
        <f>[1]!wss($A271:$A271,"hks_fa_debttoassets","rptDate="&amp;($B271-1)&amp;"1231","WssConvert=0","showcodes=N","cols=1;rows=1")</f>
        <v>58.331099999999999</v>
      </c>
      <c r="P271" s="50">
        <v>4.4927299999999999</v>
      </c>
      <c r="Q271" s="50">
        <v>4.1963499999999998</v>
      </c>
      <c r="R271" s="50">
        <v>4.00535</v>
      </c>
      <c r="S271" s="50">
        <v>-9.9830000000000002E-2</v>
      </c>
      <c r="T271" s="50">
        <v>-0.28427999999999998</v>
      </c>
      <c r="U271" s="50">
        <v>-0.17538999999999999</v>
      </c>
      <c r="V271" s="50">
        <v>27.972300000000001</v>
      </c>
      <c r="W271" s="50">
        <v>27.0304</v>
      </c>
      <c r="X271" s="50">
        <v>24.194400000000002</v>
      </c>
    </row>
    <row r="272" spans="1:24">
      <c r="A272" t="s">
        <v>799</v>
      </c>
      <c r="B272" s="17">
        <f>IFERROR(YEAR(VLOOKUP($A272,'01_ipo_master'!$A:$C,3,FALSE)),YEAR(VLOOKUP("0"&amp;$A272,'01_ipo_master'!$A:$C,3,FALSE)))</f>
        <v>2025</v>
      </c>
      <c r="C272" s="73">
        <f>[1]!wss($A272:$A272,"hks_stm_is","item=83","rptDate="&amp;($B272-3)&amp;"1231","rptType=1","currencyType=Cur=CNY","WssConvert=0","WssDivide=8","showcodes=N","cols=1;rows=1")</f>
        <v>7.6149900000000006</v>
      </c>
      <c r="D272" s="73">
        <f>[1]!wss($A272:$A272,"hks_stm_is","item=83","rptDate="&amp;($B272-2)&amp;"1231","rptType=1","currencyType=Cur=CNY","WssConvert=0","WssDivide=8","showcodes=N","cols=1;rows=1")</f>
        <v>4.4693800000000001</v>
      </c>
      <c r="E272" s="73">
        <f>[1]!wss($A272:$A272,"hks_stm_is","item=83","rptDate="&amp;($B272-1)&amp;"1231","rptType=1","currencyType=Cur=CNY","WssConvert=0","WssDivide=8","showcodes=N","cols=1;rows=1")</f>
        <v>5.6886700000000001</v>
      </c>
      <c r="F272" s="73">
        <f>[1]!wss($A272:$A272,"hks_stm_is","item=61","rptDate="&amp;($B272-3)&amp;"1231","rptType=1","currencyType=Cur=CNY","WssConvert=0","WssDivide=8","showcodes=N","cols=1;rows=1")</f>
        <v>1.22021</v>
      </c>
      <c r="G272" s="73">
        <f>[1]!wss($A272:$A272,"hks_stm_is","item=61","rptDate="&amp;($B272-2)&amp;"1231","rptType=1","currencyType=Cur=CNY","WssConvert=0","WssDivide=8","showcodes=N","cols=1;rows=1")</f>
        <v>0.44662000000000002</v>
      </c>
      <c r="H272" s="73">
        <f>[1]!wss($A272:$A272,"hks_stm_is","item=61","rptDate="&amp;($B272-1)&amp;"1231","rptType=1","currencyType=Cur=CNY","WssConvert=0","WssDivide=8","showcodes=N","cols=1;rows=1")</f>
        <v>0.43406</v>
      </c>
      <c r="I272" s="73">
        <f>[1]!wss($A272:$A272,"hks_fa_grossprofitmargin","rptDate="&amp;($B272-3)&amp;"1231","WssConvert=0","showcodes=N","cols=1;rows=1")</f>
        <v>25.588899999999999</v>
      </c>
      <c r="J272" s="43">
        <f>[1]!wss($A272:$A272,"hks_fa_grossprofitmargin","rptDate="&amp;($B272-2)&amp;"1231","WssConvert=0","showcodes=N","cols=1;rows=1")</f>
        <v>17.876999999999999</v>
      </c>
      <c r="K272" s="43">
        <f>[1]!wss($A272:$A272,"hks_fa_grossprofitmargin","rptDate="&amp;($B272-1)&amp;"1231","WssConvert=0","showcodes=N","cols=1;rows=1")</f>
        <v>17.912800000000001</v>
      </c>
      <c r="L272" s="73">
        <f>[1]!wss($A272:$A272,"hks_fa_roe","rptDate="&amp;($B272-1)&amp;"1231","WssConvert=0","showcodes=N","cols=1;rows=1")</f>
        <v>9.4975000000000005</v>
      </c>
      <c r="M272" s="43">
        <f>[1]!wss($A272:$A272,"hks_fa_debttoassets","rptDate="&amp;($B272-1)&amp;"1231","WssConvert=0","showcodes=N","cols=1;rows=1")</f>
        <v>41.061100000000003</v>
      </c>
      <c r="P272" s="50">
        <v>4.4693800000000001</v>
      </c>
      <c r="Q272" s="50">
        <v>5.6886700000000001</v>
      </c>
      <c r="R272" s="50">
        <v>5.8319799999999997</v>
      </c>
      <c r="S272" s="50">
        <v>0.44662000000000002</v>
      </c>
      <c r="T272" s="50">
        <v>0.43406</v>
      </c>
      <c r="U272" s="50">
        <v>0.13059000000000001</v>
      </c>
      <c r="V272" s="50">
        <v>17.876999999999999</v>
      </c>
      <c r="W272" s="50">
        <v>17.912800000000001</v>
      </c>
      <c r="X272" s="50">
        <v>18.618200000000002</v>
      </c>
    </row>
    <row r="273" spans="1:24">
      <c r="A273" t="s">
        <v>801</v>
      </c>
      <c r="B273" s="17">
        <f>IFERROR(YEAR(VLOOKUP($A273,'01_ipo_master'!$A:$C,3,FALSE)),YEAR(VLOOKUP("0"&amp;$A273,'01_ipo_master'!$A:$C,3,FALSE)))</f>
        <v>2022</v>
      </c>
      <c r="C273" s="73">
        <f>[1]!wss($A273:$A273,"hks_stm_is","item=83","rptDate="&amp;($B273-3)&amp;"1231","rptType=1","currencyType=Cur=CNY","WssConvert=0","WssDivide=8","showcodes=N","cols=1;rows=1")</f>
        <v>3.3488100000000003</v>
      </c>
      <c r="D273" s="73">
        <f>[1]!wss($A273:$A273,"hks_stm_is","item=83","rptDate="&amp;($B273-2)&amp;"1231","rptType=1","currencyType=Cur=CNY","WssConvert=0","WssDivide=8","showcodes=N","cols=1;rows=1")</f>
        <v>3.5376699999999999</v>
      </c>
      <c r="E273" s="73">
        <f>[1]!wss($A273:$A273,"hks_stm_is","item=83","rptDate="&amp;($B273-1)&amp;"1231","rptType=1","currencyType=Cur=CNY","WssConvert=0","WssDivide=8","showcodes=N","cols=1;rows=1")</f>
        <v>4.0190700000000001</v>
      </c>
      <c r="F273" s="73">
        <f>[1]!wss($A273:$A273,"hks_stm_is","item=61","rptDate="&amp;($B273-3)&amp;"1231","rptType=1","currencyType=Cur=CNY","WssConvert=0","WssDivide=8","showcodes=N","cols=1;rows=1")</f>
        <v>0.59145000000000003</v>
      </c>
      <c r="G273" s="73">
        <f>[1]!wss($A273:$A273,"hks_stm_is","item=61","rptDate="&amp;($B273-2)&amp;"1231","rptType=1","currencyType=Cur=CNY","WssConvert=0","WssDivide=8","showcodes=N","cols=1;rows=1")</f>
        <v>0.70167000000000002</v>
      </c>
      <c r="H273" s="73">
        <f>[1]!wss($A273:$A273,"hks_stm_is","item=61","rptDate="&amp;($B273-1)&amp;"1231","rptType=1","currencyType=Cur=CNY","WssConvert=0","WssDivide=8","showcodes=N","cols=1;rows=1")</f>
        <v>0.17818000000000001</v>
      </c>
      <c r="I273" s="73">
        <f>[1]!wss($A273:$A273,"hks_fa_grossprofitmargin","rptDate="&amp;($B273-3)&amp;"1231","WssConvert=0","showcodes=N","cols=1;rows=1")</f>
        <v>46.558199999999999</v>
      </c>
      <c r="J273" s="43">
        <f>[1]!wss($A273:$A273,"hks_fa_grossprofitmargin","rptDate="&amp;($B273-2)&amp;"1231","WssConvert=0","showcodes=N","cols=1;rows=1")</f>
        <v>49.594900000000003</v>
      </c>
      <c r="K273" s="43">
        <f>[1]!wss($A273:$A273,"hks_fa_grossprofitmargin","rptDate="&amp;($B273-1)&amp;"1231","WssConvert=0","showcodes=N","cols=1;rows=1")</f>
        <v>45.4602</v>
      </c>
      <c r="L273" s="73">
        <f>[1]!wss($A273:$A273,"hks_fa_roe","rptDate="&amp;($B273-1)&amp;"1231","WssConvert=0","showcodes=N","cols=1;rows=1")</f>
        <v>7.9283999999999999</v>
      </c>
      <c r="M273" s="43">
        <f>[1]!wss($A273:$A273,"hks_fa_debttoassets","rptDate="&amp;($B273-1)&amp;"1231","WssConvert=0","showcodes=N","cols=1;rows=1")</f>
        <v>26.596699999999998</v>
      </c>
      <c r="P273" s="50">
        <v>4.4684600000000003</v>
      </c>
      <c r="Q273" s="50">
        <v>5.0635500000000002</v>
      </c>
      <c r="R273" s="50">
        <v>5.4968500000000002</v>
      </c>
      <c r="S273" s="50">
        <v>-8.6309999999999998E-2</v>
      </c>
      <c r="T273" s="50">
        <v>0.34</v>
      </c>
      <c r="U273" s="50">
        <v>0.60821999999999998</v>
      </c>
      <c r="V273" s="50">
        <v>48.064900000000002</v>
      </c>
      <c r="W273" s="50">
        <v>51.820599999999999</v>
      </c>
      <c r="X273" s="50">
        <v>50.422499999999999</v>
      </c>
    </row>
    <row r="274" spans="1:24">
      <c r="A274" t="s">
        <v>803</v>
      </c>
      <c r="B274" s="17">
        <f>IFERROR(YEAR(VLOOKUP($A274,'01_ipo_master'!$A:$C,3,FALSE)),YEAR(VLOOKUP("0"&amp;$A274,'01_ipo_master'!$A:$C,3,FALSE)))</f>
        <v>2025</v>
      </c>
      <c r="C274" s="73">
        <f>[1]!wss($A274:$A274,"hks_stm_is","item=83","rptDate="&amp;($B274-3)&amp;"1231","rptType=1","currencyType=Cur=CNY","WssConvert=0","WssDivide=8","showcodes=N","cols=1;rows=1")</f>
        <v>3.2370399999999999</v>
      </c>
      <c r="D274" s="73">
        <f>[1]!wss($A274:$A274,"hks_stm_is","item=83","rptDate="&amp;($B274-2)&amp;"1231","rptType=1","currencyType=Cur=CNY","WssConvert=0","WssDivide=8","showcodes=N","cols=1;rows=1")</f>
        <v>4.4547699999999999</v>
      </c>
      <c r="E274" s="73">
        <f>[1]!wss($A274:$A274,"hks_stm_is","item=83","rptDate="&amp;($B274-1)&amp;"1231","rptType=1","currencyType=Cur=CNY","WssConvert=0","WssDivide=8","showcodes=N","cols=1;rows=1")</f>
        <v>4.5655600000000005</v>
      </c>
      <c r="F274" s="73">
        <f>[1]!wss($A274:$A274,"hks_stm_is","item=61","rptDate="&amp;($B274-3)&amp;"1231","rptType=1","currencyType=Cur=CNY","WssConvert=0","WssDivide=8","showcodes=N","cols=1;rows=1")</f>
        <v>0.24541000000000002</v>
      </c>
      <c r="G274" s="73">
        <f>[1]!wss($A274:$A274,"hks_stm_is","item=61","rptDate="&amp;($B274-2)&amp;"1231","rptType=1","currencyType=Cur=CNY","WssConvert=0","WssDivide=8","showcodes=N","cols=1;rows=1")</f>
        <v>0.52099000000000006</v>
      </c>
      <c r="H274" s="73">
        <f>[1]!wss($A274:$A274,"hks_stm_is","item=61","rptDate="&amp;($B274-1)&amp;"1231","rptType=1","currencyType=Cur=CNY","WssConvert=0","WssDivide=8","showcodes=N","cols=1;rows=1")</f>
        <v>0.49348000000000003</v>
      </c>
      <c r="I274" s="73">
        <f>[1]!wss($A274:$A274,"hks_fa_grossprofitmargin","rptDate="&amp;($B274-3)&amp;"1231","WssConvert=0","showcodes=N","cols=1;rows=1")</f>
        <v>19.810400000000001</v>
      </c>
      <c r="J274" s="43">
        <f>[1]!wss($A274:$A274,"hks_fa_grossprofitmargin","rptDate="&amp;($B274-2)&amp;"1231","WssConvert=0","showcodes=N","cols=1;rows=1")</f>
        <v>24.312100000000001</v>
      </c>
      <c r="K274" s="43">
        <f>[1]!wss($A274:$A274,"hks_fa_grossprofitmargin","rptDate="&amp;($B274-1)&amp;"1231","WssConvert=0","showcodes=N","cols=1;rows=1")</f>
        <v>27.194299999999998</v>
      </c>
      <c r="L274" s="73">
        <f>[1]!wss($A274:$A274,"hks_fa_roe","rptDate="&amp;($B274-1)&amp;"1231","WssConvert=0","showcodes=N","cols=1;rows=1")</f>
        <v>7.6524000000000001</v>
      </c>
      <c r="M274" s="43">
        <f>[1]!wss($A274:$A274,"hks_fa_debttoassets","rptDate="&amp;($B274-1)&amp;"1231","WssConvert=0","showcodes=N","cols=1;rows=1")</f>
        <v>23.1387</v>
      </c>
      <c r="P274" s="50">
        <v>4.4547699999999999</v>
      </c>
      <c r="Q274" s="50">
        <v>4.5655599999999996</v>
      </c>
      <c r="R274" s="50">
        <v>6.1084199999999997</v>
      </c>
      <c r="S274" s="50">
        <v>0.52098999999999995</v>
      </c>
      <c r="T274" s="50">
        <v>0.49347999999999997</v>
      </c>
      <c r="U274" s="50">
        <v>1.0189600000000001</v>
      </c>
      <c r="V274" s="50">
        <v>24.312100000000001</v>
      </c>
      <c r="W274" s="50">
        <v>27.194299999999998</v>
      </c>
      <c r="X274" s="50">
        <v>31.529399999999999</v>
      </c>
    </row>
    <row r="275" spans="1:24">
      <c r="A275" t="s">
        <v>805</v>
      </c>
      <c r="B275" s="17">
        <f>IFERROR(YEAR(VLOOKUP($A275,'01_ipo_master'!$A:$C,3,FALSE)),YEAR(VLOOKUP("0"&amp;$A275,'01_ipo_master'!$A:$C,3,FALSE)))</f>
        <v>2023</v>
      </c>
      <c r="C275" s="73">
        <f>[1]!wss($A275:$A275,"hks_stm_is","item=83","rptDate="&amp;($B275-3)&amp;"1231","rptType=1","currencyType=Cur=CNY","WssConvert=0","WssDivide=8","showcodes=N","cols=1;rows=1")</f>
        <v>2.8310900000000001</v>
      </c>
      <c r="D275" s="73">
        <f>[1]!wss($A275:$A275,"hks_stm_is","item=83","rptDate="&amp;($B275-2)&amp;"1231","rptType=1","currencyType=Cur=CNY","WssConvert=0","WssDivide=8","showcodes=N","cols=1;rows=1")</f>
        <v>3.4218199999999999</v>
      </c>
      <c r="E275" s="73">
        <f>[1]!wss($A275:$A275,"hks_stm_is","item=83","rptDate="&amp;($B275-1)&amp;"1231","rptType=1","currencyType=Cur=CNY","WssConvert=0","WssDivide=8","showcodes=N","cols=1;rows=1")</f>
        <v>3.56847</v>
      </c>
      <c r="F275" s="73">
        <f>[1]!wss($A275:$A275,"hks_stm_is","item=61","rptDate="&amp;($B275-3)&amp;"1231","rptType=1","currencyType=Cur=CNY","WssConvert=0","WssDivide=8","showcodes=N","cols=1;rows=1")</f>
        <v>0.40939000000000003</v>
      </c>
      <c r="G275" s="73">
        <f>[1]!wss($A275:$A275,"hks_stm_is","item=61","rptDate="&amp;($B275-2)&amp;"1231","rptType=1","currencyType=Cur=CNY","WssConvert=0","WssDivide=8","showcodes=N","cols=1;rows=1")</f>
        <v>0.48292000000000002</v>
      </c>
      <c r="H275" s="73">
        <f>[1]!wss($A275:$A275,"hks_stm_is","item=61","rptDate="&amp;($B275-1)&amp;"1231","rptType=1","currencyType=Cur=CNY","WssConvert=0","WssDivide=8","showcodes=N","cols=1;rows=1")</f>
        <v>0.46697</v>
      </c>
      <c r="I275" s="73">
        <f>[1]!wss($A275:$A275,"hks_fa_grossprofitmargin","rptDate="&amp;($B275-3)&amp;"1231","WssConvert=0","showcodes=N","cols=1;rows=1")</f>
        <v>32.022500000000001</v>
      </c>
      <c r="J275" s="43">
        <f>[1]!wss($A275:$A275,"hks_fa_grossprofitmargin","rptDate="&amp;($B275-2)&amp;"1231","WssConvert=0","showcodes=N","cols=1;rows=1")</f>
        <v>31.7195</v>
      </c>
      <c r="K275" s="43">
        <f>[1]!wss($A275:$A275,"hks_fa_grossprofitmargin","rptDate="&amp;($B275-1)&amp;"1231","WssConvert=0","showcodes=N","cols=1;rows=1")</f>
        <v>33.419400000000003</v>
      </c>
      <c r="L275" s="73">
        <f>[1]!wss($A275:$A275,"hks_fa_roe","rptDate="&amp;($B275-1)&amp;"1231","WssConvert=0","showcodes=N","cols=1;rows=1")</f>
        <v>19.867599999999999</v>
      </c>
      <c r="M275" s="43">
        <f>[1]!wss($A275:$A275,"hks_fa_debttoassets","rptDate="&amp;($B275-1)&amp;"1231","WssConvert=0","showcodes=N","cols=1;rows=1")</f>
        <v>31.4086</v>
      </c>
      <c r="P275" s="50">
        <v>4.45214</v>
      </c>
      <c r="Q275" s="50"/>
      <c r="R275" s="50">
        <v>9.3812300000000004</v>
      </c>
      <c r="S275" s="50">
        <v>0.67517000000000005</v>
      </c>
      <c r="T275" s="50"/>
      <c r="U275" s="50">
        <v>-1.08752</v>
      </c>
      <c r="V275" s="50">
        <v>33.0762</v>
      </c>
      <c r="W275" s="50"/>
      <c r="X275" s="50">
        <v>-1.3021</v>
      </c>
    </row>
    <row r="276" spans="1:24">
      <c r="A276" t="s">
        <v>807</v>
      </c>
      <c r="B276" s="17">
        <f>IFERROR(YEAR(VLOOKUP($A276,'01_ipo_master'!$A:$C,3,FALSE)),YEAR(VLOOKUP("0"&amp;$A276,'01_ipo_master'!$A:$C,3,FALSE)))</f>
        <v>2025</v>
      </c>
      <c r="C276" s="73">
        <f>[1]!wss($A276:$A276,"hks_stm_is","item=83","rptDate="&amp;($B276-3)&amp;"1231","rptType=1","currencyType=Cur=CNY","WssConvert=0","WssDivide=8","showcodes=N","cols=1;rows=1")</f>
        <v>4.0944400000000005</v>
      </c>
      <c r="D276" s="73">
        <f>[1]!wss($A276:$A276,"hks_stm_is","item=83","rptDate="&amp;($B276-2)&amp;"1231","rptType=1","currencyType=Cur=CNY","WssConvert=0","WssDivide=8","showcodes=N","cols=1;rows=1")</f>
        <v>4.4184099999999997</v>
      </c>
      <c r="E276" s="73">
        <f>[1]!wss($A276:$A276,"hks_stm_is","item=83","rptDate="&amp;($B276-1)&amp;"1231","rptType=1","currencyType=Cur=CNY","WssConvert=0","WssDivide=8","showcodes=N","cols=1;rows=1")</f>
        <v>4.0708299999999999</v>
      </c>
      <c r="F276" s="73">
        <f>[1]!wss($A276:$A276,"hks_stm_is","item=61","rptDate="&amp;($B276-3)&amp;"1231","rptType=1","currencyType=Cur=CNY","WssConvert=0","WssDivide=8","showcodes=N","cols=1;rows=1")</f>
        <v>0.43342000000000003</v>
      </c>
      <c r="G276" s="73">
        <f>[1]!wss($A276:$A276,"hks_stm_is","item=61","rptDate="&amp;($B276-2)&amp;"1231","rptType=1","currencyType=Cur=CNY","WssConvert=0","WssDivide=8","showcodes=N","cols=1;rows=1")</f>
        <v>0.50068999999999997</v>
      </c>
      <c r="H276" s="73">
        <f>[1]!wss($A276:$A276,"hks_stm_is","item=61","rptDate="&amp;($B276-1)&amp;"1231","rptType=1","currencyType=Cur=CNY","WssConvert=0","WssDivide=8","showcodes=N","cols=1;rows=1")</f>
        <v>0.41916000000000003</v>
      </c>
      <c r="I276" s="73">
        <f>[1]!wss($A276:$A276,"hks_fa_grossprofitmargin","rptDate="&amp;($B276-3)&amp;"1231","WssConvert=0","showcodes=N","cols=1;rows=1")</f>
        <v>36.262300000000003</v>
      </c>
      <c r="J276" s="43">
        <f>[1]!wss($A276:$A276,"hks_fa_grossprofitmargin","rptDate="&amp;($B276-2)&amp;"1231","WssConvert=0","showcodes=N","cols=1;rows=1")</f>
        <v>38.073900000000002</v>
      </c>
      <c r="K276" s="43">
        <f>[1]!wss($A276:$A276,"hks_fa_grossprofitmargin","rptDate="&amp;($B276-1)&amp;"1231","WssConvert=0","showcodes=N","cols=1;rows=1")</f>
        <v>37.4223</v>
      </c>
      <c r="L276" s="73">
        <f>[1]!wss($A276:$A276,"hks_fa_roe","rptDate="&amp;($B276-1)&amp;"1231","WssConvert=0","showcodes=N","cols=1;rows=1")</f>
        <v>33.941499999999998</v>
      </c>
      <c r="M276" s="43">
        <f>[1]!wss($A276:$A276,"hks_fa_debttoassets","rptDate="&amp;($B276-1)&amp;"1231","WssConvert=0","showcodes=N","cols=1;rows=1")</f>
        <v>57.933199999999999</v>
      </c>
      <c r="P276" s="50">
        <v>4.4184099999999997</v>
      </c>
      <c r="Q276" s="50">
        <v>4.0708299999999999</v>
      </c>
      <c r="R276" s="50">
        <v>3.7157100000000001</v>
      </c>
      <c r="S276" s="50">
        <v>0.50068999999999997</v>
      </c>
      <c r="T276" s="50">
        <v>0.41915999999999998</v>
      </c>
      <c r="U276" s="50">
        <v>0.28175</v>
      </c>
      <c r="V276" s="50">
        <v>38.073900000000002</v>
      </c>
      <c r="W276" s="50">
        <v>37.4223</v>
      </c>
      <c r="X276" s="50">
        <v>37.697800000000001</v>
      </c>
    </row>
    <row r="277" spans="1:24">
      <c r="A277" t="s">
        <v>809</v>
      </c>
      <c r="B277" s="17">
        <f>IFERROR(YEAR(VLOOKUP($A277,'01_ipo_master'!$A:$C,3,FALSE)),YEAR(VLOOKUP("0"&amp;$A277,'01_ipo_master'!$A:$C,3,FALSE)))</f>
        <v>2024</v>
      </c>
      <c r="C277" s="73">
        <f>[1]!wss($A277:$A277,"hks_stm_is","item=83","rptDate="&amp;($B277-3)&amp;"1231","rptType=1","currencyType=Cur=CNY","WssConvert=0","WssDivide=8","showcodes=N","cols=1;rows=1")</f>
        <v>2.6001099999999999</v>
      </c>
      <c r="D277" s="73">
        <f>[1]!wss($A277:$A277,"hks_stm_is","item=83","rptDate="&amp;($B277-2)&amp;"1231","rptType=1","currencyType=Cur=CNY","WssConvert=0","WssDivide=8","showcodes=N","cols=1;rows=1")</f>
        <v>3.2893600000000003</v>
      </c>
      <c r="E277" s="73">
        <f>[1]!wss($A277:$A277,"hks_stm_is","item=83","rptDate="&amp;($B277-1)&amp;"1231","rptType=1","currencyType=Cur=CNY","WssConvert=0","WssDivide=8","showcodes=N","cols=1;rows=1")</f>
        <v>4.4108299999999998</v>
      </c>
      <c r="F277" s="73">
        <f>[1]!wss($A277:$A277,"hks_stm_is","item=61","rptDate="&amp;($B277-3)&amp;"1231","rptType=1","currencyType=Cur=CNY","WssConvert=0","WssDivide=8","showcodes=N","cols=1;rows=1")</f>
        <v>0.46011000000000002</v>
      </c>
      <c r="G277" s="73">
        <f>[1]!wss($A277:$A277,"hks_stm_is","item=61","rptDate="&amp;($B277-2)&amp;"1231","rptType=1","currencyType=Cur=CNY","WssConvert=0","WssDivide=8","showcodes=N","cols=1;rows=1")</f>
        <v>0.41249000000000002</v>
      </c>
      <c r="H277" s="73">
        <f>[1]!wss($A277:$A277,"hks_stm_is","item=61","rptDate="&amp;($B277-1)&amp;"1231","rptType=1","currencyType=Cur=CNY","WssConvert=0","WssDivide=8","showcodes=N","cols=1;rows=1")</f>
        <v>0.34750999999999999</v>
      </c>
      <c r="I277" s="73">
        <f>[1]!wss($A277:$A277,"hks_fa_grossprofitmargin","rptDate="&amp;($B277-3)&amp;"1231","WssConvert=0","showcodes=N","cols=1;rows=1")</f>
        <v>34.580100000000002</v>
      </c>
      <c r="J277" s="43">
        <f>[1]!wss($A277:$A277,"hks_fa_grossprofitmargin","rptDate="&amp;($B277-2)&amp;"1231","WssConvert=0","showcodes=N","cols=1;rows=1")</f>
        <v>32.697499999999998</v>
      </c>
      <c r="K277" s="43">
        <f>[1]!wss($A277:$A277,"hks_fa_grossprofitmargin","rptDate="&amp;($B277-1)&amp;"1231","WssConvert=0","showcodes=N","cols=1;rows=1")</f>
        <v>28.260400000000001</v>
      </c>
      <c r="L277" s="73">
        <f>[1]!wss($A277:$A277,"hks_fa_roe","rptDate="&amp;($B277-1)&amp;"1231","WssConvert=0","showcodes=N","cols=1;rows=1")</f>
        <v>5.5346000000000002</v>
      </c>
      <c r="M277" s="43">
        <f>[1]!wss($A277:$A277,"hks_fa_debttoassets","rptDate="&amp;($B277-1)&amp;"1231","WssConvert=0","showcodes=N","cols=1;rows=1")</f>
        <v>18.6051</v>
      </c>
      <c r="P277" s="50">
        <v>4.4108299999999998</v>
      </c>
      <c r="Q277" s="50"/>
      <c r="R277" s="50"/>
      <c r="S277" s="50">
        <v>0.34750999999999999</v>
      </c>
      <c r="T277" s="50"/>
      <c r="U277" s="50"/>
      <c r="V277" s="50">
        <v>28.260400000000001</v>
      </c>
      <c r="W277" s="50"/>
      <c r="X277" s="50"/>
    </row>
    <row r="278" spans="1:24">
      <c r="A278" t="s">
        <v>811</v>
      </c>
      <c r="B278" s="17">
        <f>IFERROR(YEAR(VLOOKUP($A278,'01_ipo_master'!$A:$C,3,FALSE)),YEAR(VLOOKUP("0"&amp;$A278,'01_ipo_master'!$A:$C,3,FALSE)))</f>
        <v>2022</v>
      </c>
      <c r="C278" s="73">
        <f>[1]!wss($A278:$A278,"hks_stm_is","item=83","rptDate="&amp;($B278-3)&amp;"1231","rptType=1","currencyType=Cur=CNY","WssConvert=0","WssDivide=8","showcodes=N","cols=1;rows=1")</f>
        <v>0.80889</v>
      </c>
      <c r="D278" s="73">
        <f>[1]!wss($A278:$A278,"hks_stm_is","item=83","rptDate="&amp;($B278-2)&amp;"1231","rptType=1","currencyType=Cur=CNY","WssConvert=0","WssDivide=8","showcodes=N","cols=1;rows=1")</f>
        <v>1.2743200000000001</v>
      </c>
      <c r="E278" s="73">
        <f>[1]!wss($A278:$A278,"hks_stm_is","item=83","rptDate="&amp;($B278-1)&amp;"1231","rptType=1","currencyType=Cur=CNY","WssConvert=0","WssDivide=8","showcodes=N","cols=1;rows=1")</f>
        <v>1.8955200000000001</v>
      </c>
      <c r="F278" s="73">
        <f>[1]!wss($A278:$A278,"hks_stm_is","item=61","rptDate="&amp;($B278-3)&amp;"1231","rptType=1","currencyType=Cur=CNY","WssConvert=0","WssDivide=8","showcodes=N","cols=1;rows=1")</f>
        <v>0.17351</v>
      </c>
      <c r="G278" s="73">
        <f>[1]!wss($A278:$A278,"hks_stm_is","item=61","rptDate="&amp;($B278-2)&amp;"1231","rptType=1","currencyType=Cur=CNY","WssConvert=0","WssDivide=8","showcodes=N","cols=1;rows=1")</f>
        <v>0.28553000000000001</v>
      </c>
      <c r="H278" s="73">
        <f>[1]!wss($A278:$A278,"hks_stm_is","item=61","rptDate="&amp;($B278-1)&amp;"1231","rptType=1","currencyType=Cur=CNY","WssConvert=0","WssDivide=8","showcodes=N","cols=1;rows=1")</f>
        <v>0.34379999999999999</v>
      </c>
      <c r="I278" s="73">
        <f>[1]!wss($A278:$A278,"hks_fa_grossprofitmargin","rptDate="&amp;($B278-3)&amp;"1231","WssConvert=0","showcodes=N","cols=1;rows=1")</f>
        <v>44.999699999999997</v>
      </c>
      <c r="J278" s="43">
        <f>[1]!wss($A278:$A278,"hks_fa_grossprofitmargin","rptDate="&amp;($B278-2)&amp;"1231","WssConvert=0","showcodes=N","cols=1;rows=1")</f>
        <v>40.322499999999998</v>
      </c>
      <c r="K278" s="43">
        <f>[1]!wss($A278:$A278,"hks_fa_grossprofitmargin","rptDate="&amp;($B278-1)&amp;"1231","WssConvert=0","showcodes=N","cols=1;rows=1")</f>
        <v>41.571199999999997</v>
      </c>
      <c r="L278" s="73">
        <f>[1]!wss($A278:$A278,"hks_fa_roe","rptDate="&amp;($B278-1)&amp;"1231","WssConvert=0","showcodes=N","cols=1;rows=1")</f>
        <v>25.248899999999999</v>
      </c>
      <c r="M278" s="43">
        <f>[1]!wss($A278:$A278,"hks_fa_debttoassets","rptDate="&amp;($B278-1)&amp;"1231","WssConvert=0","showcodes=N","cols=1;rows=1")</f>
        <v>56.610300000000002</v>
      </c>
      <c r="P278" s="50">
        <v>4.4055</v>
      </c>
      <c r="Q278" s="50">
        <v>0.98580000000000001</v>
      </c>
      <c r="R278" s="50">
        <v>0.58884000000000003</v>
      </c>
      <c r="S278" s="50">
        <v>0.25492999999999999</v>
      </c>
      <c r="T278" s="50">
        <v>-0.77527000000000001</v>
      </c>
      <c r="U278" s="50">
        <v>-1.5773699999999999</v>
      </c>
      <c r="V278" s="50">
        <v>19.027799999999999</v>
      </c>
      <c r="W278" s="50">
        <v>-0.46260000000000001</v>
      </c>
      <c r="X278" s="50">
        <v>2.0701999999999998</v>
      </c>
    </row>
    <row r="279" spans="1:24">
      <c r="A279" t="s">
        <v>813</v>
      </c>
      <c r="B279" s="17">
        <f>IFERROR(YEAR(VLOOKUP($A279,'01_ipo_master'!$A:$C,3,FALSE)),YEAR(VLOOKUP("0"&amp;$A279,'01_ipo_master'!$A:$C,3,FALSE)))</f>
        <v>2023</v>
      </c>
      <c r="C279" s="73">
        <f>[1]!wss($A279:$A279,"hks_stm_is","item=83","rptDate="&amp;($B279-3)&amp;"1231","rptType=1","currencyType=Cur=CNY","WssConvert=0","WssDivide=8","showcodes=N","cols=1;rows=1")</f>
        <v>4.5694400000000002</v>
      </c>
      <c r="D279" s="73">
        <f>[1]!wss($A279:$A279,"hks_stm_is","item=83","rptDate="&amp;($B279-2)&amp;"1231","rptType=1","currencyType=Cur=CNY","WssConvert=0","WssDivide=8","showcodes=N","cols=1;rows=1")</f>
        <v>3.6536200000000001</v>
      </c>
      <c r="E279" s="73">
        <f>[1]!wss($A279:$A279,"hks_stm_is","item=83","rptDate="&amp;($B279-1)&amp;"1231","rptType=1","currencyType=Cur=CNY","WssConvert=0","WssDivide=8","showcodes=N","cols=1;rows=1")</f>
        <v>3.4954300000000003</v>
      </c>
      <c r="F279" s="73">
        <f>[1]!wss($A279:$A279,"hks_stm_is","item=61","rptDate="&amp;($B279-3)&amp;"1231","rptType=1","currencyType=Cur=CNY","WssConvert=0","WssDivide=8","showcodes=N","cols=1;rows=1")</f>
        <v>0.78064</v>
      </c>
      <c r="G279" s="73">
        <f>[1]!wss($A279:$A279,"hks_stm_is","item=61","rptDate="&amp;($B279-2)&amp;"1231","rptType=1","currencyType=Cur=CNY","WssConvert=0","WssDivide=8","showcodes=N","cols=1;rows=1")</f>
        <v>0.43648999999999999</v>
      </c>
      <c r="H279" s="73">
        <f>[1]!wss($A279:$A279,"hks_stm_is","item=61","rptDate="&amp;($B279-1)&amp;"1231","rptType=1","currencyType=Cur=CNY","WssConvert=0","WssDivide=8","showcodes=N","cols=1;rows=1")</f>
        <v>0.60389000000000004</v>
      </c>
      <c r="I279" s="73">
        <f>[1]!wss($A279:$A279,"hks_fa_grossprofitmargin","rptDate="&amp;($B279-3)&amp;"1231","WssConvert=0","showcodes=N","cols=1;rows=1")</f>
        <v>50.944800000000001</v>
      </c>
      <c r="J279" s="43">
        <f>[1]!wss($A279:$A279,"hks_fa_grossprofitmargin","rptDate="&amp;($B279-2)&amp;"1231","WssConvert=0","showcodes=N","cols=1;rows=1")</f>
        <v>62.2376</v>
      </c>
      <c r="K279" s="43">
        <f>[1]!wss($A279:$A279,"hks_fa_grossprofitmargin","rptDate="&amp;($B279-1)&amp;"1231","WssConvert=0","showcodes=N","cols=1;rows=1")</f>
        <v>64.745999999999995</v>
      </c>
      <c r="L279" s="73">
        <f>[1]!wss($A279:$A279,"hks_fa_roe","rptDate="&amp;($B279-1)&amp;"1231","WssConvert=0","showcodes=N","cols=1;rows=1")</f>
        <v>29.987400000000001</v>
      </c>
      <c r="M279" s="43">
        <f>[1]!wss($A279:$A279,"hks_fa_debttoassets","rptDate="&amp;($B279-1)&amp;"1231","WssConvert=0","showcodes=N","cols=1;rows=1")</f>
        <v>57.807600000000001</v>
      </c>
      <c r="P279" s="50">
        <v>4.31121</v>
      </c>
      <c r="Q279" s="50">
        <v>5.8400999999999996</v>
      </c>
      <c r="R279" s="50">
        <v>4.72377</v>
      </c>
      <c r="S279" s="50">
        <v>0.34515000000000001</v>
      </c>
      <c r="T279" s="50">
        <v>0.56054000000000004</v>
      </c>
      <c r="U279" s="50">
        <v>-0.36381000000000002</v>
      </c>
      <c r="V279" s="50">
        <v>64.231700000000004</v>
      </c>
      <c r="W279" s="50">
        <v>55.995100000000001</v>
      </c>
      <c r="X279" s="50">
        <v>38.836399999999998</v>
      </c>
    </row>
    <row r="280" spans="1:24">
      <c r="A280" t="s">
        <v>815</v>
      </c>
      <c r="B280" s="17">
        <f>IFERROR(YEAR(VLOOKUP($A280,'01_ipo_master'!$A:$C,3,FALSE)),YEAR(VLOOKUP("0"&amp;$A280,'01_ipo_master'!$A:$C,3,FALSE)))</f>
        <v>2022</v>
      </c>
      <c r="C280" s="73">
        <f>[1]!wss($A280:$A280,"hks_stm_is","item=83","rptDate="&amp;($B280-3)&amp;"1231","rptType=1","currencyType=Cur=CNY","WssConvert=0","WssDivide=8","showcodes=N","cols=1;rows=1")</f>
        <v>18.241569999999999</v>
      </c>
      <c r="D280" s="73">
        <f>[1]!wss($A280:$A280,"hks_stm_is","item=83","rptDate="&amp;($B280-2)&amp;"1231","rptType=1","currencyType=Cur=CNY","WssConvert=0","WssDivide=8","showcodes=N","cols=1;rows=1")</f>
        <v>15.61534</v>
      </c>
      <c r="E280" s="73">
        <f>[1]!wss($A280:$A280,"hks_stm_is","item=83","rptDate="&amp;($B280-1)&amp;"1231","rptType=1","currencyType=Cur=CNY","WssConvert=0","WssDivide=8","showcodes=N","cols=1;rows=1")</f>
        <v>11.26985</v>
      </c>
      <c r="F280" s="73">
        <f>[1]!wss($A280:$A280,"hks_stm_is","item=61","rptDate="&amp;($B280-3)&amp;"1231","rptType=1","currencyType=Cur=CNY","WssConvert=0","WssDivide=8","showcodes=N","cols=1;rows=1")</f>
        <v>3.23421</v>
      </c>
      <c r="G280" s="73">
        <f>[1]!wss($A280:$A280,"hks_stm_is","item=61","rptDate="&amp;($B280-2)&amp;"1231","rptType=1","currencyType=Cur=CNY","WssConvert=0","WssDivide=8","showcodes=N","cols=1;rows=1")</f>
        <v>-0.16450999999999999</v>
      </c>
      <c r="H280" s="73">
        <f>[1]!wss($A280:$A280,"hks_stm_is","item=61","rptDate="&amp;($B280-1)&amp;"1231","rptType=1","currencyType=Cur=CNY","WssConvert=0","WssDivide=8","showcodes=N","cols=1;rows=1")</f>
        <v>-3.4499599999999999</v>
      </c>
      <c r="I280" s="73">
        <f>[1]!wss($A280:$A280,"hks_fa_grossprofitmargin","rptDate="&amp;($B280-3)&amp;"1231","WssConvert=0","showcodes=N","cols=1;rows=1")</f>
        <v>39.017299999999999</v>
      </c>
      <c r="J280" s="43">
        <f>[1]!wss($A280:$A280,"hks_fa_grossprofitmargin","rptDate="&amp;($B280-2)&amp;"1231","WssConvert=0","showcodes=N","cols=1;rows=1")</f>
        <v>37.657299999999999</v>
      </c>
      <c r="K280" s="43">
        <f>[1]!wss($A280:$A280,"hks_fa_grossprofitmargin","rptDate="&amp;($B280-1)&amp;"1231","WssConvert=0","showcodes=N","cols=1;rows=1")</f>
        <v>24.345500000000001</v>
      </c>
      <c r="L280" s="73">
        <f>[1]!wss($A280:$A280,"hks_fa_roe","rptDate="&amp;($B280-1)&amp;"1231","WssConvert=0","showcodes=N","cols=1;rows=1")</f>
        <v>-8.7561</v>
      </c>
      <c r="M280" s="43">
        <f>[1]!wss($A280:$A280,"hks_fa_debttoassets","rptDate="&amp;($B280-1)&amp;"1231","WssConvert=0","showcodes=N","cols=1;rows=1")</f>
        <v>10.9277</v>
      </c>
      <c r="P280" s="50">
        <v>4.2867300000000004</v>
      </c>
      <c r="Q280" s="50">
        <v>1.63147</v>
      </c>
      <c r="R280" s="50">
        <v>1.68276</v>
      </c>
      <c r="S280" s="50">
        <v>-16.046340000000001</v>
      </c>
      <c r="T280" s="50">
        <v>-2.3254100000000002</v>
      </c>
      <c r="U280" s="50">
        <v>-1.18153</v>
      </c>
      <c r="V280" s="50">
        <v>-13.913600000000001</v>
      </c>
      <c r="W280" s="50">
        <v>24.508600000000001</v>
      </c>
      <c r="X280" s="50">
        <v>52.369300000000003</v>
      </c>
    </row>
    <row r="281" spans="1:24">
      <c r="A281" t="s">
        <v>817</v>
      </c>
      <c r="B281" s="17">
        <f>IFERROR(YEAR(VLOOKUP($A281,'01_ipo_master'!$A:$C,3,FALSE)),YEAR(VLOOKUP("0"&amp;$A281,'01_ipo_master'!$A:$C,3,FALSE)))</f>
        <v>2025</v>
      </c>
      <c r="C281" s="73">
        <f>[1]!wss($A281:$A281,"hks_stm_is","item=83","rptDate="&amp;($B281-3)&amp;"1231","rptType=1","currencyType=Cur=CNY","WssConvert=0","WssDivide=8","showcodes=N","cols=1;rows=1")</f>
        <v>3.6729700000000003</v>
      </c>
      <c r="D281" s="73">
        <f>[1]!wss($A281:$A281,"hks_stm_is","item=83","rptDate="&amp;($B281-2)&amp;"1231","rptType=1","currencyType=Cur=CNY","WssConvert=0","WssDivide=8","showcodes=N","cols=1;rows=1")</f>
        <v>4.2654500000000004</v>
      </c>
      <c r="E281" s="73">
        <f>[1]!wss($A281:$A281,"hks_stm_is","item=83","rptDate="&amp;($B281-1)&amp;"1231","rptType=1","currencyType=Cur=CNY","WssConvert=0","WssDivide=8","showcodes=N","cols=1;rows=1")</f>
        <v>2.77495</v>
      </c>
      <c r="F281" s="73">
        <f>[1]!wss($A281:$A281,"hks_stm_is","item=61","rptDate="&amp;($B281-3)&amp;"1231","rptType=1","currencyType=Cur=CNY","WssConvert=0","WssDivide=8","showcodes=N","cols=1;rows=1")</f>
        <v>0.87522</v>
      </c>
      <c r="G281" s="73">
        <f>[1]!wss($A281:$A281,"hks_stm_is","item=61","rptDate="&amp;($B281-2)&amp;"1231","rptType=1","currencyType=Cur=CNY","WssConvert=0","WssDivide=8","showcodes=N","cols=1;rows=1")</f>
        <v>1.59344</v>
      </c>
      <c r="H281" s="73">
        <f>[1]!wss($A281:$A281,"hks_stm_is","item=61","rptDate="&amp;($B281-1)&amp;"1231","rptType=1","currencyType=Cur=CNY","WssConvert=0","WssDivide=8","showcodes=N","cols=1;rows=1")</f>
        <v>0.749</v>
      </c>
      <c r="I281" s="73">
        <f>[1]!wss($A281:$A281,"hks_fa_grossprofitmargin","rptDate="&amp;($B281-3)&amp;"1231","WssConvert=0","showcodes=N","cols=1;rows=1")</f>
        <v>74.378500000000003</v>
      </c>
      <c r="J281" s="43">
        <f>[1]!wss($A281:$A281,"hks_fa_grossprofitmargin","rptDate="&amp;($B281-2)&amp;"1231","WssConvert=0","showcodes=N","cols=1;rows=1")</f>
        <v>75.224699999999999</v>
      </c>
      <c r="K281" s="43">
        <f>[1]!wss($A281:$A281,"hks_fa_grossprofitmargin","rptDate="&amp;($B281-1)&amp;"1231","WssConvert=0","showcodes=N","cols=1;rows=1")</f>
        <v>76.058999999999997</v>
      </c>
      <c r="L281" s="73">
        <f>[1]!wss($A281:$A281,"hks_fa_roe","rptDate="&amp;($B281-1)&amp;"1231","WssConvert=0","showcodes=N","cols=1;rows=1")</f>
        <v>19.0442</v>
      </c>
      <c r="M281" s="43">
        <f>[1]!wss($A281:$A281,"hks_fa_debttoassets","rptDate="&amp;($B281-1)&amp;"1231","WssConvert=0","showcodes=N","cols=1;rows=1")</f>
        <v>9.4014000000000006</v>
      </c>
      <c r="P281" s="50">
        <v>4.2654500000000004</v>
      </c>
      <c r="Q281" s="50">
        <v>2.77495</v>
      </c>
      <c r="R281" s="50">
        <v>1.8933599999999999</v>
      </c>
      <c r="S281" s="50">
        <v>1.59344</v>
      </c>
      <c r="T281" s="50">
        <v>0.749</v>
      </c>
      <c r="U281" s="50">
        <v>5.5030000000000003E-2</v>
      </c>
      <c r="V281" s="50">
        <v>75.224699999999999</v>
      </c>
      <c r="W281" s="50">
        <v>76.058999999999997</v>
      </c>
      <c r="X281" s="50">
        <v>69.016999999999996</v>
      </c>
    </row>
    <row r="282" spans="1:24">
      <c r="A282" t="s">
        <v>819</v>
      </c>
      <c r="B282" s="17">
        <f>IFERROR(YEAR(VLOOKUP($A282,'01_ipo_master'!$A:$C,3,FALSE)),YEAR(VLOOKUP("0"&amp;$A282,'01_ipo_master'!$A:$C,3,FALSE)))</f>
        <v>2025</v>
      </c>
      <c r="C282" s="73">
        <f>[1]!wss($A282:$A282,"hks_stm_is","item=83","rptDate="&amp;($B282-3)&amp;"1231","rptType=1","currencyType=Cur=CNY","WssConvert=0","WssDivide=8","showcodes=N","cols=1;rows=1")</f>
        <v>3.22973</v>
      </c>
      <c r="D282" s="73">
        <f>[1]!wss($A282:$A282,"hks_stm_is","item=83","rptDate="&amp;($B282-2)&amp;"1231","rptType=1","currencyType=Cur=CNY","WssConvert=0","WssDivide=8","showcodes=N","cols=1;rows=1")</f>
        <v>4.1135900000000003</v>
      </c>
      <c r="E282" s="73">
        <f>[1]!wss($A282:$A282,"hks_stm_is","item=83","rptDate="&amp;($B282-1)&amp;"1231","rptType=1","currencyType=Cur=CNY","WssConvert=0","WssDivide=8","showcodes=N","cols=1;rows=1")</f>
        <v>6.0032500000000004</v>
      </c>
      <c r="F282" s="73">
        <f>[1]!wss($A282:$A282,"hks_stm_is","item=61","rptDate="&amp;($B282-3)&amp;"1231","rptType=1","currencyType=Cur=CNY","WssConvert=0","WssDivide=8","showcodes=N","cols=1;rows=1")</f>
        <v>1.42001</v>
      </c>
      <c r="G282" s="73">
        <f>[1]!wss($A282:$A282,"hks_stm_is","item=61","rptDate="&amp;($B282-2)&amp;"1231","rptType=1","currencyType=Cur=CNY","WssConvert=0","WssDivide=8","showcodes=N","cols=1;rows=1")</f>
        <v>1.74847</v>
      </c>
      <c r="H282" s="73">
        <f>[1]!wss($A282:$A282,"hks_stm_is","item=61","rptDate="&amp;($B282-1)&amp;"1231","rptType=1","currencyType=Cur=CNY","WssConvert=0","WssDivide=8","showcodes=N","cols=1;rows=1")</f>
        <v>2.2236199999999999</v>
      </c>
      <c r="I282" s="73">
        <f>[1]!wss($A282:$A282,"hks_fa_grossprofitmargin","rptDate="&amp;($B282-3)&amp;"1231","WssConvert=0","showcodes=N","cols=1;rows=1")</f>
        <v>57.341900000000003</v>
      </c>
      <c r="J282" s="43">
        <f>[1]!wss($A282:$A282,"hks_fa_grossprofitmargin","rptDate="&amp;($B282-2)&amp;"1231","WssConvert=0","showcodes=N","cols=1;rows=1")</f>
        <v>53.160600000000002</v>
      </c>
      <c r="K282" s="43">
        <f>[1]!wss($A282:$A282,"hks_fa_grossprofitmargin","rptDate="&amp;($B282-1)&amp;"1231","WssConvert=0","showcodes=N","cols=1;rows=1")</f>
        <v>52.641800000000003</v>
      </c>
      <c r="L282" s="73">
        <f>[1]!wss($A282:$A282,"hks_fa_roe","rptDate="&amp;($B282-1)&amp;"1231","WssConvert=0","showcodes=N","cols=1;rows=1")</f>
        <v>8.9951000000000008</v>
      </c>
      <c r="M282" s="43">
        <f>[1]!wss($A282:$A282,"hks_fa_debttoassets","rptDate="&amp;($B282-1)&amp;"1231","WssConvert=0","showcodes=N","cols=1;rows=1")</f>
        <v>3.6356000000000002</v>
      </c>
      <c r="P282" s="50">
        <v>4.1135900000000003</v>
      </c>
      <c r="Q282" s="50">
        <v>6.0032500000000004</v>
      </c>
      <c r="R282" s="50">
        <v>7.7390400000000001</v>
      </c>
      <c r="S282" s="50">
        <v>1.74847</v>
      </c>
      <c r="T282" s="50">
        <v>2.2236199999999999</v>
      </c>
      <c r="U282" s="50">
        <v>2.1893600000000002</v>
      </c>
      <c r="V282" s="50">
        <v>53.160600000000002</v>
      </c>
      <c r="W282" s="50">
        <v>52.641800000000003</v>
      </c>
      <c r="X282" s="50">
        <v>51.782499999999999</v>
      </c>
    </row>
    <row r="283" spans="1:24">
      <c r="A283" t="s">
        <v>822</v>
      </c>
      <c r="B283" s="17">
        <f>IFERROR(YEAR(VLOOKUP($A283,'01_ipo_master'!$A:$C,3,FALSE)),YEAR(VLOOKUP("0"&amp;$A283,'01_ipo_master'!$A:$C,3,FALSE)))</f>
        <v>2022</v>
      </c>
      <c r="C283" s="73">
        <f>[1]!wss($A283:$A283,"hks_stm_is","item=83","rptDate="&amp;($B283-3)&amp;"1231","rptType=1","currencyType=Cur=CNY","WssConvert=0","WssDivide=8","showcodes=N","cols=1;rows=1")</f>
        <v>3.5446</v>
      </c>
      <c r="D283" s="73">
        <f>[1]!wss($A283:$A283,"hks_stm_is","item=83","rptDate="&amp;($B283-2)&amp;"1231","rptType=1","currencyType=Cur=CNY","WssConvert=0","WssDivide=8","showcodes=N","cols=1;rows=1")</f>
        <v>3.4828100000000002</v>
      </c>
      <c r="E283" s="73">
        <f>[1]!wss($A283:$A283,"hks_stm_is","item=83","rptDate="&amp;($B283-1)&amp;"1231","rptType=1","currencyType=Cur=CNY","WssConvert=0","WssDivide=8","showcodes=N","cols=1;rows=1")</f>
        <v>4.4288400000000001</v>
      </c>
      <c r="F283" s="73">
        <f>[1]!wss($A283:$A283,"hks_stm_is","item=61","rptDate="&amp;($B283-3)&amp;"1231","rptType=1","currencyType=Cur=CNY","WssConvert=0","WssDivide=8","showcodes=N","cols=1;rows=1")</f>
        <v>0.35222999999999999</v>
      </c>
      <c r="G283" s="73">
        <f>[1]!wss($A283:$A283,"hks_stm_is","item=61","rptDate="&amp;($B283-2)&amp;"1231","rptType=1","currencyType=Cur=CNY","WssConvert=0","WssDivide=8","showcodes=N","cols=1;rows=1")</f>
        <v>0.50080999999999998</v>
      </c>
      <c r="H283" s="73">
        <f>[1]!wss($A283:$A283,"hks_stm_is","item=61","rptDate="&amp;($B283-1)&amp;"1231","rptType=1","currencyType=Cur=CNY","WssConvert=0","WssDivide=8","showcodes=N","cols=1;rows=1")</f>
        <v>0.67505000000000004</v>
      </c>
      <c r="I283" s="73">
        <f>[1]!wss($A283:$A283,"hks_fa_grossprofitmargin","rptDate="&amp;($B283-3)&amp;"1231","WssConvert=0","showcodes=N","cols=1;rows=1")</f>
        <v>23.3565</v>
      </c>
      <c r="J283" s="43">
        <f>[1]!wss($A283:$A283,"hks_fa_grossprofitmargin","rptDate="&amp;($B283-2)&amp;"1231","WssConvert=0","showcodes=N","cols=1;rows=1")</f>
        <v>28.174399999999999</v>
      </c>
      <c r="K283" s="43">
        <f>[1]!wss($A283:$A283,"hks_fa_grossprofitmargin","rptDate="&amp;($B283-1)&amp;"1231","WssConvert=0","showcodes=N","cols=1;rows=1")</f>
        <v>22.05</v>
      </c>
      <c r="L283" s="73">
        <f>[1]!wss($A283:$A283,"hks_fa_roe","rptDate="&amp;($B283-1)&amp;"1231","WssConvert=0","showcodes=N","cols=1;rows=1")</f>
        <v>59.771700000000003</v>
      </c>
      <c r="M283" s="43">
        <f>[1]!wss($A283:$A283,"hks_fa_debttoassets","rptDate="&amp;($B283-1)&amp;"1231","WssConvert=0","showcodes=N","cols=1;rows=1")</f>
        <v>65.677300000000002</v>
      </c>
      <c r="P283" s="50">
        <v>4.0711199999999996</v>
      </c>
      <c r="Q283" s="50">
        <v>3.70424</v>
      </c>
      <c r="R283" s="50">
        <v>3.3458600000000001</v>
      </c>
      <c r="S283" s="50">
        <v>0.24537999999999999</v>
      </c>
      <c r="T283" s="50">
        <v>0.30020999999999998</v>
      </c>
      <c r="U283" s="50">
        <v>0.27877999999999997</v>
      </c>
      <c r="V283" s="50">
        <v>16.087499999999999</v>
      </c>
      <c r="W283" s="50">
        <v>15.6005</v>
      </c>
      <c r="X283" s="50">
        <v>19.196899999999999</v>
      </c>
    </row>
    <row r="284" spans="1:24">
      <c r="A284" t="s">
        <v>824</v>
      </c>
      <c r="B284" s="17">
        <f>IFERROR(YEAR(VLOOKUP($A284,'01_ipo_master'!$A:$C,3,FALSE)),YEAR(VLOOKUP("0"&amp;$A284,'01_ipo_master'!$A:$C,3,FALSE)))</f>
        <v>2025</v>
      </c>
      <c r="C284" s="73">
        <f>[1]!wss($A284:$A284,"hks_stm_is","item=83","rptDate="&amp;($B284-3)&amp;"1231","rptType=1","currencyType=Cur=CNY","WssConvert=0","WssDivide=8","showcodes=N","cols=1;rows=1")</f>
        <v>5.2754300000000001</v>
      </c>
      <c r="D284" s="73">
        <f>[1]!wss($A284:$A284,"hks_stm_is","item=83","rptDate="&amp;($B284-2)&amp;"1231","rptType=1","currencyType=Cur=CNY","WssConvert=0","WssDivide=8","showcodes=N","cols=1;rows=1")</f>
        <v>4.01844</v>
      </c>
      <c r="E284" s="73">
        <f>[1]!wss($A284:$A284,"hks_stm_is","item=83","rptDate="&amp;($B284-1)&amp;"1231","rptType=1","currencyType=Cur=CNY","WssConvert=0","WssDivide=8","showcodes=N","cols=1;rows=1")</f>
        <v>3.6113400000000002</v>
      </c>
      <c r="F284" s="73">
        <f>[1]!wss($A284:$A284,"hks_stm_is","item=61","rptDate="&amp;($B284-3)&amp;"1231","rptType=1","currencyType=Cur=CNY","WssConvert=0","WssDivide=8","showcodes=N","cols=1;rows=1")</f>
        <v>-12.984960000000001</v>
      </c>
      <c r="G284" s="73">
        <f>[1]!wss($A284:$A284,"hks_stm_is","item=61","rptDate="&amp;($B284-2)&amp;"1231","rptType=1","currencyType=Cur=CNY","WssConvert=0","WssDivide=8","showcodes=N","cols=1;rows=1")</f>
        <v>-19.491009999999999</v>
      </c>
      <c r="H284" s="73">
        <f>[1]!wss($A284:$A284,"hks_stm_is","item=61","rptDate="&amp;($B284-1)&amp;"1231","rptType=1","currencyType=Cur=CNY","WssConvert=0","WssDivide=8","showcodes=N","cols=1;rows=1")</f>
        <v>-25.16808</v>
      </c>
      <c r="I284" s="73">
        <f>[1]!wss($A284:$A284,"hks_fa_grossprofitmargin","rptDate="&amp;($B284-3)&amp;"1231","WssConvert=0","showcodes=N","cols=1;rows=1")</f>
        <v>44.080800000000004</v>
      </c>
      <c r="J284" s="43">
        <f>[1]!wss($A284:$A284,"hks_fa_grossprofitmargin","rptDate="&amp;($B284-2)&amp;"1231","WssConvert=0","showcodes=N","cols=1;rows=1")</f>
        <v>45.658499999999997</v>
      </c>
      <c r="K284" s="43">
        <f>[1]!wss($A284:$A284,"hks_fa_grossprofitmargin","rptDate="&amp;($B284-1)&amp;"1231","WssConvert=0","showcodes=N","cols=1;rows=1")</f>
        <v>30.657599999999999</v>
      </c>
      <c r="L284" s="73">
        <f>[1]!wss($A284:$A284,"hks_fa_roe","rptDate="&amp;($B284-1)&amp;"1231","WssConvert=0","showcodes=N","cols=1;rows=1")</f>
        <v>-125.39830000000001</v>
      </c>
      <c r="M284" s="43">
        <f>[1]!wss($A284:$A284,"hks_fa_debttoassets","rptDate="&amp;($B284-1)&amp;"1231","WssConvert=0","showcodes=N","cols=1;rows=1")</f>
        <v>8.1592000000000002</v>
      </c>
      <c r="P284" s="50">
        <v>4.01844</v>
      </c>
      <c r="Q284" s="50">
        <v>3.6113400000000002</v>
      </c>
      <c r="R284" s="50">
        <v>6.8458699999999997</v>
      </c>
      <c r="S284" s="50">
        <v>-19.491009999999999</v>
      </c>
      <c r="T284" s="50">
        <v>-25.16808</v>
      </c>
      <c r="U284" s="50">
        <v>-16.548999999999999</v>
      </c>
      <c r="V284" s="50">
        <v>45.658499999999997</v>
      </c>
      <c r="W284" s="50">
        <v>30.657599999999999</v>
      </c>
      <c r="X284" s="50">
        <v>30.211200000000002</v>
      </c>
    </row>
    <row r="285" spans="1:24">
      <c r="A285" t="s">
        <v>826</v>
      </c>
      <c r="B285" s="17">
        <f>IFERROR(YEAR(VLOOKUP($A285,'01_ipo_master'!$A:$C,3,FALSE)),YEAR(VLOOKUP("0"&amp;$A285,'01_ipo_master'!$A:$C,3,FALSE)))</f>
        <v>2022</v>
      </c>
      <c r="C285" s="73">
        <f>[1]!wss($A285:$A285,"hks_stm_is","item=83","rptDate="&amp;($B285-3)&amp;"1231","rptType=1","currencyType=Cur=CNY","WssConvert=0","WssDivide=8","showcodes=N","cols=1;rows=1")</f>
        <v>1.7778800000000001</v>
      </c>
      <c r="D285" s="73">
        <f>[1]!wss($A285:$A285,"hks_stm_is","item=83","rptDate="&amp;($B285-2)&amp;"1231","rptType=1","currencyType=Cur=CNY","WssConvert=0","WssDivide=8","showcodes=N","cols=1;rows=1")</f>
        <v>2.0216500000000002</v>
      </c>
      <c r="E285" s="73">
        <f>[1]!wss($A285:$A285,"hks_stm_is","item=83","rptDate="&amp;($B285-1)&amp;"1231","rptType=1","currencyType=Cur=CNY","WssConvert=0","WssDivide=8","showcodes=N","cols=1;rows=1")</f>
        <v>3.2442199999999999</v>
      </c>
      <c r="F285" s="73">
        <f>[1]!wss($A285:$A285,"hks_stm_is","item=61","rptDate="&amp;($B285-3)&amp;"1231","rptType=1","currencyType=Cur=CNY","WssConvert=0","WssDivide=8","showcodes=N","cols=1;rows=1")</f>
        <v>0.56089</v>
      </c>
      <c r="G285" s="73">
        <f>[1]!wss($A285:$A285,"hks_stm_is","item=61","rptDate="&amp;($B285-2)&amp;"1231","rptType=1","currencyType=Cur=CNY","WssConvert=0","WssDivide=8","showcodes=N","cols=1;rows=1")</f>
        <v>0.67925999999999997</v>
      </c>
      <c r="H285" s="73">
        <f>[1]!wss($A285:$A285,"hks_stm_is","item=61","rptDate="&amp;($B285-1)&amp;"1231","rptType=1","currencyType=Cur=CNY","WssConvert=0","WssDivide=8","showcodes=N","cols=1;rows=1")</f>
        <v>0.78813</v>
      </c>
      <c r="I285" s="73">
        <f>[1]!wss($A285:$A285,"hks_fa_grossprofitmargin","rptDate="&amp;($B285-3)&amp;"1231","WssConvert=0","showcodes=N","cols=1;rows=1")</f>
        <v>59.688299999999998</v>
      </c>
      <c r="J285" s="43">
        <f>[1]!wss($A285:$A285,"hks_fa_grossprofitmargin","rptDate="&amp;($B285-2)&amp;"1231","WssConvert=0","showcodes=N","cols=1;rows=1")</f>
        <v>64.435100000000006</v>
      </c>
      <c r="K285" s="43">
        <f>[1]!wss($A285:$A285,"hks_fa_grossprofitmargin","rptDate="&amp;($B285-1)&amp;"1231","WssConvert=0","showcodes=N","cols=1;rows=1")</f>
        <v>59.426000000000002</v>
      </c>
      <c r="L285" s="73">
        <f>[1]!wss($A285:$A285,"hks_fa_roe","rptDate="&amp;($B285-1)&amp;"1231","WssConvert=0","showcodes=N","cols=1;rows=1")</f>
        <v>17.921800000000001</v>
      </c>
      <c r="M285" s="43">
        <f>[1]!wss($A285:$A285,"hks_fa_debttoassets","rptDate="&amp;($B285-1)&amp;"1231","WssConvert=0","showcodes=N","cols=1;rows=1")</f>
        <v>19.5566</v>
      </c>
      <c r="P285" s="50">
        <v>3.9634100000000001</v>
      </c>
      <c r="Q285" s="50">
        <v>4.03728</v>
      </c>
      <c r="R285" s="50">
        <v>4.1909000000000001</v>
      </c>
      <c r="S285" s="50">
        <v>1.0203199999999999</v>
      </c>
      <c r="T285" s="50">
        <v>1.10649</v>
      </c>
      <c r="U285" s="50">
        <v>0.93437000000000003</v>
      </c>
      <c r="V285" s="50">
        <v>56.404699999999998</v>
      </c>
      <c r="W285" s="50">
        <v>57.761899999999997</v>
      </c>
      <c r="X285" s="50">
        <v>59.427100000000003</v>
      </c>
    </row>
    <row r="286" spans="1:24">
      <c r="A286" t="s">
        <v>828</v>
      </c>
      <c r="B286" s="17">
        <f>IFERROR(YEAR(VLOOKUP($A286,'01_ipo_master'!$A:$C,3,FALSE)),YEAR(VLOOKUP("0"&amp;$A286,'01_ipo_master'!$A:$C,3,FALSE)))</f>
        <v>2023</v>
      </c>
      <c r="C286" s="73">
        <f>[1]!wss($A286:$A286,"hks_stm_is","item=83","rptDate="&amp;($B286-3)&amp;"1231","rptType=1","currencyType=Cur=CNY","WssConvert=0","WssDivide=8","showcodes=N","cols=1;rows=1")</f>
        <v>3.6099900000000003</v>
      </c>
      <c r="D286" s="73">
        <f>[1]!wss($A286:$A286,"hks_stm_is","item=83","rptDate="&amp;($B286-2)&amp;"1231","rptType=1","currencyType=Cur=CNY","WssConvert=0","WssDivide=8","showcodes=N","cols=1;rows=1")</f>
        <v>2.47872</v>
      </c>
      <c r="E286" s="73">
        <f>[1]!wss($A286:$A286,"hks_stm_is","item=83","rptDate="&amp;($B286-1)&amp;"1231","rptType=1","currencyType=Cur=CNY","WssConvert=0","WssDivide=8","showcodes=N","cols=1;rows=1")</f>
        <v>4.1841299999999997</v>
      </c>
      <c r="F286" s="73">
        <f>[1]!wss($A286:$A286,"hks_stm_is","item=61","rptDate="&amp;($B286-3)&amp;"1231","rptType=1","currencyType=Cur=CNY","WssConvert=0","WssDivide=8","showcodes=N","cols=1;rows=1")</f>
        <v>0.82403000000000004</v>
      </c>
      <c r="G286" s="73">
        <f>[1]!wss($A286:$A286,"hks_stm_is","item=61","rptDate="&amp;($B286-2)&amp;"1231","rptType=1","currencyType=Cur=CNY","WssConvert=0","WssDivide=8","showcodes=N","cols=1;rows=1")</f>
        <v>0.41624</v>
      </c>
      <c r="H286" s="73">
        <f>[1]!wss($A286:$A286,"hks_stm_is","item=61","rptDate="&amp;($B286-1)&amp;"1231","rptType=1","currencyType=Cur=CNY","WssConvert=0","WssDivide=8","showcodes=N","cols=1;rows=1")</f>
        <v>0.83213999999999999</v>
      </c>
      <c r="I286" s="73">
        <f>[1]!wss($A286:$A286,"hks_fa_grossprofitmargin","rptDate="&amp;($B286-3)&amp;"1231","WssConvert=0","showcodes=N","cols=1;rows=1")</f>
        <v>54.012900000000002</v>
      </c>
      <c r="J286" s="43">
        <f>[1]!wss($A286:$A286,"hks_fa_grossprofitmargin","rptDate="&amp;($B286-2)&amp;"1231","WssConvert=0","showcodes=N","cols=1;rows=1")</f>
        <v>56.523099999999999</v>
      </c>
      <c r="K286" s="43">
        <f>[1]!wss($A286:$A286,"hks_fa_grossprofitmargin","rptDate="&amp;($B286-1)&amp;"1231","WssConvert=0","showcodes=N","cols=1;rows=1")</f>
        <v>52.242600000000003</v>
      </c>
      <c r="L286" s="73">
        <f>[1]!wss($A286:$A286,"hks_fa_roe","rptDate="&amp;($B286-1)&amp;"1231","WssConvert=0","showcodes=N","cols=1;rows=1")</f>
        <v>15.9642</v>
      </c>
      <c r="M286" s="43">
        <f>[1]!wss($A286:$A286,"hks_fa_debttoassets","rptDate="&amp;($B286-1)&amp;"1231","WssConvert=0","showcodes=N","cols=1;rows=1")</f>
        <v>23.694500000000001</v>
      </c>
      <c r="P286" s="50">
        <v>3.8346300000000002</v>
      </c>
      <c r="Q286" s="50">
        <v>4.99505</v>
      </c>
      <c r="R286" s="50">
        <v>6.2879800000000001</v>
      </c>
      <c r="S286" s="50">
        <v>0.65024999999999999</v>
      </c>
      <c r="T286" s="50">
        <v>1.0476000000000001</v>
      </c>
      <c r="U286" s="50">
        <v>1.1064700000000001</v>
      </c>
      <c r="V286" s="50">
        <v>47.789000000000001</v>
      </c>
      <c r="W286" s="50">
        <v>50.802100000000003</v>
      </c>
      <c r="X286" s="50">
        <v>52.700200000000002</v>
      </c>
    </row>
    <row r="287" spans="1:24">
      <c r="A287" t="s">
        <v>830</v>
      </c>
      <c r="B287" s="17">
        <f>IFERROR(YEAR(VLOOKUP($A287,'01_ipo_master'!$A:$C,3,FALSE)),YEAR(VLOOKUP("0"&amp;$A287,'01_ipo_master'!$A:$C,3,FALSE)))</f>
        <v>2022</v>
      </c>
      <c r="C287" s="73">
        <f>[1]!wss($A287:$A287,"hks_stm_is","item=83","rptDate="&amp;($B287-3)&amp;"1231","rptType=1","currencyType=Cur=CNY","WssConvert=0","WssDivide=8","showcodes=N","cols=1;rows=1")</f>
        <v>6.7927299999999997</v>
      </c>
      <c r="D287" s="73">
        <f>[1]!wss($A287:$A287,"hks_stm_is","item=83","rptDate="&amp;($B287-2)&amp;"1231","rptType=1","currencyType=Cur=CNY","WssConvert=0","WssDivide=8","showcodes=N","cols=1;rows=1")</f>
        <v>7.5514400000000004</v>
      </c>
      <c r="E287" s="73">
        <f>[1]!wss($A287:$A287,"hks_stm_is","item=83","rptDate="&amp;($B287-1)&amp;"1231","rptType=1","currencyType=Cur=CNY","WssConvert=0","WssDivide=8","showcodes=N","cols=1;rows=1")</f>
        <v>8.4604400000000002</v>
      </c>
      <c r="F287" s="73">
        <f>[1]!wss($A287:$A287,"hks_stm_is","item=61","rptDate="&amp;($B287-3)&amp;"1231","rptType=1","currencyType=Cur=CNY","WssConvert=0","WssDivide=8","showcodes=N","cols=1;rows=1")</f>
        <v>0.69435000000000002</v>
      </c>
      <c r="G287" s="73">
        <f>[1]!wss($A287:$A287,"hks_stm_is","item=61","rptDate="&amp;($B287-2)&amp;"1231","rptType=1","currencyType=Cur=CNY","WssConvert=0","WssDivide=8","showcodes=N","cols=1;rows=1")</f>
        <v>0.92013</v>
      </c>
      <c r="H287" s="73">
        <f>[1]!wss($A287:$A287,"hks_stm_is","item=61","rptDate="&amp;($B287-1)&amp;"1231","rptType=1","currencyType=Cur=CNY","WssConvert=0","WssDivide=8","showcodes=N","cols=1;rows=1")</f>
        <v>0.82145999999999997</v>
      </c>
      <c r="I287" s="73">
        <f>[1]!wss($A287:$A287,"hks_fa_grossprofitmargin","rptDate="&amp;($B287-3)&amp;"1231","WssConvert=0","showcodes=N","cols=1;rows=1")</f>
        <v>26.033000000000001</v>
      </c>
      <c r="J287" s="43">
        <f>[1]!wss($A287:$A287,"hks_fa_grossprofitmargin","rptDate="&amp;($B287-2)&amp;"1231","WssConvert=0","showcodes=N","cols=1;rows=1")</f>
        <v>27.481300000000001</v>
      </c>
      <c r="K287" s="43">
        <f>[1]!wss($A287:$A287,"hks_fa_grossprofitmargin","rptDate="&amp;($B287-1)&amp;"1231","WssConvert=0","showcodes=N","cols=1;rows=1")</f>
        <v>20.803699999999999</v>
      </c>
      <c r="L287" s="73">
        <f>[1]!wss($A287:$A287,"hks_fa_roe","rptDate="&amp;($B287-1)&amp;"1231","WssConvert=0","showcodes=N","cols=1;rows=1")</f>
        <v>37.619100000000003</v>
      </c>
      <c r="M287" s="43">
        <f>[1]!wss($A287:$A287,"hks_fa_debttoassets","rptDate="&amp;($B287-1)&amp;"1231","WssConvert=0","showcodes=N","cols=1;rows=1")</f>
        <v>68.146500000000003</v>
      </c>
      <c r="P287" s="50">
        <v>3.77555</v>
      </c>
      <c r="Q287" s="50">
        <v>4.6139999999999999</v>
      </c>
      <c r="R287" s="50">
        <v>3.3487</v>
      </c>
      <c r="S287" s="50">
        <v>-0.71447000000000005</v>
      </c>
      <c r="T287" s="50">
        <v>-0.58579000000000003</v>
      </c>
      <c r="U287" s="50">
        <v>-1.18106</v>
      </c>
      <c r="V287" s="50">
        <v>25.717400000000001</v>
      </c>
      <c r="W287" s="50">
        <v>24.208300000000001</v>
      </c>
      <c r="X287" s="50">
        <v>21.090599999999998</v>
      </c>
    </row>
    <row r="288" spans="1:24">
      <c r="A288" t="s">
        <v>832</v>
      </c>
      <c r="B288" s="17">
        <f>IFERROR(YEAR(VLOOKUP($A288,'01_ipo_master'!$A:$C,3,FALSE)),YEAR(VLOOKUP("0"&amp;$A288,'01_ipo_master'!$A:$C,3,FALSE)))</f>
        <v>2026</v>
      </c>
      <c r="C288" s="73">
        <f>[1]!wss($A288:$A288,"hks_stm_is","item=83","rptDate="&amp;($B288-3)&amp;"1231","rptType=1","currencyType=Cur=CNY","WssConvert=0","WssDivide=8","showcodes=N","cols=1;rows=1")</f>
        <v>3.7557300000000002</v>
      </c>
      <c r="D288" s="73">
        <f>[1]!wss($A288:$A288,"hks_stm_is","item=83","rptDate="&amp;($B288-2)&amp;"1231","rptType=1","currencyType=Cur=CNY","WssConvert=0","WssDivide=8","showcodes=N","cols=1;rows=1")</f>
        <v>5.0312900000000003</v>
      </c>
      <c r="E288" s="73">
        <f>[1]!wss($A288:$A288,"hks_stm_is","item=83","rptDate="&amp;($B288-1)&amp;"1231","rptType=1","currencyType=Cur=CNY","WssConvert=0","WssDivide=8","showcodes=N","cols=1;rows=1")</f>
        <v>6.2108100000000004</v>
      </c>
      <c r="F288" s="73">
        <f>[1]!wss($A288:$A288,"hks_stm_is","item=61","rptDate="&amp;($B288-3)&amp;"1231","rptType=1","currencyType=Cur=CNY","WssConvert=0","WssDivide=8","showcodes=N","cols=1;rows=1")</f>
        <v>-2.6564999999999999</v>
      </c>
      <c r="G288" s="73">
        <f>[1]!wss($A288:$A288,"hks_stm_is","item=61","rptDate="&amp;($B288-2)&amp;"1231","rptType=1","currencyType=Cur=CNY","WssConvert=0","WssDivide=8","showcodes=N","cols=1;rows=1")</f>
        <v>-0.93733</v>
      </c>
      <c r="H288" s="73">
        <f>[1]!wss($A288:$A288,"hks_stm_is","item=61","rptDate="&amp;($B288-1)&amp;"1231","rptType=1","currencyType=Cur=CNY","WssConvert=0","WssDivide=8","showcodes=N","cols=1;rows=1")</f>
        <v>-2.05322</v>
      </c>
      <c r="I288" s="73">
        <f>[1]!wss($A288:$A288,"hks_fa_grossprofitmargin","rptDate="&amp;($B288-3)&amp;"1231","WssConvert=0","showcodes=N","cols=1;rows=1")</f>
        <v>35.215499999999999</v>
      </c>
      <c r="J288" s="43">
        <f>[1]!wss($A288:$A288,"hks_fa_grossprofitmargin","rptDate="&amp;($B288-2)&amp;"1231","WssConvert=0","showcodes=N","cols=1;rows=1")</f>
        <v>36.2517</v>
      </c>
      <c r="K288" s="43">
        <f>[1]!wss($A288:$A288,"hks_fa_grossprofitmargin","rptDate="&amp;($B288-1)&amp;"1231","WssConvert=0","showcodes=N","cols=1;rows=1")</f>
        <v>43.310600000000001</v>
      </c>
      <c r="L288" s="73" t="str">
        <f>[1]!wss($A288:$A288,"hks_fa_roe","rptDate="&amp;($B288-1)&amp;"1231","WssConvert=0","showcodes=N","cols=1;rows=1")</f>
        <v/>
      </c>
      <c r="M288" s="43">
        <f>[1]!wss($A288:$A288,"hks_fa_debttoassets","rptDate="&amp;($B288-1)&amp;"1231","WssConvert=0","showcodes=N","cols=1;rows=1")</f>
        <v>255.05500000000001</v>
      </c>
      <c r="P288" s="50">
        <v>3.7557299999999998</v>
      </c>
      <c r="Q288" s="50">
        <v>5.0312900000000003</v>
      </c>
      <c r="R288" s="50">
        <v>6.2108100000000004</v>
      </c>
      <c r="S288" s="50">
        <v>-2.6564999999999999</v>
      </c>
      <c r="T288" s="50">
        <v>-0.93733</v>
      </c>
      <c r="U288" s="50">
        <v>-2.05322</v>
      </c>
      <c r="V288" s="50">
        <v>35.215499999999999</v>
      </c>
      <c r="W288" s="50">
        <v>36.2517</v>
      </c>
      <c r="X288" s="50">
        <v>43.310600000000001</v>
      </c>
    </row>
    <row r="289" spans="1:24">
      <c r="A289" t="s">
        <v>834</v>
      </c>
      <c r="B289" s="17">
        <f>IFERROR(YEAR(VLOOKUP($A289,'01_ipo_master'!$A:$C,3,FALSE)),YEAR(VLOOKUP("0"&amp;$A289,'01_ipo_master'!$A:$C,3,FALSE)))</f>
        <v>2022</v>
      </c>
      <c r="C289" s="73">
        <f>[1]!wss($A289:$A289,"hks_stm_is","item=83","rptDate="&amp;($B289-3)&amp;"1231","rptType=1","currencyType=Cur=CNY","WssConvert=0","WssDivide=8","showcodes=N","cols=1;rows=1")</f>
        <v>3.7404100000000002</v>
      </c>
      <c r="D289" s="73">
        <f>[1]!wss($A289:$A289,"hks_stm_is","item=83","rptDate="&amp;($B289-2)&amp;"1231","rptType=1","currencyType=Cur=CNY","WssConvert=0","WssDivide=8","showcodes=N","cols=1;rows=1")</f>
        <v>3.6221000000000001</v>
      </c>
      <c r="E289" s="73">
        <f>[1]!wss($A289:$A289,"hks_stm_is","item=83","rptDate="&amp;($B289-1)&amp;"1231","rptType=1","currencyType=Cur=CNY","WssConvert=0","WssDivide=8","showcodes=N","cols=1;rows=1")</f>
        <v>4.4035599999999997</v>
      </c>
      <c r="F289" s="73">
        <f>[1]!wss($A289:$A289,"hks_stm_is","item=61","rptDate="&amp;($B289-3)&amp;"1231","rptType=1","currencyType=Cur=CNY","WssConvert=0","WssDivide=8","showcodes=N","cols=1;rows=1")</f>
        <v>0.46096000000000004</v>
      </c>
      <c r="G289" s="73">
        <f>[1]!wss($A289:$A289,"hks_stm_is","item=61","rptDate="&amp;($B289-2)&amp;"1231","rptType=1","currencyType=Cur=CNY","WssConvert=0","WssDivide=8","showcodes=N","cols=1;rows=1")</f>
        <v>0.34705999999999998</v>
      </c>
      <c r="H289" s="73">
        <f>[1]!wss($A289:$A289,"hks_stm_is","item=61","rptDate="&amp;($B289-1)&amp;"1231","rptType=1","currencyType=Cur=CNY","WssConvert=0","WssDivide=8","showcodes=N","cols=1;rows=1")</f>
        <v>0.37663000000000002</v>
      </c>
      <c r="I289" s="73">
        <f>[1]!wss($A289:$A289,"hks_fa_grossprofitmargin","rptDate="&amp;($B289-3)&amp;"1231","WssConvert=0","showcodes=N","cols=1;rows=1")</f>
        <v>19.710899999999999</v>
      </c>
      <c r="J289" s="43">
        <f>[1]!wss($A289:$A289,"hks_fa_grossprofitmargin","rptDate="&amp;($B289-2)&amp;"1231","WssConvert=0","showcodes=N","cols=1;rows=1")</f>
        <v>21.422699999999999</v>
      </c>
      <c r="K289" s="43">
        <f>[1]!wss($A289:$A289,"hks_fa_grossprofitmargin","rptDate="&amp;($B289-1)&amp;"1231","WssConvert=0","showcodes=N","cols=1;rows=1")</f>
        <v>17.5242</v>
      </c>
      <c r="L289" s="73">
        <f>[1]!wss($A289:$A289,"hks_fa_roe","rptDate="&amp;($B289-1)&amp;"1231","WssConvert=0","showcodes=N","cols=1;rows=1")</f>
        <v>19.257300000000001</v>
      </c>
      <c r="M289" s="43">
        <f>[1]!wss($A289:$A289,"hks_fa_debttoassets","rptDate="&amp;($B289-1)&amp;"1231","WssConvert=0","showcodes=N","cols=1;rows=1")</f>
        <v>38.431399999999996</v>
      </c>
      <c r="P289" s="50">
        <v>3.6798299999999999</v>
      </c>
      <c r="Q289" s="50">
        <v>3.91981</v>
      </c>
      <c r="R289" s="50">
        <v>4.0482699999999996</v>
      </c>
      <c r="S289" s="50">
        <v>0.41314000000000001</v>
      </c>
      <c r="T289" s="50">
        <v>0.1918</v>
      </c>
      <c r="U289" s="50">
        <v>0.11064</v>
      </c>
      <c r="V289" s="50">
        <v>19.912400000000002</v>
      </c>
      <c r="W289" s="50">
        <v>12.6828</v>
      </c>
      <c r="X289" s="50">
        <v>11.0054</v>
      </c>
    </row>
    <row r="290" spans="1:24">
      <c r="A290" t="s">
        <v>836</v>
      </c>
      <c r="B290" s="17">
        <f>IFERROR(YEAR(VLOOKUP($A290,'01_ipo_master'!$A:$C,3,FALSE)),YEAR(VLOOKUP("0"&amp;$A290,'01_ipo_master'!$A:$C,3,FALSE)))</f>
        <v>2023</v>
      </c>
      <c r="C290" s="73">
        <f>[1]!wss($A290:$A290,"hks_stm_is","item=83","rptDate="&amp;($B290-3)&amp;"1231","rptType=1","currencyType=Cur=CNY","WssConvert=0","WssDivide=8","showcodes=N","cols=1;rows=1")</f>
        <v>1.66734</v>
      </c>
      <c r="D290" s="73">
        <f>[1]!wss($A290:$A290,"hks_stm_is","item=83","rptDate="&amp;($B290-2)&amp;"1231","rptType=1","currencyType=Cur=CNY","WssConvert=0","WssDivide=8","showcodes=N","cols=1;rows=1")</f>
        <v>2.5674000000000001</v>
      </c>
      <c r="E290" s="73">
        <f>[1]!wss($A290:$A290,"hks_stm_is","item=83","rptDate="&amp;($B290-1)&amp;"1231","rptType=1","currencyType=Cur=CNY","WssConvert=0","WssDivide=8","showcodes=N","cols=1;rows=1")</f>
        <v>2.9978899999999999</v>
      </c>
      <c r="F290" s="73">
        <f>[1]!wss($A290:$A290,"hks_stm_is","item=61","rptDate="&amp;($B290-3)&amp;"1231","rptType=1","currencyType=Cur=CNY","WssConvert=0","WssDivide=8","showcodes=N","cols=1;rows=1")</f>
        <v>0.49271999999999999</v>
      </c>
      <c r="G290" s="73">
        <f>[1]!wss($A290:$A290,"hks_stm_is","item=61","rptDate="&amp;($B290-2)&amp;"1231","rptType=1","currencyType=Cur=CNY","WssConvert=0","WssDivide=8","showcodes=N","cols=1;rows=1")</f>
        <v>0.78417000000000003</v>
      </c>
      <c r="H290" s="73">
        <f>[1]!wss($A290:$A290,"hks_stm_is","item=61","rptDate="&amp;($B290-1)&amp;"1231","rptType=1","currencyType=Cur=CNY","WssConvert=0","WssDivide=8","showcodes=N","cols=1;rows=1")</f>
        <v>0.56508000000000003</v>
      </c>
      <c r="I290" s="73">
        <f>[1]!wss($A290:$A290,"hks_fa_grossprofitmargin","rptDate="&amp;($B290-3)&amp;"1231","WssConvert=0","showcodes=N","cols=1;rows=1")</f>
        <v>42.068199999999997</v>
      </c>
      <c r="J290" s="43">
        <f>[1]!wss($A290:$A290,"hks_fa_grossprofitmargin","rptDate="&amp;($B290-2)&amp;"1231","WssConvert=0","showcodes=N","cols=1;rows=1")</f>
        <v>44.064799999999998</v>
      </c>
      <c r="K290" s="43">
        <f>[1]!wss($A290:$A290,"hks_fa_grossprofitmargin","rptDate="&amp;($B290-1)&amp;"1231","WssConvert=0","showcodes=N","cols=1;rows=1")</f>
        <v>40.109499999999997</v>
      </c>
      <c r="L290" s="73">
        <f>[1]!wss($A290:$A290,"hks_fa_roe","rptDate="&amp;($B290-1)&amp;"1231","WssConvert=0","showcodes=N","cols=1;rows=1")</f>
        <v>33.557299999999998</v>
      </c>
      <c r="M290" s="43">
        <f>[1]!wss($A290:$A290,"hks_fa_debttoassets","rptDate="&amp;($B290-1)&amp;"1231","WssConvert=0","showcodes=N","cols=1;rows=1")</f>
        <v>35.047600000000003</v>
      </c>
      <c r="P290" s="50">
        <v>3.6581100000000002</v>
      </c>
      <c r="Q290" s="50">
        <v>4.0749500000000003</v>
      </c>
      <c r="R290" s="50">
        <v>2.5342099999999999</v>
      </c>
      <c r="S290" s="50">
        <v>0.8397</v>
      </c>
      <c r="T290" s="50">
        <v>1.11161</v>
      </c>
      <c r="U290" s="50">
        <v>0.29114000000000001</v>
      </c>
      <c r="V290" s="50">
        <v>39.762099999999997</v>
      </c>
      <c r="W290" s="50">
        <v>39.764400000000002</v>
      </c>
      <c r="X290" s="50">
        <v>38.773800000000001</v>
      </c>
    </row>
    <row r="291" spans="1:24">
      <c r="A291" t="s">
        <v>838</v>
      </c>
      <c r="B291" s="17">
        <f>IFERROR(YEAR(VLOOKUP($A291,'01_ipo_master'!$A:$C,3,FALSE)),YEAR(VLOOKUP("0"&amp;$A291,'01_ipo_master'!$A:$C,3,FALSE)))</f>
        <v>2025</v>
      </c>
      <c r="C291" s="73">
        <f>[1]!wss($A291:$A291,"hks_stm_is","item=83","rptDate="&amp;($B291-3)&amp;"1231","rptType=1","currencyType=Cur=CNY","WssConvert=0","WssDivide=8","showcodes=N","cols=1;rows=1")</f>
        <v>2.5262000000000002</v>
      </c>
      <c r="D291" s="73">
        <f>[1]!wss($A291:$A291,"hks_stm_is","item=83","rptDate="&amp;($B291-2)&amp;"1231","rptType=1","currencyType=Cur=CNY","WssConvert=0","WssDivide=8","showcodes=N","cols=1;rows=1")</f>
        <v>3.6369899999999999</v>
      </c>
      <c r="E291" s="73">
        <f>[1]!wss($A291:$A291,"hks_stm_is","item=83","rptDate="&amp;($B291-1)&amp;"1231","rptType=1","currencyType=Cur=CNY","WssConvert=0","WssDivide=8","showcodes=N","cols=1;rows=1")</f>
        <v>4.0263999999999998</v>
      </c>
      <c r="F291" s="73">
        <f>[1]!wss($A291:$A291,"hks_stm_is","item=61","rptDate="&amp;($B291-3)&amp;"1231","rptType=1","currencyType=Cur=CNY","WssConvert=0","WssDivide=8","showcodes=N","cols=1;rows=1")</f>
        <v>0.63161</v>
      </c>
      <c r="G291" s="73">
        <f>[1]!wss($A291:$A291,"hks_stm_is","item=61","rptDate="&amp;($B291-2)&amp;"1231","rptType=1","currencyType=Cur=CNY","WssConvert=0","WssDivide=8","showcodes=N","cols=1;rows=1")</f>
        <v>0.88566</v>
      </c>
      <c r="H291" s="73">
        <f>[1]!wss($A291:$A291,"hks_stm_is","item=61","rptDate="&amp;($B291-1)&amp;"1231","rptType=1","currencyType=Cur=CNY","WssConvert=0","WssDivide=8","showcodes=N","cols=1;rows=1")</f>
        <v>1.15368</v>
      </c>
      <c r="I291" s="73">
        <f>[1]!wss($A291:$A291,"hks_fa_grossprofitmargin","rptDate="&amp;($B291-3)&amp;"1231","WssConvert=0","showcodes=N","cols=1;rows=1")</f>
        <v>55.562899999999999</v>
      </c>
      <c r="J291" s="43">
        <f>[1]!wss($A291:$A291,"hks_fa_grossprofitmargin","rptDate="&amp;($B291-2)&amp;"1231","WssConvert=0","showcodes=N","cols=1;rows=1")</f>
        <v>58.110700000000001</v>
      </c>
      <c r="K291" s="43">
        <f>[1]!wss($A291:$A291,"hks_fa_grossprofitmargin","rptDate="&amp;($B291-1)&amp;"1231","WssConvert=0","showcodes=N","cols=1;rows=1")</f>
        <v>58.919400000000003</v>
      </c>
      <c r="L291" s="73">
        <f>[1]!wss($A291:$A291,"hks_fa_roe","rptDate="&amp;($B291-1)&amp;"1231","WssConvert=0","showcodes=N","cols=1;rows=1")</f>
        <v>22.229199999999999</v>
      </c>
      <c r="M291" s="43">
        <f>[1]!wss($A291:$A291,"hks_fa_debttoassets","rptDate="&amp;($B291-1)&amp;"1231","WssConvert=0","showcodes=N","cols=1;rows=1")</f>
        <v>23.496200000000002</v>
      </c>
      <c r="P291" s="50">
        <v>3.6369899999999999</v>
      </c>
      <c r="Q291" s="50">
        <v>4.0263999999999998</v>
      </c>
      <c r="R291" s="50">
        <v>4.9815899999999997</v>
      </c>
      <c r="S291" s="50">
        <v>0.88566</v>
      </c>
      <c r="T291" s="50">
        <v>1.15368</v>
      </c>
      <c r="U291" s="50">
        <v>1.1784300000000001</v>
      </c>
      <c r="V291" s="50">
        <v>58.110700000000001</v>
      </c>
      <c r="W291" s="50">
        <v>58.919400000000003</v>
      </c>
      <c r="X291" s="50">
        <v>53.433900000000001</v>
      </c>
    </row>
    <row r="292" spans="1:24">
      <c r="A292" t="s">
        <v>840</v>
      </c>
      <c r="B292" s="17">
        <f>IFERROR(YEAR(VLOOKUP($A292,'01_ipo_master'!$A:$C,3,FALSE)),YEAR(VLOOKUP("0"&amp;$A292,'01_ipo_master'!$A:$C,3,FALSE)))</f>
        <v>2025</v>
      </c>
      <c r="C292" s="73">
        <f>[1]!wss($A292:$A292,"hks_stm_is","item=83","rptDate="&amp;($B292-3)&amp;"1231","rptType=1","currencyType=Cur=CNY","WssConvert=0","WssDivide=8","showcodes=N","cols=1;rows=1")</f>
        <v>2.0996179620000004</v>
      </c>
      <c r="D292" s="73">
        <f>[1]!wss($A292:$A292,"hks_stm_is","item=83","rptDate="&amp;($B292-2)&amp;"1231","rptType=1","currencyType=Cur=CNY","WssConvert=0","WssDivide=8","showcodes=N","cols=1;rows=1")</f>
        <v>3.6249258600000003</v>
      </c>
      <c r="E292" s="73">
        <f>[1]!wss($A292:$A292,"hks_stm_is","item=83","rptDate="&amp;($B292-1)&amp;"1231","rptType=1","currencyType=Cur=CNY","WssConvert=0","WssDivide=8","showcodes=N","cols=1;rows=1")</f>
        <v>6.1700912560000001</v>
      </c>
      <c r="F292" s="73">
        <f>[1]!wss($A292:$A292,"hks_stm_is","item=61","rptDate="&amp;($B292-3)&amp;"1231","rptType=1","currencyType=Cur=CNY","WssConvert=0","WssDivide=8","showcodes=N","cols=1;rows=1")</f>
        <v>-15.449432888000002</v>
      </c>
      <c r="G292" s="73">
        <f>[1]!wss($A292:$A292,"hks_stm_is","item=61","rptDate="&amp;($B292-2)&amp;"1231","rptType=1","currencyType=Cur=CNY","WssConvert=0","WssDivide=8","showcodes=N","cols=1;rows=1")</f>
        <v>-14.989826280000001</v>
      </c>
      <c r="H292" s="73">
        <f>[1]!wss($A292:$A292,"hks_stm_is","item=61","rptDate="&amp;($B292-1)&amp;"1231","rptType=1","currencyType=Cur=CNY","WssConvert=0","WssDivide=8","showcodes=N","cols=1;rows=1")</f>
        <v>-1.228928864</v>
      </c>
      <c r="I292" s="73">
        <f>[1]!wss($A292:$A292,"hks_fa_grossprofitmargin","rptDate="&amp;($B292-3)&amp;"1231","WssConvert=0","showcodes=N","cols=1;rows=1")</f>
        <v>63.389400000000002</v>
      </c>
      <c r="J292" s="43">
        <f>[1]!wss($A292:$A292,"hks_fa_grossprofitmargin","rptDate="&amp;($B292-2)&amp;"1231","WssConvert=0","showcodes=N","cols=1;rows=1")</f>
        <v>75.359499999999997</v>
      </c>
      <c r="K292" s="43">
        <f>[1]!wss($A292:$A292,"hks_fa_grossprofitmargin","rptDate="&amp;($B292-1)&amp;"1231","WssConvert=0","showcodes=N","cols=1;rows=1")</f>
        <v>90.380300000000005</v>
      </c>
      <c r="L292" s="73" t="str">
        <f>[1]!wss($A292:$A292,"hks_fa_roe","rptDate="&amp;($B292-1)&amp;"1231","WssConvert=0","showcodes=N","cols=1;rows=1")</f>
        <v/>
      </c>
      <c r="M292" s="43">
        <f>[1]!wss($A292:$A292,"hks_fa_debttoassets","rptDate="&amp;($B292-1)&amp;"1231","WssConvert=0","showcodes=N","cols=1;rows=1")</f>
        <v>561.05119999999999</v>
      </c>
      <c r="P292" s="50">
        <v>3.6249258599999998</v>
      </c>
      <c r="Q292" s="50">
        <v>6.1700912560000001</v>
      </c>
      <c r="R292" s="50">
        <v>3.9529268320000002</v>
      </c>
      <c r="S292" s="50">
        <v>-14.989826280000001</v>
      </c>
      <c r="T292" s="50">
        <v>-1.228928864</v>
      </c>
      <c r="U292" s="50">
        <v>-24.763587007999998</v>
      </c>
      <c r="V292" s="50">
        <v>75.359499999999997</v>
      </c>
      <c r="W292" s="50">
        <v>90.380300000000005</v>
      </c>
      <c r="X292" s="50">
        <v>81.523499999999999</v>
      </c>
    </row>
    <row r="293" spans="1:24">
      <c r="A293" t="s">
        <v>842</v>
      </c>
      <c r="B293" s="17">
        <f>IFERROR(YEAR(VLOOKUP($A293,'01_ipo_master'!$A:$C,3,FALSE)),YEAR(VLOOKUP("0"&amp;$A293,'01_ipo_master'!$A:$C,3,FALSE)))</f>
        <v>2023</v>
      </c>
      <c r="C293" s="73">
        <f>[1]!wss($A293:$A293,"hks_stm_is","item=83","rptDate="&amp;($B293-3)&amp;"1231","rptType=1","currencyType=Cur=CNY","WssConvert=0","WssDivide=8","showcodes=N","cols=1;rows=1")</f>
        <v>2.3130899999999999</v>
      </c>
      <c r="D293" s="73">
        <f>[1]!wss($A293:$A293,"hks_stm_is","item=83","rptDate="&amp;($B293-2)&amp;"1231","rptType=1","currencyType=Cur=CNY","WssConvert=0","WssDivide=8","showcodes=N","cols=1;rows=1")</f>
        <v>2.9651300000000003</v>
      </c>
      <c r="E293" s="73">
        <f>[1]!wss($A293:$A293,"hks_stm_is","item=83","rptDate="&amp;($B293-1)&amp;"1231","rptType=1","currencyType=Cur=CNY","WssConvert=0","WssDivide=8","showcodes=N","cols=1;rows=1")</f>
        <v>3.20811</v>
      </c>
      <c r="F293" s="73">
        <f>[1]!wss($A293:$A293,"hks_stm_is","item=61","rptDate="&amp;($B293-3)&amp;"1231","rptType=1","currencyType=Cur=CNY","WssConvert=0","WssDivide=8","showcodes=N","cols=1;rows=1")</f>
        <v>0.36535000000000001</v>
      </c>
      <c r="G293" s="73">
        <f>[1]!wss($A293:$A293,"hks_stm_is","item=61","rptDate="&amp;($B293-2)&amp;"1231","rptType=1","currencyType=Cur=CNY","WssConvert=0","WssDivide=8","showcodes=N","cols=1;rows=1")</f>
        <v>0.38991000000000003</v>
      </c>
      <c r="H293" s="73">
        <f>[1]!wss($A293:$A293,"hks_stm_is","item=61","rptDate="&amp;($B293-1)&amp;"1231","rptType=1","currencyType=Cur=CNY","WssConvert=0","WssDivide=8","showcodes=N","cols=1;rows=1")</f>
        <v>0.50817000000000001</v>
      </c>
      <c r="I293" s="73">
        <f>[1]!wss($A293:$A293,"hks_fa_grossprofitmargin","rptDate="&amp;($B293-3)&amp;"1231","WssConvert=0","showcodes=N","cols=1;rows=1")</f>
        <v>37.625900000000001</v>
      </c>
      <c r="J293" s="43">
        <f>[1]!wss($A293:$A293,"hks_fa_grossprofitmargin","rptDate="&amp;($B293-2)&amp;"1231","WssConvert=0","showcodes=N","cols=1;rows=1")</f>
        <v>37.574300000000001</v>
      </c>
      <c r="K293" s="43">
        <f>[1]!wss($A293:$A293,"hks_fa_grossprofitmargin","rptDate="&amp;($B293-1)&amp;"1231","WssConvert=0","showcodes=N","cols=1;rows=1")</f>
        <v>36.385800000000003</v>
      </c>
      <c r="L293" s="73">
        <f>[1]!wss($A293:$A293,"hks_fa_roe","rptDate="&amp;($B293-1)&amp;"1231","WssConvert=0","showcodes=N","cols=1;rows=1")</f>
        <v>76.892300000000006</v>
      </c>
      <c r="M293" s="43">
        <f>[1]!wss($A293:$A293,"hks_fa_debttoassets","rptDate="&amp;($B293-1)&amp;"1231","WssConvert=0","showcodes=N","cols=1;rows=1")</f>
        <v>52.903599999999997</v>
      </c>
      <c r="P293" s="50">
        <v>3.51484</v>
      </c>
      <c r="Q293" s="50">
        <v>4.1223799999999997</v>
      </c>
      <c r="R293" s="50">
        <v>4.7238199999999999</v>
      </c>
      <c r="S293" s="50">
        <v>0.49346000000000001</v>
      </c>
      <c r="T293" s="50">
        <v>0.38067000000000001</v>
      </c>
      <c r="U293" s="50">
        <v>0.31497000000000003</v>
      </c>
      <c r="V293" s="50">
        <v>33.837299999999999</v>
      </c>
      <c r="W293" s="50">
        <v>29.177800000000001</v>
      </c>
      <c r="X293" s="50">
        <v>25.952300000000001</v>
      </c>
    </row>
    <row r="294" spans="1:24">
      <c r="A294" t="s">
        <v>844</v>
      </c>
      <c r="B294" s="17">
        <f>IFERROR(YEAR(VLOOKUP($A294,'01_ipo_master'!$A:$C,3,FALSE)),YEAR(VLOOKUP("0"&amp;$A294,'01_ipo_master'!$A:$C,3,FALSE)))</f>
        <v>2023</v>
      </c>
      <c r="C294" s="73">
        <f>[1]!wss($A294:$A294,"hks_stm_is","item=83","rptDate="&amp;($B294-3)&amp;"1231","rptType=1","currencyType=Cur=CNY","WssConvert=0","WssDivide=8","showcodes=N","cols=1;rows=1")</f>
        <v>2.1586699999999999</v>
      </c>
      <c r="D294" s="73">
        <f>[1]!wss($A294:$A294,"hks_stm_is","item=83","rptDate="&amp;($B294-2)&amp;"1231","rptType=1","currencyType=Cur=CNY","WssConvert=0","WssDivide=8","showcodes=N","cols=1;rows=1")</f>
        <v>2.9782299999999999</v>
      </c>
      <c r="E294" s="73">
        <f>[1]!wss($A294:$A294,"hks_stm_is","item=83","rptDate="&amp;($B294-1)&amp;"1231","rptType=1","currencyType=Cur=CNY","WssConvert=0","WssDivide=8","showcodes=N","cols=1;rows=1")</f>
        <v>3.4910100000000002</v>
      </c>
      <c r="F294" s="73">
        <f>[1]!wss($A294:$A294,"hks_stm_is","item=61","rptDate="&amp;($B294-3)&amp;"1231","rptType=1","currencyType=Cur=CNY","WssConvert=0","WssDivide=8","showcodes=N","cols=1;rows=1")</f>
        <v>0.28914000000000001</v>
      </c>
      <c r="G294" s="73">
        <f>[1]!wss($A294:$A294,"hks_stm_is","item=61","rptDate="&amp;($B294-2)&amp;"1231","rptType=1","currencyType=Cur=CNY","WssConvert=0","WssDivide=8","showcodes=N","cols=1;rows=1")</f>
        <v>-1.5103</v>
      </c>
      <c r="H294" s="73">
        <f>[1]!wss($A294:$A294,"hks_stm_is","item=61","rptDate="&amp;($B294-1)&amp;"1231","rptType=1","currencyType=Cur=CNY","WssConvert=0","WssDivide=8","showcodes=N","cols=1;rows=1")</f>
        <v>-0.99880999999999998</v>
      </c>
      <c r="I294" s="73">
        <f>[1]!wss($A294:$A294,"hks_fa_grossprofitmargin","rptDate="&amp;($B294-3)&amp;"1231","WssConvert=0","showcodes=N","cols=1;rows=1")</f>
        <v>54.2181</v>
      </c>
      <c r="J294" s="43">
        <f>[1]!wss($A294:$A294,"hks_fa_grossprofitmargin","rptDate="&amp;($B294-2)&amp;"1231","WssConvert=0","showcodes=N","cols=1;rows=1")</f>
        <v>63.752200000000002</v>
      </c>
      <c r="K294" s="43">
        <f>[1]!wss($A294:$A294,"hks_fa_grossprofitmargin","rptDate="&amp;($B294-1)&amp;"1231","WssConvert=0","showcodes=N","cols=1;rows=1")</f>
        <v>59.126199999999997</v>
      </c>
      <c r="L294" s="73" t="str">
        <f>[1]!wss($A294:$A294,"hks_fa_roe","rptDate="&amp;($B294-1)&amp;"1231","WssConvert=0","showcodes=N","cols=1;rows=1")</f>
        <v/>
      </c>
      <c r="M294" s="43">
        <f>[1]!wss($A294:$A294,"hks_fa_debttoassets","rptDate="&amp;($B294-1)&amp;"1231","WssConvert=0","showcodes=N","cols=1;rows=1")</f>
        <v>119.05710000000001</v>
      </c>
      <c r="P294" s="50">
        <v>3.4926200000000001</v>
      </c>
      <c r="Q294" s="50">
        <v>2.60623</v>
      </c>
      <c r="R294" s="50">
        <v>2.7037399999999998</v>
      </c>
      <c r="S294" s="50">
        <v>0.55042000000000002</v>
      </c>
      <c r="T294" s="50">
        <v>0.24967</v>
      </c>
      <c r="U294" s="50">
        <v>0.17937</v>
      </c>
      <c r="V294" s="50">
        <v>62.0306</v>
      </c>
      <c r="W294" s="50">
        <v>62.225499999999997</v>
      </c>
      <c r="X294" s="50">
        <v>59.341900000000003</v>
      </c>
    </row>
    <row r="295" spans="1:24">
      <c r="A295" t="s">
        <v>846</v>
      </c>
      <c r="B295" s="17">
        <f>IFERROR(YEAR(VLOOKUP($A295,'01_ipo_master'!$A:$C,3,FALSE)),YEAR(VLOOKUP("0"&amp;$A295,'01_ipo_master'!$A:$C,3,FALSE)))</f>
        <v>2025</v>
      </c>
      <c r="C295" s="73">
        <f>[1]!wss($A295:$A295,"hks_stm_is","item=83","rptDate="&amp;($B295-3)&amp;"1231","rptType=1","currencyType=Cur=CNY","WssConvert=0","WssDivide=8","showcodes=N","cols=1;rows=1")</f>
        <v>3.9327300000000003</v>
      </c>
      <c r="D295" s="73">
        <f>[1]!wss($A295:$A295,"hks_stm_is","item=83","rptDate="&amp;($B295-2)&amp;"1231","rptType=1","currencyType=Cur=CNY","WssConvert=0","WssDivide=8","showcodes=N","cols=1;rows=1")</f>
        <v>3.4874900000000002</v>
      </c>
      <c r="E295" s="73">
        <f>[1]!wss($A295:$A295,"hks_stm_is","item=83","rptDate="&amp;($B295-1)&amp;"1231","rptType=1","currencyType=Cur=CNY","WssConvert=0","WssDivide=8","showcodes=N","cols=1;rows=1")</f>
        <v>3.5006200000000001</v>
      </c>
      <c r="F295" s="73">
        <f>[1]!wss($A295:$A295,"hks_stm_is","item=61","rptDate="&amp;($B295-3)&amp;"1231","rptType=1","currencyType=Cur=CNY","WssConvert=0","WssDivide=8","showcodes=N","cols=1;rows=1")</f>
        <v>0.37447000000000003</v>
      </c>
      <c r="G295" s="73">
        <f>[1]!wss($A295:$A295,"hks_stm_is","item=61","rptDate="&amp;($B295-2)&amp;"1231","rptType=1","currencyType=Cur=CNY","WssConvert=0","WssDivide=8","showcodes=N","cols=1;rows=1")</f>
        <v>0.27603</v>
      </c>
      <c r="H295" s="73">
        <f>[1]!wss($A295:$A295,"hks_stm_is","item=61","rptDate="&amp;($B295-1)&amp;"1231","rptType=1","currencyType=Cur=CNY","WssConvert=0","WssDivide=8","showcodes=N","cols=1;rows=1")</f>
        <v>0.41347</v>
      </c>
      <c r="I295" s="73">
        <f>[1]!wss($A295:$A295,"hks_fa_grossprofitmargin","rptDate="&amp;($B295-3)&amp;"1231","WssConvert=0","showcodes=N","cols=1;rows=1")</f>
        <v>22.849499999999999</v>
      </c>
      <c r="J295" s="43">
        <f>[1]!wss($A295:$A295,"hks_fa_grossprofitmargin","rptDate="&amp;($B295-2)&amp;"1231","WssConvert=0","showcodes=N","cols=1;rows=1")</f>
        <v>24.5059</v>
      </c>
      <c r="K295" s="43">
        <f>[1]!wss($A295:$A295,"hks_fa_grossprofitmargin","rptDate="&amp;($B295-1)&amp;"1231","WssConvert=0","showcodes=N","cols=1;rows=1")</f>
        <v>28.385000000000002</v>
      </c>
      <c r="L295" s="73">
        <f>[1]!wss($A295:$A295,"hks_fa_roe","rptDate="&amp;($B295-1)&amp;"1231","WssConvert=0","showcodes=N","cols=1;rows=1")</f>
        <v>24.125299999999999</v>
      </c>
      <c r="M295" s="43">
        <f>[1]!wss($A295:$A295,"hks_fa_debttoassets","rptDate="&amp;($B295-1)&amp;"1231","WssConvert=0","showcodes=N","cols=1;rows=1")</f>
        <v>52.521599999999999</v>
      </c>
      <c r="P295" s="50">
        <v>3.4874900000000002</v>
      </c>
      <c r="Q295" s="50">
        <v>3.5006200000000001</v>
      </c>
      <c r="R295" s="50"/>
      <c r="S295" s="50">
        <v>0.27603</v>
      </c>
      <c r="T295" s="50">
        <v>0.41347</v>
      </c>
      <c r="U295" s="50"/>
      <c r="V295" s="50">
        <v>24.5059</v>
      </c>
      <c r="W295" s="50">
        <v>28.385000000000002</v>
      </c>
      <c r="X295" s="50"/>
    </row>
    <row r="296" spans="1:24">
      <c r="A296" t="s">
        <v>848</v>
      </c>
      <c r="B296" s="17">
        <f>IFERROR(YEAR(VLOOKUP($A296,'01_ipo_master'!$A:$C,3,FALSE)),YEAR(VLOOKUP("0"&amp;$A296,'01_ipo_master'!$A:$C,3,FALSE)))</f>
        <v>2024</v>
      </c>
      <c r="C296" s="73">
        <f>[1]!wss($A296:$A296,"hks_stm_is","item=83","rptDate="&amp;($B296-3)&amp;"1231","rptType=1","currencyType=Cur=CNY","WssConvert=0","WssDivide=8","showcodes=N","cols=1;rows=1")</f>
        <v>0.91961500260000006</v>
      </c>
      <c r="D296" s="73">
        <f>[1]!wss($A296:$A296,"hks_stm_is","item=83","rptDate="&amp;($B296-2)&amp;"1231","rptType=1","currencyType=Cur=CNY","WssConvert=0","WssDivide=8","showcodes=N","cols=1;rows=1")</f>
        <v>2.0780590331000002</v>
      </c>
      <c r="E296" s="73">
        <f>[1]!wss($A296:$A296,"hks_stm_is","item=83","rptDate="&amp;($B296-1)&amp;"1231","rptType=1","currencyType=Cur=CNY","WssConvert=0","WssDivide=8","showcodes=N","cols=1;rows=1")</f>
        <v>3.4659582884000004</v>
      </c>
      <c r="F296" s="73">
        <f>[1]!wss($A296:$A296,"hks_stm_is","item=61","rptDate="&amp;($B296-3)&amp;"1231","rptType=1","currencyType=Cur=CNY","WssConvert=0","WssDivide=8","showcodes=N","cols=1;rows=1")</f>
        <v>2.1611252600000002E-2</v>
      </c>
      <c r="G296" s="73">
        <f>[1]!wss($A296:$A296,"hks_stm_is","item=61","rptDate="&amp;($B296-2)&amp;"1231","rptType=1","currencyType=Cur=CNY","WssConvert=0","WssDivide=8","showcodes=N","cols=1;rows=1")</f>
        <v>0.32507713830000001</v>
      </c>
      <c r="H296" s="73">
        <f>[1]!wss($A296:$A296,"hks_stm_is","item=61","rptDate="&amp;($B296-1)&amp;"1231","rptType=1","currencyType=Cur=CNY","WssConvert=0","WssDivide=8","showcodes=N","cols=1;rows=1")</f>
        <v>0.38652853140000004</v>
      </c>
      <c r="I296" s="73" t="str">
        <f>[1]!wss($A296:$A296,"hks_fa_grossprofitmargin","rptDate="&amp;($B296-3)&amp;"1231","WssConvert=0","showcodes=N","cols=1;rows=1")</f>
        <v/>
      </c>
      <c r="J296" s="43" t="str">
        <f>[1]!wss($A296:$A296,"hks_fa_grossprofitmargin","rptDate="&amp;($B296-2)&amp;"1231","WssConvert=0","showcodes=N","cols=1;rows=1")</f>
        <v/>
      </c>
      <c r="K296" s="43" t="str">
        <f>[1]!wss($A296:$A296,"hks_fa_grossprofitmargin","rptDate="&amp;($B296-1)&amp;"1231","WssConvert=0","showcodes=N","cols=1;rows=1")</f>
        <v/>
      </c>
      <c r="L296" s="73">
        <f>[1]!wss($A296:$A296,"hks_fa_roe","rptDate="&amp;($B296-1)&amp;"1231","WssConvert=0","showcodes=N","cols=1;rows=1")</f>
        <v>12.6655</v>
      </c>
      <c r="M296" s="43">
        <f>[1]!wss($A296:$A296,"hks_fa_debttoassets","rptDate="&amp;($B296-1)&amp;"1231","WssConvert=0","showcodes=N","cols=1;rows=1")</f>
        <v>37.134799999999998</v>
      </c>
      <c r="P296" s="50">
        <v>3.4659582884</v>
      </c>
      <c r="Q296" s="50">
        <v>3.8327030245000002</v>
      </c>
      <c r="R296" s="50">
        <v>3.8733666741000001</v>
      </c>
      <c r="S296" s="50">
        <v>0.38652853139999999</v>
      </c>
      <c r="T296" s="50">
        <v>7.7437501000000006E-2</v>
      </c>
      <c r="U296" s="50">
        <v>0.1420327653</v>
      </c>
      <c r="V296" s="50"/>
      <c r="W296" s="50"/>
      <c r="X296" s="50"/>
    </row>
    <row r="297" spans="1:24">
      <c r="A297" t="s">
        <v>850</v>
      </c>
      <c r="B297" s="17">
        <f>IFERROR(YEAR(VLOOKUP($A297,'01_ipo_master'!$A:$C,3,FALSE)),YEAR(VLOOKUP("0"&amp;$A297,'01_ipo_master'!$A:$C,3,FALSE)))</f>
        <v>2025</v>
      </c>
      <c r="C297" s="73">
        <f>[1]!wss($A297:$A297,"hks_stm_is","item=83","rptDate="&amp;($B297-3)&amp;"1231","rptType=1","currencyType=Cur=CNY","WssConvert=0","WssDivide=8","showcodes=N","cols=1;rows=1")</f>
        <v>3.5084</v>
      </c>
      <c r="D297" s="73">
        <f>[1]!wss($A297:$A297,"hks_stm_is","item=83","rptDate="&amp;($B297-2)&amp;"1231","rptType=1","currencyType=Cur=CNY","WssConvert=0","WssDivide=8","showcodes=N","cols=1;rows=1")</f>
        <v>3.36774</v>
      </c>
      <c r="E297" s="73">
        <f>[1]!wss($A297:$A297,"hks_stm_is","item=83","rptDate="&amp;($B297-1)&amp;"1231","rptType=1","currencyType=Cur=CNY","WssConvert=0","WssDivide=8","showcodes=N","cols=1;rows=1")</f>
        <v>4.4222600000000005</v>
      </c>
      <c r="F297" s="73">
        <f>[1]!wss($A297:$A297,"hks_stm_is","item=61","rptDate="&amp;($B297-3)&amp;"1231","rptType=1","currencyType=Cur=CNY","WssConvert=0","WssDivide=8","showcodes=N","cols=1;rows=1")</f>
        <v>0.53980000000000006</v>
      </c>
      <c r="G297" s="73">
        <f>[1]!wss($A297:$A297,"hks_stm_is","item=61","rptDate="&amp;($B297-2)&amp;"1231","rptType=1","currencyType=Cur=CNY","WssConvert=0","WssDivide=8","showcodes=N","cols=1;rows=1")</f>
        <v>0.48904999999999998</v>
      </c>
      <c r="H297" s="73">
        <f>[1]!wss($A297:$A297,"hks_stm_is","item=61","rptDate="&amp;($B297-1)&amp;"1231","rptType=1","currencyType=Cur=CNY","WssConvert=0","WssDivide=8","showcodes=N","cols=1;rows=1")</f>
        <v>0.59172999999999998</v>
      </c>
      <c r="I297" s="73">
        <f>[1]!wss($A297:$A297,"hks_fa_grossprofitmargin","rptDate="&amp;($B297-3)&amp;"1231","WssConvert=0","showcodes=N","cols=1;rows=1")</f>
        <v>57.310699999999997</v>
      </c>
      <c r="J297" s="43">
        <f>[1]!wss($A297:$A297,"hks_fa_grossprofitmargin","rptDate="&amp;($B297-2)&amp;"1231","WssConvert=0","showcodes=N","cols=1;rows=1")</f>
        <v>53.499099999999999</v>
      </c>
      <c r="K297" s="43">
        <f>[1]!wss($A297:$A297,"hks_fa_grossprofitmargin","rptDate="&amp;($B297-1)&amp;"1231","WssConvert=0","showcodes=N","cols=1;rows=1")</f>
        <v>56.481099999999998</v>
      </c>
      <c r="L297" s="73">
        <f>[1]!wss($A297:$A297,"hks_fa_roe","rptDate="&amp;($B297-1)&amp;"1231","WssConvert=0","showcodes=N","cols=1;rows=1")</f>
        <v>20.667000000000002</v>
      </c>
      <c r="M297" s="43">
        <f>[1]!wss($A297:$A297,"hks_fa_debttoassets","rptDate="&amp;($B297-1)&amp;"1231","WssConvert=0","showcodes=N","cols=1;rows=1")</f>
        <v>72.817499999999995</v>
      </c>
      <c r="P297" s="50">
        <v>3.36774</v>
      </c>
      <c r="Q297" s="50">
        <v>4.4222599999999996</v>
      </c>
      <c r="R297" s="50">
        <v>5.7008700000000001</v>
      </c>
      <c r="S297" s="50">
        <v>0.48904999999999998</v>
      </c>
      <c r="T297" s="50">
        <v>0.59172999999999998</v>
      </c>
      <c r="U297" s="50">
        <v>2.1737099999999998</v>
      </c>
      <c r="V297" s="50">
        <v>53.499099999999999</v>
      </c>
      <c r="W297" s="50">
        <v>56.481099999999998</v>
      </c>
      <c r="X297" s="50">
        <v>63.430700000000002</v>
      </c>
    </row>
    <row r="298" spans="1:24">
      <c r="A298" t="s">
        <v>852</v>
      </c>
      <c r="B298" s="17">
        <f>IFERROR(YEAR(VLOOKUP($A298,'01_ipo_master'!$A:$C,3,FALSE)),YEAR(VLOOKUP("0"&amp;$A298,'01_ipo_master'!$A:$C,3,FALSE)))</f>
        <v>2024</v>
      </c>
      <c r="C298" s="73">
        <f>[1]!wss($A298:$A298,"hks_stm_is","item=83","rptDate="&amp;($B298-3)&amp;"1231","rptType=1","currencyType=Cur=CNY","WssConvert=0","WssDivide=8","showcodes=N","cols=1;rows=1")</f>
        <v>1.8707669120000001</v>
      </c>
      <c r="D298" s="73">
        <f>[1]!wss($A298:$A298,"hks_stm_is","item=83","rptDate="&amp;($B298-2)&amp;"1231","rptType=1","currencyType=Cur=CNY","WssConvert=0","WssDivide=8","showcodes=N","cols=1;rows=1")</f>
        <v>3.0048173568000003</v>
      </c>
      <c r="E298" s="73">
        <f>[1]!wss($A298:$A298,"hks_stm_is","item=83","rptDate="&amp;($B298-1)&amp;"1231","rptType=1","currencyType=Cur=CNY","WssConvert=0","WssDivide=8","showcodes=N","cols=1;rows=1")</f>
        <v>3.3550620572000005</v>
      </c>
      <c r="F298" s="73">
        <f>[1]!wss($A298:$A298,"hks_stm_is","item=61","rptDate="&amp;($B298-3)&amp;"1231","rptType=1","currencyType=Cur=CNY","WssConvert=0","WssDivide=8","showcodes=N","cols=1;rows=1")</f>
        <v>0.14173913600000002</v>
      </c>
      <c r="G298" s="73">
        <f>[1]!wss($A298:$A298,"hks_stm_is","item=61","rptDate="&amp;($B298-2)&amp;"1231","rptType=1","currencyType=Cur=CNY","WssConvert=0","WssDivide=8","showcodes=N","cols=1;rows=1")</f>
        <v>0.35074246549999999</v>
      </c>
      <c r="H298" s="73">
        <f>[1]!wss($A298:$A298,"hks_stm_is","item=61","rptDate="&amp;($B298-1)&amp;"1231","rptType=1","currencyType=Cur=CNY","WssConvert=0","WssDivide=8","showcodes=N","cols=1;rows=1")</f>
        <v>0.22841275100000002</v>
      </c>
      <c r="I298" s="73">
        <f>[1]!wss($A298:$A298,"hks_fa_grossprofitmargin","rptDate="&amp;($B298-3)&amp;"1231","WssConvert=0","showcodes=N","cols=1;rows=1")</f>
        <v>15.4811</v>
      </c>
      <c r="J298" s="43">
        <f>[1]!wss($A298:$A298,"hks_fa_grossprofitmargin","rptDate="&amp;($B298-2)&amp;"1231","WssConvert=0","showcodes=N","cols=1;rows=1")</f>
        <v>19.8996</v>
      </c>
      <c r="K298" s="43">
        <f>[1]!wss($A298:$A298,"hks_fa_grossprofitmargin","rptDate="&amp;($B298-1)&amp;"1231","WssConvert=0","showcodes=N","cols=1;rows=1")</f>
        <v>19.203900000000001</v>
      </c>
      <c r="L298" s="73">
        <f>[1]!wss($A298:$A298,"hks_fa_roe","rptDate="&amp;($B298-1)&amp;"1231","WssConvert=0","showcodes=N","cols=1;rows=1")</f>
        <v>18.892800000000001</v>
      </c>
      <c r="M298" s="43">
        <f>[1]!wss($A298:$A298,"hks_fa_debttoassets","rptDate="&amp;($B298-1)&amp;"1231","WssConvert=0","showcodes=N","cols=1;rows=1")</f>
        <v>47.004199999999997</v>
      </c>
      <c r="P298" s="50">
        <v>3.3550620572000001</v>
      </c>
      <c r="Q298" s="50">
        <v>3.6899267652000001</v>
      </c>
      <c r="R298" s="50">
        <v>3.1407940025999999</v>
      </c>
      <c r="S298" s="50">
        <v>0.228412751</v>
      </c>
      <c r="T298" s="50">
        <v>0.29170259999999998</v>
      </c>
      <c r="U298" s="50">
        <v>0.1455448708</v>
      </c>
      <c r="V298" s="50">
        <v>19.203900000000001</v>
      </c>
      <c r="W298" s="50">
        <v>17.916799999999999</v>
      </c>
      <c r="X298" s="50">
        <v>13.4192</v>
      </c>
    </row>
    <row r="299" spans="1:24">
      <c r="A299" t="s">
        <v>854</v>
      </c>
      <c r="B299" s="17">
        <f>IFERROR(YEAR(VLOOKUP($A299,'01_ipo_master'!$A:$C,3,FALSE)),YEAR(VLOOKUP("0"&amp;$A299,'01_ipo_master'!$A:$C,3,FALSE)))</f>
        <v>2025</v>
      </c>
      <c r="C299" s="73">
        <f>[1]!wss($A299:$A299,"hks_stm_is","item=83","rptDate="&amp;($B299-3)&amp;"1231","rptType=1","currencyType=Cur=CNY","WssConvert=0","WssDivide=8","showcodes=N","cols=1;rows=1")</f>
        <v>3.2707600000000001</v>
      </c>
      <c r="D299" s="73">
        <f>[1]!wss($A299:$A299,"hks_stm_is","item=83","rptDate="&amp;($B299-2)&amp;"1231","rptType=1","currencyType=Cur=CNY","WssConvert=0","WssDivide=8","showcodes=N","cols=1;rows=1")</f>
        <v>3.2954500000000002</v>
      </c>
      <c r="E299" s="73">
        <f>[1]!wss($A299:$A299,"hks_stm_is","item=83","rptDate="&amp;($B299-1)&amp;"1231","rptType=1","currencyType=Cur=CNY","WssConvert=0","WssDivide=8","showcodes=N","cols=1;rows=1")</f>
        <v>4.2169499999999998</v>
      </c>
      <c r="F299" s="73">
        <f>[1]!wss($A299:$A299,"hks_stm_is","item=61","rptDate="&amp;($B299-3)&amp;"1231","rptType=1","currencyType=Cur=CNY","WssConvert=0","WssDivide=8","showcodes=N","cols=1;rows=1")</f>
        <v>1.02007</v>
      </c>
      <c r="G299" s="73">
        <f>[1]!wss($A299:$A299,"hks_stm_is","item=61","rptDate="&amp;($B299-2)&amp;"1231","rptType=1","currencyType=Cur=CNY","WssConvert=0","WssDivide=8","showcodes=N","cols=1;rows=1")</f>
        <v>0.70901999999999998</v>
      </c>
      <c r="H299" s="73">
        <f>[1]!wss($A299:$A299,"hks_stm_is","item=61","rptDate="&amp;($B299-1)&amp;"1231","rptType=1","currencyType=Cur=CNY","WssConvert=0","WssDivide=8","showcodes=N","cols=1;rows=1")</f>
        <v>0.89883999999999997</v>
      </c>
      <c r="I299" s="73">
        <f>[1]!wss($A299:$A299,"hks_fa_grossprofitmargin","rptDate="&amp;($B299-3)&amp;"1231","WssConvert=0","showcodes=N","cols=1;rows=1")</f>
        <v>44.897199999999998</v>
      </c>
      <c r="J299" s="43">
        <f>[1]!wss($A299:$A299,"hks_fa_grossprofitmargin","rptDate="&amp;($B299-2)&amp;"1231","WssConvert=0","showcodes=N","cols=1;rows=1")</f>
        <v>31.221800000000002</v>
      </c>
      <c r="K299" s="43">
        <f>[1]!wss($A299:$A299,"hks_fa_grossprofitmargin","rptDate="&amp;($B299-1)&amp;"1231","WssConvert=0","showcodes=N","cols=1;rows=1")</f>
        <v>29.659400000000002</v>
      </c>
      <c r="L299" s="73">
        <f>[1]!wss($A299:$A299,"hks_fa_roe","rptDate="&amp;($B299-1)&amp;"1231","WssConvert=0","showcodes=N","cols=1;rows=1")</f>
        <v>14.1066</v>
      </c>
      <c r="M299" s="43">
        <f>[1]!wss($A299:$A299,"hks_fa_debttoassets","rptDate="&amp;($B299-1)&amp;"1231","WssConvert=0","showcodes=N","cols=1;rows=1")</f>
        <v>10.0395</v>
      </c>
      <c r="P299" s="50">
        <v>3.2954500000000002</v>
      </c>
      <c r="Q299" s="50">
        <v>4.2169499999999998</v>
      </c>
      <c r="R299" s="50">
        <v>3.3403</v>
      </c>
      <c r="S299" s="50">
        <v>0.70901999999999998</v>
      </c>
      <c r="T299" s="50">
        <v>0.89883999999999997</v>
      </c>
      <c r="U299" s="50">
        <v>0.48008000000000001</v>
      </c>
      <c r="V299" s="50">
        <v>31.221800000000002</v>
      </c>
      <c r="W299" s="50">
        <v>29.659400000000002</v>
      </c>
      <c r="X299" s="50">
        <v>31.1265</v>
      </c>
    </row>
    <row r="300" spans="1:24">
      <c r="A300" t="s">
        <v>856</v>
      </c>
      <c r="B300" s="17">
        <f>IFERROR(YEAR(VLOOKUP($A300,'01_ipo_master'!$A:$C,3,FALSE)),YEAR(VLOOKUP("0"&amp;$A300,'01_ipo_master'!$A:$C,3,FALSE)))</f>
        <v>2022</v>
      </c>
      <c r="C300" s="73">
        <f>[1]!wss($A300:$A300,"hks_stm_is","item=83","rptDate="&amp;($B300-3)&amp;"1231","rptType=1","currencyType=Cur=CNY","WssConvert=0","WssDivide=8","showcodes=N","cols=1;rows=1")</f>
        <v>1.2077200000000001</v>
      </c>
      <c r="D300" s="73">
        <f>[1]!wss($A300:$A300,"hks_stm_is","item=83","rptDate="&amp;($B300-2)&amp;"1231","rptType=1","currencyType=Cur=CNY","WssConvert=0","WssDivide=8","showcodes=N","cols=1;rows=1")</f>
        <v>1.48247</v>
      </c>
      <c r="E300" s="73">
        <f>[1]!wss($A300:$A300,"hks_stm_is","item=83","rptDate="&amp;($B300-1)&amp;"1231","rptType=1","currencyType=Cur=CNY","WssConvert=0","WssDivide=8","showcodes=N","cols=1;rows=1")</f>
        <v>2.2258300000000002</v>
      </c>
      <c r="F300" s="73">
        <f>[1]!wss($A300:$A300,"hks_stm_is","item=61","rptDate="&amp;($B300-3)&amp;"1231","rptType=1","currencyType=Cur=CNY","WssConvert=0","WssDivide=8","showcodes=N","cols=1;rows=1")</f>
        <v>0.51909000000000005</v>
      </c>
      <c r="G300" s="73">
        <f>[1]!wss($A300:$A300,"hks_stm_is","item=61","rptDate="&amp;($B300-2)&amp;"1231","rptType=1","currencyType=Cur=CNY","WssConvert=0","WssDivide=8","showcodes=N","cols=1;rows=1")</f>
        <v>0.68772</v>
      </c>
      <c r="H300" s="73">
        <f>[1]!wss($A300:$A300,"hks_stm_is","item=61","rptDate="&amp;($B300-1)&amp;"1231","rptType=1","currencyType=Cur=CNY","WssConvert=0","WssDivide=8","showcodes=N","cols=1;rows=1")</f>
        <v>0.58696999999999999</v>
      </c>
      <c r="I300" s="73">
        <f>[1]!wss($A300:$A300,"hks_fa_grossprofitmargin","rptDate="&amp;($B300-3)&amp;"1231","WssConvert=0","showcodes=N","cols=1;rows=1")</f>
        <v>88.305000000000007</v>
      </c>
      <c r="J300" s="43">
        <f>[1]!wss($A300:$A300,"hks_fa_grossprofitmargin","rptDate="&amp;($B300-2)&amp;"1231","WssConvert=0","showcodes=N","cols=1;rows=1")</f>
        <v>89.791399999999996</v>
      </c>
      <c r="K300" s="43">
        <f>[1]!wss($A300:$A300,"hks_fa_grossprofitmargin","rptDate="&amp;($B300-1)&amp;"1231","WssConvert=0","showcodes=N","cols=1;rows=1")</f>
        <v>88.751199999999997</v>
      </c>
      <c r="L300" s="73">
        <f>[1]!wss($A300:$A300,"hks_fa_roe","rptDate="&amp;($B300-1)&amp;"1231","WssConvert=0","showcodes=N","cols=1;rows=1")</f>
        <v>18.377600000000001</v>
      </c>
      <c r="M300" s="43">
        <f>[1]!wss($A300:$A300,"hks_fa_debttoassets","rptDate="&amp;($B300-1)&amp;"1231","WssConvert=0","showcodes=N","cols=1;rows=1")</f>
        <v>65.598399999999998</v>
      </c>
      <c r="P300" s="50">
        <v>3.2589600000000001</v>
      </c>
      <c r="Q300" s="50">
        <v>4.7164360784000001</v>
      </c>
      <c r="R300" s="50">
        <v>5.2794422635</v>
      </c>
      <c r="S300" s="50">
        <v>1.51532</v>
      </c>
      <c r="T300" s="50">
        <v>2.4555989333000001</v>
      </c>
      <c r="U300" s="50">
        <v>2.3972791985000002</v>
      </c>
      <c r="V300" s="50">
        <v>88.620599999999996</v>
      </c>
      <c r="W300" s="50">
        <v>89.904700000000005</v>
      </c>
      <c r="X300" s="50">
        <v>84.659400000000005</v>
      </c>
    </row>
    <row r="301" spans="1:24">
      <c r="A301" t="s">
        <v>858</v>
      </c>
      <c r="B301" s="17">
        <f>IFERROR(YEAR(VLOOKUP($A301,'01_ipo_master'!$A:$C,3,FALSE)),YEAR(VLOOKUP("0"&amp;$A301,'01_ipo_master'!$A:$C,3,FALSE)))</f>
        <v>2024</v>
      </c>
      <c r="C301" s="73">
        <f>[1]!wss($A301:$A301,"hks_stm_is","item=83","rptDate="&amp;($B301-3)&amp;"1231","rptType=1","currencyType=Cur=CNY","WssConvert=0","WssDivide=8","showcodes=N","cols=1;rows=1")</f>
        <v>2.7551600000000001</v>
      </c>
      <c r="D301" s="73">
        <f>[1]!wss($A301:$A301,"hks_stm_is","item=83","rptDate="&amp;($B301-2)&amp;"1231","rptType=1","currencyType=Cur=CNY","WssConvert=0","WssDivide=8","showcodes=N","cols=1;rows=1")</f>
        <v>2.8853200000000001</v>
      </c>
      <c r="E301" s="73">
        <f>[1]!wss($A301:$A301,"hks_stm_is","item=83","rptDate="&amp;($B301-1)&amp;"1231","rptType=1","currencyType=Cur=CNY","WssConvert=0","WssDivide=8","showcodes=N","cols=1;rows=1")</f>
        <v>3.2000899999999999</v>
      </c>
      <c r="F301" s="73">
        <f>[1]!wss($A301:$A301,"hks_stm_is","item=61","rptDate="&amp;($B301-3)&amp;"1231","rptType=1","currencyType=Cur=CNY","WssConvert=0","WssDivide=8","showcodes=N","cols=1;rows=1")</f>
        <v>0.41414000000000001</v>
      </c>
      <c r="G301" s="73">
        <f>[1]!wss($A301:$A301,"hks_stm_is","item=61","rptDate="&amp;($B301-2)&amp;"1231","rptType=1","currencyType=Cur=CNY","WssConvert=0","WssDivide=8","showcodes=N","cols=1;rows=1")</f>
        <v>0.35089999999999999</v>
      </c>
      <c r="H301" s="73">
        <f>[1]!wss($A301:$A301,"hks_stm_is","item=61","rptDate="&amp;($B301-1)&amp;"1231","rptType=1","currencyType=Cur=CNY","WssConvert=0","WssDivide=8","showcodes=N","cols=1;rows=1")</f>
        <v>0.41044999999999998</v>
      </c>
      <c r="I301" s="73">
        <f>[1]!wss($A301:$A301,"hks_fa_grossprofitmargin","rptDate="&amp;($B301-3)&amp;"1231","WssConvert=0","showcodes=N","cols=1;rows=1")</f>
        <v>26.080200000000001</v>
      </c>
      <c r="J301" s="43">
        <f>[1]!wss($A301:$A301,"hks_fa_grossprofitmargin","rptDate="&amp;($B301-2)&amp;"1231","WssConvert=0","showcodes=N","cols=1;rows=1")</f>
        <v>25.210100000000001</v>
      </c>
      <c r="K301" s="43">
        <f>[1]!wss($A301:$A301,"hks_fa_grossprofitmargin","rptDate="&amp;($B301-1)&amp;"1231","WssConvert=0","showcodes=N","cols=1;rows=1")</f>
        <v>25.139900000000001</v>
      </c>
      <c r="L301" s="73">
        <f>[1]!wss($A301:$A301,"hks_fa_roe","rptDate="&amp;($B301-1)&amp;"1231","WssConvert=0","showcodes=N","cols=1;rows=1")</f>
        <v>21.4847</v>
      </c>
      <c r="M301" s="43">
        <f>[1]!wss($A301:$A301,"hks_fa_debttoassets","rptDate="&amp;($B301-1)&amp;"1231","WssConvert=0","showcodes=N","cols=1;rows=1")</f>
        <v>59.529499999999999</v>
      </c>
      <c r="P301" s="50">
        <v>3.2000899999999999</v>
      </c>
      <c r="Q301" s="50">
        <v>3.02501</v>
      </c>
      <c r="R301" s="50">
        <v>2.4439199999999999</v>
      </c>
      <c r="S301" s="50">
        <v>0.41044999999999998</v>
      </c>
      <c r="T301" s="50">
        <v>0.2175</v>
      </c>
      <c r="U301" s="50">
        <v>-0.48535</v>
      </c>
      <c r="V301" s="50">
        <v>25.139900000000001</v>
      </c>
      <c r="W301" s="50">
        <v>24.909300000000002</v>
      </c>
      <c r="X301" s="50">
        <v>7.2302</v>
      </c>
    </row>
    <row r="302" spans="1:24">
      <c r="A302" t="s">
        <v>860</v>
      </c>
      <c r="B302" s="17">
        <f>IFERROR(YEAR(VLOOKUP($A302,'01_ipo_master'!$A:$C,3,FALSE)),YEAR(VLOOKUP("0"&amp;$A302,'01_ipo_master'!$A:$C,3,FALSE)))</f>
        <v>2024</v>
      </c>
      <c r="C302" s="73" t="str">
        <f>[1]!wss($A302:$A302,"hks_stm_is","item=83","rptDate="&amp;($B302-3)&amp;"1231","rptType=1","currencyType=Cur=CNY","WssConvert=0","WssDivide=8","showcodes=N","cols=1;rows=1")</f>
        <v/>
      </c>
      <c r="D302" s="73">
        <f>[1]!wss($A302:$A302,"hks_stm_is","item=83","rptDate="&amp;($B302-2)&amp;"1231","rptType=1","currencyType=Cur=CNY","WssConvert=0","WssDivide=8","showcodes=N","cols=1;rows=1")</f>
        <v>4.2299118661000001</v>
      </c>
      <c r="E302" s="73">
        <f>[1]!wss($A302:$A302,"hks_stm_is","item=83","rptDate="&amp;($B302-1)&amp;"1231","rptType=1","currencyType=Cur=CNY","WssConvert=0","WssDivide=8","showcodes=N","cols=1;rows=1")</f>
        <v>3.1673296751</v>
      </c>
      <c r="F302" s="73" t="str">
        <f>[1]!wss($A302:$A302,"hks_stm_is","item=61","rptDate="&amp;($B302-3)&amp;"1231","rptType=1","currencyType=Cur=CNY","WssConvert=0","WssDivide=8","showcodes=N","cols=1;rows=1")</f>
        <v/>
      </c>
      <c r="G302" s="73">
        <f>[1]!wss($A302:$A302,"hks_stm_is","item=61","rptDate="&amp;($B302-2)&amp;"1231","rptType=1","currencyType=Cur=CNY","WssConvert=0","WssDivide=8","showcodes=N","cols=1;rows=1")</f>
        <v>0.47408400560000002</v>
      </c>
      <c r="H302" s="73">
        <f>[1]!wss($A302:$A302,"hks_stm_is","item=61","rptDate="&amp;($B302-1)&amp;"1231","rptType=1","currencyType=Cur=CNY","WssConvert=0","WssDivide=8","showcodes=N","cols=1;rows=1")</f>
        <v>0.35476865660000007</v>
      </c>
      <c r="I302" s="73" t="str">
        <f>[1]!wss($A302:$A302,"hks_fa_grossprofitmargin","rptDate="&amp;($B302-3)&amp;"1231","WssConvert=0","showcodes=N","cols=1;rows=1")</f>
        <v/>
      </c>
      <c r="J302" s="43">
        <f>[1]!wss($A302:$A302,"hks_fa_grossprofitmargin","rptDate="&amp;($B302-2)&amp;"1231","WssConvert=0","showcodes=N","cols=1;rows=1")</f>
        <v>17.990400000000001</v>
      </c>
      <c r="K302" s="43">
        <f>[1]!wss($A302:$A302,"hks_fa_grossprofitmargin","rptDate="&amp;($B302-1)&amp;"1231","WssConvert=0","showcodes=N","cols=1;rows=1")</f>
        <v>20.911300000000001</v>
      </c>
      <c r="L302" s="73">
        <f>[1]!wss($A302:$A302,"hks_fa_roe","rptDate="&amp;($B302-1)&amp;"1231","WssConvert=0","showcodes=N","cols=1;rows=1")</f>
        <v>41.163600000000002</v>
      </c>
      <c r="M302" s="43">
        <f>[1]!wss($A302:$A302,"hks_fa_debttoassets","rptDate="&amp;($B302-1)&amp;"1231","WssConvert=0","showcodes=N","cols=1;rows=1")</f>
        <v>53.946599999999997</v>
      </c>
      <c r="P302" s="50">
        <v>3.1673296751</v>
      </c>
      <c r="Q302" s="50">
        <v>4.7719885450000001</v>
      </c>
      <c r="R302" s="50">
        <v>6.6133596836999997</v>
      </c>
      <c r="S302" s="50">
        <v>0.35476865660000001</v>
      </c>
      <c r="T302" s="50">
        <v>0.69720040849999998</v>
      </c>
      <c r="U302" s="50">
        <v>0.51178306139999996</v>
      </c>
      <c r="V302" s="50">
        <v>20.911300000000001</v>
      </c>
      <c r="W302" s="50">
        <v>23.114899999999999</v>
      </c>
      <c r="X302" s="50">
        <v>20.150600000000001</v>
      </c>
    </row>
    <row r="303" spans="1:24">
      <c r="A303" t="s">
        <v>862</v>
      </c>
      <c r="B303" s="17">
        <f>IFERROR(YEAR(VLOOKUP($A303,'01_ipo_master'!$A:$C,3,FALSE)),YEAR(VLOOKUP("0"&amp;$A303,'01_ipo_master'!$A:$C,3,FALSE)))</f>
        <v>2025</v>
      </c>
      <c r="C303" s="73">
        <f>[1]!wss($A303:$A303,"hks_stm_is","item=83","rptDate="&amp;($B303-3)&amp;"1231","rptType=1","currencyType=Cur=CNY","WssConvert=0","WssDivide=8","showcodes=N","cols=1;rows=1")</f>
        <v>2.1246499999999999</v>
      </c>
      <c r="D303" s="73">
        <f>[1]!wss($A303:$A303,"hks_stm_is","item=83","rptDate="&amp;($B303-2)&amp;"1231","rptType=1","currencyType=Cur=CNY","WssConvert=0","WssDivide=8","showcodes=N","cols=1;rows=1")</f>
        <v>3.1663299999999999</v>
      </c>
      <c r="E303" s="73">
        <f>[1]!wss($A303:$A303,"hks_stm_is","item=83","rptDate="&amp;($B303-1)&amp;"1231","rptType=1","currencyType=Cur=CNY","WssConvert=0","WssDivide=8","showcodes=N","cols=1;rows=1")</f>
        <v>4.66683</v>
      </c>
      <c r="F303" s="73">
        <f>[1]!wss($A303:$A303,"hks_stm_is","item=61","rptDate="&amp;($B303-3)&amp;"1231","rptType=1","currencyType=Cur=CNY","WssConvert=0","WssDivide=8","showcodes=N","cols=1;rows=1")</f>
        <v>0.68981000000000003</v>
      </c>
      <c r="G303" s="73">
        <f>[1]!wss($A303:$A303,"hks_stm_is","item=61","rptDate="&amp;($B303-2)&amp;"1231","rptType=1","currencyType=Cur=CNY","WssConvert=0","WssDivide=8","showcodes=N","cols=1;rows=1")</f>
        <v>1.1745399999999999</v>
      </c>
      <c r="H303" s="73">
        <f>[1]!wss($A303:$A303,"hks_stm_is","item=61","rptDate="&amp;($B303-1)&amp;"1231","rptType=1","currencyType=Cur=CNY","WssConvert=0","WssDivide=8","showcodes=N","cols=1;rows=1")</f>
        <v>1.3607899999999999</v>
      </c>
      <c r="I303" s="73">
        <f>[1]!wss($A303:$A303,"hks_fa_grossprofitmargin","rptDate="&amp;($B303-3)&amp;"1231","WssConvert=0","showcodes=N","cols=1;rows=1")</f>
        <v>80.988399999999999</v>
      </c>
      <c r="J303" s="43">
        <f>[1]!wss($A303:$A303,"hks_fa_grossprofitmargin","rptDate="&amp;($B303-2)&amp;"1231","WssConvert=0","showcodes=N","cols=1;rows=1")</f>
        <v>83.263300000000001</v>
      </c>
      <c r="K303" s="43">
        <f>[1]!wss($A303:$A303,"hks_fa_grossprofitmargin","rptDate="&amp;($B303-1)&amp;"1231","WssConvert=0","showcodes=N","cols=1;rows=1")</f>
        <v>82.967200000000005</v>
      </c>
      <c r="L303" s="73">
        <f>[1]!wss($A303:$A303,"hks_fa_roe","rptDate="&amp;($B303-1)&amp;"1231","WssConvert=0","showcodes=N","cols=1;rows=1")</f>
        <v>28.751899999999999</v>
      </c>
      <c r="M303" s="43">
        <f>[1]!wss($A303:$A303,"hks_fa_debttoassets","rptDate="&amp;($B303-1)&amp;"1231","WssConvert=0","showcodes=N","cols=1;rows=1")</f>
        <v>28.378799999999998</v>
      </c>
      <c r="P303" s="50">
        <v>3.1663299999999999</v>
      </c>
      <c r="Q303" s="50">
        <v>4.66683</v>
      </c>
      <c r="R303" s="50">
        <v>5.8235799999999998</v>
      </c>
      <c r="S303" s="50">
        <v>1.1745399999999999</v>
      </c>
      <c r="T303" s="50">
        <v>1.3607899999999999</v>
      </c>
      <c r="U303" s="50">
        <v>1.7702899999999999</v>
      </c>
      <c r="V303" s="50">
        <v>83.263300000000001</v>
      </c>
      <c r="W303" s="50">
        <v>82.967200000000005</v>
      </c>
      <c r="X303" s="50">
        <v>83.377799999999993</v>
      </c>
    </row>
    <row r="304" spans="1:24">
      <c r="A304" t="s">
        <v>864</v>
      </c>
      <c r="B304" s="17">
        <f>IFERROR(YEAR(VLOOKUP($A304,'01_ipo_master'!$A:$C,3,FALSE)),YEAR(VLOOKUP("0"&amp;$A304,'01_ipo_master'!$A:$C,3,FALSE)))</f>
        <v>2025</v>
      </c>
      <c r="C304" s="73">
        <f>[1]!wss($A304:$A304,"hks_stm_is","item=83","rptDate="&amp;($B304-3)&amp;"1231","rptType=1","currencyType=Cur=CNY","WssConvert=0","WssDivide=8","showcodes=N","cols=1;rows=1")</f>
        <v>1.41831</v>
      </c>
      <c r="D304" s="73">
        <f>[1]!wss($A304:$A304,"hks_stm_is","item=83","rptDate="&amp;($B304-2)&amp;"1231","rptType=1","currencyType=Cur=CNY","WssConvert=0","WssDivide=8","showcodes=N","cols=1;rows=1")</f>
        <v>3.1430700000000003</v>
      </c>
      <c r="E304" s="73">
        <f>[1]!wss($A304:$A304,"hks_stm_is","item=83","rptDate="&amp;($B304-1)&amp;"1231","rptType=1","currencyType=Cur=CNY","WssConvert=0","WssDivide=8","showcodes=N","cols=1;rows=1")</f>
        <v>10.256130000000001</v>
      </c>
      <c r="F304" s="73">
        <f>[1]!wss($A304:$A304,"hks_stm_is","item=61","rptDate="&amp;($B304-3)&amp;"1231","rptType=1","currencyType=Cur=CNY","WssConvert=0","WssDivide=8","showcodes=N","cols=1;rows=1")</f>
        <v>0.24280000000000002</v>
      </c>
      <c r="G304" s="73">
        <f>[1]!wss($A304:$A304,"hks_stm_is","item=61","rptDate="&amp;($B304-2)&amp;"1231","rptType=1","currencyType=Cur=CNY","WssConvert=0","WssDivide=8","showcodes=N","cols=1;rows=1")</f>
        <v>0.28133000000000002</v>
      </c>
      <c r="H304" s="73">
        <f>[1]!wss($A304:$A304,"hks_stm_is","item=61","rptDate="&amp;($B304-1)&amp;"1231","rptType=1","currencyType=Cur=CNY","WssConvert=0","WssDivide=8","showcodes=N","cols=1;rows=1")</f>
        <v>0.49119000000000002</v>
      </c>
      <c r="I304" s="73">
        <f>[1]!wss($A304:$A304,"hks_fa_grossprofitmargin","rptDate="&amp;($B304-3)&amp;"1231","WssConvert=0","showcodes=N","cols=1;rows=1")</f>
        <v>25.1144</v>
      </c>
      <c r="J304" s="43">
        <f>[1]!wss($A304:$A304,"hks_fa_grossprofitmargin","rptDate="&amp;($B304-2)&amp;"1231","WssConvert=0","showcodes=N","cols=1;rows=1")</f>
        <v>26.724799999999998</v>
      </c>
      <c r="K304" s="43">
        <f>[1]!wss($A304:$A304,"hks_fa_grossprofitmargin","rptDate="&amp;($B304-1)&amp;"1231","WssConvert=0","showcodes=N","cols=1;rows=1")</f>
        <v>15.1136</v>
      </c>
      <c r="L304" s="73">
        <f>[1]!wss($A304:$A304,"hks_fa_roe","rptDate="&amp;($B304-1)&amp;"1231","WssConvert=0","showcodes=N","cols=1;rows=1")</f>
        <v>34.311</v>
      </c>
      <c r="M304" s="43">
        <f>[1]!wss($A304:$A304,"hks_fa_debttoassets","rptDate="&amp;($B304-1)&amp;"1231","WssConvert=0","showcodes=N","cols=1;rows=1")</f>
        <v>83.207300000000004</v>
      </c>
      <c r="P304" s="50">
        <v>3.1430699999999998</v>
      </c>
      <c r="Q304" s="50">
        <v>10.256130000000001</v>
      </c>
      <c r="R304" s="50">
        <v>20.57423</v>
      </c>
      <c r="S304" s="50">
        <v>0.28133000000000002</v>
      </c>
      <c r="T304" s="50">
        <v>0.49119000000000002</v>
      </c>
      <c r="U304" s="50">
        <v>1.0285899999999999</v>
      </c>
      <c r="V304" s="50">
        <v>26.724799999999998</v>
      </c>
      <c r="W304" s="50">
        <v>15.1136</v>
      </c>
      <c r="X304" s="50">
        <v>18.595199999999998</v>
      </c>
    </row>
    <row r="305" spans="1:24">
      <c r="A305" t="s">
        <v>866</v>
      </c>
      <c r="B305" s="17">
        <f>IFERROR(YEAR(VLOOKUP($A305,'01_ipo_master'!$A:$C,3,FALSE)),YEAR(VLOOKUP("0"&amp;$A305,'01_ipo_master'!$A:$C,3,FALSE)))</f>
        <v>2024</v>
      </c>
      <c r="C305" s="73">
        <f>[1]!wss($A305:$A305,"hks_stm_is","item=83","rptDate="&amp;($B305-3)&amp;"1231","rptType=1","currencyType=Cur=CNY","WssConvert=0","WssDivide=8","showcodes=N","cols=1;rows=1")</f>
        <v>0.60504000000000002</v>
      </c>
      <c r="D305" s="73">
        <f>[1]!wss($A305:$A305,"hks_stm_is","item=83","rptDate="&amp;($B305-2)&amp;"1231","rptType=1","currencyType=Cur=CNY","WssConvert=0","WssDivide=8","showcodes=N","cols=1;rows=1")</f>
        <v>1.65442</v>
      </c>
      <c r="E305" s="73">
        <f>[1]!wss($A305:$A305,"hks_stm_is","item=83","rptDate="&amp;($B305-1)&amp;"1231","rptType=1","currencyType=Cur=CNY","WssConvert=0","WssDivide=8","showcodes=N","cols=1;rows=1")</f>
        <v>3.12391</v>
      </c>
      <c r="F305" s="73">
        <f>[1]!wss($A305:$A305,"hks_stm_is","item=61","rptDate="&amp;($B305-3)&amp;"1231","rptType=1","currencyType=Cur=CNY","WssConvert=0","WssDivide=8","showcodes=N","cols=1;rows=1")</f>
        <v>-23.565020000000001</v>
      </c>
      <c r="G305" s="73">
        <f>[1]!wss($A305:$A305,"hks_stm_is","item=61","rptDate="&amp;($B305-2)&amp;"1231","rptType=1","currencyType=Cur=CNY","WssConvert=0","WssDivide=8","showcodes=N","cols=1;rows=1")</f>
        <v>-27.539360000000002</v>
      </c>
      <c r="H305" s="73">
        <f>[1]!wss($A305:$A305,"hks_stm_is","item=61","rptDate="&amp;($B305-1)&amp;"1231","rptType=1","currencyType=Cur=CNY","WssConvert=0","WssDivide=8","showcodes=N","cols=1;rows=1")</f>
        <v>-48.551180000000002</v>
      </c>
      <c r="I305" s="73">
        <f>[1]!wss($A305:$A305,"hks_fa_grossprofitmargin","rptDate="&amp;($B305-3)&amp;"1231","WssConvert=0","showcodes=N","cols=1;rows=1")</f>
        <v>36.149700000000003</v>
      </c>
      <c r="J305" s="43">
        <f>[1]!wss($A305:$A305,"hks_fa_grossprofitmargin","rptDate="&amp;($B305-2)&amp;"1231","WssConvert=0","showcodes=N","cols=1;rows=1")</f>
        <v>29.394600000000001</v>
      </c>
      <c r="K305" s="43">
        <f>[1]!wss($A305:$A305,"hks_fa_grossprofitmargin","rptDate="&amp;($B305-1)&amp;"1231","WssConvert=0","showcodes=N","cols=1;rows=1")</f>
        <v>24.694400000000002</v>
      </c>
      <c r="L305" s="73" t="str">
        <f>[1]!wss($A305:$A305,"hks_fa_roe","rptDate="&amp;($B305-1)&amp;"1231","WssConvert=0","showcodes=N","cols=1;rows=1")</f>
        <v/>
      </c>
      <c r="M305" s="43">
        <f>[1]!wss($A305:$A305,"hks_fa_debttoassets","rptDate="&amp;($B305-1)&amp;"1231","WssConvert=0","showcodes=N","cols=1;rows=1")</f>
        <v>677.6902</v>
      </c>
      <c r="P305" s="50">
        <v>3.12391</v>
      </c>
      <c r="Q305" s="50">
        <v>4.7425199999999998</v>
      </c>
      <c r="R305" s="50">
        <v>8.2232800000000008</v>
      </c>
      <c r="S305" s="50">
        <v>-48.551180000000002</v>
      </c>
      <c r="T305" s="50">
        <v>3.1331500000000001</v>
      </c>
      <c r="U305" s="50">
        <v>-14.247</v>
      </c>
      <c r="V305" s="50">
        <v>24.694400000000002</v>
      </c>
      <c r="W305" s="50">
        <v>41.055799999999998</v>
      </c>
      <c r="X305" s="50">
        <v>40.991999999999997</v>
      </c>
    </row>
    <row r="306" spans="1:24">
      <c r="A306" t="s">
        <v>868</v>
      </c>
      <c r="B306" s="17">
        <f>IFERROR(YEAR(VLOOKUP($A306,'01_ipo_master'!$A:$C,3,FALSE)),YEAR(VLOOKUP("0"&amp;$A306,'01_ipo_master'!$A:$C,3,FALSE)))</f>
        <v>2023</v>
      </c>
      <c r="C306" s="73">
        <f>[1]!wss($A306:$A306,"hks_stm_is","item=83","rptDate="&amp;($B306-3)&amp;"1231","rptType=1","currencyType=Cur=CNY","WssConvert=0","WssDivide=8","showcodes=N","cols=1;rows=1")</f>
        <v>1.3700960592</v>
      </c>
      <c r="D306" s="73">
        <f>[1]!wss($A306:$A306,"hks_stm_is","item=83","rptDate="&amp;($B306-2)&amp;"1231","rptType=1","currencyType=Cur=CNY","WssConvert=0","WssDivide=8","showcodes=N","cols=1;rows=1")</f>
        <v>1.5515546135999998</v>
      </c>
      <c r="E306" s="73">
        <f>[1]!wss($A306:$A306,"hks_stm_is","item=83","rptDate="&amp;($B306-1)&amp;"1231","rptType=1","currencyType=Cur=CNY","WssConvert=0","WssDivide=8","showcodes=N","cols=1;rows=1")</f>
        <v>2.0572365121000002</v>
      </c>
      <c r="F306" s="73">
        <f>[1]!wss($A306:$A306,"hks_stm_is","item=61","rptDate="&amp;($B306-3)&amp;"1231","rptType=1","currencyType=Cur=CNY","WssConvert=0","WssDivide=8","showcodes=N","cols=1;rows=1")</f>
        <v>0.2515705104</v>
      </c>
      <c r="G306" s="73">
        <f>[1]!wss($A306:$A306,"hks_stm_is","item=61","rptDate="&amp;($B306-2)&amp;"1231","rptType=1","currencyType=Cur=CNY","WssConvert=0","WssDivide=8","showcodes=N","cols=1;rows=1")</f>
        <v>0.33710057040000002</v>
      </c>
      <c r="H306" s="73">
        <f>[1]!wss($A306:$A306,"hks_stm_is","item=61","rptDate="&amp;($B306-1)&amp;"1231","rptType=1","currencyType=Cur=CNY","WssConvert=0","WssDivide=8","showcodes=N","cols=1;rows=1")</f>
        <v>0.2460039554</v>
      </c>
      <c r="I306" s="73">
        <f>[1]!wss($A306:$A306,"hks_fa_grossprofitmargin","rptDate="&amp;($B306-3)&amp;"1231","WssConvert=0","showcodes=N","cols=1;rows=1")</f>
        <v>26.911899999999999</v>
      </c>
      <c r="J306" s="43">
        <f>[1]!wss($A306:$A306,"hks_fa_grossprofitmargin","rptDate="&amp;($B306-2)&amp;"1231","WssConvert=0","showcodes=N","cols=1;rows=1")</f>
        <v>29.255199999999999</v>
      </c>
      <c r="K306" s="43">
        <f>[1]!wss($A306:$A306,"hks_fa_grossprofitmargin","rptDate="&amp;($B306-1)&amp;"1231","WssConvert=0","showcodes=N","cols=1;rows=1")</f>
        <v>25.731400000000001</v>
      </c>
      <c r="L306" s="73">
        <f>[1]!wss($A306:$A306,"hks_fa_roe","rptDate="&amp;($B306-1)&amp;"1231","WssConvert=0","showcodes=N","cols=1;rows=1")</f>
        <v>33.9893</v>
      </c>
      <c r="M306" s="43">
        <f>[1]!wss($A306:$A306,"hks_fa_debttoassets","rptDate="&amp;($B306-1)&amp;"1231","WssConvert=0","showcodes=N","cols=1;rows=1")</f>
        <v>21.388300000000001</v>
      </c>
      <c r="P306" s="50">
        <v>3.1032832622000002</v>
      </c>
      <c r="Q306" s="50">
        <v>3.2425877576</v>
      </c>
      <c r="R306" s="50">
        <v>2.8678000455000001</v>
      </c>
      <c r="S306" s="50">
        <v>0.40423291119999999</v>
      </c>
      <c r="T306" s="50">
        <v>0.3269767368</v>
      </c>
      <c r="U306" s="50">
        <v>-4.3408819999999999E-3</v>
      </c>
      <c r="V306" s="50">
        <v>23.614599999999999</v>
      </c>
      <c r="W306" s="50">
        <v>18.0167</v>
      </c>
      <c r="X306" s="50">
        <v>8.3092000000000006</v>
      </c>
    </row>
    <row r="307" spans="1:24">
      <c r="A307" t="s">
        <v>870</v>
      </c>
      <c r="B307" s="17">
        <f>IFERROR(YEAR(VLOOKUP($A307,'01_ipo_master'!$A:$C,3,FALSE)),YEAR(VLOOKUP("0"&amp;$A307,'01_ipo_master'!$A:$C,3,FALSE)))</f>
        <v>2025</v>
      </c>
      <c r="C307" s="73">
        <f>[1]!wss($A307:$A307,"hks_stm_is","item=83","rptDate="&amp;($B307-3)&amp;"1231","rptType=1","currencyType=Cur=CNY","WssConvert=0","WssDivide=8","showcodes=N","cols=1;rows=1")</f>
        <v>2.5418799999999999</v>
      </c>
      <c r="D307" s="73">
        <f>[1]!wss($A307:$A307,"hks_stm_is","item=83","rptDate="&amp;($B307-2)&amp;"1231","rptType=1","currencyType=Cur=CNY","WssConvert=0","WssDivide=8","showcodes=N","cols=1;rows=1")</f>
        <v>3.00156</v>
      </c>
      <c r="E307" s="73">
        <f>[1]!wss($A307:$A307,"hks_stm_is","item=83","rptDate="&amp;($B307-1)&amp;"1231","rptType=1","currencyType=Cur=CNY","WssConvert=0","WssDivide=8","showcodes=N","cols=1;rows=1")</f>
        <v>4.5072000000000001</v>
      </c>
      <c r="F307" s="73">
        <f>[1]!wss($A307:$A307,"hks_stm_is","item=61","rptDate="&amp;($B307-3)&amp;"1231","rptType=1","currencyType=Cur=CNY","WssConvert=0","WssDivide=8","showcodes=N","cols=1;rows=1")</f>
        <v>0.31434000000000001</v>
      </c>
      <c r="G307" s="73">
        <f>[1]!wss($A307:$A307,"hks_stm_is","item=61","rptDate="&amp;($B307-2)&amp;"1231","rptType=1","currencyType=Cur=CNY","WssConvert=0","WssDivide=8","showcodes=N","cols=1;rows=1")</f>
        <v>0.34850000000000003</v>
      </c>
      <c r="H307" s="73">
        <f>[1]!wss($A307:$A307,"hks_stm_is","item=61","rptDate="&amp;($B307-1)&amp;"1231","rptType=1","currencyType=Cur=CNY","WssConvert=0","WssDivide=8","showcodes=N","cols=1;rows=1")</f>
        <v>0.52299000000000007</v>
      </c>
      <c r="I307" s="73">
        <f>[1]!wss($A307:$A307,"hks_fa_grossprofitmargin","rptDate="&amp;($B307-3)&amp;"1231","WssConvert=0","showcodes=N","cols=1;rows=1")</f>
        <v>30.659199999999998</v>
      </c>
      <c r="J307" s="43">
        <f>[1]!wss($A307:$A307,"hks_fa_grossprofitmargin","rptDate="&amp;($B307-2)&amp;"1231","WssConvert=0","showcodes=N","cols=1;rows=1")</f>
        <v>33.813800000000001</v>
      </c>
      <c r="K307" s="43">
        <f>[1]!wss($A307:$A307,"hks_fa_grossprofitmargin","rptDate="&amp;($B307-1)&amp;"1231","WssConvert=0","showcodes=N","cols=1;rows=1")</f>
        <v>33.002299999999998</v>
      </c>
      <c r="L307" s="73">
        <f>[1]!wss($A307:$A307,"hks_fa_roe","rptDate="&amp;($B307-1)&amp;"1231","WssConvert=0","showcodes=N","cols=1;rows=1")</f>
        <v>48.557899999999997</v>
      </c>
      <c r="M307" s="43">
        <f>[1]!wss($A307:$A307,"hks_fa_debttoassets","rptDate="&amp;($B307-1)&amp;"1231","WssConvert=0","showcodes=N","cols=1;rows=1")</f>
        <v>58.285699999999999</v>
      </c>
      <c r="P307" s="50">
        <v>3.00156</v>
      </c>
      <c r="Q307" s="50">
        <v>4.5072000000000001</v>
      </c>
      <c r="R307" s="50">
        <v>6.4146999999999998</v>
      </c>
      <c r="S307" s="50">
        <v>0.34849999999999998</v>
      </c>
      <c r="T307" s="50">
        <v>0.52298999999999995</v>
      </c>
      <c r="U307" s="50">
        <v>0.63509000000000004</v>
      </c>
      <c r="V307" s="50">
        <v>33.813800000000001</v>
      </c>
      <c r="W307" s="50">
        <v>33.002299999999998</v>
      </c>
      <c r="X307" s="50">
        <v>33.399799999999999</v>
      </c>
    </row>
    <row r="308" spans="1:24">
      <c r="A308" t="s">
        <v>872</v>
      </c>
      <c r="B308" s="17">
        <f>IFERROR(YEAR(VLOOKUP($A308,'01_ipo_master'!$A:$C,3,FALSE)),YEAR(VLOOKUP("0"&amp;$A308,'01_ipo_master'!$A:$C,3,FALSE)))</f>
        <v>2023</v>
      </c>
      <c r="C308" s="73">
        <f>[1]!wss($A308:$A308,"hks_stm_is","item=83","rptDate="&amp;($B308-3)&amp;"1231","rptType=1","currencyType=Cur=CNY","WssConvert=0","WssDivide=8","showcodes=N","cols=1;rows=1")</f>
        <v>5.0725699999999998</v>
      </c>
      <c r="D308" s="73">
        <f>[1]!wss($A308:$A308,"hks_stm_is","item=83","rptDate="&amp;($B308-2)&amp;"1231","rptType=1","currencyType=Cur=CNY","WssConvert=0","WssDivide=8","showcodes=N","cols=1;rows=1")</f>
        <v>3.7306900000000001</v>
      </c>
      <c r="E308" s="73">
        <f>[1]!wss($A308:$A308,"hks_stm_is","item=83","rptDate="&amp;($B308-1)&amp;"1231","rptType=1","currencyType=Cur=CNY","WssConvert=0","WssDivide=8","showcodes=N","cols=1;rows=1")</f>
        <v>4.1009099999999998</v>
      </c>
      <c r="F308" s="73">
        <f>[1]!wss($A308:$A308,"hks_stm_is","item=61","rptDate="&amp;($B308-3)&amp;"1231","rptType=1","currencyType=Cur=CNY","WssConvert=0","WssDivide=8","showcodes=N","cols=1;rows=1")</f>
        <v>1.2418800000000001</v>
      </c>
      <c r="G308" s="73">
        <f>[1]!wss($A308:$A308,"hks_stm_is","item=61","rptDate="&amp;($B308-2)&amp;"1231","rptType=1","currencyType=Cur=CNY","WssConvert=0","WssDivide=8","showcodes=N","cols=1;rows=1")</f>
        <v>0.64705999999999997</v>
      </c>
      <c r="H308" s="73">
        <f>[1]!wss($A308:$A308,"hks_stm_is","item=61","rptDate="&amp;($B308-1)&amp;"1231","rptType=1","currencyType=Cur=CNY","WssConvert=0","WssDivide=8","showcodes=N","cols=1;rows=1")</f>
        <v>0.67410000000000003</v>
      </c>
      <c r="I308" s="73">
        <f>[1]!wss($A308:$A308,"hks_fa_grossprofitmargin","rptDate="&amp;($B308-3)&amp;"1231","WssConvert=0","showcodes=N","cols=1;rows=1")</f>
        <v>56.977499999999999</v>
      </c>
      <c r="J308" s="43">
        <f>[1]!wss($A308:$A308,"hks_fa_grossprofitmargin","rptDate="&amp;($B308-2)&amp;"1231","WssConvert=0","showcodes=N","cols=1;rows=1")</f>
        <v>48.1599</v>
      </c>
      <c r="K308" s="43">
        <f>[1]!wss($A308:$A308,"hks_fa_grossprofitmargin","rptDate="&amp;($B308-1)&amp;"1231","WssConvert=0","showcodes=N","cols=1;rows=1")</f>
        <v>47.783099999999997</v>
      </c>
      <c r="L308" s="73">
        <f>[1]!wss($A308:$A308,"hks_fa_roe","rptDate="&amp;($B308-1)&amp;"1231","WssConvert=0","showcodes=N","cols=1;rows=1")</f>
        <v>19.953900000000001</v>
      </c>
      <c r="M308" s="43">
        <f>[1]!wss($A308:$A308,"hks_fa_debttoassets","rptDate="&amp;($B308-1)&amp;"1231","WssConvert=0","showcodes=N","cols=1;rows=1")</f>
        <v>76.326700000000002</v>
      </c>
      <c r="P308" s="50">
        <v>2.94597</v>
      </c>
      <c r="Q308" s="50">
        <v>2.3616799999999998</v>
      </c>
      <c r="R308" s="50">
        <v>2.1897899999999999</v>
      </c>
      <c r="S308" s="50">
        <v>0.37490000000000001</v>
      </c>
      <c r="T308" s="50">
        <v>-0.21972</v>
      </c>
      <c r="U308" s="50">
        <v>-0.28822999999999999</v>
      </c>
      <c r="V308" s="50">
        <v>42.774500000000003</v>
      </c>
      <c r="W308" s="50">
        <v>35.464599999999997</v>
      </c>
      <c r="X308" s="50">
        <v>26.7409</v>
      </c>
    </row>
    <row r="309" spans="1:24">
      <c r="A309" t="s">
        <v>874</v>
      </c>
      <c r="B309" s="17">
        <f>IFERROR(YEAR(VLOOKUP($A309,'01_ipo_master'!$A:$C,3,FALSE)),YEAR(VLOOKUP("0"&amp;$A309,'01_ipo_master'!$A:$C,3,FALSE)))</f>
        <v>2026</v>
      </c>
      <c r="C309" s="73">
        <f>[1]!wss($A309:$A309,"hks_stm_is","item=83","rptDate="&amp;($B309-3)&amp;"1231","rptType=1","currencyType=Cur=CNY","WssConvert=0","WssDivide=8","showcodes=N","cols=1;rows=1")</f>
        <v>2.8904100000000001</v>
      </c>
      <c r="D309" s="73">
        <f>[1]!wss($A309:$A309,"hks_stm_is","item=83","rptDate="&amp;($B309-2)&amp;"1231","rptType=1","currencyType=Cur=CNY","WssConvert=0","WssDivide=8","showcodes=N","cols=1;rows=1")</f>
        <v>5.3951099999999999</v>
      </c>
      <c r="E309" s="73">
        <f>[1]!wss($A309:$A309,"hks_stm_is","item=83","rptDate="&amp;($B309-1)&amp;"1231","rptType=1","currencyType=Cur=CNY","WssConvert=0","WssDivide=8","showcodes=N","cols=1;rows=1")</f>
        <v>10.33606</v>
      </c>
      <c r="F309" s="73">
        <f>[1]!wss($A309:$A309,"hks_stm_is","item=61","rptDate="&amp;($B309-3)&amp;"1231","rptType=1","currencyType=Cur=CNY","WssConvert=0","WssDivide=8","showcodes=N","cols=1;rows=1")</f>
        <v>-7.9130700000000003</v>
      </c>
      <c r="G309" s="73">
        <f>[1]!wss($A309:$A309,"hks_stm_is","item=61","rptDate="&amp;($B309-2)&amp;"1231","rptType=1","currencyType=Cur=CNY","WssConvert=0","WssDivide=8","showcodes=N","cols=1;rows=1")</f>
        <v>-8.9243299999999994</v>
      </c>
      <c r="H309" s="73">
        <f>[1]!wss($A309:$A309,"hks_stm_is","item=61","rptDate="&amp;($B309-1)&amp;"1231","rptType=1","currencyType=Cur=CNY","WssConvert=0","WssDivide=8","showcodes=N","cols=1;rows=1")</f>
        <v>-10.03656</v>
      </c>
      <c r="I309" s="73">
        <f>[1]!wss($A309:$A309,"hks_fa_grossprofitmargin","rptDate="&amp;($B309-3)&amp;"1231","WssConvert=0","showcodes=N","cols=1;rows=1")</f>
        <v>49.526200000000003</v>
      </c>
      <c r="J309" s="43">
        <f>[1]!wss($A309:$A309,"hks_fa_grossprofitmargin","rptDate="&amp;($B309-2)&amp;"1231","WssConvert=0","showcodes=N","cols=1;rows=1")</f>
        <v>49.134099999999997</v>
      </c>
      <c r="K309" s="43">
        <f>[1]!wss($A309:$A309,"hks_fa_grossprofitmargin","rptDate="&amp;($B309-1)&amp;"1231","WssConvert=0","showcodes=N","cols=1;rows=1")</f>
        <v>53.985100000000003</v>
      </c>
      <c r="L309" s="73">
        <f>[1]!wss($A309:$A309,"hks_fa_roe","rptDate="&amp;($B309-1)&amp;"1231","WssConvert=0","showcodes=N","cols=1;rows=1")</f>
        <v>-65.991699999999994</v>
      </c>
      <c r="M309" s="43">
        <f>[1]!wss($A309:$A309,"hks_fa_debttoassets","rptDate="&amp;($B309-1)&amp;"1231","WssConvert=0","showcodes=N","cols=1;rows=1")</f>
        <v>39.849200000000003</v>
      </c>
      <c r="P309" s="50">
        <v>2.8904100000000001</v>
      </c>
      <c r="Q309" s="50">
        <v>5.3951099999999999</v>
      </c>
      <c r="R309" s="50">
        <v>10.33606</v>
      </c>
      <c r="S309" s="50">
        <v>-7.9130700000000003</v>
      </c>
      <c r="T309" s="50">
        <v>-8.9243299999999994</v>
      </c>
      <c r="U309" s="50">
        <v>-10.03656</v>
      </c>
      <c r="V309" s="50">
        <v>49.526200000000003</v>
      </c>
      <c r="W309" s="50">
        <v>49.134099999999997</v>
      </c>
      <c r="X309" s="50">
        <v>53.985100000000003</v>
      </c>
    </row>
    <row r="310" spans="1:24">
      <c r="A310" t="s">
        <v>876</v>
      </c>
      <c r="B310" s="17">
        <f>IFERROR(YEAR(VLOOKUP($A310,'01_ipo_master'!$A:$C,3,FALSE)),YEAR(VLOOKUP("0"&amp;$A310,'01_ipo_master'!$A:$C,3,FALSE)))</f>
        <v>2024</v>
      </c>
      <c r="C310" s="73">
        <f>[1]!wss($A310:$A310,"hks_stm_is","item=83","rptDate="&amp;($B310-3)&amp;"1231","rptType=1","currencyType=Cur=CNY","WssConvert=0","WssDivide=8","showcodes=N","cols=1;rows=1")</f>
        <v>1.7431400000000001</v>
      </c>
      <c r="D310" s="73">
        <f>[1]!wss($A310:$A310,"hks_stm_is","item=83","rptDate="&amp;($B310-2)&amp;"1231","rptType=1","currencyType=Cur=CNY","WssConvert=0","WssDivide=8","showcodes=N","cols=1;rows=1")</f>
        <v>2.4101300000000001</v>
      </c>
      <c r="E310" s="73">
        <f>[1]!wss($A310:$A310,"hks_stm_is","item=83","rptDate="&amp;($B310-1)&amp;"1231","rptType=1","currencyType=Cur=CNY","WssConvert=0","WssDivide=8","showcodes=N","cols=1;rows=1")</f>
        <v>2.8674900000000001</v>
      </c>
      <c r="F310" s="73">
        <f>[1]!wss($A310:$A310,"hks_stm_is","item=61","rptDate="&amp;($B310-3)&amp;"1231","rptType=1","currencyType=Cur=CNY","WssConvert=0","WssDivide=8","showcodes=N","cols=1;rows=1")</f>
        <v>-0.41558</v>
      </c>
      <c r="G310" s="73">
        <f>[1]!wss($A310:$A310,"hks_stm_is","item=61","rptDate="&amp;($B310-2)&amp;"1231","rptType=1","currencyType=Cur=CNY","WssConvert=0","WssDivide=8","showcodes=N","cols=1;rows=1")</f>
        <v>-0.52476999999999996</v>
      </c>
      <c r="H310" s="73">
        <f>[1]!wss($A310:$A310,"hks_stm_is","item=61","rptDate="&amp;($B310-1)&amp;"1231","rptType=1","currencyType=Cur=CNY","WssConvert=0","WssDivide=8","showcodes=N","cols=1;rows=1")</f>
        <v>-1.03281</v>
      </c>
      <c r="I310" s="73">
        <f>[1]!wss($A310:$A310,"hks_fa_grossprofitmargin","rptDate="&amp;($B310-3)&amp;"1231","WssConvert=0","showcodes=N","cols=1;rows=1")</f>
        <v>50.529499999999999</v>
      </c>
      <c r="J310" s="43">
        <f>[1]!wss($A310:$A310,"hks_fa_grossprofitmargin","rptDate="&amp;($B310-2)&amp;"1231","WssConvert=0","showcodes=N","cols=1;rows=1")</f>
        <v>40.7517</v>
      </c>
      <c r="K310" s="43">
        <f>[1]!wss($A310:$A310,"hks_fa_grossprofitmargin","rptDate="&amp;($B310-1)&amp;"1231","WssConvert=0","showcodes=N","cols=1;rows=1")</f>
        <v>43.537700000000001</v>
      </c>
      <c r="L310" s="73">
        <f>[1]!wss($A310:$A310,"hks_fa_roe","rptDate="&amp;($B310-1)&amp;"1231","WssConvert=0","showcodes=N","cols=1;rows=1")</f>
        <v>-24.937000000000001</v>
      </c>
      <c r="M310" s="43">
        <f>[1]!wss($A310:$A310,"hks_fa_debttoassets","rptDate="&amp;($B310-1)&amp;"1231","WssConvert=0","showcodes=N","cols=1;rows=1")</f>
        <v>49.2027</v>
      </c>
      <c r="P310" s="50">
        <v>2.8674900000000001</v>
      </c>
      <c r="Q310" s="50">
        <v>3.73678</v>
      </c>
      <c r="R310" s="50">
        <v>4.9220899999999999</v>
      </c>
      <c r="S310" s="50">
        <v>-1.03281</v>
      </c>
      <c r="T310" s="50">
        <v>-0.95362999999999998</v>
      </c>
      <c r="U310" s="50">
        <v>-0.83535000000000004</v>
      </c>
      <c r="V310" s="50">
        <v>43.537700000000001</v>
      </c>
      <c r="W310" s="50">
        <v>46.558500000000002</v>
      </c>
      <c r="X310" s="50">
        <v>46.059699999999999</v>
      </c>
    </row>
    <row r="311" spans="1:24">
      <c r="A311" t="s">
        <v>878</v>
      </c>
      <c r="B311" s="17">
        <f>IFERROR(YEAR(VLOOKUP($A311,'01_ipo_master'!$A:$C,3,FALSE)),YEAR(VLOOKUP("0"&amp;$A311,'01_ipo_master'!$A:$C,3,FALSE)))</f>
        <v>2023</v>
      </c>
      <c r="C311" s="73">
        <f>[1]!wss($A311:$A311,"hks_stm_is","item=83","rptDate="&amp;($B311-3)&amp;"1231","rptType=1","currencyType=Cur=CNY","WssConvert=0","WssDivide=8","showcodes=N","cols=1;rows=1")</f>
        <v>2.07125</v>
      </c>
      <c r="D311" s="73">
        <f>[1]!wss($A311:$A311,"hks_stm_is","item=83","rptDate="&amp;($B311-2)&amp;"1231","rptType=1","currencyType=Cur=CNY","WssConvert=0","WssDivide=8","showcodes=N","cols=1;rows=1")</f>
        <v>2.0176600000000002</v>
      </c>
      <c r="E311" s="73">
        <f>[1]!wss($A311:$A311,"hks_stm_is","item=83","rptDate="&amp;($B311-1)&amp;"1231","rptType=1","currencyType=Cur=CNY","WssConvert=0","WssDivide=8","showcodes=N","cols=1;rows=1")</f>
        <v>2.43282</v>
      </c>
      <c r="F311" s="73">
        <f>[1]!wss($A311:$A311,"hks_stm_is","item=61","rptDate="&amp;($B311-3)&amp;"1231","rptType=1","currencyType=Cur=CNY","WssConvert=0","WssDivide=8","showcodes=N","cols=1;rows=1")</f>
        <v>0.39438000000000001</v>
      </c>
      <c r="G311" s="73">
        <f>[1]!wss($A311:$A311,"hks_stm_is","item=61","rptDate="&amp;($B311-2)&amp;"1231","rptType=1","currencyType=Cur=CNY","WssConvert=0","WssDivide=8","showcodes=N","cols=1;rows=1")</f>
        <v>0.45978000000000002</v>
      </c>
      <c r="H311" s="73">
        <f>[1]!wss($A311:$A311,"hks_stm_is","item=61","rptDate="&amp;($B311-1)&amp;"1231","rptType=1","currencyType=Cur=CNY","WssConvert=0","WssDivide=8","showcodes=N","cols=1;rows=1")</f>
        <v>0.48774000000000001</v>
      </c>
      <c r="I311" s="73">
        <f>[1]!wss($A311:$A311,"hks_fa_grossprofitmargin","rptDate="&amp;($B311-3)&amp;"1231","WssConvert=0","showcodes=N","cols=1;rows=1")</f>
        <v>36.399099999999997</v>
      </c>
      <c r="J311" s="43">
        <f>[1]!wss($A311:$A311,"hks_fa_grossprofitmargin","rptDate="&amp;($B311-2)&amp;"1231","WssConvert=0","showcodes=N","cols=1;rows=1")</f>
        <v>49.012599999999999</v>
      </c>
      <c r="K311" s="43">
        <f>[1]!wss($A311:$A311,"hks_fa_grossprofitmargin","rptDate="&amp;($B311-1)&amp;"1231","WssConvert=0","showcodes=N","cols=1;rows=1")</f>
        <v>43.012900000000002</v>
      </c>
      <c r="L311" s="73">
        <f>[1]!wss($A311:$A311,"hks_fa_roe","rptDate="&amp;($B311-1)&amp;"1231","WssConvert=0","showcodes=N","cols=1;rows=1")</f>
        <v>31.763200000000001</v>
      </c>
      <c r="M311" s="43">
        <f>[1]!wss($A311:$A311,"hks_fa_debttoassets","rptDate="&amp;($B311-1)&amp;"1231","WssConvert=0","showcodes=N","cols=1;rows=1")</f>
        <v>62.787500000000001</v>
      </c>
      <c r="P311" s="50">
        <v>2.5911200000000001</v>
      </c>
      <c r="Q311" s="50">
        <v>2.74722</v>
      </c>
      <c r="R311" s="50">
        <v>4.0281000000000002</v>
      </c>
      <c r="S311" s="50">
        <v>0.22881000000000001</v>
      </c>
      <c r="T311" s="50">
        <v>4.3299999999999996E-3</v>
      </c>
      <c r="U311" s="50">
        <v>5.697E-2</v>
      </c>
      <c r="V311" s="50">
        <v>32.977600000000002</v>
      </c>
      <c r="W311" s="50">
        <v>24.960899999999999</v>
      </c>
      <c r="X311" s="50">
        <v>16.8032</v>
      </c>
    </row>
    <row r="312" spans="1:24">
      <c r="A312" t="s">
        <v>880</v>
      </c>
      <c r="B312" s="17">
        <f>IFERROR(YEAR(VLOOKUP($A312,'01_ipo_master'!$A:$C,3,FALSE)),YEAR(VLOOKUP("0"&amp;$A312,'01_ipo_master'!$A:$C,3,FALSE)))</f>
        <v>2025</v>
      </c>
      <c r="C312" s="73">
        <f>[1]!wss($A312:$A312,"hks_stm_is","item=83","rptDate="&amp;($B312-3)&amp;"1231","rptType=1","currencyType=Cur=CNY","WssConvert=0","WssDivide=8","showcodes=N","cols=1;rows=1")</f>
        <v>1.69977</v>
      </c>
      <c r="D312" s="73">
        <f>[1]!wss($A312:$A312,"hks_stm_is","item=83","rptDate="&amp;($B312-2)&amp;"1231","rptType=1","currencyType=Cur=CNY","WssConvert=0","WssDivide=8","showcodes=N","cols=1;rows=1")</f>
        <v>2.5630199999999999</v>
      </c>
      <c r="E312" s="73">
        <f>[1]!wss($A312:$A312,"hks_stm_is","item=83","rptDate="&amp;($B312-1)&amp;"1231","rptType=1","currencyType=Cur=CNY","WssConvert=0","WssDivide=8","showcodes=N","cols=1;rows=1")</f>
        <v>2.8736199999999998</v>
      </c>
      <c r="F312" s="73">
        <f>[1]!wss($A312:$A312,"hks_stm_is","item=61","rptDate="&amp;($B312-3)&amp;"1231","rptType=1","currencyType=Cur=CNY","WssConvert=0","WssDivide=8","showcodes=N","cols=1;rows=1")</f>
        <v>-1.8984000000000001</v>
      </c>
      <c r="G312" s="73">
        <f>[1]!wss($A312:$A312,"hks_stm_is","item=61","rptDate="&amp;($B312-2)&amp;"1231","rptType=1","currencyType=Cur=CNY","WssConvert=0","WssDivide=8","showcodes=N","cols=1;rows=1")</f>
        <v>-0.85594999999999999</v>
      </c>
      <c r="H312" s="73">
        <f>[1]!wss($A312:$A312,"hks_stm_is","item=61","rptDate="&amp;($B312-1)&amp;"1231","rptType=1","currencyType=Cur=CNY","WssConvert=0","WssDivide=8","showcodes=N","cols=1;rows=1")</f>
        <v>-0.79127000000000003</v>
      </c>
      <c r="I312" s="73">
        <f>[1]!wss($A312:$A312,"hks_fa_grossprofitmargin","rptDate="&amp;($B312-3)&amp;"1231","WssConvert=0","showcodes=N","cols=1;rows=1")</f>
        <v>64.953500000000005</v>
      </c>
      <c r="J312" s="43">
        <f>[1]!wss($A312:$A312,"hks_fa_grossprofitmargin","rptDate="&amp;($B312-2)&amp;"1231","WssConvert=0","showcodes=N","cols=1;rows=1")</f>
        <v>54.241500000000002</v>
      </c>
      <c r="K312" s="43">
        <f>[1]!wss($A312:$A312,"hks_fa_grossprofitmargin","rptDate="&amp;($B312-1)&amp;"1231","WssConvert=0","showcodes=N","cols=1;rows=1")</f>
        <v>51.114600000000003</v>
      </c>
      <c r="L312" s="73">
        <f>[1]!wss($A312:$A312,"hks_fa_roe","rptDate="&amp;($B312-1)&amp;"1231","WssConvert=0","showcodes=N","cols=1;rows=1")</f>
        <v>-46.189</v>
      </c>
      <c r="M312" s="43">
        <f>[1]!wss($A312:$A312,"hks_fa_debttoassets","rptDate="&amp;($B312-1)&amp;"1231","WssConvert=0","showcodes=N","cols=1;rows=1")</f>
        <v>59.807400000000001</v>
      </c>
      <c r="P312" s="50">
        <v>2.5630199999999999</v>
      </c>
      <c r="Q312" s="50">
        <v>2.8736199999999998</v>
      </c>
      <c r="R312" s="50">
        <v>3.4776099999999999</v>
      </c>
      <c r="S312" s="50">
        <v>-0.85594999999999999</v>
      </c>
      <c r="T312" s="50">
        <v>-0.79127000000000003</v>
      </c>
      <c r="U312" s="50">
        <v>-1.8184499999999999</v>
      </c>
      <c r="V312" s="50">
        <v>54.241500000000002</v>
      </c>
      <c r="W312" s="50">
        <v>51.114600000000003</v>
      </c>
      <c r="X312" s="50">
        <v>29.954499999999999</v>
      </c>
    </row>
    <row r="313" spans="1:24">
      <c r="A313" t="s">
        <v>882</v>
      </c>
      <c r="B313" s="17">
        <f>IFERROR(YEAR(VLOOKUP($A313,'01_ipo_master'!$A:$C,3,FALSE)),YEAR(VLOOKUP("0"&amp;$A313,'01_ipo_master'!$A:$C,3,FALSE)))</f>
        <v>2024</v>
      </c>
      <c r="C313" s="73">
        <f>[1]!wss($A313:$A313,"hks_stm_is","item=83","rptDate="&amp;($B313-3)&amp;"1231","rptType=1","currencyType=Cur=CNY","WssConvert=0","WssDivide=8","showcodes=N","cols=1;rows=1")</f>
        <v>2.0364599999999999</v>
      </c>
      <c r="D313" s="73">
        <f>[1]!wss($A313:$A313,"hks_stm_is","item=83","rptDate="&amp;($B313-2)&amp;"1231","rptType=1","currencyType=Cur=CNY","WssConvert=0","WssDivide=8","showcodes=N","cols=1;rows=1")</f>
        <v>2.2682099999999998</v>
      </c>
      <c r="E313" s="73">
        <f>[1]!wss($A313:$A313,"hks_stm_is","item=83","rptDate="&amp;($B313-1)&amp;"1231","rptType=1","currencyType=Cur=CNY","WssConvert=0","WssDivide=8","showcodes=N","cols=1;rows=1")</f>
        <v>2.5610200000000001</v>
      </c>
      <c r="F313" s="73">
        <f>[1]!wss($A313:$A313,"hks_stm_is","item=61","rptDate="&amp;($B313-3)&amp;"1231","rptType=1","currencyType=Cur=CNY","WssConvert=0","WssDivide=8","showcodes=N","cols=1;rows=1")</f>
        <v>0.25524000000000002</v>
      </c>
      <c r="G313" s="73">
        <f>[1]!wss($A313:$A313,"hks_stm_is","item=61","rptDate="&amp;($B313-2)&amp;"1231","rptType=1","currencyType=Cur=CNY","WssConvert=0","WssDivide=8","showcodes=N","cols=1;rows=1")</f>
        <v>0.24259</v>
      </c>
      <c r="H313" s="73">
        <f>[1]!wss($A313:$A313,"hks_stm_is","item=61","rptDate="&amp;($B313-1)&amp;"1231","rptType=1","currencyType=Cur=CNY","WssConvert=0","WssDivide=8","showcodes=N","cols=1;rows=1")</f>
        <v>0.20397000000000001</v>
      </c>
      <c r="I313" s="73" t="str">
        <f>[1]!wss($A313:$A313,"hks_fa_grossprofitmargin","rptDate="&amp;($B313-3)&amp;"1231","WssConvert=0","showcodes=N","cols=1;rows=1")</f>
        <v/>
      </c>
      <c r="J313" s="43" t="str">
        <f>[1]!wss($A313:$A313,"hks_fa_grossprofitmargin","rptDate="&amp;($B313-2)&amp;"1231","WssConvert=0","showcodes=N","cols=1;rows=1")</f>
        <v/>
      </c>
      <c r="K313" s="43" t="str">
        <f>[1]!wss($A313:$A313,"hks_fa_grossprofitmargin","rptDate="&amp;($B313-1)&amp;"1231","WssConvert=0","showcodes=N","cols=1;rows=1")</f>
        <v/>
      </c>
      <c r="L313" s="73">
        <f>[1]!wss($A313:$A313,"hks_fa_roe","rptDate="&amp;($B313-1)&amp;"1231","WssConvert=0","showcodes=N","cols=1;rows=1")</f>
        <v>24.590699999999998</v>
      </c>
      <c r="M313" s="43">
        <f>[1]!wss($A313:$A313,"hks_fa_debttoassets","rptDate="&amp;($B313-1)&amp;"1231","WssConvert=0","showcodes=N","cols=1;rows=1")</f>
        <v>53.62</v>
      </c>
      <c r="P313" s="50">
        <v>2.5610200000000001</v>
      </c>
      <c r="Q313" s="50">
        <v>2.7822300000000002</v>
      </c>
      <c r="R313" s="50">
        <v>2.18527</v>
      </c>
      <c r="S313" s="50">
        <v>0.20397000000000001</v>
      </c>
      <c r="T313" s="50">
        <v>0.2014</v>
      </c>
      <c r="U313" s="50">
        <v>0.15336</v>
      </c>
      <c r="V313" s="50"/>
      <c r="W313" s="50"/>
      <c r="X313" s="50"/>
    </row>
    <row r="314" spans="1:24">
      <c r="A314" t="s">
        <v>884</v>
      </c>
      <c r="B314" s="17">
        <f>IFERROR(YEAR(VLOOKUP($A314,'01_ipo_master'!$A:$C,3,FALSE)),YEAR(VLOOKUP("0"&amp;$A314,'01_ipo_master'!$A:$C,3,FALSE)))</f>
        <v>2022</v>
      </c>
      <c r="C314" s="73">
        <f>[1]!wss($A314:$A314,"hks_stm_is","item=83","rptDate="&amp;($B314-3)&amp;"1231","rptType=1","currencyType=Cur=CNY","WssConvert=0","WssDivide=8","showcodes=N","cols=1;rows=1")</f>
        <v>1.6910499999999999</v>
      </c>
      <c r="D314" s="73">
        <f>[1]!wss($A314:$A314,"hks_stm_is","item=83","rptDate="&amp;($B314-2)&amp;"1231","rptType=1","currencyType=Cur=CNY","WssConvert=0","WssDivide=8","showcodes=N","cols=1;rows=1")</f>
        <v>1.84697</v>
      </c>
      <c r="E314" s="73">
        <f>[1]!wss($A314:$A314,"hks_stm_is","item=83","rptDate="&amp;($B314-1)&amp;"1231","rptType=1","currencyType=Cur=CNY","WssConvert=0","WssDivide=8","showcodes=N","cols=1;rows=1")</f>
        <v>2.16283</v>
      </c>
      <c r="F314" s="73">
        <f>[1]!wss($A314:$A314,"hks_stm_is","item=61","rptDate="&amp;($B314-3)&amp;"1231","rptType=1","currencyType=Cur=CNY","WssConvert=0","WssDivide=8","showcodes=N","cols=1;rows=1")</f>
        <v>0.34633000000000003</v>
      </c>
      <c r="G314" s="73">
        <f>[1]!wss($A314:$A314,"hks_stm_is","item=61","rptDate="&amp;($B314-2)&amp;"1231","rptType=1","currencyType=Cur=CNY","WssConvert=0","WssDivide=8","showcodes=N","cols=1;rows=1")</f>
        <v>0.40517000000000003</v>
      </c>
      <c r="H314" s="73">
        <f>[1]!wss($A314:$A314,"hks_stm_is","item=61","rptDate="&amp;($B314-1)&amp;"1231","rptType=1","currencyType=Cur=CNY","WssConvert=0","WssDivide=8","showcodes=N","cols=1;rows=1")</f>
        <v>0.50136000000000003</v>
      </c>
      <c r="I314" s="73">
        <f>[1]!wss($A314:$A314,"hks_fa_grossprofitmargin","rptDate="&amp;($B314-3)&amp;"1231","WssConvert=0","showcodes=N","cols=1;rows=1")</f>
        <v>53.39</v>
      </c>
      <c r="J314" s="43">
        <f>[1]!wss($A314:$A314,"hks_fa_grossprofitmargin","rptDate="&amp;($B314-2)&amp;"1231","WssConvert=0","showcodes=N","cols=1;rows=1")</f>
        <v>54.508400000000002</v>
      </c>
      <c r="K314" s="43">
        <f>[1]!wss($A314:$A314,"hks_fa_grossprofitmargin","rptDate="&amp;($B314-1)&amp;"1231","WssConvert=0","showcodes=N","cols=1;rows=1")</f>
        <v>53.176900000000003</v>
      </c>
      <c r="L314" s="73">
        <f>[1]!wss($A314:$A314,"hks_fa_roe","rptDate="&amp;($B314-1)&amp;"1231","WssConvert=0","showcodes=N","cols=1;rows=1")</f>
        <v>26.741900000000001</v>
      </c>
      <c r="M314" s="43">
        <f>[1]!wss($A314:$A314,"hks_fa_debttoassets","rptDate="&amp;($B314-1)&amp;"1231","WssConvert=0","showcodes=N","cols=1;rows=1")</f>
        <v>48.416400000000003</v>
      </c>
      <c r="P314" s="50">
        <v>2.4313699999999998</v>
      </c>
      <c r="Q314" s="50">
        <v>2.5548799999999998</v>
      </c>
      <c r="R314" s="50">
        <v>2.65611</v>
      </c>
      <c r="S314" s="50">
        <v>0.53124000000000005</v>
      </c>
      <c r="T314" s="50">
        <v>0.46192</v>
      </c>
      <c r="U314" s="50">
        <v>0.3352</v>
      </c>
      <c r="V314" s="50">
        <v>53.287700000000001</v>
      </c>
      <c r="W314" s="50">
        <v>49.219499999999996</v>
      </c>
      <c r="X314" s="50">
        <v>46.4649</v>
      </c>
    </row>
    <row r="315" spans="1:24">
      <c r="A315" t="s">
        <v>886</v>
      </c>
      <c r="B315" s="17">
        <f>IFERROR(YEAR(VLOOKUP($A315,'01_ipo_master'!$A:$C,3,FALSE)),YEAR(VLOOKUP("0"&amp;$A315,'01_ipo_master'!$A:$C,3,FALSE)))</f>
        <v>2026</v>
      </c>
      <c r="C315" s="73">
        <f>[1]!wss($A315:$A315,"hks_stm_is","item=83","rptDate="&amp;($B315-3)&amp;"1231","rptType=1","currencyType=Cur=CNY","WssConvert=0","WssDivide=8","showcodes=N","cols=1;rows=1")</f>
        <v>2.3854199999999999</v>
      </c>
      <c r="D315" s="73">
        <f>[1]!wss($A315:$A315,"hks_stm_is","item=83","rptDate="&amp;($B315-2)&amp;"1231","rptType=1","currencyType=Cur=CNY","WssConvert=0","WssDivide=8","showcodes=N","cols=1;rows=1")</f>
        <v>3.2711900000000003</v>
      </c>
      <c r="E315" s="73">
        <f>[1]!wss($A315:$A315,"hks_stm_is","item=83","rptDate="&amp;($B315-1)&amp;"1231","rptType=1","currencyType=Cur=CNY","WssConvert=0","WssDivide=8","showcodes=N","cols=1;rows=1")</f>
        <v>4.0275100000000004</v>
      </c>
      <c r="F315" s="73">
        <f>[1]!wss($A315:$A315,"hks_stm_is","item=61","rptDate="&amp;($B315-3)&amp;"1231","rptType=1","currencyType=Cur=CNY","WssConvert=0","WssDivide=8","showcodes=N","cols=1;rows=1")</f>
        <v>0.57111999999999996</v>
      </c>
      <c r="G315" s="73">
        <f>[1]!wss($A315:$A315,"hks_stm_is","item=61","rptDate="&amp;($B315-2)&amp;"1231","rptType=1","currencyType=Cur=CNY","WssConvert=0","WssDivide=8","showcodes=N","cols=1;rows=1")</f>
        <v>0.95389000000000002</v>
      </c>
      <c r="H315" s="73">
        <f>[1]!wss($A315:$A315,"hks_stm_is","item=61","rptDate="&amp;($B315-1)&amp;"1231","rptType=1","currencyType=Cur=CNY","WssConvert=0","WssDivide=8","showcodes=N","cols=1;rows=1")</f>
        <v>1.3697000000000001</v>
      </c>
      <c r="I315" s="73">
        <f>[1]!wss($A315:$A315,"hks_fa_grossprofitmargin","rptDate="&amp;($B315-3)&amp;"1231","WssConvert=0","showcodes=N","cols=1;rows=1")</f>
        <v>74.329899999999995</v>
      </c>
      <c r="J315" s="43">
        <f>[1]!wss($A315:$A315,"hks_fa_grossprofitmargin","rptDate="&amp;($B315-2)&amp;"1231","WssConvert=0","showcodes=N","cols=1;rows=1")</f>
        <v>69.575599999999994</v>
      </c>
      <c r="K315" s="43">
        <f>[1]!wss($A315:$A315,"hks_fa_grossprofitmargin","rptDate="&amp;($B315-1)&amp;"1231","WssConvert=0","showcodes=N","cols=1;rows=1")</f>
        <v>74.144800000000004</v>
      </c>
      <c r="L315" s="73">
        <f>[1]!wss($A315:$A315,"hks_fa_roe","rptDate="&amp;($B315-1)&amp;"1231","WssConvert=0","showcodes=N","cols=1;rows=1")</f>
        <v>25.349399999999999</v>
      </c>
      <c r="M315" s="43">
        <f>[1]!wss($A315:$A315,"hks_fa_debttoassets","rptDate="&amp;($B315-1)&amp;"1231","WssConvert=0","showcodes=N","cols=1;rows=1")</f>
        <v>20.241800000000001</v>
      </c>
      <c r="P315" s="50">
        <v>2.3854199999999999</v>
      </c>
      <c r="Q315" s="50">
        <v>3.2711899999999998</v>
      </c>
      <c r="R315" s="50">
        <v>4.0275100000000004</v>
      </c>
      <c r="S315" s="50">
        <v>0.57111999999999996</v>
      </c>
      <c r="T315" s="50">
        <v>0.95389000000000002</v>
      </c>
      <c r="U315" s="50">
        <v>1.3696999999999999</v>
      </c>
      <c r="V315" s="50">
        <v>74.329899999999995</v>
      </c>
      <c r="W315" s="50">
        <v>69.575599999999994</v>
      </c>
      <c r="X315" s="50">
        <v>74.144800000000004</v>
      </c>
    </row>
    <row r="316" spans="1:24">
      <c r="A316" t="s">
        <v>888</v>
      </c>
      <c r="B316" s="17">
        <f>IFERROR(YEAR(VLOOKUP($A316,'01_ipo_master'!$A:$C,3,FALSE)),YEAR(VLOOKUP("0"&amp;$A316,'01_ipo_master'!$A:$C,3,FALSE)))</f>
        <v>2023</v>
      </c>
      <c r="C316" s="73">
        <f>[1]!wss($A316:$A316,"hks_stm_is","item=83","rptDate="&amp;($B316-3)&amp;"1231","rptType=1","currencyType=Cur=CNY","WssConvert=0","WssDivide=8","showcodes=N","cols=1;rows=1")</f>
        <v>1.03494</v>
      </c>
      <c r="D316" s="73">
        <f>[1]!wss($A316:$A316,"hks_stm_is","item=83","rptDate="&amp;($B316-2)&amp;"1231","rptType=1","currencyType=Cur=CNY","WssConvert=0","WssDivide=8","showcodes=N","cols=1;rows=1")</f>
        <v>1.57637</v>
      </c>
      <c r="E316" s="73">
        <f>[1]!wss($A316:$A316,"hks_stm_is","item=83","rptDate="&amp;($B316-1)&amp;"1231","rptType=1","currencyType=Cur=CNY","WssConvert=0","WssDivide=8","showcodes=N","cols=1;rows=1")</f>
        <v>2.0716700000000001</v>
      </c>
      <c r="F316" s="73">
        <f>[1]!wss($A316:$A316,"hks_stm_is","item=61","rptDate="&amp;($B316-3)&amp;"1231","rptType=1","currencyType=Cur=CNY","WssConvert=0","WssDivide=8","showcodes=N","cols=1;rows=1")</f>
        <v>0.24228</v>
      </c>
      <c r="G316" s="73">
        <f>[1]!wss($A316:$A316,"hks_stm_is","item=61","rptDate="&amp;($B316-2)&amp;"1231","rptType=1","currencyType=Cur=CNY","WssConvert=0","WssDivide=8","showcodes=N","cols=1;rows=1")</f>
        <v>0.18474000000000002</v>
      </c>
      <c r="H316" s="73">
        <f>[1]!wss($A316:$A316,"hks_stm_is","item=61","rptDate="&amp;($B316-1)&amp;"1231","rptType=1","currencyType=Cur=CNY","WssConvert=0","WssDivide=8","showcodes=N","cols=1;rows=1")</f>
        <v>0.45659</v>
      </c>
      <c r="I316" s="73">
        <f>[1]!wss($A316:$A316,"hks_fa_grossprofitmargin","rptDate="&amp;($B316-3)&amp;"1231","WssConvert=0","showcodes=N","cols=1;rows=1")</f>
        <v>41.4572</v>
      </c>
      <c r="J316" s="43">
        <f>[1]!wss($A316:$A316,"hks_fa_grossprofitmargin","rptDate="&amp;($B316-2)&amp;"1231","WssConvert=0","showcodes=N","cols=1;rows=1")</f>
        <v>36.584699999999998</v>
      </c>
      <c r="K316" s="43">
        <f>[1]!wss($A316:$A316,"hks_fa_grossprofitmargin","rptDate="&amp;($B316-1)&amp;"1231","WssConvert=0","showcodes=N","cols=1;rows=1")</f>
        <v>49.855899999999998</v>
      </c>
      <c r="L316" s="73">
        <f>[1]!wss($A316:$A316,"hks_fa_roe","rptDate="&amp;($B316-1)&amp;"1231","WssConvert=0","showcodes=N","cols=1;rows=1")</f>
        <v>64.039199999999994</v>
      </c>
      <c r="M316" s="43">
        <f>[1]!wss($A316:$A316,"hks_fa_debttoassets","rptDate="&amp;($B316-1)&amp;"1231","WssConvert=0","showcodes=N","cols=1;rows=1")</f>
        <v>42.134900000000002</v>
      </c>
      <c r="P316" s="50">
        <v>2.3474699999999999</v>
      </c>
      <c r="Q316" s="50">
        <v>2.8852600000000002</v>
      </c>
      <c r="R316" s="50">
        <v>2.90937</v>
      </c>
      <c r="S316" s="50">
        <v>0.64983000000000002</v>
      </c>
      <c r="T316" s="50">
        <v>0.80635000000000001</v>
      </c>
      <c r="U316" s="50">
        <v>0.71355999999999997</v>
      </c>
      <c r="V316" s="50">
        <v>63.839399999999998</v>
      </c>
      <c r="W316" s="50">
        <v>55.2973</v>
      </c>
      <c r="X316" s="50">
        <v>61.875599999999999</v>
      </c>
    </row>
    <row r="317" spans="1:24">
      <c r="A317" t="s">
        <v>890</v>
      </c>
      <c r="B317" s="17">
        <f>IFERROR(YEAR(VLOOKUP($A317,'01_ipo_master'!$A:$C,3,FALSE)),YEAR(VLOOKUP("0"&amp;$A317,'01_ipo_master'!$A:$C,3,FALSE)))</f>
        <v>2026</v>
      </c>
      <c r="C317" s="73">
        <f>[1]!wss($A317:$A317,"hks_stm_is","item=83","rptDate="&amp;($B317-3)&amp;"1231","rptType=1","currencyType=Cur=CNY","WssConvert=0","WssDivide=8","showcodes=N","cols=1;rows=1")</f>
        <v>2.3012700000000001</v>
      </c>
      <c r="D317" s="73">
        <f>[1]!wss($A317:$A317,"hks_stm_is","item=83","rptDate="&amp;($B317-2)&amp;"1231","rptType=1","currencyType=Cur=CNY","WssConvert=0","WssDivide=8","showcodes=N","cols=1;rows=1")</f>
        <v>4.7289200000000005</v>
      </c>
      <c r="E317" s="73">
        <f>[1]!wss($A317:$A317,"hks_stm_is","item=83","rptDate="&amp;($B317-1)&amp;"1231","rptType=1","currencyType=Cur=CNY","WssConvert=0","WssDivide=8","showcodes=N","cols=1;rows=1")</f>
        <v>5.6168899999999997</v>
      </c>
      <c r="F317" s="73">
        <f>[1]!wss($A317:$A317,"hks_stm_is","item=61","rptDate="&amp;($B317-3)&amp;"1231","rptType=1","currencyType=Cur=CNY","WssConvert=0","WssDivide=8","showcodes=N","cols=1;rows=1")</f>
        <v>-7.5278800000000006</v>
      </c>
      <c r="G317" s="73">
        <f>[1]!wss($A317:$A317,"hks_stm_is","item=61","rptDate="&amp;($B317-2)&amp;"1231","rptType=1","currencyType=Cur=CNY","WssConvert=0","WssDivide=8","showcodes=N","cols=1;rows=1")</f>
        <v>-8.6091499999999996</v>
      </c>
      <c r="H317" s="73">
        <f>[1]!wss($A317:$A317,"hks_stm_is","item=61","rptDate="&amp;($B317-1)&amp;"1231","rptType=1","currencyType=Cur=CNY","WssConvert=0","WssDivide=8","showcodes=N","cols=1;rows=1")</f>
        <v>-11.49347</v>
      </c>
      <c r="I317" s="73">
        <f>[1]!wss($A317:$A317,"hks_fa_grossprofitmargin","rptDate="&amp;($B317-3)&amp;"1231","WssConvert=0","showcodes=N","cols=1;rows=1")</f>
        <v>25.744</v>
      </c>
      <c r="J317" s="43">
        <f>[1]!wss($A317:$A317,"hks_fa_grossprofitmargin","rptDate="&amp;($B317-2)&amp;"1231","WssConvert=0","showcodes=N","cols=1;rows=1")</f>
        <v>21.020199999999999</v>
      </c>
      <c r="K317" s="43">
        <f>[1]!wss($A317:$A317,"hks_fa_grossprofitmargin","rptDate="&amp;($B317-1)&amp;"1231","WssConvert=0","showcodes=N","cols=1;rows=1")</f>
        <v>21.593299999999999</v>
      </c>
      <c r="L317" s="73" t="str">
        <f>[1]!wss($A317:$A317,"hks_fa_roe","rptDate="&amp;($B317-1)&amp;"1231","WssConvert=0","showcodes=N","cols=1;rows=1")</f>
        <v/>
      </c>
      <c r="M317" s="43">
        <f>[1]!wss($A317:$A317,"hks_fa_debttoassets","rptDate="&amp;($B317-1)&amp;"1231","WssConvert=0","showcodes=N","cols=1;rows=1")</f>
        <v>233.5531</v>
      </c>
      <c r="P317" s="50">
        <v>2.3012700000000001</v>
      </c>
      <c r="Q317" s="50">
        <v>4.7289199999999996</v>
      </c>
      <c r="R317" s="50">
        <v>5.6168899999999997</v>
      </c>
      <c r="S317" s="50">
        <v>-7.5278799999999997</v>
      </c>
      <c r="T317" s="50">
        <v>-8.6091499999999996</v>
      </c>
      <c r="U317" s="50">
        <v>-11.49347</v>
      </c>
      <c r="V317" s="50">
        <v>25.744</v>
      </c>
      <c r="W317" s="50">
        <v>21.020199999999999</v>
      </c>
      <c r="X317" s="50">
        <v>21.593299999999999</v>
      </c>
    </row>
    <row r="318" spans="1:24">
      <c r="A318" t="s">
        <v>892</v>
      </c>
      <c r="B318" s="17">
        <f>IFERROR(YEAR(VLOOKUP($A318,'01_ipo_master'!$A:$C,3,FALSE)),YEAR(VLOOKUP("0"&amp;$A318,'01_ipo_master'!$A:$C,3,FALSE)))</f>
        <v>2024</v>
      </c>
      <c r="C318" s="73">
        <f>[1]!wss($A318:$A318,"hks_stm_is","item=83","rptDate="&amp;($B318-3)&amp;"1231","rptType=1","currencyType=Cur=CNY","WssConvert=0","WssDivide=8","showcodes=N","cols=1;rows=1")</f>
        <v>1.5423042880000002</v>
      </c>
      <c r="D318" s="73">
        <f>[1]!wss($A318:$A318,"hks_stm_is","item=83","rptDate="&amp;($B318-2)&amp;"1231","rptType=1","currencyType=Cur=CNY","WssConvert=0","WssDivide=8","showcodes=N","cols=1;rows=1")</f>
        <v>1.8582517156</v>
      </c>
      <c r="E318" s="73">
        <f>[1]!wss($A318:$A318,"hks_stm_is","item=83","rptDate="&amp;($B318-1)&amp;"1231","rptType=1","currencyType=Cur=CNY","WssConvert=0","WssDivide=8","showcodes=N","cols=1;rows=1")</f>
        <v>2.2766421328000002</v>
      </c>
      <c r="F318" s="73">
        <f>[1]!wss($A318:$A318,"hks_stm_is","item=61","rptDate="&amp;($B318-3)&amp;"1231","rptType=1","currencyType=Cur=CNY","WssConvert=0","WssDivide=8","showcodes=N","cols=1;rows=1")</f>
        <v>0.18952785600000002</v>
      </c>
      <c r="G318" s="73">
        <f>[1]!wss($A318:$A318,"hks_stm_is","item=61","rptDate="&amp;($B318-2)&amp;"1231","rptType=1","currencyType=Cur=CNY","WssConvert=0","WssDivide=8","showcodes=N","cols=1;rows=1")</f>
        <v>0.24986548440000003</v>
      </c>
      <c r="H318" s="73">
        <f>[1]!wss($A318:$A318,"hks_stm_is","item=61","rptDate="&amp;($B318-1)&amp;"1231","rptType=1","currencyType=Cur=CNY","WssConvert=0","WssDivide=8","showcodes=N","cols=1;rows=1")</f>
        <v>0.35797502440000001</v>
      </c>
      <c r="I318" s="73">
        <f>[1]!wss($A318:$A318,"hks_fa_grossprofitmargin","rptDate="&amp;($B318-3)&amp;"1231","WssConvert=0","showcodes=N","cols=1;rows=1")</f>
        <v>71.990799999999993</v>
      </c>
      <c r="J318" s="43">
        <f>[1]!wss($A318:$A318,"hks_fa_grossprofitmargin","rptDate="&amp;($B318-2)&amp;"1231","WssConvert=0","showcodes=N","cols=1;rows=1")</f>
        <v>71.906700000000001</v>
      </c>
      <c r="K318" s="43">
        <f>[1]!wss($A318:$A318,"hks_fa_grossprofitmargin","rptDate="&amp;($B318-1)&amp;"1231","WssConvert=0","showcodes=N","cols=1;rows=1")</f>
        <v>73.816199999999995</v>
      </c>
      <c r="L318" s="73">
        <f>[1]!wss($A318:$A318,"hks_fa_roe","rptDate="&amp;($B318-1)&amp;"1231","WssConvert=0","showcodes=N","cols=1;rows=1")</f>
        <v>49.155999999999999</v>
      </c>
      <c r="M318" s="43">
        <f>[1]!wss($A318:$A318,"hks_fa_debttoassets","rptDate="&amp;($B318-1)&amp;"1231","WssConvert=0","showcodes=N","cols=1;rows=1")</f>
        <v>35.744700000000002</v>
      </c>
      <c r="P318" s="50">
        <v>2.2766421328000002</v>
      </c>
      <c r="Q318" s="50">
        <v>2.2733355959999999</v>
      </c>
      <c r="R318" s="50">
        <v>2.0581493495999998</v>
      </c>
      <c r="S318" s="50">
        <v>0.35797502440000001</v>
      </c>
      <c r="T318" s="50">
        <v>0.120061086</v>
      </c>
      <c r="U318" s="50">
        <v>-0.20782188979999999</v>
      </c>
      <c r="V318" s="50">
        <v>73.816199999999995</v>
      </c>
      <c r="W318" s="50">
        <v>74.160300000000007</v>
      </c>
      <c r="X318" s="50">
        <v>69.140500000000003</v>
      </c>
    </row>
    <row r="319" spans="1:24">
      <c r="A319" t="s">
        <v>894</v>
      </c>
      <c r="B319" s="17">
        <f>IFERROR(YEAR(VLOOKUP($A319,'01_ipo_master'!$A:$C,3,FALSE)),YEAR(VLOOKUP("0"&amp;$A319,'01_ipo_master'!$A:$C,3,FALSE)))</f>
        <v>2022</v>
      </c>
      <c r="C319" s="73">
        <f>[1]!wss($A319:$A319,"hks_stm_is","item=83","rptDate="&amp;($B319-3)&amp;"1231","rptType=1","currencyType=Cur=CNY","WssConvert=0","WssDivide=8","showcodes=N","cols=1;rows=1")</f>
        <v>1.0290000000000001E-2</v>
      </c>
      <c r="D319" s="73" t="str">
        <f>[1]!wss($A319:$A319,"hks_stm_is","item=83","rptDate="&amp;($B319-2)&amp;"1231","rptType=1","currencyType=Cur=CNY","WssConvert=0","WssDivide=8","showcodes=N","cols=1;rows=1")</f>
        <v/>
      </c>
      <c r="E319" s="73" t="str">
        <f>[1]!wss($A319:$A319,"hks_stm_is","item=83","rptDate="&amp;($B319-1)&amp;"1231","rptType=1","currencyType=Cur=CNY","WssConvert=0","WssDivide=8","showcodes=N","cols=1;rows=1")</f>
        <v/>
      </c>
      <c r="F319" s="73">
        <f>[1]!wss($A319:$A319,"hks_stm_is","item=61","rptDate="&amp;($B319-3)&amp;"1231","rptType=1","currencyType=Cur=CNY","WssConvert=0","WssDivide=8","showcodes=N","cols=1;rows=1")</f>
        <v>-4.4703600000000003</v>
      </c>
      <c r="G319" s="73">
        <f>[1]!wss($A319:$A319,"hks_stm_is","item=61","rptDate="&amp;($B319-2)&amp;"1231","rptType=1","currencyType=Cur=CNY","WssConvert=0","WssDivide=8","showcodes=N","cols=1;rows=1")</f>
        <v>-5.8184899999999997</v>
      </c>
      <c r="H319" s="73">
        <f>[1]!wss($A319:$A319,"hks_stm_is","item=61","rptDate="&amp;($B319-1)&amp;"1231","rptType=1","currencyType=Cur=CNY","WssConvert=0","WssDivide=8","showcodes=N","cols=1;rows=1")</f>
        <v>-10.109960000000001</v>
      </c>
      <c r="I319" s="73" t="str">
        <f>[1]!wss($A319:$A319,"hks_fa_grossprofitmargin","rptDate="&amp;($B319-3)&amp;"1231","WssConvert=0","showcodes=N","cols=1;rows=1")</f>
        <v/>
      </c>
      <c r="J319" s="43" t="str">
        <f>[1]!wss($A319:$A319,"hks_fa_grossprofitmargin","rptDate="&amp;($B319-2)&amp;"1231","WssConvert=0","showcodes=N","cols=1;rows=1")</f>
        <v/>
      </c>
      <c r="K319" s="43" t="str">
        <f>[1]!wss($A319:$A319,"hks_fa_grossprofitmargin","rptDate="&amp;($B319-1)&amp;"1231","WssConvert=0","showcodes=N","cols=1;rows=1")</f>
        <v/>
      </c>
      <c r="L319" s="73">
        <f>[1]!wss($A319:$A319,"hks_fa_roe","rptDate="&amp;($B319-1)&amp;"1231","WssConvert=0","showcodes=N","cols=1;rows=1")</f>
        <v>-87.523600000000002</v>
      </c>
      <c r="M319" s="43">
        <f>[1]!wss($A319:$A319,"hks_fa_debttoassets","rptDate="&amp;($B319-1)&amp;"1231","WssConvert=0","showcodes=N","cols=1;rows=1")</f>
        <v>59.315199999999997</v>
      </c>
      <c r="P319" s="50">
        <v>2.25352</v>
      </c>
      <c r="Q319" s="50">
        <v>3.67794</v>
      </c>
      <c r="R319" s="50">
        <v>9.3486899999999995</v>
      </c>
      <c r="S319" s="50">
        <v>-0.22095999999999999</v>
      </c>
      <c r="T319" s="50">
        <v>-4.1137600000000001</v>
      </c>
      <c r="U319" s="50">
        <v>2.6136400000000002</v>
      </c>
      <c r="V319" s="50">
        <v>87.452100000000002</v>
      </c>
      <c r="W319" s="50">
        <v>79.656000000000006</v>
      </c>
      <c r="X319" s="50">
        <v>90.416700000000006</v>
      </c>
    </row>
    <row r="320" spans="1:24">
      <c r="A320" t="s">
        <v>896</v>
      </c>
      <c r="B320" s="17">
        <f>IFERROR(YEAR(VLOOKUP($A320,'01_ipo_master'!$A:$C,3,FALSE)),YEAR(VLOOKUP("0"&amp;$A320,'01_ipo_master'!$A:$C,3,FALSE)))</f>
        <v>2024</v>
      </c>
      <c r="C320" s="73">
        <f>[1]!wss($A320:$A320,"hks_stm_is","item=83","rptDate="&amp;($B320-3)&amp;"1231","rptType=1","currencyType=Cur=CNY","WssConvert=0","WssDivide=8","showcodes=N","cols=1;rows=1")</f>
        <v>0.92986048833700008</v>
      </c>
      <c r="D320" s="73">
        <f>[1]!wss($A320:$A320,"hks_stm_is","item=83","rptDate="&amp;($B320-2)&amp;"1231","rptType=1","currencyType=Cur=CNY","WssConvert=0","WssDivide=8","showcodes=N","cols=1;rows=1")</f>
        <v>2.0815329599999997</v>
      </c>
      <c r="E320" s="73">
        <f>[1]!wss($A320:$A320,"hks_stm_is","item=83","rptDate="&amp;($B320-1)&amp;"1231","rptType=1","currencyType=Cur=CNY","WssConvert=0","WssDivide=8","showcodes=N","cols=1;rows=1")</f>
        <v>2.226859836</v>
      </c>
      <c r="F320" s="73">
        <f>[1]!wss($A320:$A320,"hks_stm_is","item=61","rptDate="&amp;($B320-3)&amp;"1231","rptType=1","currencyType=Cur=CNY","WssConvert=0","WssDivide=8","showcodes=N","cols=1;rows=1")</f>
        <v>-0.126275206827</v>
      </c>
      <c r="G320" s="73">
        <f>[1]!wss($A320:$A320,"hks_stm_is","item=61","rptDate="&amp;($B320-2)&amp;"1231","rptType=1","currencyType=Cur=CNY","WssConvert=0","WssDivide=8","showcodes=N","cols=1;rows=1")</f>
        <v>0.16544455199999999</v>
      </c>
      <c r="H320" s="73">
        <f>[1]!wss($A320:$A320,"hks_stm_is","item=61","rptDate="&amp;($B320-1)&amp;"1231","rptType=1","currencyType=Cur=CNY","WssConvert=0","WssDivide=8","showcodes=N","cols=1;rows=1")</f>
        <v>0.24772760400000002</v>
      </c>
      <c r="I320" s="73">
        <f>[1]!wss($A320:$A320,"hks_fa_grossprofitmargin","rptDate="&amp;($B320-3)&amp;"1231","WssConvert=0","showcodes=N","cols=1;rows=1")</f>
        <v>41.091900000000003</v>
      </c>
      <c r="J320" s="43">
        <f>[1]!wss($A320:$A320,"hks_fa_grossprofitmargin","rptDate="&amp;($B320-2)&amp;"1231","WssConvert=0","showcodes=N","cols=1;rows=1")</f>
        <v>41.0471</v>
      </c>
      <c r="K320" s="43">
        <f>[1]!wss($A320:$A320,"hks_fa_grossprofitmargin","rptDate="&amp;($B320-1)&amp;"1231","WssConvert=0","showcodes=N","cols=1;rows=1")</f>
        <v>37.181800000000003</v>
      </c>
      <c r="L320" s="73">
        <f>[1]!wss($A320:$A320,"hks_fa_roe","rptDate="&amp;($B320-1)&amp;"1231","WssConvert=0","showcodes=N","cols=1;rows=1")</f>
        <v>19.0794</v>
      </c>
      <c r="M320" s="43">
        <f>[1]!wss($A320:$A320,"hks_fa_debttoassets","rptDate="&amp;($B320-1)&amp;"1231","WssConvert=0","showcodes=N","cols=1;rows=1")</f>
        <v>61.355600000000003</v>
      </c>
      <c r="P320" s="50">
        <v>2.226859836</v>
      </c>
      <c r="Q320" s="50">
        <v>2.0073385080000001</v>
      </c>
      <c r="R320" s="50">
        <v>2.5981844280000002</v>
      </c>
      <c r="S320" s="50">
        <v>0.24772760399999999</v>
      </c>
      <c r="T320" s="50">
        <v>0.16991230199999999</v>
      </c>
      <c r="U320" s="50">
        <v>0.55148235800000001</v>
      </c>
      <c r="V320" s="50">
        <v>37.181800000000003</v>
      </c>
      <c r="W320" s="50">
        <v>34.107399999999998</v>
      </c>
      <c r="X320" s="50">
        <v>37.169600000000003</v>
      </c>
    </row>
    <row r="321" spans="1:24">
      <c r="A321" t="s">
        <v>899</v>
      </c>
      <c r="B321" s="17">
        <f>IFERROR(YEAR(VLOOKUP($A321,'01_ipo_master'!$A:$C,3,FALSE)),YEAR(VLOOKUP("0"&amp;$A321,'01_ipo_master'!$A:$C,3,FALSE)))</f>
        <v>2023</v>
      </c>
      <c r="C321" s="73">
        <f>[1]!wss($A321:$A321,"hks_stm_is","item=83","rptDate="&amp;($B321-3)&amp;"1231","rptType=1","currencyType=Cur=CNY","WssConvert=0","WssDivide=8","showcodes=N","cols=1;rows=1")</f>
        <v>2.2624124839999999</v>
      </c>
      <c r="D321" s="73">
        <f>[1]!wss($A321:$A321,"hks_stm_is","item=83","rptDate="&amp;($B321-2)&amp;"1231","rptType=1","currencyType=Cur=CNY","WssConvert=0","WssDivide=8","showcodes=N","cols=1;rows=1")</f>
        <v>1.9463949120000001</v>
      </c>
      <c r="E321" s="73">
        <f>[1]!wss($A321:$A321,"hks_stm_is","item=83","rptDate="&amp;($B321-1)&amp;"1231","rptType=1","currencyType=Cur=CNY","WssConvert=0","WssDivide=8","showcodes=N","cols=1;rows=1")</f>
        <v>1.9590125716</v>
      </c>
      <c r="F321" s="73">
        <f>[1]!wss($A321:$A321,"hks_stm_is","item=61","rptDate="&amp;($B321-3)&amp;"1231","rptType=1","currencyType=Cur=CNY","WssConvert=0","WssDivide=8","showcodes=N","cols=1;rows=1")</f>
        <v>0.76616172480000011</v>
      </c>
      <c r="G321" s="73">
        <f>[1]!wss($A321:$A321,"hks_stm_is","item=61","rptDate="&amp;($B321-2)&amp;"1231","rptType=1","currencyType=Cur=CNY","WssConvert=0","WssDivide=8","showcodes=N","cols=1;rows=1")</f>
        <v>0.63022243200000017</v>
      </c>
      <c r="H321" s="73">
        <f>[1]!wss($A321:$A321,"hks_stm_is","item=61","rptDate="&amp;($B321-1)&amp;"1231","rptType=1","currencyType=Cur=CNY","WssConvert=0","WssDivide=8","showcodes=N","cols=1;rows=1")</f>
        <v>0.60621768549999999</v>
      </c>
      <c r="I321" s="73" t="str">
        <f>[1]!wss($A321:$A321,"hks_fa_grossprofitmargin","rptDate="&amp;($B321-3)&amp;"1231","WssConvert=0","showcodes=N","cols=1;rows=1")</f>
        <v/>
      </c>
      <c r="J321" s="43" t="str">
        <f>[1]!wss($A321:$A321,"hks_fa_grossprofitmargin","rptDate="&amp;($B321-2)&amp;"1231","WssConvert=0","showcodes=N","cols=1;rows=1")</f>
        <v/>
      </c>
      <c r="K321" s="43" t="str">
        <f>[1]!wss($A321:$A321,"hks_fa_grossprofitmargin","rptDate="&amp;($B321-1)&amp;"1231","WssConvert=0","showcodes=N","cols=1;rows=1")</f>
        <v/>
      </c>
      <c r="L321" s="73">
        <f>[1]!wss($A321:$A321,"hks_fa_roe","rptDate="&amp;($B321-1)&amp;"1231","WssConvert=0","showcodes=N","cols=1;rows=1")</f>
        <v>9.8841000000000001</v>
      </c>
      <c r="M321" s="43">
        <f>[1]!wss($A321:$A321,"hks_fa_debttoassets","rptDate="&amp;($B321-1)&amp;"1231","WssConvert=0","showcodes=N","cols=1;rows=1")</f>
        <v>33.7318</v>
      </c>
      <c r="P321" s="50">
        <v>2.0708123841999999</v>
      </c>
      <c r="Q321" s="50">
        <v>2.409463476</v>
      </c>
      <c r="R321" s="50">
        <v>2.8429120466</v>
      </c>
      <c r="S321" s="50">
        <v>0.46730140520000002</v>
      </c>
      <c r="T321" s="50">
        <v>0.59038754159999995</v>
      </c>
      <c r="U321" s="50">
        <v>0.78922460380000004</v>
      </c>
      <c r="V321" s="50"/>
      <c r="W321" s="50"/>
      <c r="X321" s="50"/>
    </row>
    <row r="322" spans="1:24">
      <c r="A322" t="s">
        <v>901</v>
      </c>
      <c r="B322" s="17">
        <f>IFERROR(YEAR(VLOOKUP($A322,'01_ipo_master'!$A:$C,3,FALSE)),YEAR(VLOOKUP("0"&amp;$A322,'01_ipo_master'!$A:$C,3,FALSE)))</f>
        <v>2025</v>
      </c>
      <c r="C322" s="73">
        <f>[1]!wss($A322:$A322,"hks_stm_is","item=83","rptDate="&amp;($B322-3)&amp;"1231","rptType=1","currencyType=Cur=CNY","WssConvert=0","WssDivide=8","showcodes=N","cols=1;rows=1")</f>
        <v>1.9036600000000001</v>
      </c>
      <c r="D322" s="73">
        <f>[1]!wss($A322:$A322,"hks_stm_is","item=83","rptDate="&amp;($B322-2)&amp;"1231","rptType=1","currencyType=Cur=CNY","WssConvert=0","WssDivide=8","showcodes=N","cols=1;rows=1")</f>
        <v>2.0468700000000002</v>
      </c>
      <c r="E322" s="73">
        <f>[1]!wss($A322:$A322,"hks_stm_is","item=83","rptDate="&amp;($B322-1)&amp;"1231","rptType=1","currencyType=Cur=CNY","WssConvert=0","WssDivide=8","showcodes=N","cols=1;rows=1")</f>
        <v>2.6714199999999999</v>
      </c>
      <c r="F322" s="73">
        <f>[1]!wss($A322:$A322,"hks_stm_is","item=61","rptDate="&amp;($B322-3)&amp;"1231","rptType=1","currencyType=Cur=CNY","WssConvert=0","WssDivide=8","showcodes=N","cols=1;rows=1")</f>
        <v>0.24423</v>
      </c>
      <c r="G322" s="73">
        <f>[1]!wss($A322:$A322,"hks_stm_is","item=61","rptDate="&amp;($B322-2)&amp;"1231","rptType=1","currencyType=Cur=CNY","WssConvert=0","WssDivide=8","showcodes=N","cols=1;rows=1")</f>
        <v>0.43617</v>
      </c>
      <c r="H322" s="73">
        <f>[1]!wss($A322:$A322,"hks_stm_is","item=61","rptDate="&amp;($B322-1)&amp;"1231","rptType=1","currencyType=Cur=CNY","WssConvert=0","WssDivide=8","showcodes=N","cols=1;rows=1")</f>
        <v>0.52602000000000004</v>
      </c>
      <c r="I322" s="73">
        <f>[1]!wss($A322:$A322,"hks_fa_grossprofitmargin","rptDate="&amp;($B322-3)&amp;"1231","WssConvert=0","showcodes=N","cols=1;rows=1")</f>
        <v>30.234400000000001</v>
      </c>
      <c r="J322" s="43">
        <f>[1]!wss($A322:$A322,"hks_fa_grossprofitmargin","rptDate="&amp;($B322-2)&amp;"1231","WssConvert=0","showcodes=N","cols=1;rows=1")</f>
        <v>34.822400000000002</v>
      </c>
      <c r="K322" s="43">
        <f>[1]!wss($A322:$A322,"hks_fa_grossprofitmargin","rptDate="&amp;($B322-1)&amp;"1231","WssConvert=0","showcodes=N","cols=1;rows=1")</f>
        <v>36.748199999999997</v>
      </c>
      <c r="L322" s="73">
        <f>[1]!wss($A322:$A322,"hks_fa_roe","rptDate="&amp;($B322-1)&amp;"1231","WssConvert=0","showcodes=N","cols=1;rows=1")</f>
        <v>12.1205</v>
      </c>
      <c r="M322" s="43">
        <f>[1]!wss($A322:$A322,"hks_fa_debttoassets","rptDate="&amp;($B322-1)&amp;"1231","WssConvert=0","showcodes=N","cols=1;rows=1")</f>
        <v>50.330800000000004</v>
      </c>
      <c r="P322" s="50">
        <v>2.0468700000000002</v>
      </c>
      <c r="Q322" s="50">
        <v>2.6714199999999999</v>
      </c>
      <c r="R322" s="50">
        <v>2.7208100000000002</v>
      </c>
      <c r="S322" s="50">
        <v>0.43617</v>
      </c>
      <c r="T322" s="50">
        <v>0.52602000000000004</v>
      </c>
      <c r="U322" s="50">
        <v>0.38829000000000002</v>
      </c>
      <c r="V322" s="50">
        <v>34.822400000000002</v>
      </c>
      <c r="W322" s="50">
        <v>36.748199999999997</v>
      </c>
      <c r="X322" s="50">
        <v>33.784100000000002</v>
      </c>
    </row>
    <row r="323" spans="1:24">
      <c r="A323" t="s">
        <v>903</v>
      </c>
      <c r="B323" s="17">
        <f>IFERROR(YEAR(VLOOKUP($A323,'01_ipo_master'!$A:$C,3,FALSE)),YEAR(VLOOKUP("0"&amp;$A323,'01_ipo_master'!$A:$C,3,FALSE)))</f>
        <v>2022</v>
      </c>
      <c r="C323" s="73">
        <f>[1]!wss($A323:$A323,"hks_stm_is","item=83","rptDate="&amp;($B323-3)&amp;"1231","rptType=1","currencyType=Cur=CNY","WssConvert=0","WssDivide=8","showcodes=N","cols=1;rows=1")</f>
        <v>1.23804</v>
      </c>
      <c r="D323" s="73">
        <f>[1]!wss($A323:$A323,"hks_stm_is","item=83","rptDate="&amp;($B323-2)&amp;"1231","rptType=1","currencyType=Cur=CNY","WssConvert=0","WssDivide=8","showcodes=N","cols=1;rows=1")</f>
        <v>1.68754</v>
      </c>
      <c r="E323" s="73">
        <f>[1]!wss($A323:$A323,"hks_stm_is","item=83","rptDate="&amp;($B323-1)&amp;"1231","rptType=1","currencyType=Cur=CNY","WssConvert=0","WssDivide=8","showcodes=N","cols=1;rows=1")</f>
        <v>1.9852799999999999</v>
      </c>
      <c r="F323" s="73">
        <f>[1]!wss($A323:$A323,"hks_stm_is","item=61","rptDate="&amp;($B323-3)&amp;"1231","rptType=1","currencyType=Cur=CNY","WssConvert=0","WssDivide=8","showcodes=N","cols=1;rows=1")</f>
        <v>0.24549000000000001</v>
      </c>
      <c r="G323" s="73">
        <f>[1]!wss($A323:$A323,"hks_stm_is","item=61","rptDate="&amp;($B323-2)&amp;"1231","rptType=1","currencyType=Cur=CNY","WssConvert=0","WssDivide=8","showcodes=N","cols=1;rows=1")</f>
        <v>0.36884</v>
      </c>
      <c r="H323" s="73">
        <f>[1]!wss($A323:$A323,"hks_stm_is","item=61","rptDate="&amp;($B323-1)&amp;"1231","rptType=1","currencyType=Cur=CNY","WssConvert=0","WssDivide=8","showcodes=N","cols=1;rows=1")</f>
        <v>0.53325</v>
      </c>
      <c r="I323" s="73">
        <f>[1]!wss($A323:$A323,"hks_fa_grossprofitmargin","rptDate="&amp;($B323-3)&amp;"1231","WssConvert=0","showcodes=N","cols=1;rows=1")</f>
        <v>48.027299999999997</v>
      </c>
      <c r="J323" s="43">
        <f>[1]!wss($A323:$A323,"hks_fa_grossprofitmargin","rptDate="&amp;($B323-2)&amp;"1231","WssConvert=0","showcodes=N","cols=1;rows=1")</f>
        <v>49.331800000000001</v>
      </c>
      <c r="K323" s="43">
        <f>[1]!wss($A323:$A323,"hks_fa_grossprofitmargin","rptDate="&amp;($B323-1)&amp;"1231","WssConvert=0","showcodes=N","cols=1;rows=1")</f>
        <v>46.904899999999998</v>
      </c>
      <c r="L323" s="73">
        <f>[1]!wss($A323:$A323,"hks_fa_roe","rptDate="&amp;($B323-1)&amp;"1231","WssConvert=0","showcodes=N","cols=1;rows=1")</f>
        <v>30.4131</v>
      </c>
      <c r="M323" s="43">
        <f>[1]!wss($A323:$A323,"hks_fa_debttoassets","rptDate="&amp;($B323-1)&amp;"1231","WssConvert=0","showcodes=N","cols=1;rows=1")</f>
        <v>39.535299999999999</v>
      </c>
      <c r="P323" s="50">
        <v>2.0281799999999999</v>
      </c>
      <c r="Q323" s="50">
        <v>1.42371</v>
      </c>
      <c r="R323" s="50">
        <v>1.5291600000000001</v>
      </c>
      <c r="S323" s="50">
        <v>0.21318000000000001</v>
      </c>
      <c r="T323" s="50">
        <v>-0.12501000000000001</v>
      </c>
      <c r="U323" s="50">
        <v>4.9050000000000003E-2</v>
      </c>
      <c r="V323" s="50">
        <v>36.4664</v>
      </c>
      <c r="W323" s="50">
        <v>29.2026</v>
      </c>
      <c r="X323" s="50">
        <v>29.389299999999999</v>
      </c>
    </row>
    <row r="324" spans="1:24">
      <c r="A324" t="s">
        <v>905</v>
      </c>
      <c r="B324" s="17">
        <f>IFERROR(YEAR(VLOOKUP($A324,'01_ipo_master'!$A:$C,3,FALSE)),YEAR(VLOOKUP("0"&amp;$A324,'01_ipo_master'!$A:$C,3,FALSE)))</f>
        <v>2026</v>
      </c>
      <c r="C324" s="73">
        <f>[1]!wss($A324:$A324,"hks_stm_is","item=83","rptDate="&amp;($B324-3)&amp;"1231","rptType=1","currencyType=Cur=CNY","WssConvert=0","WssDivide=8","showcodes=N","cols=1;rows=1")</f>
        <v>2.0175999999999998</v>
      </c>
      <c r="D324" s="73">
        <f>[1]!wss($A324:$A324,"hks_stm_is","item=83","rptDate="&amp;($B324-2)&amp;"1231","rptType=1","currencyType=Cur=CNY","WssConvert=0","WssDivide=8","showcodes=N","cols=1;rows=1")</f>
        <v>2.3357600000000001</v>
      </c>
      <c r="E324" s="73">
        <f>[1]!wss($A324:$A324,"hks_stm_is","item=83","rptDate="&amp;($B324-1)&amp;"1231","rptType=1","currencyType=Cur=CNY","WssConvert=0","WssDivide=8","showcodes=N","cols=1;rows=1")</f>
        <v>2.3650700000000002</v>
      </c>
      <c r="F324" s="73">
        <f>[1]!wss($A324:$A324,"hks_stm_is","item=61","rptDate="&amp;($B324-3)&amp;"1231","rptType=1","currencyType=Cur=CNY","WssConvert=0","WssDivide=8","showcodes=N","cols=1;rows=1")</f>
        <v>0.75312000000000001</v>
      </c>
      <c r="G324" s="73">
        <f>[1]!wss($A324:$A324,"hks_stm_is","item=61","rptDate="&amp;($B324-2)&amp;"1231","rptType=1","currencyType=Cur=CNY","WssConvert=0","WssDivide=8","showcodes=N","cols=1;rows=1")</f>
        <v>0.82879999999999998</v>
      </c>
      <c r="H324" s="73">
        <f>[1]!wss($A324:$A324,"hks_stm_is","item=61","rptDate="&amp;($B324-1)&amp;"1231","rptType=1","currencyType=Cur=CNY","WssConvert=0","WssDivide=8","showcodes=N","cols=1;rows=1")</f>
        <v>0.76317000000000002</v>
      </c>
      <c r="I324" s="73">
        <f>[1]!wss($A324:$A324,"hks_fa_grossprofitmargin","rptDate="&amp;($B324-3)&amp;"1231","WssConvert=0","showcodes=N","cols=1;rows=1")</f>
        <v>57.748800000000003</v>
      </c>
      <c r="J324" s="43">
        <f>[1]!wss($A324:$A324,"hks_fa_grossprofitmargin","rptDate="&amp;($B324-2)&amp;"1231","WssConvert=0","showcodes=N","cols=1;rows=1")</f>
        <v>52.821800000000003</v>
      </c>
      <c r="K324" s="43">
        <f>[1]!wss($A324:$A324,"hks_fa_grossprofitmargin","rptDate="&amp;($B324-1)&amp;"1231","WssConvert=0","showcodes=N","cols=1;rows=1")</f>
        <v>52.348100000000002</v>
      </c>
      <c r="L324" s="73">
        <f>[1]!wss($A324:$A324,"hks_fa_roe","rptDate="&amp;($B324-1)&amp;"1231","WssConvert=0","showcodes=N","cols=1;rows=1")</f>
        <v>9.0577000000000005</v>
      </c>
      <c r="M324" s="43">
        <f>[1]!wss($A324:$A324,"hks_fa_debttoassets","rptDate="&amp;($B324-1)&amp;"1231","WssConvert=0","showcodes=N","cols=1;rows=1")</f>
        <v>29.677800000000001</v>
      </c>
      <c r="P324" s="50">
        <v>2.0175999999999998</v>
      </c>
      <c r="Q324" s="50">
        <v>2.3357600000000001</v>
      </c>
      <c r="R324" s="50">
        <v>2.3650699999999998</v>
      </c>
      <c r="S324" s="50">
        <v>0.75312000000000001</v>
      </c>
      <c r="T324" s="50">
        <v>0.82879999999999998</v>
      </c>
      <c r="U324" s="50">
        <v>0.76317000000000002</v>
      </c>
      <c r="V324" s="50">
        <v>57.748800000000003</v>
      </c>
      <c r="W324" s="50">
        <v>52.821800000000003</v>
      </c>
      <c r="X324" s="50">
        <v>52.348100000000002</v>
      </c>
    </row>
    <row r="325" spans="1:24">
      <c r="A325" t="s">
        <v>907</v>
      </c>
      <c r="B325" s="17">
        <f>IFERROR(YEAR(VLOOKUP($A325,'01_ipo_master'!$A:$C,3,FALSE)),YEAR(VLOOKUP("0"&amp;$A325,'01_ipo_master'!$A:$C,3,FALSE)))</f>
        <v>2023</v>
      </c>
      <c r="C325" s="73">
        <f>[1]!wss($A325:$A325,"hks_stm_is","item=83","rptDate="&amp;($B325-3)&amp;"1231","rptType=1","currencyType=Cur=CNY","WssConvert=0","WssDivide=8","showcodes=N","cols=1;rows=1")</f>
        <v>1.7899494536000002</v>
      </c>
      <c r="D325" s="73">
        <f>[1]!wss($A325:$A325,"hks_stm_is","item=83","rptDate="&amp;($B325-2)&amp;"1231","rptType=1","currencyType=Cur=CNY","WssConvert=0","WssDivide=8","showcodes=N","cols=1;rows=1")</f>
        <v>2.0109035520000003</v>
      </c>
      <c r="E325" s="73">
        <f>[1]!wss($A325:$A325,"hks_stm_is","item=83","rptDate="&amp;($B325-1)&amp;"1231","rptType=1","currencyType=Cur=CNY","WssConvert=0","WssDivide=8","showcodes=N","cols=1;rows=1")</f>
        <v>2.1636428631999998</v>
      </c>
      <c r="F325" s="73">
        <f>[1]!wss($A325:$A325,"hks_stm_is","item=61","rptDate="&amp;($B325-3)&amp;"1231","rptType=1","currencyType=Cur=CNY","WssConvert=0","WssDivide=8","showcodes=N","cols=1;rows=1")</f>
        <v>0.34648635520000004</v>
      </c>
      <c r="G325" s="73">
        <f>[1]!wss($A325:$A325,"hks_stm_is","item=61","rptDate="&amp;($B325-2)&amp;"1231","rptType=1","currencyType=Cur=CNY","WssConvert=0","WssDivide=8","showcodes=N","cols=1;rows=1")</f>
        <v>0.27020862400000001</v>
      </c>
      <c r="H325" s="73">
        <f>[1]!wss($A325:$A325,"hks_stm_is","item=61","rptDate="&amp;($B325-1)&amp;"1231","rptType=1","currencyType=Cur=CNY","WssConvert=0","WssDivide=8","showcodes=N","cols=1;rows=1")</f>
        <v>0.3522252937</v>
      </c>
      <c r="I325" s="73">
        <f>[1]!wss($A325:$A325,"hks_fa_grossprofitmargin","rptDate="&amp;($B325-3)&amp;"1231","WssConvert=0","showcodes=N","cols=1;rows=1")</f>
        <v>77.668999999999997</v>
      </c>
      <c r="J325" s="43">
        <f>[1]!wss($A325:$A325,"hks_fa_grossprofitmargin","rptDate="&amp;($B325-2)&amp;"1231","WssConvert=0","showcodes=N","cols=1;rows=1")</f>
        <v>78.020700000000005</v>
      </c>
      <c r="K325" s="43">
        <f>[1]!wss($A325:$A325,"hks_fa_grossprofitmargin","rptDate="&amp;($B325-1)&amp;"1231","WssConvert=0","showcodes=N","cols=1;rows=1")</f>
        <v>75.269000000000005</v>
      </c>
      <c r="L325" s="73">
        <f>[1]!wss($A325:$A325,"hks_fa_roe","rptDate="&amp;($B325-1)&amp;"1231","WssConvert=0","showcodes=N","cols=1;rows=1")</f>
        <v>68.259299999999996</v>
      </c>
      <c r="M325" s="43">
        <f>[1]!wss($A325:$A325,"hks_fa_debttoassets","rptDate="&amp;($B325-1)&amp;"1231","WssConvert=0","showcodes=N","cols=1;rows=1")</f>
        <v>62.491700000000002</v>
      </c>
      <c r="P325" s="50">
        <v>2.0135664668</v>
      </c>
      <c r="Q325" s="50">
        <v>1.9190049108</v>
      </c>
      <c r="R325" s="50">
        <v>1.7141941413999999</v>
      </c>
      <c r="S325" s="50">
        <v>0.13162845500000001</v>
      </c>
      <c r="T325" s="50">
        <v>0.12493205640000001</v>
      </c>
      <c r="U325" s="50">
        <v>0.11509732459999999</v>
      </c>
      <c r="V325" s="50"/>
      <c r="W325" s="50">
        <v>74.051199999999994</v>
      </c>
      <c r="X325" s="50">
        <v>74.017200000000003</v>
      </c>
    </row>
    <row r="326" spans="1:24">
      <c r="A326" t="s">
        <v>909</v>
      </c>
      <c r="B326" s="17">
        <f>IFERROR(YEAR(VLOOKUP($A326,'01_ipo_master'!$A:$C,3,FALSE)),YEAR(VLOOKUP("0"&amp;$A326,'01_ipo_master'!$A:$C,3,FALSE)))</f>
        <v>2025</v>
      </c>
      <c r="C326" s="73" t="str">
        <f>[1]!wss($A326:$A326,"hks_stm_is","item=83","rptDate="&amp;($B326-3)&amp;"1231","rptType=1","currencyType=Cur=CNY","WssConvert=0","WssDivide=8","showcodes=N","cols=1;rows=1")</f>
        <v/>
      </c>
      <c r="D326" s="73">
        <f>[1]!wss($A326:$A326,"hks_stm_is","item=83","rptDate="&amp;($B326-2)&amp;"1231","rptType=1","currencyType=Cur=CNY","WssConvert=0","WssDivide=8","showcodes=N","cols=1;rows=1")</f>
        <v>1.99651</v>
      </c>
      <c r="E326" s="73">
        <f>[1]!wss($A326:$A326,"hks_stm_is","item=83","rptDate="&amp;($B326-1)&amp;"1231","rptType=1","currencyType=Cur=CNY","WssConvert=0","WssDivide=8","showcodes=N","cols=1;rows=1")</f>
        <v>0.11832000000000001</v>
      </c>
      <c r="F326" s="73" t="str">
        <f>[1]!wss($A326:$A326,"hks_stm_is","item=61","rptDate="&amp;($B326-3)&amp;"1231","rptType=1","currencyType=Cur=CNY","WssConvert=0","WssDivide=8","showcodes=N","cols=1;rows=1")</f>
        <v/>
      </c>
      <c r="G326" s="73">
        <f>[1]!wss($A326:$A326,"hks_stm_is","item=61","rptDate="&amp;($B326-2)&amp;"1231","rptType=1","currencyType=Cur=CNY","WssConvert=0","WssDivide=8","showcodes=N","cols=1;rows=1")</f>
        <v>0.12089</v>
      </c>
      <c r="H326" s="73">
        <f>[1]!wss($A326:$A326,"hks_stm_is","item=61","rptDate="&amp;($B326-1)&amp;"1231","rptType=1","currencyType=Cur=CNY","WssConvert=0","WssDivide=8","showcodes=N","cols=1;rows=1")</f>
        <v>-2.1140400000000001</v>
      </c>
      <c r="I326" s="73" t="str">
        <f>[1]!wss($A326:$A326,"hks_fa_grossprofitmargin","rptDate="&amp;($B326-3)&amp;"1231","WssConvert=0","showcodes=N","cols=1;rows=1")</f>
        <v/>
      </c>
      <c r="J326" s="43">
        <f>[1]!wss($A326:$A326,"hks_fa_grossprofitmargin","rptDate="&amp;($B326-2)&amp;"1231","WssConvert=0","showcodes=N","cols=1;rows=1")</f>
        <v>96.987700000000004</v>
      </c>
      <c r="K326" s="43">
        <f>[1]!wss($A326:$A326,"hks_fa_grossprofitmargin","rptDate="&amp;($B326-1)&amp;"1231","WssConvert=0","showcodes=N","cols=1;rows=1")</f>
        <v>29.4709</v>
      </c>
      <c r="L326" s="73">
        <f>[1]!wss($A326:$A326,"hks_fa_roe","rptDate="&amp;($B326-1)&amp;"1231","WssConvert=0","showcodes=N","cols=1;rows=1")</f>
        <v>-121.2895</v>
      </c>
      <c r="M326" s="43">
        <f>[1]!wss($A326:$A326,"hks_fa_debttoassets","rptDate="&amp;($B326-1)&amp;"1231","WssConvert=0","showcodes=N","cols=1;rows=1")</f>
        <v>80.664000000000001</v>
      </c>
      <c r="P326" s="50">
        <v>1.99651</v>
      </c>
      <c r="Q326" s="50">
        <v>0.11831999999999999</v>
      </c>
      <c r="R326" s="50">
        <v>1.0209600000000001</v>
      </c>
      <c r="S326" s="50">
        <v>0.12089</v>
      </c>
      <c r="T326" s="50">
        <v>-2.1140400000000001</v>
      </c>
      <c r="U326" s="50">
        <v>-3.5571799999999998</v>
      </c>
      <c r="V326" s="50">
        <v>96.987700000000004</v>
      </c>
      <c r="W326" s="50">
        <v>29.4709</v>
      </c>
      <c r="X326" s="50">
        <v>79.0227</v>
      </c>
    </row>
    <row r="327" spans="1:24">
      <c r="A327" t="s">
        <v>911</v>
      </c>
      <c r="B327" s="17">
        <f>IFERROR(YEAR(VLOOKUP($A327,'01_ipo_master'!$A:$C,3,FALSE)),YEAR(VLOOKUP("0"&amp;$A327,'01_ipo_master'!$A:$C,3,FALSE)))</f>
        <v>2022</v>
      </c>
      <c r="C327" s="73">
        <f>[1]!wss($A327:$A327,"hks_stm_is","item=83","rptDate="&amp;($B327-3)&amp;"1231","rptType=1","currencyType=Cur=CNY","WssConvert=0","WssDivide=8","showcodes=N","cols=1;rows=1")</f>
        <v>0.89675000000000005</v>
      </c>
      <c r="D327" s="73">
        <f>[1]!wss($A327:$A327,"hks_stm_is","item=83","rptDate="&amp;($B327-2)&amp;"1231","rptType=1","currencyType=Cur=CNY","WssConvert=0","WssDivide=8","showcodes=N","cols=1;rows=1")</f>
        <v>1.1306400000000001</v>
      </c>
      <c r="E327" s="73">
        <f>[1]!wss($A327:$A327,"hks_stm_is","item=83","rptDate="&amp;($B327-1)&amp;"1231","rptType=1","currencyType=Cur=CNY","WssConvert=0","WssDivide=8","showcodes=N","cols=1;rows=1")</f>
        <v>2.21766</v>
      </c>
      <c r="F327" s="73">
        <f>[1]!wss($A327:$A327,"hks_stm_is","item=61","rptDate="&amp;($B327-3)&amp;"1231","rptType=1","currencyType=Cur=CNY","WssConvert=0","WssDivide=8","showcodes=N","cols=1;rows=1")</f>
        <v>0.26416000000000001</v>
      </c>
      <c r="G327" s="73">
        <f>[1]!wss($A327:$A327,"hks_stm_is","item=61","rptDate="&amp;($B327-2)&amp;"1231","rptType=1","currencyType=Cur=CNY","WssConvert=0","WssDivide=8","showcodes=N","cols=1;rows=1")</f>
        <v>0.45779000000000003</v>
      </c>
      <c r="H327" s="73">
        <f>[1]!wss($A327:$A327,"hks_stm_is","item=61","rptDate="&amp;($B327-1)&amp;"1231","rptType=1","currencyType=Cur=CNY","WssConvert=0","WssDivide=8","showcodes=N","cols=1;rows=1")</f>
        <v>0.49985000000000002</v>
      </c>
      <c r="I327" s="73">
        <f>[1]!wss($A327:$A327,"hks_fa_grossprofitmargin","rptDate="&amp;($B327-3)&amp;"1231","WssConvert=0","showcodes=N","cols=1;rows=1")</f>
        <v>50.010100000000001</v>
      </c>
      <c r="J327" s="43">
        <f>[1]!wss($A327:$A327,"hks_fa_grossprofitmargin","rptDate="&amp;($B327-2)&amp;"1231","WssConvert=0","showcodes=N","cols=1;rows=1")</f>
        <v>67.121399999999994</v>
      </c>
      <c r="K327" s="43">
        <f>[1]!wss($A327:$A327,"hks_fa_grossprofitmargin","rptDate="&amp;($B327-1)&amp;"1231","WssConvert=0","showcodes=N","cols=1;rows=1")</f>
        <v>50.1965</v>
      </c>
      <c r="L327" s="73">
        <f>[1]!wss($A327:$A327,"hks_fa_roe","rptDate="&amp;($B327-1)&amp;"1231","WssConvert=0","showcodes=N","cols=1;rows=1")</f>
        <v>47.934800000000003</v>
      </c>
      <c r="M327" s="43">
        <f>[1]!wss($A327:$A327,"hks_fa_debttoassets","rptDate="&amp;($B327-1)&amp;"1231","WssConvert=0","showcodes=N","cols=1;rows=1")</f>
        <v>54.946199999999997</v>
      </c>
      <c r="P327" s="50">
        <v>1.9244300000000001</v>
      </c>
      <c r="Q327" s="50">
        <v>2.4464600000000001</v>
      </c>
      <c r="R327" s="50">
        <v>5.0359400000000001</v>
      </c>
      <c r="S327" s="50">
        <v>0.12558</v>
      </c>
      <c r="T327" s="50">
        <v>-0.37959999999999999</v>
      </c>
      <c r="U327" s="50">
        <v>-0.73212999999999995</v>
      </c>
      <c r="V327" s="50">
        <v>53.211500000000001</v>
      </c>
      <c r="W327" s="50">
        <v>26.8993</v>
      </c>
      <c r="X327" s="50">
        <v>8.8687000000000005</v>
      </c>
    </row>
    <row r="328" spans="1:24">
      <c r="A328" t="s">
        <v>913</v>
      </c>
      <c r="B328" s="17">
        <f>IFERROR(YEAR(VLOOKUP($A328,'01_ipo_master'!$A:$C,3,FALSE)),YEAR(VLOOKUP("0"&amp;$A328,'01_ipo_master'!$A:$C,3,FALSE)))</f>
        <v>2022</v>
      </c>
      <c r="C328" s="73">
        <f>[1]!wss($A328:$A328,"hks_stm_is","item=83","rptDate="&amp;($B328-3)&amp;"1231","rptType=1","currencyType=Cur=CNY","WssConvert=0","WssDivide=8","showcodes=N","cols=1;rows=1")</f>
        <v>3.1406100000000001</v>
      </c>
      <c r="D328" s="73">
        <f>[1]!wss($A328:$A328,"hks_stm_is","item=83","rptDate="&amp;($B328-2)&amp;"1231","rptType=1","currencyType=Cur=CNY","WssConvert=0","WssDivide=8","showcodes=N","cols=1;rows=1")</f>
        <v>3.2150600000000003</v>
      </c>
      <c r="E328" s="73">
        <f>[1]!wss($A328:$A328,"hks_stm_is","item=83","rptDate="&amp;($B328-1)&amp;"1231","rptType=1","currencyType=Cur=CNY","WssConvert=0","WssDivide=8","showcodes=N","cols=1;rows=1")</f>
        <v>3.7207400000000002</v>
      </c>
      <c r="F328" s="73">
        <f>[1]!wss($A328:$A328,"hks_stm_is","item=61","rptDate="&amp;($B328-3)&amp;"1231","rptType=1","currencyType=Cur=CNY","WssConvert=0","WssDivide=8","showcodes=N","cols=1;rows=1")</f>
        <v>0.34297</v>
      </c>
      <c r="G328" s="73">
        <f>[1]!wss($A328:$A328,"hks_stm_is","item=61","rptDate="&amp;($B328-2)&amp;"1231","rptType=1","currencyType=Cur=CNY","WssConvert=0","WssDivide=8","showcodes=N","cols=1;rows=1")</f>
        <v>0.42171000000000003</v>
      </c>
      <c r="H328" s="73">
        <f>[1]!wss($A328:$A328,"hks_stm_is","item=61","rptDate="&amp;($B328-1)&amp;"1231","rptType=1","currencyType=Cur=CNY","WssConvert=0","WssDivide=8","showcodes=N","cols=1;rows=1")</f>
        <v>0.35687000000000002</v>
      </c>
      <c r="I328" s="73">
        <f>[1]!wss($A328:$A328,"hks_fa_grossprofitmargin","rptDate="&amp;($B328-3)&amp;"1231","WssConvert=0","showcodes=N","cols=1;rows=1")</f>
        <v>21.0198</v>
      </c>
      <c r="J328" s="43">
        <f>[1]!wss($A328:$A328,"hks_fa_grossprofitmargin","rptDate="&amp;($B328-2)&amp;"1231","WssConvert=0","showcodes=N","cols=1;rows=1")</f>
        <v>22.023199999999999</v>
      </c>
      <c r="K328" s="43">
        <f>[1]!wss($A328:$A328,"hks_fa_grossprofitmargin","rptDate="&amp;($B328-1)&amp;"1231","WssConvert=0","showcodes=N","cols=1;rows=1")</f>
        <v>22.086600000000001</v>
      </c>
      <c r="L328" s="73">
        <f>[1]!wss($A328:$A328,"hks_fa_roe","rptDate="&amp;($B328-1)&amp;"1231","WssConvert=0","showcodes=N","cols=1;rows=1")</f>
        <v>34.956600000000002</v>
      </c>
      <c r="M328" s="43">
        <f>[1]!wss($A328:$A328,"hks_fa_debttoassets","rptDate="&amp;($B328-1)&amp;"1231","WssConvert=0","showcodes=N","cols=1;rows=1")</f>
        <v>65.615200000000002</v>
      </c>
      <c r="P328" s="50">
        <v>1.92249</v>
      </c>
      <c r="Q328" s="50">
        <v>1.1197699999999999</v>
      </c>
      <c r="R328" s="50">
        <v>1.0602499999999999</v>
      </c>
      <c r="S328" s="50">
        <v>-2.5600000000000001E-2</v>
      </c>
      <c r="T328" s="50">
        <v>-9.4899999999999998E-2</v>
      </c>
      <c r="U328" s="50">
        <v>-4.1000000000000002E-2</v>
      </c>
      <c r="V328" s="50">
        <v>9.2157999999999998</v>
      </c>
      <c r="W328" s="50">
        <v>2.9033000000000002</v>
      </c>
      <c r="X328" s="50">
        <v>10.803100000000001</v>
      </c>
    </row>
    <row r="329" spans="1:24">
      <c r="A329" t="s">
        <v>915</v>
      </c>
      <c r="B329" s="17">
        <f>IFERROR(YEAR(VLOOKUP($A329,'01_ipo_master'!$A:$C,3,FALSE)),YEAR(VLOOKUP("0"&amp;$A329,'01_ipo_master'!$A:$C,3,FALSE)))</f>
        <v>2025</v>
      </c>
      <c r="C329" s="73">
        <f>[1]!wss($A329:$A329,"hks_stm_is","item=83","rptDate="&amp;($B329-3)&amp;"1231","rptType=1","currencyType=Cur=CNY","WssConvert=0","WssDivide=8","showcodes=N","cols=1;rows=1")</f>
        <v>1.1528899928</v>
      </c>
      <c r="D329" s="73">
        <f>[1]!wss($A329:$A329,"hks_stm_is","item=83","rptDate="&amp;($B329-2)&amp;"1231","rptType=1","currencyType=Cur=CNY","WssConvert=0","WssDivide=8","showcodes=N","cols=1;rows=1")</f>
        <v>1.8830526624000001</v>
      </c>
      <c r="E329" s="73">
        <f>[1]!wss($A329:$A329,"hks_stm_is","item=83","rptDate="&amp;($B329-1)&amp;"1231","rptType=1","currencyType=Cur=CNY","WssConvert=0","WssDivide=8","showcodes=N","cols=1;rows=1")</f>
        <v>6.6742573524000006</v>
      </c>
      <c r="F329" s="73">
        <f>[1]!wss($A329:$A329,"hks_stm_is","item=61","rptDate="&amp;($B329-3)&amp;"1231","rptType=1","currencyType=Cur=CNY","WssConvert=0","WssDivide=8","showcodes=N","cols=1;rows=1")</f>
        <v>-5.2230032862</v>
      </c>
      <c r="G329" s="73">
        <f>[1]!wss($A329:$A329,"hks_stm_is","item=61","rptDate="&amp;($B329-2)&amp;"1231","rptType=1","currencyType=Cur=CNY","WssConvert=0","WssDivide=8","showcodes=N","cols=1;rows=1")</f>
        <v>-5.2598096264</v>
      </c>
      <c r="H329" s="73">
        <f>[1]!wss($A329:$A329,"hks_stm_is","item=61","rptDate="&amp;($B329-1)&amp;"1231","rptType=1","currencyType=Cur=CNY","WssConvert=0","WssDivide=8","showcodes=N","cols=1;rows=1")</f>
        <v>-11.010550777200001</v>
      </c>
      <c r="I329" s="73">
        <f>[1]!wss($A329:$A329,"hks_fa_grossprofitmargin","rptDate="&amp;($B329-3)&amp;"1231","WssConvert=0","showcodes=N","cols=1;rows=1")</f>
        <v>97.233199999999997</v>
      </c>
      <c r="J329" s="43">
        <f>[1]!wss($A329:$A329,"hks_fa_grossprofitmargin","rptDate="&amp;($B329-2)&amp;"1231","WssConvert=0","showcodes=N","cols=1;rows=1")</f>
        <v>94.017600000000002</v>
      </c>
      <c r="K329" s="43">
        <f>[1]!wss($A329:$A329,"hks_fa_grossprofitmargin","rptDate="&amp;($B329-1)&amp;"1231","WssConvert=0","showcodes=N","cols=1;rows=1")</f>
        <v>73.885099999999994</v>
      </c>
      <c r="L329" s="73" t="str">
        <f>[1]!wss($A329:$A329,"hks_fa_roe","rptDate="&amp;($B329-1)&amp;"1231","WssConvert=0","showcodes=N","cols=1;rows=1")</f>
        <v/>
      </c>
      <c r="M329" s="43">
        <f>[1]!wss($A329:$A329,"hks_fa_debttoassets","rptDate="&amp;($B329-1)&amp;"1231","WssConvert=0","showcodes=N","cols=1;rows=1")</f>
        <v>165.21549999999999</v>
      </c>
      <c r="P329" s="50">
        <v>1.8830526623999999</v>
      </c>
      <c r="Q329" s="50">
        <v>6.6742573523999997</v>
      </c>
      <c r="R329" s="50">
        <v>6.5311115623999996</v>
      </c>
      <c r="S329" s="50">
        <v>-5.2598096264</v>
      </c>
      <c r="T329" s="50">
        <v>-11.010550777200001</v>
      </c>
      <c r="U329" s="50">
        <v>-9.8168452784000007</v>
      </c>
      <c r="V329" s="50">
        <v>94.017600000000002</v>
      </c>
      <c r="W329" s="50">
        <v>73.885099999999994</v>
      </c>
      <c r="X329" s="50">
        <v>56.488700000000001</v>
      </c>
    </row>
    <row r="330" spans="1:24">
      <c r="A330" t="s">
        <v>917</v>
      </c>
      <c r="B330" s="17">
        <f>IFERROR(YEAR(VLOOKUP($A330,'01_ipo_master'!$A:$C,3,FALSE)),YEAR(VLOOKUP("0"&amp;$A330,'01_ipo_master'!$A:$C,3,FALSE)))</f>
        <v>2022</v>
      </c>
      <c r="C330" s="73">
        <f>[1]!wss($A330:$A330,"hks_stm_is","item=83","rptDate="&amp;($B330-3)&amp;"1231","rptType=1","currencyType=Cur=CNY","WssConvert=0","WssDivide=8","showcodes=N","cols=1;rows=1")</f>
        <v>1.7722027178999999</v>
      </c>
      <c r="D330" s="73">
        <f>[1]!wss($A330:$A330,"hks_stm_is","item=83","rptDate="&amp;($B330-2)&amp;"1231","rptType=1","currencyType=Cur=CNY","WssConvert=0","WssDivide=8","showcodes=N","cols=1;rows=1")</f>
        <v>1.9955390740000001</v>
      </c>
      <c r="E330" s="73">
        <f>[1]!wss($A330:$A330,"hks_stm_is","item=83","rptDate="&amp;($B330-1)&amp;"1231","rptType=1","currencyType=Cur=CNY","WssConvert=0","WssDivide=8","showcodes=N","cols=1;rows=1")</f>
        <v>1.8797479344000001</v>
      </c>
      <c r="F330" s="73">
        <f>[1]!wss($A330:$A330,"hks_stm_is","item=61","rptDate="&amp;($B330-3)&amp;"1231","rptType=1","currencyType=Cur=CNY","WssConvert=0","WssDivide=8","showcodes=N","cols=1;rows=1")</f>
        <v>0.25767153809999999</v>
      </c>
      <c r="G330" s="73">
        <f>[1]!wss($A330:$A330,"hks_stm_is","item=61","rptDate="&amp;($B330-2)&amp;"1231","rptType=1","currencyType=Cur=CNY","WssConvert=0","WssDivide=8","showcodes=N","cols=1;rows=1")</f>
        <v>0.24109801900000002</v>
      </c>
      <c r="H330" s="73">
        <f>[1]!wss($A330:$A330,"hks_stm_is","item=61","rptDate="&amp;($B330-1)&amp;"1231","rptType=1","currencyType=Cur=CNY","WssConvert=0","WssDivide=8","showcodes=N","cols=1;rows=1")</f>
        <v>0.30231243420000004</v>
      </c>
      <c r="I330" s="73" t="str">
        <f>[1]!wss($A330:$A330,"hks_fa_grossprofitmargin","rptDate="&amp;($B330-3)&amp;"1231","WssConvert=0","showcodes=N","cols=1;rows=1")</f>
        <v/>
      </c>
      <c r="J330" s="43" t="str">
        <f>[1]!wss($A330:$A330,"hks_fa_grossprofitmargin","rptDate="&amp;($B330-2)&amp;"1231","WssConvert=0","showcodes=N","cols=1;rows=1")</f>
        <v/>
      </c>
      <c r="K330" s="43" t="str">
        <f>[1]!wss($A330:$A330,"hks_fa_grossprofitmargin","rptDate="&amp;($B330-1)&amp;"1231","WssConvert=0","showcodes=N","cols=1;rows=1")</f>
        <v/>
      </c>
      <c r="L330" s="73">
        <f>[1]!wss($A330:$A330,"hks_fa_roe","rptDate="&amp;($B330-1)&amp;"1231","WssConvert=0","showcodes=N","cols=1;rows=1")</f>
        <v>35.202399999999997</v>
      </c>
      <c r="M330" s="43">
        <f>[1]!wss($A330:$A330,"hks_fa_debttoassets","rptDate="&amp;($B330-1)&amp;"1231","WssConvert=0","showcodes=N","cols=1;rows=1")</f>
        <v>31.2898</v>
      </c>
      <c r="P330" s="50">
        <v>1.8748568429000001</v>
      </c>
      <c r="Q330" s="50">
        <v>1.7317190065000001</v>
      </c>
      <c r="R330" s="50"/>
      <c r="S330" s="50">
        <v>-2.79343331E-2</v>
      </c>
      <c r="T330" s="50">
        <v>-0.68710144149999997</v>
      </c>
      <c r="U330" s="50"/>
      <c r="V330" s="50"/>
      <c r="W330" s="50"/>
      <c r="X330" s="50"/>
    </row>
    <row r="331" spans="1:24">
      <c r="A331" t="s">
        <v>919</v>
      </c>
      <c r="B331" s="17">
        <f>IFERROR(YEAR(VLOOKUP($A331,'01_ipo_master'!$A:$C,3,FALSE)),YEAR(VLOOKUP("0"&amp;$A331,'01_ipo_master'!$A:$C,3,FALSE)))</f>
        <v>2025</v>
      </c>
      <c r="C331" s="73">
        <f>[1]!wss($A331:$A331,"hks_stm_is","item=83","rptDate="&amp;($B331-3)&amp;"1231","rptType=1","currencyType=Cur=CNY","WssConvert=0","WssDivide=8","showcodes=N","cols=1;rows=1")</f>
        <v>1.4538500000000001</v>
      </c>
      <c r="D331" s="73">
        <f>[1]!wss($A331:$A331,"hks_stm_is","item=83","rptDate="&amp;($B331-2)&amp;"1231","rptType=1","currencyType=Cur=CNY","WssConvert=0","WssDivide=8","showcodes=N","cols=1;rows=1")</f>
        <v>1.7570300000000001</v>
      </c>
      <c r="E331" s="73">
        <f>[1]!wss($A331:$A331,"hks_stm_is","item=83","rptDate="&amp;($B331-1)&amp;"1231","rptType=1","currencyType=Cur=CNY","WssConvert=0","WssDivide=8","showcodes=N","cols=1;rows=1")</f>
        <v>2.2188300000000001</v>
      </c>
      <c r="F331" s="73">
        <f>[1]!wss($A331:$A331,"hks_stm_is","item=61","rptDate="&amp;($B331-3)&amp;"1231","rptType=1","currencyType=Cur=CNY","WssConvert=0","WssDivide=8","showcodes=N","cols=1;rows=1")</f>
        <v>0.50329999999999997</v>
      </c>
      <c r="G331" s="73">
        <f>[1]!wss($A331:$A331,"hks_stm_is","item=61","rptDate="&amp;($B331-2)&amp;"1231","rptType=1","currencyType=Cur=CNY","WssConvert=0","WssDivide=8","showcodes=N","cols=1;rows=1")</f>
        <v>0.55479000000000001</v>
      </c>
      <c r="H331" s="73">
        <f>[1]!wss($A331:$A331,"hks_stm_is","item=61","rptDate="&amp;($B331-1)&amp;"1231","rptType=1","currencyType=Cur=CNY","WssConvert=0","WssDivide=8","showcodes=N","cols=1;rows=1")</f>
        <v>0.53666000000000003</v>
      </c>
      <c r="I331" s="73">
        <f>[1]!wss($A331:$A331,"hks_fa_grossprofitmargin","rptDate="&amp;($B331-3)&amp;"1231","WssConvert=0","showcodes=N","cols=1;rows=1")</f>
        <v>65.602400000000003</v>
      </c>
      <c r="J331" s="43">
        <f>[1]!wss($A331:$A331,"hks_fa_grossprofitmargin","rptDate="&amp;($B331-2)&amp;"1231","WssConvert=0","showcodes=N","cols=1;rows=1")</f>
        <v>70.894599999999997</v>
      </c>
      <c r="K331" s="43">
        <f>[1]!wss($A331:$A331,"hks_fa_grossprofitmargin","rptDate="&amp;($B331-1)&amp;"1231","WssConvert=0","showcodes=N","cols=1;rows=1")</f>
        <v>68.412199999999999</v>
      </c>
      <c r="L331" s="73">
        <f>[1]!wss($A331:$A331,"hks_fa_roe","rptDate="&amp;($B331-1)&amp;"1231","WssConvert=0","showcodes=N","cols=1;rows=1")</f>
        <v>10.1999</v>
      </c>
      <c r="M331" s="43">
        <f>[1]!wss($A331:$A331,"hks_fa_debttoassets","rptDate="&amp;($B331-1)&amp;"1231","WssConvert=0","showcodes=N","cols=1;rows=1")</f>
        <v>16.505800000000001</v>
      </c>
      <c r="P331" s="50">
        <v>1.7570300000000001</v>
      </c>
      <c r="Q331" s="50">
        <v>2.2188300000000001</v>
      </c>
      <c r="R331" s="50">
        <v>2.6244700000000001</v>
      </c>
      <c r="S331" s="50">
        <v>0.55479000000000001</v>
      </c>
      <c r="T331" s="50">
        <v>0.53666000000000003</v>
      </c>
      <c r="U331" s="50">
        <v>0.56264999999999998</v>
      </c>
      <c r="V331" s="50">
        <v>70.894599999999997</v>
      </c>
      <c r="W331" s="50">
        <v>68.412199999999999</v>
      </c>
      <c r="X331" s="50">
        <v>53.542999999999999</v>
      </c>
    </row>
    <row r="332" spans="1:24">
      <c r="A332" t="s">
        <v>921</v>
      </c>
      <c r="B332" s="17">
        <f>IFERROR(YEAR(VLOOKUP($A332,'01_ipo_master'!$A:$C,3,FALSE)),YEAR(VLOOKUP("0"&amp;$A332,'01_ipo_master'!$A:$C,3,FALSE)))</f>
        <v>2026</v>
      </c>
      <c r="C332" s="73">
        <f>[1]!wss($A332:$A332,"hks_stm_is","item=83","rptDate="&amp;($B332-3)&amp;"1231","rptType=1","currencyType=Cur=CNY","WssConvert=0","WssDivide=8","showcodes=N","cols=1;rows=1")</f>
        <v>1.7538</v>
      </c>
      <c r="D332" s="73">
        <f>[1]!wss($A332:$A332,"hks_stm_is","item=83","rptDate="&amp;($B332-2)&amp;"1231","rptType=1","currencyType=Cur=CNY","WssConvert=0","WssDivide=8","showcodes=N","cols=1;rows=1")</f>
        <v>3.1044100000000001</v>
      </c>
      <c r="E332" s="73">
        <f>[1]!wss($A332:$A332,"hks_stm_is","item=83","rptDate="&amp;($B332-1)&amp;"1231","rptType=1","currencyType=Cur=CNY","WssConvert=0","WssDivide=8","showcodes=N","cols=1;rows=1")</f>
        <v>3.8686700000000003</v>
      </c>
      <c r="F332" s="73">
        <f>[1]!wss($A332:$A332,"hks_stm_is","item=61","rptDate="&amp;($B332-3)&amp;"1231","rptType=1","currencyType=Cur=CNY","WssConvert=0","WssDivide=8","showcodes=N","cols=1;rows=1")</f>
        <v>3.4509999999999999E-2</v>
      </c>
      <c r="G332" s="73">
        <f>[1]!wss($A332:$A332,"hks_stm_is","item=61","rptDate="&amp;($B332-2)&amp;"1231","rptType=1","currencyType=Cur=CNY","WssConvert=0","WssDivide=8","showcodes=N","cols=1;rows=1")</f>
        <v>0.17869000000000002</v>
      </c>
      <c r="H332" s="73">
        <f>[1]!wss($A332:$A332,"hks_stm_is","item=61","rptDate="&amp;($B332-1)&amp;"1231","rptType=1","currencyType=Cur=CNY","WssConvert=0","WssDivide=8","showcodes=N","cols=1;rows=1")</f>
        <v>-0.29916999999999999</v>
      </c>
      <c r="I332" s="73">
        <f>[1]!wss($A332:$A332,"hks_fa_grossprofitmargin","rptDate="&amp;($B332-3)&amp;"1231","WssConvert=0","showcodes=N","cols=1;rows=1")</f>
        <v>28.640699999999999</v>
      </c>
      <c r="J332" s="43">
        <f>[1]!wss($A332:$A332,"hks_fa_grossprofitmargin","rptDate="&amp;($B332-2)&amp;"1231","WssConvert=0","showcodes=N","cols=1;rows=1")</f>
        <v>34.284500000000001</v>
      </c>
      <c r="K332" s="43">
        <f>[1]!wss($A332:$A332,"hks_fa_grossprofitmargin","rptDate="&amp;($B332-1)&amp;"1231","WssConvert=0","showcodes=N","cols=1;rows=1")</f>
        <v>37.601799999999997</v>
      </c>
      <c r="L332" s="73">
        <f>[1]!wss($A332:$A332,"hks_fa_roe","rptDate="&amp;($B332-1)&amp;"1231","WssConvert=0","showcodes=N","cols=1;rows=1")</f>
        <v>-5.8638000000000003</v>
      </c>
      <c r="M332" s="43">
        <f>[1]!wss($A332:$A332,"hks_fa_debttoassets","rptDate="&amp;($B332-1)&amp;"1231","WssConvert=0","showcodes=N","cols=1;rows=1")</f>
        <v>21.574200000000001</v>
      </c>
      <c r="P332" s="50">
        <v>1.7538</v>
      </c>
      <c r="Q332" s="50">
        <v>3.1044100000000001</v>
      </c>
      <c r="R332" s="50">
        <v>3.8686699999999998</v>
      </c>
      <c r="S332" s="50">
        <v>3.4509999999999999E-2</v>
      </c>
      <c r="T332" s="50">
        <v>0.17868999999999999</v>
      </c>
      <c r="U332" s="50">
        <v>-0.29916999999999999</v>
      </c>
      <c r="V332" s="50">
        <v>28.640699999999999</v>
      </c>
      <c r="W332" s="50">
        <v>34.284500000000001</v>
      </c>
      <c r="X332" s="50">
        <v>37.601799999999997</v>
      </c>
    </row>
    <row r="333" spans="1:24">
      <c r="A333" t="s">
        <v>923</v>
      </c>
      <c r="B333" s="17">
        <f>IFERROR(YEAR(VLOOKUP($A333,'01_ipo_master'!$A:$C,3,FALSE)),YEAR(VLOOKUP("0"&amp;$A333,'01_ipo_master'!$A:$C,3,FALSE)))</f>
        <v>2025</v>
      </c>
      <c r="C333" s="73">
        <f>[1]!wss($A333:$A333,"hks_stm_is","item=83","rptDate="&amp;($B333-3)&amp;"1231","rptType=1","currencyType=Cur=CNY","WssConvert=0","WssDivide=8","showcodes=N","cols=1;rows=1")</f>
        <v>1.35379</v>
      </c>
      <c r="D333" s="73">
        <f>[1]!wss($A333:$A333,"hks_stm_is","item=83","rptDate="&amp;($B333-2)&amp;"1231","rptType=1","currencyType=Cur=CNY","WssConvert=0","WssDivide=8","showcodes=N","cols=1;rows=1")</f>
        <v>1.74536</v>
      </c>
      <c r="E333" s="73">
        <f>[1]!wss($A333:$A333,"hks_stm_is","item=83","rptDate="&amp;($B333-1)&amp;"1231","rptType=1","currencyType=Cur=CNY","WssConvert=0","WssDivide=8","showcodes=N","cols=1;rows=1")</f>
        <v>2.0613700000000001</v>
      </c>
      <c r="F333" s="73">
        <f>[1]!wss($A333:$A333,"hks_stm_is","item=61","rptDate="&amp;($B333-3)&amp;"1231","rptType=1","currencyType=Cur=CNY","WssConvert=0","WssDivide=8","showcodes=N","cols=1;rows=1")</f>
        <v>-0.20036999999999999</v>
      </c>
      <c r="G333" s="73">
        <f>[1]!wss($A333:$A333,"hks_stm_is","item=61","rptDate="&amp;($B333-2)&amp;"1231","rptType=1","currencyType=Cur=CNY","WssConvert=0","WssDivide=8","showcodes=N","cols=1;rows=1")</f>
        <v>-0.20328000000000002</v>
      </c>
      <c r="H333" s="73">
        <f>[1]!wss($A333:$A333,"hks_stm_is","item=61","rptDate="&amp;($B333-1)&amp;"1231","rptType=1","currencyType=Cur=CNY","WssConvert=0","WssDivide=8","showcodes=N","cols=1;rows=1")</f>
        <v>-0.26138</v>
      </c>
      <c r="I333" s="73">
        <f>[1]!wss($A333:$A333,"hks_fa_grossprofitmargin","rptDate="&amp;($B333-3)&amp;"1231","WssConvert=0","showcodes=N","cols=1;rows=1")</f>
        <v>72.981800000000007</v>
      </c>
      <c r="J333" s="43">
        <f>[1]!wss($A333:$A333,"hks_fa_grossprofitmargin","rptDate="&amp;($B333-2)&amp;"1231","WssConvert=0","showcodes=N","cols=1;rows=1")</f>
        <v>76.341800000000006</v>
      </c>
      <c r="K333" s="43">
        <f>[1]!wss($A333:$A333,"hks_fa_grossprofitmargin","rptDate="&amp;($B333-1)&amp;"1231","WssConvert=0","showcodes=N","cols=1;rows=1")</f>
        <v>76.379800000000003</v>
      </c>
      <c r="L333" s="73" t="str">
        <f>[1]!wss($A333:$A333,"hks_fa_roe","rptDate="&amp;($B333-1)&amp;"1231","WssConvert=0","showcodes=N","cols=1;rows=1")</f>
        <v/>
      </c>
      <c r="M333" s="43">
        <f>[1]!wss($A333:$A333,"hks_fa_debttoassets","rptDate="&amp;($B333-1)&amp;"1231","WssConvert=0","showcodes=N","cols=1;rows=1")</f>
        <v>239.2236</v>
      </c>
      <c r="P333" s="50">
        <v>1.74536</v>
      </c>
      <c r="Q333" s="50">
        <v>2.0613700000000001</v>
      </c>
      <c r="R333" s="50">
        <v>2.0631300000000001</v>
      </c>
      <c r="S333" s="50">
        <v>-0.20327999999999999</v>
      </c>
      <c r="T333" s="50">
        <v>-0.26138</v>
      </c>
      <c r="U333" s="50">
        <v>-1.27569</v>
      </c>
      <c r="V333" s="50">
        <v>76.341800000000006</v>
      </c>
      <c r="W333" s="50">
        <v>76.379800000000003</v>
      </c>
      <c r="X333" s="50">
        <v>77.485200000000006</v>
      </c>
    </row>
    <row r="334" spans="1:24">
      <c r="A334" t="s">
        <v>925</v>
      </c>
      <c r="B334" s="17">
        <f>IFERROR(YEAR(VLOOKUP($A334,'01_ipo_master'!$A:$C,3,FALSE)),YEAR(VLOOKUP("0"&amp;$A334,'01_ipo_master'!$A:$C,3,FALSE)))</f>
        <v>2024</v>
      </c>
      <c r="C334" s="73">
        <f>[1]!wss($A334:$A334,"hks_stm_is","item=83","rptDate="&amp;($B334-3)&amp;"1231","rptType=1","currencyType=Cur=CNY","WssConvert=0","WssDivide=8","showcodes=N","cols=1;rows=1")</f>
        <v>0.62799000000000005</v>
      </c>
      <c r="D334" s="73">
        <f>[1]!wss($A334:$A334,"hks_stm_is","item=83","rptDate="&amp;($B334-2)&amp;"1231","rptType=1","currencyType=Cur=CNY","WssConvert=0","WssDivide=8","showcodes=N","cols=1;rows=1")</f>
        <v>1.3335300000000001</v>
      </c>
      <c r="E334" s="73">
        <f>[1]!wss($A334:$A334,"hks_stm_is","item=83","rptDate="&amp;($B334-1)&amp;"1231","rptType=1","currencyType=Cur=CNY","WssConvert=0","WssDivide=8","showcodes=N","cols=1;rows=1")</f>
        <v>1.7442</v>
      </c>
      <c r="F334" s="73">
        <f>[1]!wss($A334:$A334,"hks_stm_is","item=61","rptDate="&amp;($B334-3)&amp;"1231","rptType=1","currencyType=Cur=CNY","WssConvert=0","WssDivide=8","showcodes=N","cols=1;rows=1")</f>
        <v>-21.372880000000002</v>
      </c>
      <c r="G334" s="73">
        <f>[1]!wss($A334:$A334,"hks_stm_is","item=61","rptDate="&amp;($B334-2)&amp;"1231","rptType=1","currencyType=Cur=CNY","WssConvert=0","WssDivide=8","showcodes=N","cols=1;rows=1")</f>
        <v>-14.385070000000001</v>
      </c>
      <c r="H334" s="73">
        <f>[1]!wss($A334:$A334,"hks_stm_is","item=61","rptDate="&amp;($B334-1)&amp;"1231","rptType=1","currencyType=Cur=CNY","WssConvert=0","WssDivide=8","showcodes=N","cols=1;rows=1")</f>
        <v>-19.143840000000001</v>
      </c>
      <c r="I334" s="73">
        <f>[1]!wss($A334:$A334,"hks_fa_grossprofitmargin","rptDate="&amp;($B334-3)&amp;"1231","WssConvert=0","showcodes=N","cols=1;rows=1")</f>
        <v>52.206200000000003</v>
      </c>
      <c r="J334" s="43">
        <f>[1]!wss($A334:$A334,"hks_fa_grossprofitmargin","rptDate="&amp;($B334-2)&amp;"1231","WssConvert=0","showcodes=N","cols=1;rows=1")</f>
        <v>49.557899999999997</v>
      </c>
      <c r="K334" s="43">
        <f>[1]!wss($A334:$A334,"hks_fa_grossprofitmargin","rptDate="&amp;($B334-1)&amp;"1231","WssConvert=0","showcodes=N","cols=1;rows=1")</f>
        <v>27.6585</v>
      </c>
      <c r="L334" s="73" t="str">
        <f>[1]!wss($A334:$A334,"hks_fa_roe","rptDate="&amp;($B334-1)&amp;"1231","WssConvert=0","showcodes=N","cols=1;rows=1")</f>
        <v/>
      </c>
      <c r="M334" s="43">
        <f>[1]!wss($A334:$A334,"hks_fa_debttoassets","rptDate="&amp;($B334-1)&amp;"1231","WssConvert=0","showcodes=N","cols=1;rows=1")</f>
        <v>280.77339999999998</v>
      </c>
      <c r="P334" s="50">
        <v>1.7442</v>
      </c>
      <c r="Q334" s="50">
        <v>2.6643300000000001</v>
      </c>
      <c r="R334" s="50">
        <v>8.02623</v>
      </c>
      <c r="S334" s="50">
        <v>-19.143840000000001</v>
      </c>
      <c r="T334" s="50">
        <v>-15.16606</v>
      </c>
      <c r="U334" s="50">
        <v>1.2374700000000001</v>
      </c>
      <c r="V334" s="50">
        <v>27.6585</v>
      </c>
      <c r="W334" s="50">
        <v>46.325299999999999</v>
      </c>
      <c r="X334" s="50">
        <v>69.668800000000005</v>
      </c>
    </row>
    <row r="335" spans="1:24">
      <c r="A335" t="s">
        <v>927</v>
      </c>
      <c r="B335" s="17">
        <f>IFERROR(YEAR(VLOOKUP($A335,'01_ipo_master'!$A:$C,3,FALSE)),YEAR(VLOOKUP("0"&amp;$A335,'01_ipo_master'!$A:$C,3,FALSE)))</f>
        <v>2024</v>
      </c>
      <c r="C335" s="73">
        <f>[1]!wss($A335:$A335,"hks_stm_is","item=83","rptDate="&amp;($B335-3)&amp;"1231","rptType=1","currencyType=Cur=CNY","WssConvert=0","WssDivide=8","showcodes=N","cols=1;rows=1")</f>
        <v>1.2001500000000001</v>
      </c>
      <c r="D335" s="73">
        <f>[1]!wss($A335:$A335,"hks_stm_is","item=83","rptDate="&amp;($B335-2)&amp;"1231","rptType=1","currencyType=Cur=CNY","WssConvert=0","WssDivide=8","showcodes=N","cols=1;rows=1")</f>
        <v>1.4843999999999999</v>
      </c>
      <c r="E335" s="73">
        <f>[1]!wss($A335:$A335,"hks_stm_is","item=83","rptDate="&amp;($B335-1)&amp;"1231","rptType=1","currencyType=Cur=CNY","WssConvert=0","WssDivide=8","showcodes=N","cols=1;rows=1")</f>
        <v>1.74011</v>
      </c>
      <c r="F335" s="73">
        <f>[1]!wss($A335:$A335,"hks_stm_is","item=61","rptDate="&amp;($B335-3)&amp;"1231","rptType=1","currencyType=Cur=CNY","WssConvert=0","WssDivide=8","showcodes=N","cols=1;rows=1")</f>
        <v>0.27046999999999999</v>
      </c>
      <c r="G335" s="73">
        <f>[1]!wss($A335:$A335,"hks_stm_is","item=61","rptDate="&amp;($B335-2)&amp;"1231","rptType=1","currencyType=Cur=CNY","WssConvert=0","WssDivide=8","showcodes=N","cols=1;rows=1")</f>
        <v>0.37775999999999998</v>
      </c>
      <c r="H335" s="73">
        <f>[1]!wss($A335:$A335,"hks_stm_is","item=61","rptDate="&amp;($B335-1)&amp;"1231","rptType=1","currencyType=Cur=CNY","WssConvert=0","WssDivide=8","showcodes=N","cols=1;rows=1")</f>
        <v>0.40372000000000002</v>
      </c>
      <c r="I335" s="73">
        <f>[1]!wss($A335:$A335,"hks_fa_grossprofitmargin","rptDate="&amp;($B335-3)&amp;"1231","WssConvert=0","showcodes=N","cols=1;rows=1")</f>
        <v>40.049500000000002</v>
      </c>
      <c r="J335" s="43">
        <f>[1]!wss($A335:$A335,"hks_fa_grossprofitmargin","rptDate="&amp;($B335-2)&amp;"1231","WssConvert=0","showcodes=N","cols=1;rows=1")</f>
        <v>45.323399999999999</v>
      </c>
      <c r="K335" s="43">
        <f>[1]!wss($A335:$A335,"hks_fa_grossprofitmargin","rptDate="&amp;($B335-1)&amp;"1231","WssConvert=0","showcodes=N","cols=1;rows=1")</f>
        <v>42.820900000000002</v>
      </c>
      <c r="L335" s="73">
        <f>[1]!wss($A335:$A335,"hks_fa_roe","rptDate="&amp;($B335-1)&amp;"1231","WssConvert=0","showcodes=N","cols=1;rows=1")</f>
        <v>12.2553</v>
      </c>
      <c r="M335" s="43">
        <f>[1]!wss($A335:$A335,"hks_fa_debttoassets","rptDate="&amp;($B335-1)&amp;"1231","WssConvert=0","showcodes=N","cols=1;rows=1")</f>
        <v>6.8555000000000001</v>
      </c>
      <c r="P335" s="50">
        <v>1.74011</v>
      </c>
      <c r="Q335" s="50">
        <v>2.0582699999999998</v>
      </c>
      <c r="R335" s="50">
        <v>2.4805100000000002</v>
      </c>
      <c r="S335" s="50">
        <v>0.40372000000000002</v>
      </c>
      <c r="T335" s="50">
        <v>0.46656999999999998</v>
      </c>
      <c r="U335" s="50">
        <v>0.51700000000000002</v>
      </c>
      <c r="V335" s="50">
        <v>42.820900000000002</v>
      </c>
      <c r="W335" s="50">
        <v>38.298200000000001</v>
      </c>
      <c r="X335" s="50">
        <v>36.636000000000003</v>
      </c>
    </row>
    <row r="336" spans="1:24">
      <c r="A336" t="s">
        <v>929</v>
      </c>
      <c r="B336" s="17">
        <f>IFERROR(YEAR(VLOOKUP($A336,'01_ipo_master'!$A:$C,3,FALSE)),YEAR(VLOOKUP("0"&amp;$A336,'01_ipo_master'!$A:$C,3,FALSE)))</f>
        <v>2024</v>
      </c>
      <c r="C336" s="73">
        <f>[1]!wss($A336:$A336,"hks_stm_is","item=83","rptDate="&amp;($B336-3)&amp;"1231","rptType=1","currencyType=Cur=CNY","WssConvert=0","WssDivide=8","showcodes=N","cols=1;rows=1")</f>
        <v>1.6593600800000003</v>
      </c>
      <c r="D336" s="73">
        <f>[1]!wss($A336:$A336,"hks_stm_is","item=83","rptDate="&amp;($B336-2)&amp;"1231","rptType=1","currencyType=Cur=CNY","WssConvert=0","WssDivide=8","showcodes=N","cols=1;rows=1")</f>
        <v>2.3008670006000003</v>
      </c>
      <c r="E336" s="73">
        <f>[1]!wss($A336:$A336,"hks_stm_is","item=83","rptDate="&amp;($B336-1)&amp;"1231","rptType=1","currencyType=Cur=CNY","WssConvert=0","WssDivide=8","showcodes=N","cols=1;rows=1")</f>
        <v>1.7131817234</v>
      </c>
      <c r="F336" s="73">
        <f>[1]!wss($A336:$A336,"hks_stm_is","item=61","rptDate="&amp;($B336-3)&amp;"1231","rptType=1","currencyType=Cur=CNY","WssConvert=0","WssDivide=8","showcodes=N","cols=1;rows=1")</f>
        <v>0.21581369600000003</v>
      </c>
      <c r="G336" s="73">
        <f>[1]!wss($A336:$A336,"hks_stm_is","item=61","rptDate="&amp;($B336-2)&amp;"1231","rptType=1","currencyType=Cur=CNY","WssConvert=0","WssDivide=8","showcodes=N","cols=1;rows=1")</f>
        <v>0.19471499460000002</v>
      </c>
      <c r="H336" s="73">
        <f>[1]!wss($A336:$A336,"hks_stm_is","item=61","rptDate="&amp;($B336-1)&amp;"1231","rptType=1","currencyType=Cur=CNY","WssConvert=0","WssDivide=8","showcodes=N","cols=1;rows=1")</f>
        <v>4.5655363600000005E-2</v>
      </c>
      <c r="I336" s="73">
        <f>[1]!wss($A336:$A336,"hks_fa_grossprofitmargin","rptDate="&amp;($B336-3)&amp;"1231","WssConvert=0","showcodes=N","cols=1;rows=1")</f>
        <v>42.708500000000001</v>
      </c>
      <c r="J336" s="43">
        <f>[1]!wss($A336:$A336,"hks_fa_grossprofitmargin","rptDate="&amp;($B336-2)&amp;"1231","WssConvert=0","showcodes=N","cols=1;rows=1")</f>
        <v>39.554299999999998</v>
      </c>
      <c r="K336" s="43">
        <f>[1]!wss($A336:$A336,"hks_fa_grossprofitmargin","rptDate="&amp;($B336-1)&amp;"1231","WssConvert=0","showcodes=N","cols=1;rows=1")</f>
        <v>38.090899999999998</v>
      </c>
      <c r="L336" s="73">
        <f>[1]!wss($A336:$A336,"hks_fa_roe","rptDate="&amp;($B336-1)&amp;"1231","WssConvert=0","showcodes=N","cols=1;rows=1")</f>
        <v>8.5996000000000006</v>
      </c>
      <c r="M336" s="43">
        <f>[1]!wss($A336:$A336,"hks_fa_debttoassets","rptDate="&amp;($B336-1)&amp;"1231","WssConvert=0","showcodes=N","cols=1;rows=1")</f>
        <v>70.051400000000001</v>
      </c>
      <c r="P336" s="50">
        <v>1.7131817234</v>
      </c>
      <c r="Q336" s="50">
        <v>1.5100749071999999</v>
      </c>
      <c r="R336" s="50">
        <v>1.8040554992</v>
      </c>
      <c r="S336" s="50">
        <v>4.5655363599999998E-2</v>
      </c>
      <c r="T336" s="50">
        <v>-0.2146838532</v>
      </c>
      <c r="U336" s="50">
        <v>0.11565732099999999</v>
      </c>
      <c r="V336" s="50">
        <v>38.090899999999998</v>
      </c>
      <c r="W336" s="50">
        <v>34.468400000000003</v>
      </c>
      <c r="X336" s="50">
        <v>37.726799999999997</v>
      </c>
    </row>
    <row r="337" spans="1:24">
      <c r="A337" t="s">
        <v>931</v>
      </c>
      <c r="B337" s="17">
        <f>IFERROR(YEAR(VLOOKUP($A337,'01_ipo_master'!$A:$C,3,FALSE)),YEAR(VLOOKUP("0"&amp;$A337,'01_ipo_master'!$A:$C,3,FALSE)))</f>
        <v>2025</v>
      </c>
      <c r="C337" s="73">
        <f>[1]!wss($A337:$A337,"hks_stm_is","item=83","rptDate="&amp;($B337-3)&amp;"1231","rptType=1","currencyType=Cur=CNY","WssConvert=0","WssDivide=8","showcodes=N","cols=1;rows=1")</f>
        <v>1.2368412942660001</v>
      </c>
      <c r="D337" s="73">
        <f>[1]!wss($A337:$A337,"hks_stm_is","item=83","rptDate="&amp;($B337-2)&amp;"1231","rptType=1","currencyType=Cur=CNY","WssConvert=0","WssDivide=8","showcodes=N","cols=1;rows=1")</f>
        <v>1.712951915751</v>
      </c>
      <c r="E337" s="73">
        <f>[1]!wss($A337:$A337,"hks_stm_is","item=83","rptDate="&amp;($B337-1)&amp;"1231","rptType=1","currencyType=Cur=CNY","WssConvert=0","WssDivide=8","showcodes=N","cols=1;rows=1")</f>
        <v>1.4579998097</v>
      </c>
      <c r="F337" s="73">
        <f>[1]!wss($A337:$A337,"hks_stm_is","item=61","rptDate="&amp;($B337-3)&amp;"1231","rptType=1","currencyType=Cur=CNY","WssConvert=0","WssDivide=8","showcodes=N","cols=1;rows=1")</f>
        <v>-3.9448617789980007</v>
      </c>
      <c r="G337" s="73">
        <f>[1]!wss($A337:$A337,"hks_stm_is","item=61","rptDate="&amp;($B337-2)&amp;"1231","rptType=1","currencyType=Cur=CNY","WssConvert=0","WssDivide=8","showcodes=N","cols=1;rows=1")</f>
        <v>-4.9030014831180004</v>
      </c>
      <c r="H337" s="73">
        <f>[1]!wss($A337:$A337,"hks_stm_is","item=61","rptDate="&amp;($B337-1)&amp;"1231","rptType=1","currencyType=Cur=CNY","WssConvert=0","WssDivide=8","showcodes=N","cols=1;rows=1")</f>
        <v>-6.6368337804640012</v>
      </c>
      <c r="I337" s="73">
        <f>[1]!wss($A337:$A337,"hks_fa_grossprofitmargin","rptDate="&amp;($B337-3)&amp;"1231","WssConvert=0","showcodes=N","cols=1;rows=1")</f>
        <v>52.516399999999997</v>
      </c>
      <c r="J337" s="43">
        <f>[1]!wss($A337:$A337,"hks_fa_grossprofitmargin","rptDate="&amp;($B337-2)&amp;"1231","WssConvert=0","showcodes=N","cols=1;rows=1")</f>
        <v>56.158700000000003</v>
      </c>
      <c r="K337" s="43">
        <f>[1]!wss($A337:$A337,"hks_fa_grossprofitmargin","rptDate="&amp;($B337-1)&amp;"1231","WssConvert=0","showcodes=N","cols=1;rows=1")</f>
        <v>43.815800000000003</v>
      </c>
      <c r="L337" s="73" t="str">
        <f>[1]!wss($A337:$A337,"hks_fa_roe","rptDate="&amp;($B337-1)&amp;"1231","WssConvert=0","showcodes=N","cols=1;rows=1")</f>
        <v/>
      </c>
      <c r="M337" s="43">
        <f>[1]!wss($A337:$A337,"hks_fa_debttoassets","rptDate="&amp;($B337-1)&amp;"1231","WssConvert=0","showcodes=N","cols=1;rows=1")</f>
        <v>377.82589999999999</v>
      </c>
      <c r="P337" s="50">
        <v>1.712951915751</v>
      </c>
      <c r="Q337" s="50">
        <v>1.4579998097</v>
      </c>
      <c r="R337" s="50"/>
      <c r="S337" s="50">
        <v>-4.9030014831180004</v>
      </c>
      <c r="T337" s="50">
        <v>-6.6368337804640003</v>
      </c>
      <c r="U337" s="50"/>
      <c r="V337" s="50">
        <v>56.158700000000003</v>
      </c>
      <c r="W337" s="50">
        <v>43.815800000000003</v>
      </c>
      <c r="X337" s="50"/>
    </row>
    <row r="338" spans="1:24">
      <c r="A338" t="s">
        <v>933</v>
      </c>
      <c r="B338" s="17">
        <f>IFERROR(YEAR(VLOOKUP($A338,'01_ipo_master'!$A:$C,3,FALSE)),YEAR(VLOOKUP("0"&amp;$A338,'01_ipo_master'!$A:$C,3,FALSE)))</f>
        <v>2024</v>
      </c>
      <c r="C338" s="73">
        <f>[1]!wss($A338:$A338,"hks_stm_is","item=83","rptDate="&amp;($B338-3)&amp;"1231","rptType=1","currencyType=Cur=CNY","WssConvert=0","WssDivide=8","showcodes=N","cols=1;rows=1")</f>
        <v>1.55586</v>
      </c>
      <c r="D338" s="73">
        <f>[1]!wss($A338:$A338,"hks_stm_is","item=83","rptDate="&amp;($B338-2)&amp;"1231","rptType=1","currencyType=Cur=CNY","WssConvert=0","WssDivide=8","showcodes=N","cols=1;rows=1")</f>
        <v>1.2733399999999999</v>
      </c>
      <c r="E338" s="73">
        <f>[1]!wss($A338:$A338,"hks_stm_is","item=83","rptDate="&amp;($B338-1)&amp;"1231","rptType=1","currencyType=Cur=CNY","WssConvert=0","WssDivide=8","showcodes=N","cols=1;rows=1")</f>
        <v>1.585</v>
      </c>
      <c r="F338" s="73">
        <f>[1]!wss($A338:$A338,"hks_stm_is","item=61","rptDate="&amp;($B338-3)&amp;"1231","rptType=1","currencyType=Cur=CNY","WssConvert=0","WssDivide=8","showcodes=N","cols=1;rows=1")</f>
        <v>0.47303000000000001</v>
      </c>
      <c r="G338" s="73">
        <f>[1]!wss($A338:$A338,"hks_stm_is","item=61","rptDate="&amp;($B338-2)&amp;"1231","rptType=1","currencyType=Cur=CNY","WssConvert=0","WssDivide=8","showcodes=N","cols=1;rows=1")</f>
        <v>0.31812000000000001</v>
      </c>
      <c r="H338" s="73">
        <f>[1]!wss($A338:$A338,"hks_stm_is","item=61","rptDate="&amp;($B338-1)&amp;"1231","rptType=1","currencyType=Cur=CNY","WssConvert=0","WssDivide=8","showcodes=N","cols=1;rows=1")</f>
        <v>0.49230000000000002</v>
      </c>
      <c r="I338" s="73">
        <f>[1]!wss($A338:$A338,"hks_fa_grossprofitmargin","rptDate="&amp;($B338-3)&amp;"1231","WssConvert=0","showcodes=N","cols=1;rows=1")</f>
        <v>42.448999999999998</v>
      </c>
      <c r="J338" s="43">
        <f>[1]!wss($A338:$A338,"hks_fa_grossprofitmargin","rptDate="&amp;($B338-2)&amp;"1231","WssConvert=0","showcodes=N","cols=1;rows=1")</f>
        <v>41.469200000000001</v>
      </c>
      <c r="K338" s="43">
        <f>[1]!wss($A338:$A338,"hks_fa_grossprofitmargin","rptDate="&amp;($B338-1)&amp;"1231","WssConvert=0","showcodes=N","cols=1;rows=1")</f>
        <v>43.414400000000001</v>
      </c>
      <c r="L338" s="73">
        <f>[1]!wss($A338:$A338,"hks_fa_roe","rptDate="&amp;($B338-1)&amp;"1231","WssConvert=0","showcodes=N","cols=1;rows=1")</f>
        <v>15.6266</v>
      </c>
      <c r="M338" s="43">
        <f>[1]!wss($A338:$A338,"hks_fa_debttoassets","rptDate="&amp;($B338-1)&amp;"1231","WssConvert=0","showcodes=N","cols=1;rows=1")</f>
        <v>9.8025000000000002</v>
      </c>
      <c r="P338" s="50">
        <v>1.585</v>
      </c>
      <c r="Q338" s="50">
        <v>1.82247</v>
      </c>
      <c r="R338" s="50">
        <v>1.9102600000000001</v>
      </c>
      <c r="S338" s="50">
        <v>0.49230000000000002</v>
      </c>
      <c r="T338" s="50">
        <v>0.51754</v>
      </c>
      <c r="U338" s="50">
        <v>0.63385000000000002</v>
      </c>
      <c r="V338" s="50">
        <v>43.414400000000001</v>
      </c>
      <c r="W338" s="50">
        <v>42.432499999999997</v>
      </c>
      <c r="X338" s="50">
        <v>44.244199999999999</v>
      </c>
    </row>
    <row r="339" spans="1:24">
      <c r="A339" t="s">
        <v>935</v>
      </c>
      <c r="B339" s="17">
        <f>IFERROR(YEAR(VLOOKUP($A339,'01_ipo_master'!$A:$C,3,FALSE)),YEAR(VLOOKUP("0"&amp;$A339,'01_ipo_master'!$A:$C,3,FALSE)))</f>
        <v>2022</v>
      </c>
      <c r="C339" s="73">
        <f>[1]!wss($A339:$A339,"hks_stm_is","item=83","rptDate="&amp;($B339-3)&amp;"1231","rptType=1","currencyType=Cur=CNY","WssConvert=0","WssDivide=8","showcodes=N","cols=1;rows=1")</f>
        <v>1.4088499999999999</v>
      </c>
      <c r="D339" s="73">
        <f>[1]!wss($A339:$A339,"hks_stm_is","item=83","rptDate="&amp;($B339-2)&amp;"1231","rptType=1","currencyType=Cur=CNY","WssConvert=0","WssDivide=8","showcodes=N","cols=1;rows=1")</f>
        <v>1.84439</v>
      </c>
      <c r="E339" s="73">
        <f>[1]!wss($A339:$A339,"hks_stm_is","item=83","rptDate="&amp;($B339-1)&amp;"1231","rptType=1","currencyType=Cur=CNY","WssConvert=0","WssDivide=8","showcodes=N","cols=1;rows=1")</f>
        <v>2.1130400000000003</v>
      </c>
      <c r="F339" s="73">
        <f>[1]!wss($A339:$A339,"hks_stm_is","item=61","rptDate="&amp;($B339-3)&amp;"1231","rptType=1","currencyType=Cur=CNY","WssConvert=0","WssDivide=8","showcodes=N","cols=1;rows=1")</f>
        <v>0.22323999999999999</v>
      </c>
      <c r="G339" s="73">
        <f>[1]!wss($A339:$A339,"hks_stm_is","item=61","rptDate="&amp;($B339-2)&amp;"1231","rptType=1","currencyType=Cur=CNY","WssConvert=0","WssDivide=8","showcodes=N","cols=1;rows=1")</f>
        <v>0.29043000000000002</v>
      </c>
      <c r="H339" s="73">
        <f>[1]!wss($A339:$A339,"hks_stm_is","item=61","rptDate="&amp;($B339-1)&amp;"1231","rptType=1","currencyType=Cur=CNY","WssConvert=0","WssDivide=8","showcodes=N","cols=1;rows=1")</f>
        <v>0.22935</v>
      </c>
      <c r="I339" s="73">
        <f>[1]!wss($A339:$A339,"hks_fa_grossprofitmargin","rptDate="&amp;($B339-3)&amp;"1231","WssConvert=0","showcodes=N","cols=1;rows=1")</f>
        <v>32.959299999999999</v>
      </c>
      <c r="J339" s="43">
        <f>[1]!wss($A339:$A339,"hks_fa_grossprofitmargin","rptDate="&amp;($B339-2)&amp;"1231","WssConvert=0","showcodes=N","cols=1;rows=1")</f>
        <v>33.3857</v>
      </c>
      <c r="K339" s="43">
        <f>[1]!wss($A339:$A339,"hks_fa_grossprofitmargin","rptDate="&amp;($B339-1)&amp;"1231","WssConvert=0","showcodes=N","cols=1;rows=1")</f>
        <v>35.863399999999999</v>
      </c>
      <c r="L339" s="73">
        <f>[1]!wss($A339:$A339,"hks_fa_roe","rptDate="&amp;($B339-1)&amp;"1231","WssConvert=0","showcodes=N","cols=1;rows=1")</f>
        <v>17.585699999999999</v>
      </c>
      <c r="M339" s="43">
        <f>[1]!wss($A339:$A339,"hks_fa_debttoassets","rptDate="&amp;($B339-1)&amp;"1231","WssConvert=0","showcodes=N","cols=1;rows=1")</f>
        <v>20.333600000000001</v>
      </c>
      <c r="P339" s="50">
        <v>1.56105</v>
      </c>
      <c r="Q339" s="50">
        <v>1.5573999999999999</v>
      </c>
      <c r="R339" s="50">
        <v>0.88446999999999998</v>
      </c>
      <c r="S339" s="50">
        <v>0.27567000000000003</v>
      </c>
      <c r="T339" s="50">
        <v>0.17204</v>
      </c>
      <c r="U339" s="50">
        <v>-0.29715999999999998</v>
      </c>
      <c r="V339" s="50">
        <v>54.721499999999999</v>
      </c>
      <c r="W339" s="50">
        <v>40.314599999999999</v>
      </c>
      <c r="X339" s="50">
        <v>25.017199999999999</v>
      </c>
    </row>
    <row r="340" spans="1:24">
      <c r="A340" t="s">
        <v>937</v>
      </c>
      <c r="B340" s="17">
        <f>IFERROR(YEAR(VLOOKUP($A340,'01_ipo_master'!$A:$C,3,FALSE)),YEAR(VLOOKUP("0"&amp;$A340,'01_ipo_master'!$A:$C,3,FALSE)))</f>
        <v>2023</v>
      </c>
      <c r="C340" s="73">
        <f>[1]!wss($A340:$A340,"hks_stm_is","item=83","rptDate="&amp;($B340-3)&amp;"1231","rptType=1","currencyType=Cur=CNY","WssConvert=0","WssDivide=8","showcodes=N","cols=1;rows=1")</f>
        <v>0.76387004299999994</v>
      </c>
      <c r="D340" s="73">
        <f>[1]!wss($A340:$A340,"hks_stm_is","item=83","rptDate="&amp;($B340-2)&amp;"1231","rptType=1","currencyType=Cur=CNY","WssConvert=0","WssDivide=8","showcodes=N","cols=1;rows=1")</f>
        <v>0.91465792200000007</v>
      </c>
      <c r="E340" s="73">
        <f>[1]!wss($A340:$A340,"hks_stm_is","item=83","rptDate="&amp;($B340-1)&amp;"1231","rptType=1","currencyType=Cur=CNY","WssConvert=0","WssDivide=8","showcodes=N","cols=1;rows=1")</f>
        <v>1.1449105940000002</v>
      </c>
      <c r="F340" s="73">
        <f>[1]!wss($A340:$A340,"hks_stm_is","item=61","rptDate="&amp;($B340-3)&amp;"1231","rptType=1","currencyType=Cur=CNY","WssConvert=0","WssDivide=8","showcodes=N","cols=1;rows=1")</f>
        <v>0.38438185899999999</v>
      </c>
      <c r="G340" s="73">
        <f>[1]!wss($A340:$A340,"hks_stm_is","item=61","rptDate="&amp;($B340-2)&amp;"1231","rptType=1","currencyType=Cur=CNY","WssConvert=0","WssDivide=8","showcodes=N","cols=1;rows=1")</f>
        <v>0.36819667500000003</v>
      </c>
      <c r="H340" s="73">
        <f>[1]!wss($A340:$A340,"hks_stm_is","item=61","rptDate="&amp;($B340-1)&amp;"1231","rptType=1","currencyType=Cur=CNY","WssConvert=0","WssDivide=8","showcodes=N","cols=1;rows=1")</f>
        <v>0.38263512400000005</v>
      </c>
      <c r="I340" s="73">
        <f>[1]!wss($A340:$A340,"hks_fa_grossprofitmargin","rptDate="&amp;($B340-3)&amp;"1231","WssConvert=0","showcodes=N","cols=1;rows=1")</f>
        <v>87.497900000000001</v>
      </c>
      <c r="J340" s="43">
        <f>[1]!wss($A340:$A340,"hks_fa_grossprofitmargin","rptDate="&amp;($B340-2)&amp;"1231","WssConvert=0","showcodes=N","cols=1;rows=1")</f>
        <v>84.825000000000003</v>
      </c>
      <c r="K340" s="43">
        <f>[1]!wss($A340:$A340,"hks_fa_grossprofitmargin","rptDate="&amp;($B340-1)&amp;"1231","WssConvert=0","showcodes=N","cols=1;rows=1")</f>
        <v>84.332599999999999</v>
      </c>
      <c r="L340" s="73">
        <f>[1]!wss($A340:$A340,"hks_fa_roe","rptDate="&amp;($B340-1)&amp;"1231","WssConvert=0","showcodes=N","cols=1;rows=1")</f>
        <v>73.390299999999996</v>
      </c>
      <c r="M340" s="43">
        <f>[1]!wss($A340:$A340,"hks_fa_debttoassets","rptDate="&amp;($B340-1)&amp;"1231","WssConvert=0","showcodes=N","cols=1;rows=1")</f>
        <v>95.491900000000001</v>
      </c>
      <c r="P340" s="50">
        <v>1.5234179430000001</v>
      </c>
      <c r="Q340" s="50">
        <v>0.96734298799999996</v>
      </c>
      <c r="R340" s="50">
        <v>0.32733121599999998</v>
      </c>
      <c r="S340" s="50">
        <v>0.50889199500000004</v>
      </c>
      <c r="T340" s="50">
        <v>3.9104896E-2</v>
      </c>
      <c r="U340" s="50">
        <v>-0.31896694399999997</v>
      </c>
      <c r="V340" s="50">
        <v>89.295000000000002</v>
      </c>
      <c r="W340" s="50">
        <v>83.696200000000005</v>
      </c>
      <c r="X340" s="50">
        <v>61.734999999999999</v>
      </c>
    </row>
    <row r="341" spans="1:24">
      <c r="A341" t="s">
        <v>939</v>
      </c>
      <c r="B341" s="17">
        <f>IFERROR(YEAR(VLOOKUP($A341,'01_ipo_master'!$A:$C,3,FALSE)),YEAR(VLOOKUP("0"&amp;$A341,'01_ipo_master'!$A:$C,3,FALSE)))</f>
        <v>2022</v>
      </c>
      <c r="C341" s="73">
        <f>[1]!wss($A341:$A341,"hks_stm_is","item=83","rptDate="&amp;($B341-3)&amp;"1231","rptType=1","currencyType=Cur=CNY","WssConvert=0","WssDivide=8","showcodes=N","cols=1;rows=1")</f>
        <v>1.3693600000000001</v>
      </c>
      <c r="D341" s="73">
        <f>[1]!wss($A341:$A341,"hks_stm_is","item=83","rptDate="&amp;($B341-2)&amp;"1231","rptType=1","currencyType=Cur=CNY","WssConvert=0","WssDivide=8","showcodes=N","cols=1;rows=1")</f>
        <v>2.0322</v>
      </c>
      <c r="E341" s="73">
        <f>[1]!wss($A341:$A341,"hks_stm_is","item=83","rptDate="&amp;($B341-1)&amp;"1231","rptType=1","currencyType=Cur=CNY","WssConvert=0","WssDivide=8","showcodes=N","cols=1;rows=1")</f>
        <v>2.3718500000000002</v>
      </c>
      <c r="F341" s="73">
        <f>[1]!wss($A341:$A341,"hks_stm_is","item=61","rptDate="&amp;($B341-3)&amp;"1231","rptType=1","currencyType=Cur=CNY","WssConvert=0","WssDivide=8","showcodes=N","cols=1;rows=1")</f>
        <v>0.29691000000000001</v>
      </c>
      <c r="G341" s="73">
        <f>[1]!wss($A341:$A341,"hks_stm_is","item=61","rptDate="&amp;($B341-2)&amp;"1231","rptType=1","currencyType=Cur=CNY","WssConvert=0","WssDivide=8","showcodes=N","cols=1;rows=1")</f>
        <v>0.79097000000000006</v>
      </c>
      <c r="H341" s="73">
        <f>[1]!wss($A341:$A341,"hks_stm_is","item=61","rptDate="&amp;($B341-1)&amp;"1231","rptType=1","currencyType=Cur=CNY","WssConvert=0","WssDivide=8","showcodes=N","cols=1;rows=1")</f>
        <v>0.79015000000000002</v>
      </c>
      <c r="I341" s="73">
        <f>[1]!wss($A341:$A341,"hks_fa_grossprofitmargin","rptDate="&amp;($B341-3)&amp;"1231","WssConvert=0","showcodes=N","cols=1;rows=1")</f>
        <v>63.440600000000003</v>
      </c>
      <c r="J341" s="43">
        <f>[1]!wss($A341:$A341,"hks_fa_grossprofitmargin","rptDate="&amp;($B341-2)&amp;"1231","WssConvert=0","showcodes=N","cols=1;rows=1")</f>
        <v>71.9619</v>
      </c>
      <c r="K341" s="43">
        <f>[1]!wss($A341:$A341,"hks_fa_grossprofitmargin","rptDate="&amp;($B341-1)&amp;"1231","WssConvert=0","showcodes=N","cols=1;rows=1")</f>
        <v>70.272599999999997</v>
      </c>
      <c r="L341" s="73">
        <f>[1]!wss($A341:$A341,"hks_fa_roe","rptDate="&amp;($B341-1)&amp;"1231","WssConvert=0","showcodes=N","cols=1;rows=1")</f>
        <v>18.145800000000001</v>
      </c>
      <c r="M341" s="43">
        <f>[1]!wss($A341:$A341,"hks_fa_debttoassets","rptDate="&amp;($B341-1)&amp;"1231","WssConvert=0","showcodes=N","cols=1;rows=1")</f>
        <v>10.060700000000001</v>
      </c>
      <c r="P341" s="50">
        <v>1.5129999999999999</v>
      </c>
      <c r="Q341" s="50">
        <v>1.6422600000000001</v>
      </c>
      <c r="R341" s="50">
        <v>2.4714999999999998</v>
      </c>
      <c r="S341" s="50">
        <v>0.30037999999999998</v>
      </c>
      <c r="T341" s="50">
        <v>0.45045000000000002</v>
      </c>
      <c r="U341" s="50">
        <v>0.27021000000000001</v>
      </c>
      <c r="V341" s="50">
        <v>58.358199999999997</v>
      </c>
      <c r="W341" s="50">
        <v>72.673000000000002</v>
      </c>
      <c r="X341" s="50">
        <v>47.485300000000002</v>
      </c>
    </row>
    <row r="342" spans="1:24">
      <c r="A342" t="s">
        <v>941</v>
      </c>
      <c r="B342" s="17">
        <f>IFERROR(YEAR(VLOOKUP($A342,'01_ipo_master'!$A:$C,3,FALSE)),YEAR(VLOOKUP("0"&amp;$A342,'01_ipo_master'!$A:$C,3,FALSE)))</f>
        <v>2026</v>
      </c>
      <c r="C342" s="73">
        <f>[1]!wss($A342:$A342,"hks_stm_is","item=83","rptDate="&amp;($B342-3)&amp;"1231","rptType=1","currencyType=Cur=CNY","WssConvert=0","WssDivide=8","showcodes=N","cols=1;rows=1")</f>
        <v>1.50291</v>
      </c>
      <c r="D342" s="73">
        <f>[1]!wss($A342:$A342,"hks_stm_is","item=83","rptDate="&amp;($B342-2)&amp;"1231","rptType=1","currencyType=Cur=CNY","WssConvert=0","WssDivide=8","showcodes=N","cols=1;rows=1")</f>
        <v>3.5519500000000002</v>
      </c>
      <c r="E342" s="73">
        <f>[1]!wss($A342:$A342,"hks_stm_is","item=83","rptDate="&amp;($B342-1)&amp;"1231","rptType=1","currencyType=Cur=CNY","WssConvert=0","WssDivide=8","showcodes=N","cols=1;rows=1")</f>
        <v>3.6570300000000002</v>
      </c>
      <c r="F342" s="73">
        <f>[1]!wss($A342:$A342,"hks_stm_is","item=61","rptDate="&amp;($B342-3)&amp;"1231","rptType=1","currencyType=Cur=CNY","WssConvert=0","WssDivide=8","showcodes=N","cols=1;rows=1")</f>
        <v>-0.94130000000000003</v>
      </c>
      <c r="G342" s="73">
        <f>[1]!wss($A342:$A342,"hks_stm_is","item=61","rptDate="&amp;($B342-2)&amp;"1231","rptType=1","currencyType=Cur=CNY","WssConvert=0","WssDivide=8","showcodes=N","cols=1;rows=1")</f>
        <v>-0.56844000000000006</v>
      </c>
      <c r="H342" s="73">
        <f>[1]!wss($A342:$A342,"hks_stm_is","item=61","rptDate="&amp;($B342-1)&amp;"1231","rptType=1","currencyType=Cur=CNY","WssConvert=0","WssDivide=8","showcodes=N","cols=1;rows=1")</f>
        <v>-0.59167000000000003</v>
      </c>
      <c r="I342" s="73">
        <f>[1]!wss($A342:$A342,"hks_fa_grossprofitmargin","rptDate="&amp;($B342-3)&amp;"1231","WssConvert=0","showcodes=N","cols=1;rows=1")</f>
        <v>-8.2500000000000004E-2</v>
      </c>
      <c r="J342" s="43">
        <f>[1]!wss($A342:$A342,"hks_fa_grossprofitmargin","rptDate="&amp;($B342-2)&amp;"1231","WssConvert=0","showcodes=N","cols=1;rows=1")</f>
        <v>13.107200000000001</v>
      </c>
      <c r="K342" s="43">
        <f>[1]!wss($A342:$A342,"hks_fa_grossprofitmargin","rptDate="&amp;($B342-1)&amp;"1231","WssConvert=0","showcodes=N","cols=1;rows=1")</f>
        <v>20.771799999999999</v>
      </c>
      <c r="L342" s="73">
        <f>[1]!wss($A342:$A342,"hks_fa_roe","rptDate="&amp;($B342-1)&amp;"1231","WssConvert=0","showcodes=N","cols=1;rows=1")</f>
        <v>-43.5304</v>
      </c>
      <c r="M342" s="43">
        <f>[1]!wss($A342:$A342,"hks_fa_debttoassets","rptDate="&amp;($B342-1)&amp;"1231","WssConvert=0","showcodes=N","cols=1;rows=1")</f>
        <v>65.295699999999997</v>
      </c>
      <c r="P342" s="50">
        <v>1.50291</v>
      </c>
      <c r="Q342" s="50">
        <v>3.5519500000000002</v>
      </c>
      <c r="R342" s="50">
        <v>3.6570299999999998</v>
      </c>
      <c r="S342" s="50">
        <v>-0.94130000000000003</v>
      </c>
      <c r="T342" s="50">
        <v>-0.56843999999999995</v>
      </c>
      <c r="U342" s="50">
        <v>-0.59167000000000003</v>
      </c>
      <c r="V342" s="50">
        <v>-8.2500000000000004E-2</v>
      </c>
      <c r="W342" s="50">
        <v>13.107200000000001</v>
      </c>
      <c r="X342" s="50">
        <v>20.771799999999999</v>
      </c>
    </row>
    <row r="343" spans="1:24">
      <c r="A343" t="s">
        <v>943</v>
      </c>
      <c r="B343" s="17">
        <f>IFERROR(YEAR(VLOOKUP($A343,'01_ipo_master'!$A:$C,3,FALSE)),YEAR(VLOOKUP("0"&amp;$A343,'01_ipo_master'!$A:$C,3,FALSE)))</f>
        <v>2025</v>
      </c>
      <c r="C343" s="73">
        <f>[1]!wss($A343:$A343,"hks_stm_is","item=83","rptDate="&amp;($B343-3)&amp;"1231","rptType=1","currencyType=Cur=CNY","WssConvert=0","WssDivide=8","showcodes=N","cols=1;rows=1")</f>
        <v>1.6128</v>
      </c>
      <c r="D343" s="73">
        <f>[1]!wss($A343:$A343,"hks_stm_is","item=83","rptDate="&amp;($B343-2)&amp;"1231","rptType=1","currencyType=Cur=CNY","WssConvert=0","WssDivide=8","showcodes=N","cols=1;rows=1")</f>
        <v>1.45153</v>
      </c>
      <c r="E343" s="73">
        <f>[1]!wss($A343:$A343,"hks_stm_is","item=83","rptDate="&amp;($B343-1)&amp;"1231","rptType=1","currencyType=Cur=CNY","WssConvert=0","WssDivide=8","showcodes=N","cols=1;rows=1")</f>
        <v>2.4477500000000001</v>
      </c>
      <c r="F343" s="73">
        <f>[1]!wss($A343:$A343,"hks_stm_is","item=61","rptDate="&amp;($B343-3)&amp;"1231","rptType=1","currencyType=Cur=CNY","WssConvert=0","WssDivide=8","showcodes=N","cols=1;rows=1")</f>
        <v>-3.6541999999999999</v>
      </c>
      <c r="G343" s="73">
        <f>[1]!wss($A343:$A343,"hks_stm_is","item=61","rptDate="&amp;($B343-2)&amp;"1231","rptType=1","currencyType=Cur=CNY","WssConvert=0","WssDivide=8","showcodes=N","cols=1;rows=1")</f>
        <v>-2.6452300000000002</v>
      </c>
      <c r="H343" s="73">
        <f>[1]!wss($A343:$A343,"hks_stm_is","item=61","rptDate="&amp;($B343-1)&amp;"1231","rptType=1","currencyType=Cur=CNY","WssConvert=0","WssDivide=8","showcodes=N","cols=1;rows=1")</f>
        <v>-1.8496300000000001</v>
      </c>
      <c r="I343" s="73">
        <f>[1]!wss($A343:$A343,"hks_fa_grossprofitmargin","rptDate="&amp;($B343-3)&amp;"1231","WssConvert=0","showcodes=N","cols=1;rows=1")</f>
        <v>24.349599999999999</v>
      </c>
      <c r="J343" s="43">
        <f>[1]!wss($A343:$A343,"hks_fa_grossprofitmargin","rptDate="&amp;($B343-2)&amp;"1231","WssConvert=0","showcodes=N","cols=1;rows=1")</f>
        <v>26.976400000000002</v>
      </c>
      <c r="K343" s="43">
        <f>[1]!wss($A343:$A343,"hks_fa_grossprofitmargin","rptDate="&amp;($B343-1)&amp;"1231","WssConvert=0","showcodes=N","cols=1;rows=1")</f>
        <v>43.4758</v>
      </c>
      <c r="L343" s="73" t="str">
        <f>[1]!wss($A343:$A343,"hks_fa_roe","rptDate="&amp;($B343-1)&amp;"1231","WssConvert=0","showcodes=N","cols=1;rows=1")</f>
        <v/>
      </c>
      <c r="M343" s="43">
        <f>[1]!wss($A343:$A343,"hks_fa_debttoassets","rptDate="&amp;($B343-1)&amp;"1231","WssConvert=0","showcodes=N","cols=1;rows=1")</f>
        <v>397.24829999999997</v>
      </c>
      <c r="P343" s="50">
        <v>1.45153</v>
      </c>
      <c r="Q343" s="50">
        <v>2.4477500000000001</v>
      </c>
      <c r="R343" s="50">
        <v>3.0124200000000001</v>
      </c>
      <c r="S343" s="50">
        <v>-2.6452300000000002</v>
      </c>
      <c r="T343" s="50">
        <v>-1.8496300000000001</v>
      </c>
      <c r="U343" s="50">
        <v>-2.9490099999999999</v>
      </c>
      <c r="V343" s="50">
        <v>26.976400000000002</v>
      </c>
      <c r="W343" s="50">
        <v>43.4758</v>
      </c>
      <c r="X343" s="50">
        <v>37.631900000000002</v>
      </c>
    </row>
    <row r="344" spans="1:24">
      <c r="A344" t="s">
        <v>945</v>
      </c>
      <c r="B344" s="17">
        <f>IFERROR(YEAR(VLOOKUP($A344,'01_ipo_master'!$A:$C,3,FALSE)),YEAR(VLOOKUP("0"&amp;$A344,'01_ipo_master'!$A:$C,3,FALSE)))</f>
        <v>2025</v>
      </c>
      <c r="C344" s="73">
        <f>[1]!wss($A344:$A344,"hks_stm_is","item=83","rptDate="&amp;($B344-3)&amp;"1231","rptType=1","currencyType=Cur=CNY","WssConvert=0","WssDivide=8","showcodes=N","cols=1;rows=1")</f>
        <v>0.63039000000000001</v>
      </c>
      <c r="D344" s="73">
        <f>[1]!wss($A344:$A344,"hks_stm_is","item=83","rptDate="&amp;($B344-2)&amp;"1231","rptType=1","currencyType=Cur=CNY","WssConvert=0","WssDivide=8","showcodes=N","cols=1;rows=1")</f>
        <v>1.4388700000000001</v>
      </c>
      <c r="E344" s="73">
        <f>[1]!wss($A344:$A344,"hks_stm_is","item=83","rptDate="&amp;($B344-1)&amp;"1231","rptType=1","currencyType=Cur=CNY","WssConvert=0","WssDivide=8","showcodes=N","cols=1;rows=1")</f>
        <v>1.3720000000000001</v>
      </c>
      <c r="F344" s="73">
        <f>[1]!wss($A344:$A344,"hks_stm_is","item=61","rptDate="&amp;($B344-3)&amp;"1231","rptType=1","currencyType=Cur=CNY","WssConvert=0","WssDivide=8","showcodes=N","cols=1;rows=1")</f>
        <v>-2.5989999999999999E-2</v>
      </c>
      <c r="G344" s="73">
        <f>[1]!wss($A344:$A344,"hks_stm_is","item=61","rptDate="&amp;($B344-2)&amp;"1231","rptType=1","currencyType=Cur=CNY","WssConvert=0","WssDivide=8","showcodes=N","cols=1;rows=1")</f>
        <v>0.47504000000000002</v>
      </c>
      <c r="H344" s="73">
        <f>[1]!wss($A344:$A344,"hks_stm_is","item=61","rptDate="&amp;($B344-1)&amp;"1231","rptType=1","currencyType=Cur=CNY","WssConvert=0","WssDivide=8","showcodes=N","cols=1;rows=1")</f>
        <v>0.42859000000000003</v>
      </c>
      <c r="I344" s="73">
        <f>[1]!wss($A344:$A344,"hks_fa_grossprofitmargin","rptDate="&amp;($B344-3)&amp;"1231","WssConvert=0","showcodes=N","cols=1;rows=1")</f>
        <v>27.2498</v>
      </c>
      <c r="J344" s="43">
        <f>[1]!wss($A344:$A344,"hks_fa_grossprofitmargin","rptDate="&amp;($B344-2)&amp;"1231","WssConvert=0","showcodes=N","cols=1;rows=1")</f>
        <v>57.768900000000002</v>
      </c>
      <c r="K344" s="43">
        <f>[1]!wss($A344:$A344,"hks_fa_grossprofitmargin","rptDate="&amp;($B344-1)&amp;"1231","WssConvert=0","showcodes=N","cols=1;rows=1")</f>
        <v>54.5867</v>
      </c>
      <c r="L344" s="73">
        <f>[1]!wss($A344:$A344,"hks_fa_roe","rptDate="&amp;($B344-1)&amp;"1231","WssConvert=0","showcodes=N","cols=1;rows=1")</f>
        <v>17.9514</v>
      </c>
      <c r="M344" s="43">
        <f>[1]!wss($A344:$A344,"hks_fa_debttoassets","rptDate="&amp;($B344-1)&amp;"1231","WssConvert=0","showcodes=N","cols=1;rows=1")</f>
        <v>19.259499999999999</v>
      </c>
      <c r="P344" s="50">
        <v>1.4388700000000001</v>
      </c>
      <c r="Q344" s="50">
        <v>1.3720000000000001</v>
      </c>
      <c r="R344" s="50">
        <v>1.5091924999999999</v>
      </c>
      <c r="S344" s="50">
        <v>0.47504000000000002</v>
      </c>
      <c r="T344" s="50">
        <v>0.42859000000000003</v>
      </c>
      <c r="U344" s="50">
        <v>0.35385840000000002</v>
      </c>
      <c r="V344" s="50">
        <v>57.768900000000002</v>
      </c>
      <c r="W344" s="50">
        <v>54.5867</v>
      </c>
      <c r="X344" s="50">
        <v>47.241500000000002</v>
      </c>
    </row>
    <row r="345" spans="1:24">
      <c r="A345" t="s">
        <v>947</v>
      </c>
      <c r="B345" s="17">
        <f>IFERROR(YEAR(VLOOKUP($A345,'01_ipo_master'!$A:$C,3,FALSE)),YEAR(VLOOKUP("0"&amp;$A345,'01_ipo_master'!$A:$C,3,FALSE)))</f>
        <v>2023</v>
      </c>
      <c r="C345" s="73">
        <f>[1]!wss($A345:$A345,"hks_stm_is","item=83","rptDate="&amp;($B345-3)&amp;"1231","rptType=1","currencyType=Cur=CNY","WssConvert=0","WssDivide=8","showcodes=N","cols=1;rows=1")</f>
        <v>6.13E-3</v>
      </c>
      <c r="D345" s="73">
        <f>[1]!wss($A345:$A345,"hks_stm_is","item=83","rptDate="&amp;($B345-2)&amp;"1231","rptType=1","currencyType=Cur=CNY","WssConvert=0","WssDivide=8","showcodes=N","cols=1;rows=1")</f>
        <v>2.0379999999999999E-2</v>
      </c>
      <c r="E345" s="73">
        <f>[1]!wss($A345:$A345,"hks_stm_is","item=83","rptDate="&amp;($B345-1)&amp;"1231","rptType=1","currencyType=Cur=CNY","WssConvert=0","WssDivide=8","showcodes=N","cols=1;rows=1")</f>
        <v>0.11366</v>
      </c>
      <c r="F345" s="73">
        <f>[1]!wss($A345:$A345,"hks_stm_is","item=61","rptDate="&amp;($B345-3)&amp;"1231","rptType=1","currencyType=Cur=CNY","WssConvert=0","WssDivide=8","showcodes=N","cols=1;rows=1")</f>
        <v>-1.7011100000000001</v>
      </c>
      <c r="G345" s="73">
        <f>[1]!wss($A345:$A345,"hks_stm_is","item=61","rptDate="&amp;($B345-2)&amp;"1231","rptType=1","currencyType=Cur=CNY","WssConvert=0","WssDivide=8","showcodes=N","cols=1;rows=1")</f>
        <v>-3.1958100000000003</v>
      </c>
      <c r="H345" s="73">
        <f>[1]!wss($A345:$A345,"hks_stm_is","item=61","rptDate="&amp;($B345-1)&amp;"1231","rptType=1","currencyType=Cur=CNY","WssConvert=0","WssDivide=8","showcodes=N","cols=1;rows=1")</f>
        <v>-5.5583600000000004</v>
      </c>
      <c r="I345" s="73" t="str">
        <f>[1]!wss($A345:$A345,"hks_fa_grossprofitmargin","rptDate="&amp;($B345-3)&amp;"1231","WssConvert=0","showcodes=N","cols=1;rows=1")</f>
        <v/>
      </c>
      <c r="J345" s="43">
        <f>[1]!wss($A345:$A345,"hks_fa_grossprofitmargin","rptDate="&amp;($B345-2)&amp;"1231","WssConvert=0","showcodes=N","cols=1;rows=1")</f>
        <v>78.998999999999995</v>
      </c>
      <c r="K345" s="43">
        <f>[1]!wss($A345:$A345,"hks_fa_grossprofitmargin","rptDate="&amp;($B345-1)&amp;"1231","WssConvert=0","showcodes=N","cols=1;rows=1")</f>
        <v>69.8399</v>
      </c>
      <c r="L345" s="73" t="str">
        <f>[1]!wss($A345:$A345,"hks_fa_roe","rptDate="&amp;($B345-1)&amp;"1231","WssConvert=0","showcodes=N","cols=1;rows=1")</f>
        <v/>
      </c>
      <c r="M345" s="43">
        <f>[1]!wss($A345:$A345,"hks_fa_debttoassets","rptDate="&amp;($B345-1)&amp;"1231","WssConvert=0","showcodes=N","cols=1;rows=1")</f>
        <v>186.14259999999999</v>
      </c>
      <c r="P345" s="50">
        <v>1.3762300000000001</v>
      </c>
      <c r="Q345" s="50">
        <v>2.7961499999999999</v>
      </c>
      <c r="R345" s="50">
        <v>3.3615200000000001</v>
      </c>
      <c r="S345" s="50">
        <v>-19.63758</v>
      </c>
      <c r="T345" s="50">
        <v>-4.3381100000000004</v>
      </c>
      <c r="U345" s="50">
        <v>-3.4019200000000001</v>
      </c>
      <c r="V345" s="50">
        <v>51.595999999999997</v>
      </c>
      <c r="W345" s="50">
        <v>51.307299999999998</v>
      </c>
      <c r="X345" s="50">
        <v>58.245100000000001</v>
      </c>
    </row>
    <row r="346" spans="1:24">
      <c r="A346" t="s">
        <v>949</v>
      </c>
      <c r="B346" s="17">
        <f>IFERROR(YEAR(VLOOKUP($A346,'01_ipo_master'!$A:$C,3,FALSE)),YEAR(VLOOKUP("0"&amp;$A346,'01_ipo_master'!$A:$C,3,FALSE)))</f>
        <v>2025</v>
      </c>
      <c r="C346" s="73">
        <f>[1]!wss($A346:$A346,"hks_stm_is","item=83","rptDate="&amp;($B346-3)&amp;"1231","rptType=1","currencyType=Cur=CNY","WssConvert=0","WssDivide=8","showcodes=N","cols=1;rows=1")</f>
        <v>0.31170999999999999</v>
      </c>
      <c r="D346" s="73">
        <f>[1]!wss($A346:$A346,"hks_stm_is","item=83","rptDate="&amp;($B346-2)&amp;"1231","rptType=1","currencyType=Cur=CNY","WssConvert=0","WssDivide=8","showcodes=N","cols=1;rows=1")</f>
        <v>1.33405</v>
      </c>
      <c r="E346" s="73">
        <f>[1]!wss($A346:$A346,"hks_stm_is","item=83","rptDate="&amp;($B346-1)&amp;"1231","rptType=1","currencyType=Cur=CNY","WssConvert=0","WssDivide=8","showcodes=N","cols=1;rows=1")</f>
        <v>4.1003499999999997</v>
      </c>
      <c r="F346" s="73">
        <f>[1]!wss($A346:$A346,"hks_stm_is","item=61","rptDate="&amp;($B346-3)&amp;"1231","rptType=1","currencyType=Cur=CNY","WssConvert=0","WssDivide=8","showcodes=N","cols=1;rows=1")</f>
        <v>-2.6299700000000001</v>
      </c>
      <c r="G346" s="73">
        <f>[1]!wss($A346:$A346,"hks_stm_is","item=61","rptDate="&amp;($B346-2)&amp;"1231","rptType=1","currencyType=Cur=CNY","WssConvert=0","WssDivide=8","showcodes=N","cols=1;rows=1")</f>
        <v>-2.5507900000000001</v>
      </c>
      <c r="H346" s="73">
        <f>[1]!wss($A346:$A346,"hks_stm_is","item=61","rptDate="&amp;($B346-1)&amp;"1231","rptType=1","currencyType=Cur=CNY","WssConvert=0","WssDivide=8","showcodes=N","cols=1;rows=1")</f>
        <v>-5.8070900000000005</v>
      </c>
      <c r="I346" s="73">
        <f>[1]!wss($A346:$A346,"hks_fa_grossprofitmargin","rptDate="&amp;($B346-3)&amp;"1231","WssConvert=0","showcodes=N","cols=1;rows=1")</f>
        <v>-19.303799999999999</v>
      </c>
      <c r="J346" s="43">
        <f>[1]!wss($A346:$A346,"hks_fa_grossprofitmargin","rptDate="&amp;($B346-2)&amp;"1231","WssConvert=0","showcodes=N","cols=1;rows=1")</f>
        <v>20.227900000000002</v>
      </c>
      <c r="K346" s="43">
        <f>[1]!wss($A346:$A346,"hks_fa_grossprofitmargin","rptDate="&amp;($B346-1)&amp;"1231","WssConvert=0","showcodes=N","cols=1;rows=1")</f>
        <v>24.7394</v>
      </c>
      <c r="L346" s="73" t="str">
        <f>[1]!wss($A346:$A346,"hks_fa_roe","rptDate="&amp;($B346-1)&amp;"1231","WssConvert=0","showcodes=N","cols=1;rows=1")</f>
        <v/>
      </c>
      <c r="M346" s="43">
        <f>[1]!wss($A346:$A346,"hks_fa_debttoassets","rptDate="&amp;($B346-1)&amp;"1231","WssConvert=0","showcodes=N","cols=1;rows=1")</f>
        <v>189.91679999999999</v>
      </c>
      <c r="P346" s="50">
        <v>1.33405</v>
      </c>
      <c r="Q346" s="50">
        <v>4.1003499999999997</v>
      </c>
      <c r="R346" s="50">
        <v>8.84788</v>
      </c>
      <c r="S346" s="50">
        <v>-2.5507900000000001</v>
      </c>
      <c r="T346" s="50">
        <v>-5.8070899999999996</v>
      </c>
      <c r="U346" s="50">
        <v>-10.19694</v>
      </c>
      <c r="V346" s="50">
        <v>20.227900000000002</v>
      </c>
      <c r="W346" s="50">
        <v>24.7394</v>
      </c>
      <c r="X346" s="50">
        <v>21.401199999999999</v>
      </c>
    </row>
    <row r="347" spans="1:24">
      <c r="A347" t="s">
        <v>951</v>
      </c>
      <c r="B347" s="17">
        <f>IFERROR(YEAR(VLOOKUP($A347,'01_ipo_master'!$A:$C,3,FALSE)),YEAR(VLOOKUP("0"&amp;$A347,'01_ipo_master'!$A:$C,3,FALSE)))</f>
        <v>2025</v>
      </c>
      <c r="C347" s="73">
        <f>[1]!wss($A347:$A347,"hks_stm_is","item=83","rptDate="&amp;($B347-3)&amp;"1231","rptType=1","currencyType=Cur=CNY","WssConvert=0","WssDivide=8","showcodes=N","cols=1;rows=1")</f>
        <v>1.00468</v>
      </c>
      <c r="D347" s="73">
        <f>[1]!wss($A347:$A347,"hks_stm_is","item=83","rptDate="&amp;($B347-2)&amp;"1231","rptType=1","currencyType=Cur=CNY","WssConvert=0","WssDivide=8","showcodes=N","cols=1;rows=1")</f>
        <v>1.2904</v>
      </c>
      <c r="E347" s="73">
        <f>[1]!wss($A347:$A347,"hks_stm_is","item=83","rptDate="&amp;($B347-1)&amp;"1231","rptType=1","currencyType=Cur=CNY","WssConvert=0","WssDivide=8","showcodes=N","cols=1;rows=1")</f>
        <v>2.4292600000000002</v>
      </c>
      <c r="F347" s="73">
        <f>[1]!wss($A347:$A347,"hks_stm_is","item=61","rptDate="&amp;($B347-3)&amp;"1231","rptType=1","currencyType=Cur=CNY","WssConvert=0","WssDivide=8","showcodes=N","cols=1;rows=1")</f>
        <v>-6.5522600000000004</v>
      </c>
      <c r="G347" s="73">
        <f>[1]!wss($A347:$A347,"hks_stm_is","item=61","rptDate="&amp;($B347-2)&amp;"1231","rptType=1","currencyType=Cur=CNY","WssConvert=0","WssDivide=8","showcodes=N","cols=1;rows=1")</f>
        <v>-5.02895</v>
      </c>
      <c r="H347" s="73">
        <f>[1]!wss($A347:$A347,"hks_stm_is","item=61","rptDate="&amp;($B347-1)&amp;"1231","rptType=1","currencyType=Cur=CNY","WssConvert=0","WssDivide=8","showcodes=N","cols=1;rows=1")</f>
        <v>-12.549900000000001</v>
      </c>
      <c r="I347" s="73">
        <f>[1]!wss($A347:$A347,"hks_fa_grossprofitmargin","rptDate="&amp;($B347-3)&amp;"1231","WssConvert=0","showcodes=N","cols=1;rows=1")</f>
        <v>29.421299999999999</v>
      </c>
      <c r="J347" s="43">
        <f>[1]!wss($A347:$A347,"hks_fa_grossprofitmargin","rptDate="&amp;($B347-2)&amp;"1231","WssConvert=0","showcodes=N","cols=1;rows=1")</f>
        <v>40.121699999999997</v>
      </c>
      <c r="K347" s="43">
        <f>[1]!wss($A347:$A347,"hks_fa_grossprofitmargin","rptDate="&amp;($B347-1)&amp;"1231","WssConvert=0","showcodes=N","cols=1;rows=1")</f>
        <v>51.9405</v>
      </c>
      <c r="L347" s="73" t="str">
        <f>[1]!wss($A347:$A347,"hks_fa_roe","rptDate="&amp;($B347-1)&amp;"1231","WssConvert=0","showcodes=N","cols=1;rows=1")</f>
        <v/>
      </c>
      <c r="M347" s="43">
        <f>[1]!wss($A347:$A347,"hks_fa_debttoassets","rptDate="&amp;($B347-1)&amp;"1231","WssConvert=0","showcodes=N","cols=1;rows=1")</f>
        <v>965.29560000000004</v>
      </c>
      <c r="P347" s="50">
        <v>1.2904</v>
      </c>
      <c r="Q347" s="50">
        <v>2.4292600000000002</v>
      </c>
      <c r="R347" s="50">
        <v>4.1499100000000002</v>
      </c>
      <c r="S347" s="50">
        <v>-5.02895</v>
      </c>
      <c r="T347" s="50">
        <v>-12.549899999999999</v>
      </c>
      <c r="U347" s="50">
        <v>-9.3455899999999996</v>
      </c>
      <c r="V347" s="50">
        <v>40.121699999999997</v>
      </c>
      <c r="W347" s="50">
        <v>51.9405</v>
      </c>
      <c r="X347" s="50">
        <v>55.0747</v>
      </c>
    </row>
    <row r="348" spans="1:24">
      <c r="A348" t="s">
        <v>953</v>
      </c>
      <c r="B348" s="17">
        <f>IFERROR(YEAR(VLOOKUP($A348,'01_ipo_master'!$A:$C,3,FALSE)),YEAR(VLOOKUP("0"&amp;$A348,'01_ipo_master'!$A:$C,3,FALSE)))</f>
        <v>2026</v>
      </c>
      <c r="C348" s="73">
        <f>[1]!wss($A348:$A348,"hks_stm_is","item=83","rptDate="&amp;($B348-3)&amp;"1231","rptType=1","currencyType=Cur=CNY","WssConvert=0","WssDivide=8","showcodes=N","cols=1;rows=1")</f>
        <v>1.27685</v>
      </c>
      <c r="D348" s="73">
        <f>[1]!wss($A348:$A348,"hks_stm_is","item=83","rptDate="&amp;($B348-2)&amp;"1231","rptType=1","currencyType=Cur=CNY","WssConvert=0","WssDivide=8","showcodes=N","cols=1;rows=1")</f>
        <v>1.9962200000000001</v>
      </c>
      <c r="E348" s="73">
        <f>[1]!wss($A348:$A348,"hks_stm_is","item=83","rptDate="&amp;($B348-1)&amp;"1231","rptType=1","currencyType=Cur=CNY","WssConvert=0","WssDivide=8","showcodes=N","cols=1;rows=1")</f>
        <v>6.5869400000000002</v>
      </c>
      <c r="F348" s="73">
        <f>[1]!wss($A348:$A348,"hks_stm_is","item=61","rptDate="&amp;($B348-3)&amp;"1231","rptType=1","currencyType=Cur=CNY","WssConvert=0","WssDivide=8","showcodes=N","cols=1;rows=1")</f>
        <v>-10.534320000000001</v>
      </c>
      <c r="G348" s="73">
        <f>[1]!wss($A348:$A348,"hks_stm_is","item=61","rptDate="&amp;($B348-2)&amp;"1231","rptType=1","currencyType=Cur=CNY","WssConvert=0","WssDivide=8","showcodes=N","cols=1;rows=1")</f>
        <v>-10.43919</v>
      </c>
      <c r="H348" s="73">
        <f>[1]!wss($A348:$A348,"hks_stm_is","item=61","rptDate="&amp;($B348-1)&amp;"1231","rptType=1","currencyType=Cur=CNY","WssConvert=0","WssDivide=8","showcodes=N","cols=1;rows=1")</f>
        <v>-9.693340000000001</v>
      </c>
      <c r="I348" s="73">
        <f>[1]!wss($A348:$A348,"hks_fa_grossprofitmargin","rptDate="&amp;($B348-3)&amp;"1231","WssConvert=0","showcodes=N","cols=1;rows=1")</f>
        <v>98.002899999999997</v>
      </c>
      <c r="J348" s="43">
        <f>[1]!wss($A348:$A348,"hks_fa_grossprofitmargin","rptDate="&amp;($B348-2)&amp;"1231","WssConvert=0","showcodes=N","cols=1;rows=1")</f>
        <v>84.777199999999993</v>
      </c>
      <c r="K348" s="43">
        <f>[1]!wss($A348:$A348,"hks_fa_grossprofitmargin","rptDate="&amp;($B348-1)&amp;"1231","WssConvert=0","showcodes=N","cols=1;rows=1")</f>
        <v>90.538399999999996</v>
      </c>
      <c r="L348" s="73">
        <f>[1]!wss($A348:$A348,"hks_fa_roe","rptDate="&amp;($B348-1)&amp;"1231","WssConvert=0","showcodes=N","cols=1;rows=1")</f>
        <v>-101.0573</v>
      </c>
      <c r="M348" s="43">
        <f>[1]!wss($A348:$A348,"hks_fa_debttoassets","rptDate="&amp;($B348-1)&amp;"1231","WssConvert=0","showcodes=N","cols=1;rows=1")</f>
        <v>88.300700000000006</v>
      </c>
      <c r="P348" s="50">
        <v>1.27685</v>
      </c>
      <c r="Q348" s="50">
        <v>1.9962200000000001</v>
      </c>
      <c r="R348" s="50">
        <v>6.5869400000000002</v>
      </c>
      <c r="S348" s="50">
        <v>-10.534319999999999</v>
      </c>
      <c r="T348" s="50">
        <v>-10.43919</v>
      </c>
      <c r="U348" s="50">
        <v>-9.6933399999999992</v>
      </c>
      <c r="V348" s="50">
        <v>98.002899999999997</v>
      </c>
      <c r="W348" s="50">
        <v>84.777199999999993</v>
      </c>
      <c r="X348" s="50">
        <v>90.538399999999996</v>
      </c>
    </row>
    <row r="349" spans="1:24">
      <c r="A349" t="s">
        <v>956</v>
      </c>
      <c r="B349" s="17">
        <f>IFERROR(YEAR(VLOOKUP($A349,'01_ipo_master'!$A:$C,3,FALSE)),YEAR(VLOOKUP("0"&amp;$A349,'01_ipo_master'!$A:$C,3,FALSE)))</f>
        <v>2026</v>
      </c>
      <c r="C349" s="73">
        <f>[1]!wss($A349:$A349,"hks_stm_is","item=83","rptDate="&amp;($B349-3)&amp;"1231","rptType=1","currencyType=Cur=CNY","WssConvert=0","WssDivide=8","showcodes=N","cols=1;rows=1")</f>
        <v>1.27681</v>
      </c>
      <c r="D349" s="73">
        <f>[1]!wss($A349:$A349,"hks_stm_is","item=83","rptDate="&amp;($B349-2)&amp;"1231","rptType=1","currencyType=Cur=CNY","WssConvert=0","WssDivide=8","showcodes=N","cols=1;rows=1")</f>
        <v>2.5729600000000001</v>
      </c>
      <c r="E349" s="73">
        <f>[1]!wss($A349:$A349,"hks_stm_is","item=83","rptDate="&amp;($B349-1)&amp;"1231","rptType=1","currencyType=Cur=CNY","WssConvert=0","WssDivide=8","showcodes=N","cols=1;rows=1")</f>
        <v>2.92076</v>
      </c>
      <c r="F349" s="73">
        <f>[1]!wss($A349:$A349,"hks_stm_is","item=61","rptDate="&amp;($B349-3)&amp;"1231","rptType=1","currencyType=Cur=CNY","WssConvert=0","WssDivide=8","showcodes=N","cols=1;rows=1")</f>
        <v>-0.56232000000000004</v>
      </c>
      <c r="G349" s="73">
        <f>[1]!wss($A349:$A349,"hks_stm_is","item=61","rptDate="&amp;($B349-2)&amp;"1231","rptType=1","currencyType=Cur=CNY","WssConvert=0","WssDivide=8","showcodes=N","cols=1;rows=1")</f>
        <v>8.6830000000000004E-2</v>
      </c>
      <c r="H349" s="73">
        <f>[1]!wss($A349:$A349,"hks_stm_is","item=61","rptDate="&amp;($B349-1)&amp;"1231","rptType=1","currencyType=Cur=CNY","WssConvert=0","WssDivide=8","showcodes=N","cols=1;rows=1")</f>
        <v>-0.45776</v>
      </c>
      <c r="I349" s="73">
        <f>[1]!wss($A349:$A349,"hks_fa_grossprofitmargin","rptDate="&amp;($B349-3)&amp;"1231","WssConvert=0","showcodes=N","cols=1;rows=1")</f>
        <v>25.905200000000001</v>
      </c>
      <c r="J349" s="43">
        <f>[1]!wss($A349:$A349,"hks_fa_grossprofitmargin","rptDate="&amp;($B349-2)&amp;"1231","WssConvert=0","showcodes=N","cols=1;rows=1")</f>
        <v>40.2179</v>
      </c>
      <c r="K349" s="43">
        <f>[1]!wss($A349:$A349,"hks_fa_grossprofitmargin","rptDate="&amp;($B349-1)&amp;"1231","WssConvert=0","showcodes=N","cols=1;rows=1")</f>
        <v>41.468000000000004</v>
      </c>
      <c r="L349" s="73">
        <f>[1]!wss($A349:$A349,"hks_fa_roe","rptDate="&amp;($B349-1)&amp;"1231","WssConvert=0","showcodes=N","cols=1;rows=1")</f>
        <v>-19.972300000000001</v>
      </c>
      <c r="M349" s="43">
        <f>[1]!wss($A349:$A349,"hks_fa_debttoassets","rptDate="&amp;($B349-1)&amp;"1231","WssConvert=0","showcodes=N","cols=1;rows=1")</f>
        <v>55.644100000000002</v>
      </c>
      <c r="P349" s="50">
        <v>1.27681</v>
      </c>
      <c r="Q349" s="50">
        <v>2.5729600000000001</v>
      </c>
      <c r="R349" s="50">
        <v>2.92076</v>
      </c>
      <c r="S349" s="50">
        <v>-0.56232000000000004</v>
      </c>
      <c r="T349" s="50">
        <v>8.6830000000000004E-2</v>
      </c>
      <c r="U349" s="50">
        <v>-0.45776</v>
      </c>
      <c r="V349" s="50">
        <v>25.905200000000001</v>
      </c>
      <c r="W349" s="50">
        <v>40.2179</v>
      </c>
      <c r="X349" s="50">
        <v>41.468000000000004</v>
      </c>
    </row>
    <row r="350" spans="1:24">
      <c r="A350" t="s">
        <v>958</v>
      </c>
      <c r="B350" s="17">
        <f>IFERROR(YEAR(VLOOKUP($A350,'01_ipo_master'!$A:$C,3,FALSE)),YEAR(VLOOKUP("0"&amp;$A350,'01_ipo_master'!$A:$C,3,FALSE)))</f>
        <v>2026</v>
      </c>
      <c r="C350" s="73">
        <f>[1]!wss($A350:$A350,"hks_stm_is","item=83","rptDate="&amp;($B350-3)&amp;"1231","rptType=1","currencyType=Cur=CNY","WssConvert=0","WssDivide=8","showcodes=N","cols=1;rows=1")</f>
        <v>1.2453799999999999</v>
      </c>
      <c r="D350" s="73">
        <f>[1]!wss($A350:$A350,"hks_stm_is","item=83","rptDate="&amp;($B350-2)&amp;"1231","rptType=1","currencyType=Cur=CNY","WssConvert=0","WssDivide=8","showcodes=N","cols=1;rows=1")</f>
        <v>3.1241400000000001</v>
      </c>
      <c r="E350" s="73">
        <f>[1]!wss($A350:$A350,"hks_stm_is","item=83","rptDate="&amp;($B350-1)&amp;"1231","rptType=1","currencyType=Cur=CNY","WssConvert=0","WssDivide=8","showcodes=N","cols=1;rows=1")</f>
        <v>7.2433399999999999</v>
      </c>
      <c r="F350" s="73">
        <f>[1]!wss($A350:$A350,"hks_stm_is","item=61","rptDate="&amp;($B350-3)&amp;"1231","rptType=1","currencyType=Cur=CNY","WssConvert=0","WssDivide=8","showcodes=N","cols=1;rows=1")</f>
        <v>-7.8795999999999999</v>
      </c>
      <c r="G350" s="73">
        <f>[1]!wss($A350:$A350,"hks_stm_is","item=61","rptDate="&amp;($B350-2)&amp;"1231","rptType=1","currencyType=Cur=CNY","WssConvert=0","WssDivide=8","showcodes=N","cols=1;rows=1")</f>
        <v>-29.564910000000001</v>
      </c>
      <c r="H350" s="73">
        <f>[1]!wss($A350:$A350,"hks_stm_is","item=61","rptDate="&amp;($B350-1)&amp;"1231","rptType=1","currencyType=Cur=CNY","WssConvert=0","WssDivide=8","showcodes=N","cols=1;rows=1")</f>
        <v>-46.982030000000002</v>
      </c>
      <c r="I350" s="73">
        <f>[1]!wss($A350:$A350,"hks_fa_grossprofitmargin","rptDate="&amp;($B350-3)&amp;"1231","WssConvert=0","showcodes=N","cols=1;rows=1")</f>
        <v>64.624499999999998</v>
      </c>
      <c r="J350" s="43">
        <f>[1]!wss($A350:$A350,"hks_fa_grossprofitmargin","rptDate="&amp;($B350-2)&amp;"1231","WssConvert=0","showcodes=N","cols=1;rows=1")</f>
        <v>56.3</v>
      </c>
      <c r="K350" s="43">
        <f>[1]!wss($A350:$A350,"hks_fa_grossprofitmargin","rptDate="&amp;($B350-1)&amp;"1231","WssConvert=0","showcodes=N","cols=1;rows=1")</f>
        <v>40.9557</v>
      </c>
      <c r="L350" s="73" t="str">
        <f>[1]!wss($A350:$A350,"hks_fa_roe","rptDate="&amp;($B350-1)&amp;"1231","WssConvert=0","showcodes=N","cols=1;rows=1")</f>
        <v/>
      </c>
      <c r="M350" s="43">
        <f>[1]!wss($A350:$A350,"hks_fa_debttoassets","rptDate="&amp;($B350-1)&amp;"1231","WssConvert=0","showcodes=N","cols=1;rows=1")</f>
        <v>267.1037</v>
      </c>
      <c r="P350" s="50">
        <v>1.2453799999999999</v>
      </c>
      <c r="Q350" s="50">
        <v>3.1241400000000001</v>
      </c>
      <c r="R350" s="50">
        <v>7.2433399999999999</v>
      </c>
      <c r="S350" s="50">
        <v>-7.8795999999999999</v>
      </c>
      <c r="T350" s="50">
        <v>-29.564910000000001</v>
      </c>
      <c r="U350" s="50">
        <v>-46.982030000000002</v>
      </c>
      <c r="V350" s="50">
        <v>64.624499999999998</v>
      </c>
      <c r="W350" s="50">
        <v>56.3</v>
      </c>
      <c r="X350" s="50">
        <v>40.9557</v>
      </c>
    </row>
    <row r="351" spans="1:24">
      <c r="A351" t="s">
        <v>960</v>
      </c>
      <c r="B351" s="17">
        <f>IFERROR(YEAR(VLOOKUP($A351,'01_ipo_master'!$A:$C,3,FALSE)),YEAR(VLOOKUP("0"&amp;$A351,'01_ipo_master'!$A:$C,3,FALSE)))</f>
        <v>2022</v>
      </c>
      <c r="C351" s="73">
        <f>[1]!wss($A351:$A351,"hks_stm_is","item=83","rptDate="&amp;($B351-3)&amp;"1231","rptType=1","currencyType=Cur=CNY","WssConvert=0","WssDivide=8","showcodes=N","cols=1;rows=1")</f>
        <v>2.220280308</v>
      </c>
      <c r="D351" s="73">
        <f>[1]!wss($A351:$A351,"hks_stm_is","item=83","rptDate="&amp;($B351-2)&amp;"1231","rptType=1","currencyType=Cur=CNY","WssConvert=0","WssDivide=8","showcodes=N","cols=1;rows=1")</f>
        <v>2.0025982160000004</v>
      </c>
      <c r="E351" s="73">
        <f>[1]!wss($A351:$A351,"hks_stm_is","item=83","rptDate="&amp;($B351-1)&amp;"1231","rptType=1","currencyType=Cur=CNY","WssConvert=0","WssDivide=8","showcodes=N","cols=1;rows=1")</f>
        <v>2.4269147840000005</v>
      </c>
      <c r="F351" s="73">
        <f>[1]!wss($A351:$A351,"hks_stm_is","item=61","rptDate="&amp;($B351-3)&amp;"1231","rptType=1","currencyType=Cur=CNY","WssConvert=0","WssDivide=8","showcodes=N","cols=1;rows=1")</f>
        <v>0.2159008956</v>
      </c>
      <c r="G351" s="73">
        <f>[1]!wss($A351:$A351,"hks_stm_is","item=61","rptDate="&amp;($B351-2)&amp;"1231","rptType=1","currencyType=Cur=CNY","WssConvert=0","WssDivide=8","showcodes=N","cols=1;rows=1")</f>
        <v>0.45909778720000005</v>
      </c>
      <c r="H351" s="73">
        <f>[1]!wss($A351:$A351,"hks_stm_is","item=61","rptDate="&amp;($B351-1)&amp;"1231","rptType=1","currencyType=Cur=CNY","WssConvert=0","WssDivide=8","showcodes=N","cols=1;rows=1")</f>
        <v>0.51462196800000004</v>
      </c>
      <c r="I351" s="73" t="str">
        <f>[1]!wss($A351:$A351,"hks_fa_grossprofitmargin","rptDate="&amp;($B351-3)&amp;"1231","WssConvert=0","showcodes=N","cols=1;rows=1")</f>
        <v/>
      </c>
      <c r="J351" s="43" t="str">
        <f>[1]!wss($A351:$A351,"hks_fa_grossprofitmargin","rptDate="&amp;($B351-2)&amp;"1231","WssConvert=0","showcodes=N","cols=1;rows=1")</f>
        <v/>
      </c>
      <c r="K351" s="43" t="str">
        <f>[1]!wss($A351:$A351,"hks_fa_grossprofitmargin","rptDate="&amp;($B351-1)&amp;"1231","WssConvert=0","showcodes=N","cols=1;rows=1")</f>
        <v/>
      </c>
      <c r="L351" s="73">
        <f>[1]!wss($A351:$A351,"hks_fa_roe","rptDate="&amp;($B351-1)&amp;"1231","WssConvert=0","showcodes=N","cols=1;rows=1")</f>
        <v>52.799900000000001</v>
      </c>
      <c r="M351" s="43">
        <f>[1]!wss($A351:$A351,"hks_fa_debttoassets","rptDate="&amp;($B351-1)&amp;"1231","WssConvert=0","showcodes=N","cols=1;rows=1")</f>
        <v>43.4542</v>
      </c>
      <c r="P351" s="50">
        <v>1.2252728754</v>
      </c>
      <c r="Q351" s="50">
        <v>1.1902021704000001</v>
      </c>
      <c r="R351" s="50">
        <v>1.558370627</v>
      </c>
      <c r="S351" s="50">
        <v>-0.41872801320000003</v>
      </c>
      <c r="T351" s="50">
        <v>-0.4297196016</v>
      </c>
      <c r="U351" s="50">
        <v>-0.79212393999999997</v>
      </c>
      <c r="V351" s="50"/>
      <c r="W351" s="50"/>
      <c r="X351" s="50"/>
    </row>
    <row r="352" spans="1:24">
      <c r="A352" t="s">
        <v>962</v>
      </c>
      <c r="B352" s="17">
        <f>IFERROR(YEAR(VLOOKUP($A352,'01_ipo_master'!$A:$C,3,FALSE)),YEAR(VLOOKUP("0"&amp;$A352,'01_ipo_master'!$A:$C,3,FALSE)))</f>
        <v>2026</v>
      </c>
      <c r="C352" s="73">
        <f>[1]!wss($A352:$A352,"hks_stm_is","item=83","rptDate="&amp;($B352-3)&amp;"1231","rptType=1","currencyType=Cur=CNY","WssConvert=0","WssDivide=8","showcodes=N","cols=1;rows=1")</f>
        <v>1.1832434098967164</v>
      </c>
      <c r="D352" s="73">
        <f>[1]!wss($A352:$A352,"hks_stm_is","item=83","rptDate="&amp;($B352-2)&amp;"1231","rptType=1","currencyType=Cur=CNY","WssConvert=0","WssDivide=8","showcodes=N","cols=1;rows=1")</f>
        <v>2.1545065768159142</v>
      </c>
      <c r="E352" s="73">
        <f>[1]!wss($A352:$A352,"hks_stm_is","item=83","rptDate="&amp;($B352-1)&amp;"1231","rptType=1","currencyType=Cur=CNY","WssConvert=0","WssDivide=8","showcodes=N","cols=1;rows=1")</f>
        <v>2.5499056097265278</v>
      </c>
      <c r="F352" s="73">
        <f>[1]!wss($A352:$A352,"hks_stm_is","item=61","rptDate="&amp;($B352-3)&amp;"1231","rptType=1","currencyType=Cur=CNY","WssConvert=0","WssDivide=8","showcodes=N","cols=1;rows=1")</f>
        <v>-0.22290735316787422</v>
      </c>
      <c r="G352" s="73">
        <f>[1]!wss($A352:$A352,"hks_stm_is","item=61","rptDate="&amp;($B352-2)&amp;"1231","rptType=1","currencyType=Cur=CNY","WssConvert=0","WssDivide=8","showcodes=N","cols=1;rows=1")</f>
        <v>0.42423702455776591</v>
      </c>
      <c r="H352" s="73">
        <f>[1]!wss($A352:$A352,"hks_stm_is","item=61","rptDate="&amp;($B352-1)&amp;"1231","rptType=1","currencyType=Cur=CNY","WssConvert=0","WssDivide=8","showcodes=N","cols=1;rows=1")</f>
        <v>0.10892117979182182</v>
      </c>
      <c r="I352" s="73">
        <f>[1]!wss($A352:$A352,"hks_fa_grossprofitmargin","rptDate="&amp;($B352-3)&amp;"1231","WssConvert=0","showcodes=N","cols=1;rows=1")</f>
        <v>14.3179</v>
      </c>
      <c r="J352" s="43">
        <f>[1]!wss($A352:$A352,"hks_fa_grossprofitmargin","rptDate="&amp;($B352-2)&amp;"1231","WssConvert=0","showcodes=N","cols=1;rows=1")</f>
        <v>19.295999999999999</v>
      </c>
      <c r="K352" s="43">
        <f>[1]!wss($A352:$A352,"hks_fa_grossprofitmargin","rptDate="&amp;($B352-1)&amp;"1231","WssConvert=0","showcodes=N","cols=1;rows=1")</f>
        <v>20.2195</v>
      </c>
      <c r="L352" s="73">
        <f>[1]!wss($A352:$A352,"hks_fa_roe","rptDate="&amp;($B352-1)&amp;"1231","WssConvert=0","showcodes=N","cols=1;rows=1")</f>
        <v>11.5512</v>
      </c>
      <c r="M352" s="43">
        <f>[1]!wss($A352:$A352,"hks_fa_debttoassets","rptDate="&amp;($B352-1)&amp;"1231","WssConvert=0","showcodes=N","cols=1;rows=1")</f>
        <v>56.106099999999998</v>
      </c>
      <c r="P352" s="50">
        <v>1.1832434098967199</v>
      </c>
      <c r="Q352" s="50">
        <v>2.1545065768159102</v>
      </c>
      <c r="R352" s="50">
        <v>2.54990560972653</v>
      </c>
      <c r="S352" s="50">
        <v>-0.222907353167874</v>
      </c>
      <c r="T352" s="50">
        <v>0.42423702455776602</v>
      </c>
      <c r="U352" s="50">
        <v>0.108921179791822</v>
      </c>
      <c r="V352" s="50">
        <v>14.3179</v>
      </c>
      <c r="W352" s="50">
        <v>19.295999999999999</v>
      </c>
      <c r="X352" s="50">
        <v>20.2195</v>
      </c>
    </row>
    <row r="353" spans="1:24">
      <c r="A353" t="s">
        <v>964</v>
      </c>
      <c r="B353" s="17">
        <f>IFERROR(YEAR(VLOOKUP($A353,'01_ipo_master'!$A:$C,3,FALSE)),YEAR(VLOOKUP("0"&amp;$A353,'01_ipo_master'!$A:$C,3,FALSE)))</f>
        <v>2022</v>
      </c>
      <c r="C353" s="73">
        <f>[1]!wss($A353:$A353,"hks_stm_is","item=83","rptDate="&amp;($B353-3)&amp;"1231","rptType=1","currencyType=Cur=CNY","WssConvert=0","WssDivide=8","showcodes=N","cols=1;rows=1")</f>
        <v>9.0500000000000008E-3</v>
      </c>
      <c r="D353" s="73">
        <f>[1]!wss($A353:$A353,"hks_stm_is","item=83","rptDate="&amp;($B353-2)&amp;"1231","rptType=1","currencyType=Cur=CNY","WssConvert=0","WssDivide=8","showcodes=N","cols=1;rows=1")</f>
        <v>6.2179999999999999E-2</v>
      </c>
      <c r="E353" s="73">
        <f>[1]!wss($A353:$A353,"hks_stm_is","item=83","rptDate="&amp;($B353-1)&amp;"1231","rptType=1","currencyType=Cur=CNY","WssConvert=0","WssDivide=8","showcodes=N","cols=1;rows=1")</f>
        <v>0.81198999999999999</v>
      </c>
      <c r="F353" s="73">
        <f>[1]!wss($A353:$A353,"hks_stm_is","item=61","rptDate="&amp;($B353-3)&amp;"1231","rptType=1","currencyType=Cur=CNY","WssConvert=0","WssDivide=8","showcodes=N","cols=1;rows=1")</f>
        <v>-0.45128000000000001</v>
      </c>
      <c r="G353" s="73">
        <f>[1]!wss($A353:$A353,"hks_stm_is","item=61","rptDate="&amp;($B353-2)&amp;"1231","rptType=1","currencyType=Cur=CNY","WssConvert=0","WssDivide=8","showcodes=N","cols=1;rows=1")</f>
        <v>-1.4524000000000001</v>
      </c>
      <c r="H353" s="73">
        <f>[1]!wss($A353:$A353,"hks_stm_is","item=61","rptDate="&amp;($B353-1)&amp;"1231","rptType=1","currencyType=Cur=CNY","WssConvert=0","WssDivide=8","showcodes=N","cols=1;rows=1")</f>
        <v>-6.3364500000000001</v>
      </c>
      <c r="I353" s="73">
        <f>[1]!wss($A353:$A353,"hks_fa_grossprofitmargin","rptDate="&amp;($B353-3)&amp;"1231","WssConvert=0","showcodes=N","cols=1;rows=1")</f>
        <v>69.325800000000001</v>
      </c>
      <c r="J353" s="43">
        <f>[1]!wss($A353:$A353,"hks_fa_grossprofitmargin","rptDate="&amp;($B353-2)&amp;"1231","WssConvert=0","showcodes=N","cols=1;rows=1")</f>
        <v>86.271900000000002</v>
      </c>
      <c r="K353" s="43">
        <f>[1]!wss($A353:$A353,"hks_fa_grossprofitmargin","rptDate="&amp;($B353-1)&amp;"1231","WssConvert=0","showcodes=N","cols=1;rows=1")</f>
        <v>85.015799999999999</v>
      </c>
      <c r="L353" s="73" t="str">
        <f>[1]!wss($A353:$A353,"hks_fa_roe","rptDate="&amp;($B353-1)&amp;"1231","WssConvert=0","showcodes=N","cols=1;rows=1")</f>
        <v/>
      </c>
      <c r="M353" s="43">
        <f>[1]!wss($A353:$A353,"hks_fa_debttoassets","rptDate="&amp;($B353-1)&amp;"1231","WssConvert=0","showcodes=N","cols=1;rows=1")</f>
        <v>220.9768</v>
      </c>
      <c r="P353" s="50">
        <v>0.74414999999999998</v>
      </c>
      <c r="Q353" s="50">
        <v>0.39823999999999998</v>
      </c>
      <c r="R353" s="50">
        <v>0.19176000000000001</v>
      </c>
      <c r="S353" s="50">
        <v>-1.1583000000000001</v>
      </c>
      <c r="T353" s="50">
        <v>-1.13496</v>
      </c>
      <c r="U353" s="50">
        <v>-0.77083000000000002</v>
      </c>
      <c r="V353" s="50">
        <v>66.311999999999998</v>
      </c>
      <c r="W353" s="50">
        <v>59.931199999999997</v>
      </c>
      <c r="X353" s="50">
        <v>47.137</v>
      </c>
    </row>
    <row r="354" spans="1:24">
      <c r="A354" t="s">
        <v>966</v>
      </c>
      <c r="B354" s="17">
        <f>IFERROR(YEAR(VLOOKUP($A354,'01_ipo_master'!$A:$C,3,FALSE)),YEAR(VLOOKUP("0"&amp;$A354,'01_ipo_master'!$A:$C,3,FALSE)))</f>
        <v>2022</v>
      </c>
      <c r="C354" s="73">
        <f>[1]!wss($A354:$A354,"hks_stm_is","item=83","rptDate="&amp;($B354-3)&amp;"1231","rptType=1","currencyType=Cur=CNY","WssConvert=0","WssDivide=8","showcodes=N","cols=1;rows=1")</f>
        <v>0.83167000000000002</v>
      </c>
      <c r="D354" s="73">
        <f>[1]!wss($A354:$A354,"hks_stm_is","item=83","rptDate="&amp;($B354-2)&amp;"1231","rptType=1","currencyType=Cur=CNY","WssConvert=0","WssDivide=8","showcodes=N","cols=1;rows=1")</f>
        <v>0.84625000000000006</v>
      </c>
      <c r="E354" s="73">
        <f>[1]!wss($A354:$A354,"hks_stm_is","item=83","rptDate="&amp;($B354-1)&amp;"1231","rptType=1","currencyType=Cur=CNY","WssConvert=0","WssDivide=8","showcodes=N","cols=1;rows=1")</f>
        <v>1.0536099999999999</v>
      </c>
      <c r="F354" s="73">
        <f>[1]!wss($A354:$A354,"hks_stm_is","item=61","rptDate="&amp;($B354-3)&amp;"1231","rptType=1","currencyType=Cur=CNY","WssConvert=0","WssDivide=8","showcodes=N","cols=1;rows=1")</f>
        <v>0.15429000000000001</v>
      </c>
      <c r="G354" s="73">
        <f>[1]!wss($A354:$A354,"hks_stm_is","item=61","rptDate="&amp;($B354-2)&amp;"1231","rptType=1","currencyType=Cur=CNY","WssConvert=0","WssDivide=8","showcodes=N","cols=1;rows=1")</f>
        <v>0.14903</v>
      </c>
      <c r="H354" s="73">
        <f>[1]!wss($A354:$A354,"hks_stm_is","item=61","rptDate="&amp;($B354-1)&amp;"1231","rptType=1","currencyType=Cur=CNY","WssConvert=0","WssDivide=8","showcodes=N","cols=1;rows=1")</f>
        <v>0.32069000000000003</v>
      </c>
      <c r="I354" s="73">
        <f>[1]!wss($A354:$A354,"hks_fa_grossprofitmargin","rptDate="&amp;($B354-3)&amp;"1231","WssConvert=0","showcodes=N","cols=1;rows=1")</f>
        <v>54.439100000000003</v>
      </c>
      <c r="J354" s="43">
        <f>[1]!wss($A354:$A354,"hks_fa_grossprofitmargin","rptDate="&amp;($B354-2)&amp;"1231","WssConvert=0","showcodes=N","cols=1;rows=1")</f>
        <v>59.862099999999998</v>
      </c>
      <c r="K354" s="43">
        <f>[1]!wss($A354:$A354,"hks_fa_grossprofitmargin","rptDate="&amp;($B354-1)&amp;"1231","WssConvert=0","showcodes=N","cols=1;rows=1")</f>
        <v>63.552199999999999</v>
      </c>
      <c r="L354" s="73">
        <f>[1]!wss($A354:$A354,"hks_fa_roe","rptDate="&amp;($B354-1)&amp;"1231","WssConvert=0","showcodes=N","cols=1;rows=1")</f>
        <v>93.649900000000002</v>
      </c>
      <c r="M354" s="43">
        <f>[1]!wss($A354:$A354,"hks_fa_debttoassets","rptDate="&amp;($B354-1)&amp;"1231","WssConvert=0","showcodes=N","cols=1;rows=1")</f>
        <v>62.243600000000001</v>
      </c>
      <c r="P354" s="50">
        <v>0.73929</v>
      </c>
      <c r="Q354" s="50">
        <v>0.74680000000000002</v>
      </c>
      <c r="R354" s="50">
        <v>1.01688</v>
      </c>
      <c r="S354" s="50">
        <v>-0.13594000000000001</v>
      </c>
      <c r="T354" s="50">
        <v>-0.32423999999999997</v>
      </c>
      <c r="U354" s="50">
        <v>-0.14341000000000001</v>
      </c>
      <c r="V354" s="50">
        <v>44.420699999999997</v>
      </c>
      <c r="W354" s="50">
        <v>36.122100000000003</v>
      </c>
      <c r="X354" s="50">
        <v>39.100999999999999</v>
      </c>
    </row>
    <row r="355" spans="1:24">
      <c r="A355" t="s">
        <v>968</v>
      </c>
      <c r="B355" s="17">
        <f>IFERROR(YEAR(VLOOKUP($A355,'01_ipo_master'!$A:$C,3,FALSE)),YEAR(VLOOKUP("0"&amp;$A355,'01_ipo_master'!$A:$C,3,FALSE)))</f>
        <v>2025</v>
      </c>
      <c r="C355" s="73">
        <f>[1]!wss($A355:$A355,"hks_stm_is","item=83","rptDate="&amp;($B355-3)&amp;"1231","rptType=1","currencyType=Cur=CNY","WssConvert=0","WssDivide=8","showcodes=N","cols=1;rows=1")</f>
        <v>1.05061</v>
      </c>
      <c r="D355" s="73">
        <f>[1]!wss($A355:$A355,"hks_stm_is","item=83","rptDate="&amp;($B355-2)&amp;"1231","rptType=1","currencyType=Cur=CNY","WssConvert=0","WssDivide=8","showcodes=N","cols=1;rows=1")</f>
        <v>0.73734</v>
      </c>
      <c r="E355" s="73">
        <f>[1]!wss($A355:$A355,"hks_stm_is","item=83","rptDate="&amp;($B355-1)&amp;"1231","rptType=1","currencyType=Cur=CNY","WssConvert=0","WssDivide=8","showcodes=N","cols=1;rows=1")</f>
        <v>1.0470300000000001</v>
      </c>
      <c r="F355" s="73">
        <f>[1]!wss($A355:$A355,"hks_stm_is","item=61","rptDate="&amp;($B355-3)&amp;"1231","rptType=1","currencyType=Cur=CNY","WssConvert=0","WssDivide=8","showcodes=N","cols=1;rows=1")</f>
        <v>-2.75244</v>
      </c>
      <c r="G355" s="73">
        <f>[1]!wss($A355:$A355,"hks_stm_is","item=61","rptDate="&amp;($B355-2)&amp;"1231","rptType=1","currencyType=Cur=CNY","WssConvert=0","WssDivide=8","showcodes=N","cols=1;rows=1")</f>
        <v>-5.08324</v>
      </c>
      <c r="H355" s="73">
        <f>[1]!wss($A355:$A355,"hks_stm_is","item=61","rptDate="&amp;($B355-1)&amp;"1231","rptType=1","currencyType=Cur=CNY","WssConvert=0","WssDivide=8","showcodes=N","cols=1;rows=1")</f>
        <v>-6.7764100000000003</v>
      </c>
      <c r="I355" s="73">
        <f>[1]!wss($A355:$A355,"hks_fa_grossprofitmargin","rptDate="&amp;($B355-3)&amp;"1231","WssConvert=0","showcodes=N","cols=1;rows=1")</f>
        <v>90.038200000000003</v>
      </c>
      <c r="J355" s="43">
        <f>[1]!wss($A355:$A355,"hks_fa_grossprofitmargin","rptDate="&amp;($B355-2)&amp;"1231","WssConvert=0","showcodes=N","cols=1;rows=1")</f>
        <v>99.072299999999998</v>
      </c>
      <c r="K355" s="43">
        <f>[1]!wss($A355:$A355,"hks_fa_grossprofitmargin","rptDate="&amp;($B355-1)&amp;"1231","WssConvert=0","showcodes=N","cols=1;rows=1")</f>
        <v>80.807599999999994</v>
      </c>
      <c r="L355" s="73" t="str">
        <f>[1]!wss($A355:$A355,"hks_fa_roe","rptDate="&amp;($B355-1)&amp;"1231","WssConvert=0","showcodes=N","cols=1;rows=1")</f>
        <v/>
      </c>
      <c r="M355" s="43">
        <f>[1]!wss($A355:$A355,"hks_fa_debttoassets","rptDate="&amp;($B355-1)&amp;"1231","WssConvert=0","showcodes=N","cols=1;rows=1")</f>
        <v>422.37860000000001</v>
      </c>
      <c r="P355" s="50">
        <v>0.73734</v>
      </c>
      <c r="Q355" s="50">
        <v>1.0470299999999999</v>
      </c>
      <c r="R355" s="50">
        <v>1.30267</v>
      </c>
      <c r="S355" s="50">
        <v>-5.08324</v>
      </c>
      <c r="T355" s="50">
        <v>-6.7764100000000003</v>
      </c>
      <c r="U355" s="50">
        <v>-17.94528</v>
      </c>
      <c r="V355" s="50">
        <v>99.072299999999998</v>
      </c>
      <c r="W355" s="50">
        <v>80.807599999999994</v>
      </c>
      <c r="X355" s="50">
        <v>64.2196</v>
      </c>
    </row>
    <row r="356" spans="1:24">
      <c r="A356" t="s">
        <v>970</v>
      </c>
      <c r="B356" s="17">
        <f>IFERROR(YEAR(VLOOKUP($A356,'01_ipo_master'!$A:$C,3,FALSE)),YEAR(VLOOKUP("0"&amp;$A356,'01_ipo_master'!$A:$C,3,FALSE)))</f>
        <v>2025</v>
      </c>
      <c r="C356" s="73">
        <f>[1]!wss($A356:$A356,"hks_stm_is","item=83","rptDate="&amp;($B356-3)&amp;"1231","rptType=1","currencyType=Cur=CNY","WssConvert=0","WssDivide=8","showcodes=N","cols=1;rows=1")</f>
        <v>0.11291</v>
      </c>
      <c r="D356" s="73">
        <f>[1]!wss($A356:$A356,"hks_stm_is","item=83","rptDate="&amp;($B356-2)&amp;"1231","rptType=1","currencyType=Cur=CNY","WssConvert=0","WssDivide=8","showcodes=N","cols=1;rows=1")</f>
        <v>0.67200000000000004</v>
      </c>
      <c r="E356" s="73">
        <f>[1]!wss($A356:$A356,"hks_stm_is","item=83","rptDate="&amp;($B356-1)&amp;"1231","rptType=1","currencyType=Cur=CNY","WssConvert=0","WssDivide=8","showcodes=N","cols=1;rows=1")</f>
        <v>1.2231099999999999</v>
      </c>
      <c r="F356" s="73">
        <f>[1]!wss($A356:$A356,"hks_stm_is","item=61","rptDate="&amp;($B356-3)&amp;"1231","rptType=1","currencyType=Cur=CNY","WssConvert=0","WssDivide=8","showcodes=N","cols=1;rows=1")</f>
        <v>-5.0245199999999999</v>
      </c>
      <c r="G356" s="73">
        <f>[1]!wss($A356:$A356,"hks_stm_is","item=61","rptDate="&amp;($B356-2)&amp;"1231","rptType=1","currencyType=Cur=CNY","WssConvert=0","WssDivide=8","showcodes=N","cols=1;rows=1")</f>
        <v>-3.59083</v>
      </c>
      <c r="H356" s="73">
        <f>[1]!wss($A356:$A356,"hks_stm_is","item=61","rptDate="&amp;($B356-1)&amp;"1231","rptType=1","currencyType=Cur=CNY","WssConvert=0","WssDivide=8","showcodes=N","cols=1;rows=1")</f>
        <v>-1.98282</v>
      </c>
      <c r="I356" s="73">
        <f>[1]!wss($A356:$A356,"hks_fa_grossprofitmargin","rptDate="&amp;($B356-3)&amp;"1231","WssConvert=0","showcodes=N","cols=1;rows=1")</f>
        <v>29.200199999999999</v>
      </c>
      <c r="J356" s="43">
        <f>[1]!wss($A356:$A356,"hks_fa_grossprofitmargin","rptDate="&amp;($B356-2)&amp;"1231","WssConvert=0","showcodes=N","cols=1;rows=1")</f>
        <v>47.714300000000001</v>
      </c>
      <c r="K356" s="43">
        <f>[1]!wss($A356:$A356,"hks_fa_grossprofitmargin","rptDate="&amp;($B356-1)&amp;"1231","WssConvert=0","showcodes=N","cols=1;rows=1")</f>
        <v>44.160400000000003</v>
      </c>
      <c r="L356" s="73" t="str">
        <f>[1]!wss($A356:$A356,"hks_fa_roe","rptDate="&amp;($B356-1)&amp;"1231","WssConvert=0","showcodes=N","cols=1;rows=1")</f>
        <v/>
      </c>
      <c r="M356" s="43">
        <f>[1]!wss($A356:$A356,"hks_fa_debttoassets","rptDate="&amp;($B356-1)&amp;"1231","WssConvert=0","showcodes=N","cols=1;rows=1")</f>
        <v>177.4025</v>
      </c>
      <c r="P356" s="50">
        <v>0.67200000000000004</v>
      </c>
      <c r="Q356" s="50">
        <v>1.2231099999999999</v>
      </c>
      <c r="R356" s="50">
        <v>2.2004899999999998</v>
      </c>
      <c r="S356" s="50">
        <v>-3.59083</v>
      </c>
      <c r="T356" s="50">
        <v>-1.98282</v>
      </c>
      <c r="U356" s="50">
        <v>-3.1486100000000001</v>
      </c>
      <c r="V356" s="50">
        <v>47.714300000000001</v>
      </c>
      <c r="W356" s="50">
        <v>44.160400000000003</v>
      </c>
      <c r="X356" s="50">
        <v>40.651899999999998</v>
      </c>
    </row>
    <row r="357" spans="1:24">
      <c r="A357" t="s">
        <v>972</v>
      </c>
      <c r="B357" s="17">
        <f>IFERROR(YEAR(VLOOKUP($A357,'01_ipo_master'!$A:$C,3,FALSE)),YEAR(VLOOKUP("0"&amp;$A357,'01_ipo_master'!$A:$C,3,FALSE)))</f>
        <v>2024</v>
      </c>
      <c r="C357" s="73" t="str">
        <f>[1]!wss($A357:$A357,"hks_stm_is","item=83","rptDate="&amp;($B357-3)&amp;"1231","rptType=1","currencyType=Cur=CNY","WssConvert=0","WssDivide=8","showcodes=N","cols=1;rows=1")</f>
        <v/>
      </c>
      <c r="D357" s="73">
        <f>[1]!wss($A357:$A357,"hks_stm_is","item=83","rptDate="&amp;($B357-2)&amp;"1231","rptType=1","currencyType=Cur=CNY","WssConvert=0","WssDivide=8","showcodes=N","cols=1;rows=1")</f>
        <v>0.39938000000000001</v>
      </c>
      <c r="E357" s="73">
        <f>[1]!wss($A357:$A357,"hks_stm_is","item=83","rptDate="&amp;($B357-1)&amp;"1231","rptType=1","currencyType=Cur=CNY","WssConvert=0","WssDivide=8","showcodes=N","cols=1;rows=1")</f>
        <v>0.66856000000000004</v>
      </c>
      <c r="F357" s="73" t="str">
        <f>[1]!wss($A357:$A357,"hks_stm_is","item=61","rptDate="&amp;($B357-3)&amp;"1231","rptType=1","currencyType=Cur=CNY","WssConvert=0","WssDivide=8","showcodes=N","cols=1;rows=1")</f>
        <v/>
      </c>
      <c r="G357" s="73">
        <f>[1]!wss($A357:$A357,"hks_stm_is","item=61","rptDate="&amp;($B357-2)&amp;"1231","rptType=1","currencyType=Cur=CNY","WssConvert=0","WssDivide=8","showcodes=N","cols=1;rows=1")</f>
        <v>-1.60511</v>
      </c>
      <c r="H357" s="73">
        <f>[1]!wss($A357:$A357,"hks_stm_is","item=61","rptDate="&amp;($B357-1)&amp;"1231","rptType=1","currencyType=Cur=CNY","WssConvert=0","WssDivide=8","showcodes=N","cols=1;rows=1")</f>
        <v>-1.8964400000000001</v>
      </c>
      <c r="I357" s="73" t="str">
        <f>[1]!wss($A357:$A357,"hks_fa_grossprofitmargin","rptDate="&amp;($B357-3)&amp;"1231","WssConvert=0","showcodes=N","cols=1;rows=1")</f>
        <v/>
      </c>
      <c r="J357" s="43">
        <f>[1]!wss($A357:$A357,"hks_fa_grossprofitmargin","rptDate="&amp;($B357-2)&amp;"1231","WssConvert=0","showcodes=N","cols=1;rows=1")</f>
        <v>72.760499999999993</v>
      </c>
      <c r="K357" s="43">
        <f>[1]!wss($A357:$A357,"hks_fa_grossprofitmargin","rptDate="&amp;($B357-1)&amp;"1231","WssConvert=0","showcodes=N","cols=1;rows=1")</f>
        <v>70.270899999999997</v>
      </c>
      <c r="L357" s="73">
        <f>[1]!wss($A357:$A357,"hks_fa_roe","rptDate="&amp;($B357-1)&amp;"1231","WssConvert=0","showcodes=N","cols=1;rows=1")</f>
        <v>-23.8383</v>
      </c>
      <c r="M357" s="43">
        <f>[1]!wss($A357:$A357,"hks_fa_debttoassets","rptDate="&amp;($B357-1)&amp;"1231","WssConvert=0","showcodes=N","cols=1;rows=1")</f>
        <v>6.3680000000000003</v>
      </c>
      <c r="P357" s="50">
        <v>0.66856000000000004</v>
      </c>
      <c r="Q357" s="50">
        <v>0.71865999999999997</v>
      </c>
      <c r="R357" s="50">
        <v>0.3336426046</v>
      </c>
      <c r="S357" s="50">
        <v>-1.8964399999999999</v>
      </c>
      <c r="T357" s="50">
        <v>-1.4377599999999999</v>
      </c>
      <c r="U357" s="50">
        <v>-1.3143510856</v>
      </c>
      <c r="V357" s="50">
        <v>70.270899999999997</v>
      </c>
      <c r="W357" s="50">
        <v>84.999899999999997</v>
      </c>
      <c r="X357" s="50">
        <v>92.186400000000006</v>
      </c>
    </row>
    <row r="358" spans="1:24">
      <c r="A358" t="s">
        <v>974</v>
      </c>
      <c r="B358" s="17">
        <f>IFERROR(YEAR(VLOOKUP($A358,'01_ipo_master'!$A:$C,3,FALSE)),YEAR(VLOOKUP("0"&amp;$A358,'01_ipo_master'!$A:$C,3,FALSE)))</f>
        <v>2026</v>
      </c>
      <c r="C358" s="73">
        <f>[1]!wss($A358:$A358,"hks_stm_is","item=83","rptDate="&amp;($B358-3)&amp;"1231","rptType=1","currencyType=Cur=CNY","WssConvert=0","WssDivide=8","showcodes=N","cols=1;rows=1")</f>
        <v>0.62029999999999996</v>
      </c>
      <c r="D358" s="73">
        <f>[1]!wss($A358:$A358,"hks_stm_is","item=83","rptDate="&amp;($B358-2)&amp;"1231","rptType=1","currencyType=Cur=CNY","WssConvert=0","WssDivide=8","showcodes=N","cols=1;rows=1")</f>
        <v>3.3680300000000001</v>
      </c>
      <c r="E358" s="73">
        <f>[1]!wss($A358:$A358,"hks_stm_is","item=83","rptDate="&amp;($B358-1)&amp;"1231","rptType=1","currencyType=Cur=CNY","WssConvert=0","WssDivide=8","showcodes=N","cols=1;rows=1")</f>
        <v>10.34614</v>
      </c>
      <c r="F358" s="73">
        <f>[1]!wss($A358:$A358,"hks_stm_is","item=61","rptDate="&amp;($B358-3)&amp;"1231","rptType=1","currencyType=Cur=CNY","WssConvert=0","WssDivide=8","showcodes=N","cols=1;rows=1")</f>
        <v>-17.439550000000001</v>
      </c>
      <c r="G358" s="73">
        <f>[1]!wss($A358:$A358,"hks_stm_is","item=61","rptDate="&amp;($B358-2)&amp;"1231","rptType=1","currencyType=Cur=CNY","WssConvert=0","WssDivide=8","showcodes=N","cols=1;rows=1")</f>
        <v>-15.381</v>
      </c>
      <c r="H358" s="73">
        <f>[1]!wss($A358:$A358,"hks_stm_is","item=61","rptDate="&amp;($B358-1)&amp;"1231","rptType=1","currencyType=Cur=CNY","WssConvert=0","WssDivide=8","showcodes=N","cols=1;rows=1")</f>
        <v>-164.93028000000001</v>
      </c>
      <c r="I358" s="73">
        <f>[1]!wss($A358:$A358,"hks_fa_grossprofitmargin","rptDate="&amp;($B358-3)&amp;"1231","WssConvert=0","showcodes=N","cols=1;rows=1")</f>
        <v>76.419499999999999</v>
      </c>
      <c r="J358" s="43">
        <f>[1]!wss($A358:$A358,"hks_fa_grossprofitmargin","rptDate="&amp;($B358-2)&amp;"1231","WssConvert=0","showcodes=N","cols=1;rows=1")</f>
        <v>53.205300000000001</v>
      </c>
      <c r="K358" s="43">
        <f>[1]!wss($A358:$A358,"hks_fa_grossprofitmargin","rptDate="&amp;($B358-1)&amp;"1231","WssConvert=0","showcodes=N","cols=1;rows=1")</f>
        <v>53.8367</v>
      </c>
      <c r="L358" s="73" t="str">
        <f>[1]!wss($A358:$A358,"hks_fa_roe","rptDate="&amp;($B358-1)&amp;"1231","WssConvert=0","showcodes=N","cols=1;rows=1")</f>
        <v/>
      </c>
      <c r="M358" s="43">
        <f>[1]!wss($A358:$A358,"hks_fa_debttoassets","rptDate="&amp;($B358-1)&amp;"1231","WssConvert=0","showcodes=N","cols=1;rows=1")</f>
        <v>502.91430000000003</v>
      </c>
      <c r="P358" s="50">
        <v>0.62029999999999996</v>
      </c>
      <c r="Q358" s="50">
        <v>3.3680300000000001</v>
      </c>
      <c r="R358" s="50">
        <v>10.34614</v>
      </c>
      <c r="S358" s="50">
        <v>-17.439550000000001</v>
      </c>
      <c r="T358" s="50">
        <v>-15.381</v>
      </c>
      <c r="U358" s="50">
        <v>-164.93028000000001</v>
      </c>
      <c r="V358" s="50">
        <v>76.419499999999999</v>
      </c>
      <c r="W358" s="50">
        <v>53.205300000000001</v>
      </c>
      <c r="X358" s="50">
        <v>53.8367</v>
      </c>
    </row>
    <row r="359" spans="1:24">
      <c r="A359" t="s">
        <v>976</v>
      </c>
      <c r="B359" s="17">
        <f>IFERROR(YEAR(VLOOKUP($A359,'01_ipo_master'!$A:$C,3,FALSE)),YEAR(VLOOKUP("0"&amp;$A359,'01_ipo_master'!$A:$C,3,FALSE)))</f>
        <v>2026</v>
      </c>
      <c r="C359" s="73">
        <f>[1]!wss($A359:$A359,"hks_stm_is","item=83","rptDate="&amp;($B359-3)&amp;"1231","rptType=1","currencyType=Cur=CNY","WssConvert=0","WssDivide=8","showcodes=N","cols=1;rows=1")</f>
        <v>0.58301999999999998</v>
      </c>
      <c r="D359" s="73">
        <f>[1]!wss($A359:$A359,"hks_stm_is","item=83","rptDate="&amp;($B359-2)&amp;"1231","rptType=1","currencyType=Cur=CNY","WssConvert=0","WssDivide=8","showcodes=N","cols=1;rows=1")</f>
        <v>13.29838</v>
      </c>
      <c r="E359" s="73">
        <f>[1]!wss($A359:$A359,"hks_stm_is","item=83","rptDate="&amp;($B359-1)&amp;"1231","rptType=1","currencyType=Cur=CNY","WssConvert=0","WssDivide=8","showcodes=N","cols=1;rows=1")</f>
        <v>90.005120000000005</v>
      </c>
      <c r="F359" s="73">
        <f>[1]!wss($A359:$A359,"hks_stm_is","item=61","rptDate="&amp;($B359-3)&amp;"1231","rptType=1","currencyType=Cur=CNY","WssConvert=0","WssDivide=8","showcodes=N","cols=1;rows=1")</f>
        <v>-3.7345200000000003</v>
      </c>
      <c r="G359" s="73">
        <f>[1]!wss($A359:$A359,"hks_stm_is","item=61","rptDate="&amp;($B359-2)&amp;"1231","rptType=1","currencyType=Cur=CNY","WssConvert=0","WssDivide=8","showcodes=N","cols=1;rows=1")</f>
        <v>0.83845000000000003</v>
      </c>
      <c r="H359" s="73">
        <f>[1]!wss($A359:$A359,"hks_stm_is","item=61","rptDate="&amp;($B359-1)&amp;"1231","rptType=1","currencyType=Cur=CNY","WssConvert=0","WssDivide=8","showcodes=N","cols=1;rows=1")</f>
        <v>29.188320000000001</v>
      </c>
      <c r="I359" s="73">
        <f>[1]!wss($A359:$A359,"hks_fa_grossprofitmargin","rptDate="&amp;($B359-3)&amp;"1231","WssConvert=0","showcodes=N","cols=1;rows=1")</f>
        <v>31.300799999999999</v>
      </c>
      <c r="J359" s="43">
        <f>[1]!wss($A359:$A359,"hks_fa_grossprofitmargin","rptDate="&amp;($B359-2)&amp;"1231","WssConvert=0","showcodes=N","cols=1;rows=1")</f>
        <v>46.895200000000003</v>
      </c>
      <c r="K359" s="43">
        <f>[1]!wss($A359:$A359,"hks_fa_grossprofitmargin","rptDate="&amp;($B359-1)&amp;"1231","WssConvert=0","showcodes=N","cols=1;rows=1")</f>
        <v>50.051099999999998</v>
      </c>
      <c r="L359" s="73">
        <f>[1]!wss($A359:$A359,"hks_fa_roe","rptDate="&amp;($B359-1)&amp;"1231","WssConvert=0","showcodes=N","cols=1;rows=1")</f>
        <v>133.58439999999999</v>
      </c>
      <c r="M359" s="43">
        <f>[1]!wss($A359:$A359,"hks_fa_debttoassets","rptDate="&amp;($B359-1)&amp;"1231","WssConvert=0","showcodes=N","cols=1;rows=1")</f>
        <v>55.160699999999999</v>
      </c>
      <c r="P359" s="50">
        <v>0.58301999999999998</v>
      </c>
      <c r="Q359" s="50">
        <v>13.29838</v>
      </c>
      <c r="R359" s="50">
        <v>90.005120000000005</v>
      </c>
      <c r="S359" s="50">
        <v>-3.7345199999999998</v>
      </c>
      <c r="T359" s="50">
        <v>0.83845000000000003</v>
      </c>
      <c r="U359" s="50">
        <v>29.188320000000001</v>
      </c>
      <c r="V359" s="50">
        <v>31.300799999999999</v>
      </c>
      <c r="W359" s="50">
        <v>46.895200000000003</v>
      </c>
      <c r="X359" s="50">
        <v>50.051099999999998</v>
      </c>
    </row>
    <row r="360" spans="1:24">
      <c r="A360" t="s">
        <v>978</v>
      </c>
      <c r="B360" s="17">
        <f>IFERROR(YEAR(VLOOKUP($A360,'01_ipo_master'!$A:$C,3,FALSE)),YEAR(VLOOKUP("0"&amp;$A360,'01_ipo_master'!$A:$C,3,FALSE)))</f>
        <v>2026</v>
      </c>
      <c r="C360" s="73">
        <f>[1]!wss($A360:$A360,"hks_stm_is","item=83","rptDate="&amp;($B360-3)&amp;"1231","rptType=1","currencyType=Cur=CNY","WssConvert=0","WssDivide=8","showcodes=N","cols=1;rows=1")</f>
        <v>0.52844000000000002</v>
      </c>
      <c r="D360" s="73">
        <f>[1]!wss($A360:$A360,"hks_stm_is","item=83","rptDate="&amp;($B360-2)&amp;"1231","rptType=1","currencyType=Cur=CNY","WssConvert=0","WssDivide=8","showcodes=N","cols=1;rows=1")</f>
        <v>0.70352000000000003</v>
      </c>
      <c r="E360" s="73">
        <f>[1]!wss($A360:$A360,"hks_stm_is","item=83","rptDate="&amp;($B360-1)&amp;"1231","rptType=1","currencyType=Cur=CNY","WssConvert=0","WssDivide=8","showcodes=N","cols=1;rows=1")</f>
        <v>1.6442399999999999</v>
      </c>
      <c r="F360" s="73">
        <f>[1]!wss($A360:$A360,"hks_stm_is","item=61","rptDate="&amp;($B360-3)&amp;"1231","rptType=1","currencyType=Cur=CNY","WssConvert=0","WssDivide=8","showcodes=N","cols=1;rows=1")</f>
        <v>-0.56115999999999999</v>
      </c>
      <c r="G360" s="73">
        <f>[1]!wss($A360:$A360,"hks_stm_is","item=61","rptDate="&amp;($B360-2)&amp;"1231","rptType=1","currencyType=Cur=CNY","WssConvert=0","WssDivide=8","showcodes=N","cols=1;rows=1")</f>
        <v>-0.43375000000000002</v>
      </c>
      <c r="H360" s="73">
        <f>[1]!wss($A360:$A360,"hks_stm_is","item=61","rptDate="&amp;($B360-1)&amp;"1231","rptType=1","currencyType=Cur=CNY","WssConvert=0","WssDivide=8","showcodes=N","cols=1;rows=1")</f>
        <v>-0.67137000000000002</v>
      </c>
      <c r="I360" s="73">
        <f>[1]!wss($A360:$A360,"hks_fa_grossprofitmargin","rptDate="&amp;($B360-3)&amp;"1231","WssConvert=0","showcodes=N","cols=1;rows=1")</f>
        <v>70.954099999999997</v>
      </c>
      <c r="J360" s="43">
        <f>[1]!wss($A360:$A360,"hks_fa_grossprofitmargin","rptDate="&amp;($B360-2)&amp;"1231","WssConvert=0","showcodes=N","cols=1;rows=1")</f>
        <v>65.472200000000001</v>
      </c>
      <c r="K360" s="43">
        <f>[1]!wss($A360:$A360,"hks_fa_grossprofitmargin","rptDate="&amp;($B360-1)&amp;"1231","WssConvert=0","showcodes=N","cols=1;rows=1")</f>
        <v>71.818600000000004</v>
      </c>
      <c r="L360" s="73">
        <f>[1]!wss($A360:$A360,"hks_fa_roe","rptDate="&amp;($B360-1)&amp;"1231","WssConvert=0","showcodes=N","cols=1;rows=1")</f>
        <v>-39.502800000000001</v>
      </c>
      <c r="M360" s="43">
        <f>[1]!wss($A360:$A360,"hks_fa_debttoassets","rptDate="&amp;($B360-1)&amp;"1231","WssConvert=0","showcodes=N","cols=1;rows=1")</f>
        <v>23.123899999999999</v>
      </c>
      <c r="P360" s="50">
        <v>0.52844000000000002</v>
      </c>
      <c r="Q360" s="50">
        <v>0.70352000000000003</v>
      </c>
      <c r="R360" s="50">
        <v>1.6442399999999999</v>
      </c>
      <c r="S360" s="50">
        <v>-0.56115999999999999</v>
      </c>
      <c r="T360" s="50">
        <v>-0.43375000000000002</v>
      </c>
      <c r="U360" s="50">
        <v>-0.67137000000000002</v>
      </c>
      <c r="V360" s="50">
        <v>70.954099999999997</v>
      </c>
      <c r="W360" s="50">
        <v>65.472200000000001</v>
      </c>
      <c r="X360" s="50">
        <v>71.818600000000004</v>
      </c>
    </row>
    <row r="361" spans="1:24">
      <c r="A361" t="s">
        <v>980</v>
      </c>
      <c r="B361" s="17">
        <f>IFERROR(YEAR(VLOOKUP($A361,'01_ipo_master'!$A:$C,3,FALSE)),YEAR(VLOOKUP("0"&amp;$A361,'01_ipo_master'!$A:$C,3,FALSE)))</f>
        <v>2025</v>
      </c>
      <c r="C361" s="73" t="str">
        <f>[1]!wss($A361:$A361,"hks_stm_is","item=83","rptDate="&amp;($B361-3)&amp;"1231","rptType=1","currencyType=Cur=CNY","WssConvert=0","WssDivide=8","showcodes=N","cols=1;rows=1")</f>
        <v/>
      </c>
      <c r="D361" s="73">
        <f>[1]!wss($A361:$A361,"hks_stm_is","item=83","rptDate="&amp;($B361-2)&amp;"1231","rptType=1","currencyType=Cur=CNY","WssConvert=0","WssDivide=8","showcodes=N","cols=1;rows=1")</f>
        <v>0.52168000000000003</v>
      </c>
      <c r="E361" s="73">
        <f>[1]!wss($A361:$A361,"hks_stm_is","item=83","rptDate="&amp;($B361-1)&amp;"1231","rptType=1","currencyType=Cur=CNY","WssConvert=0","WssDivide=8","showcodes=N","cols=1;rows=1")</f>
        <v>2.59612</v>
      </c>
      <c r="F361" s="73" t="str">
        <f>[1]!wss($A361:$A361,"hks_stm_is","item=61","rptDate="&amp;($B361-3)&amp;"1231","rptType=1","currencyType=Cur=CNY","WssConvert=0","WssDivide=8","showcodes=N","cols=1;rows=1")</f>
        <v/>
      </c>
      <c r="G361" s="73">
        <f>[1]!wss($A361:$A361,"hks_stm_is","item=61","rptDate="&amp;($B361-2)&amp;"1231","rptType=1","currencyType=Cur=CNY","WssConvert=0","WssDivide=8","showcodes=N","cols=1;rows=1")</f>
        <v>-4.2474100000000004</v>
      </c>
      <c r="H361" s="73">
        <f>[1]!wss($A361:$A361,"hks_stm_is","item=61","rptDate="&amp;($B361-1)&amp;"1231","rptType=1","currencyType=Cur=CNY","WssConvert=0","WssDivide=8","showcodes=N","cols=1;rows=1")</f>
        <v>-2.5871599999999999</v>
      </c>
      <c r="I361" s="73" t="str">
        <f>[1]!wss($A361:$A361,"hks_fa_grossprofitmargin","rptDate="&amp;($B361-3)&amp;"1231","WssConvert=0","showcodes=N","cols=1;rows=1")</f>
        <v/>
      </c>
      <c r="J361" s="43">
        <f>[1]!wss($A361:$A361,"hks_fa_grossprofitmargin","rptDate="&amp;($B361-2)&amp;"1231","WssConvert=0","showcodes=N","cols=1;rows=1")</f>
        <v>-38.995199999999997</v>
      </c>
      <c r="K361" s="43">
        <f>[1]!wss($A361:$A361,"hks_fa_grossprofitmargin","rptDate="&amp;($B361-1)&amp;"1231","WssConvert=0","showcodes=N","cols=1;rows=1")</f>
        <v>58.338999999999999</v>
      </c>
      <c r="L361" s="73">
        <f>[1]!wss($A361:$A361,"hks_fa_roe","rptDate="&amp;($B361-1)&amp;"1231","WssConvert=0","showcodes=N","cols=1;rows=1")</f>
        <v>-101.48569999999999</v>
      </c>
      <c r="M361" s="43">
        <f>[1]!wss($A361:$A361,"hks_fa_debttoassets","rptDate="&amp;($B361-1)&amp;"1231","WssConvert=0","showcodes=N","cols=1;rows=1")</f>
        <v>90.911199999999994</v>
      </c>
      <c r="P361" s="50">
        <v>0.52168000000000003</v>
      </c>
      <c r="Q361" s="50">
        <v>2.59612</v>
      </c>
      <c r="R361" s="50"/>
      <c r="S361" s="50">
        <v>-4.2474100000000004</v>
      </c>
      <c r="T361" s="50">
        <v>-2.5871599999999999</v>
      </c>
      <c r="U361" s="50"/>
      <c r="V361" s="50">
        <v>-38.995199999999997</v>
      </c>
      <c r="W361" s="50">
        <v>58.338999999999999</v>
      </c>
      <c r="X361" s="50"/>
    </row>
    <row r="362" spans="1:24">
      <c r="A362" t="s">
        <v>982</v>
      </c>
      <c r="B362" s="17">
        <f>IFERROR(YEAR(VLOOKUP($A362,'01_ipo_master'!$A:$C,3,FALSE)),YEAR(VLOOKUP("0"&amp;$A362,'01_ipo_master'!$A:$C,3,FALSE)))</f>
        <v>2026</v>
      </c>
      <c r="C362" s="73">
        <f>[1]!wss($A362:$A362,"hks_stm_is","item=83","rptDate="&amp;($B362-3)&amp;"1231","rptType=1","currencyType=Cur=CNY","WssConvert=0","WssDivide=8","showcodes=N","cols=1;rows=1")</f>
        <v>0.48042000000000001</v>
      </c>
      <c r="D362" s="73">
        <f>[1]!wss($A362:$A362,"hks_stm_is","item=83","rptDate="&amp;($B362-2)&amp;"1231","rptType=1","currencyType=Cur=CNY","WssConvert=0","WssDivide=8","showcodes=N","cols=1;rows=1")</f>
        <v>1.5999400000000001</v>
      </c>
      <c r="E362" s="73">
        <f>[1]!wss($A362:$A362,"hks_stm_is","item=83","rptDate="&amp;($B362-1)&amp;"1231","rptType=1","currencyType=Cur=CNY","WssConvert=0","WssDivide=8","showcodes=N","cols=1;rows=1")</f>
        <v>4.55715</v>
      </c>
      <c r="F362" s="73">
        <f>[1]!wss($A362:$A362,"hks_stm_is","item=61","rptDate="&amp;($B362-3)&amp;"1231","rptType=1","currencyType=Cur=CNY","WssConvert=0","WssDivide=8","showcodes=N","cols=1;rows=1")</f>
        <v>-2.1286900000000002</v>
      </c>
      <c r="G362" s="73">
        <f>[1]!wss($A362:$A362,"hks_stm_is","item=61","rptDate="&amp;($B362-2)&amp;"1231","rptType=1","currencyType=Cur=CNY","WssConvert=0","WssDivide=8","showcodes=N","cols=1;rows=1")</f>
        <v>-2.1850900000000002</v>
      </c>
      <c r="H362" s="73">
        <f>[1]!wss($A362:$A362,"hks_stm_is","item=61","rptDate="&amp;($B362-1)&amp;"1231","rptType=1","currencyType=Cur=CNY","WssConvert=0","WssDivide=8","showcodes=N","cols=1;rows=1")</f>
        <v>-0.88607000000000002</v>
      </c>
      <c r="I362" s="73">
        <f>[1]!wss($A362:$A362,"hks_fa_grossprofitmargin","rptDate="&amp;($B362-3)&amp;"1231","WssConvert=0","showcodes=N","cols=1;rows=1")</f>
        <v>59.252299999999998</v>
      </c>
      <c r="J362" s="43">
        <f>[1]!wss($A362:$A362,"hks_fa_grossprofitmargin","rptDate="&amp;($B362-2)&amp;"1231","WssConvert=0","showcodes=N","cols=1;rows=1")</f>
        <v>61.300400000000003</v>
      </c>
      <c r="K362" s="43">
        <f>[1]!wss($A362:$A362,"hks_fa_grossprofitmargin","rptDate="&amp;($B362-1)&amp;"1231","WssConvert=0","showcodes=N","cols=1;rows=1")</f>
        <v>65.973699999999994</v>
      </c>
      <c r="L362" s="73">
        <f>[1]!wss($A362:$A362,"hks_fa_roe","rptDate="&amp;($B362-1)&amp;"1231","WssConvert=0","showcodes=N","cols=1;rows=1")</f>
        <v>-7.2077</v>
      </c>
      <c r="M362" s="43">
        <f>[1]!wss($A362:$A362,"hks_fa_debttoassets","rptDate="&amp;($B362-1)&amp;"1231","WssConvert=0","showcodes=N","cols=1;rows=1")</f>
        <v>13.4968</v>
      </c>
      <c r="P362" s="50">
        <v>0.48042000000000001</v>
      </c>
      <c r="Q362" s="50">
        <v>1.5999399999999999</v>
      </c>
      <c r="R362" s="50">
        <v>4.55715</v>
      </c>
      <c r="S362" s="50">
        <v>-2.1286900000000002</v>
      </c>
      <c r="T362" s="50">
        <v>-2.1850900000000002</v>
      </c>
      <c r="U362" s="50">
        <v>-0.88607000000000002</v>
      </c>
      <c r="V362" s="50">
        <v>59.252299999999998</v>
      </c>
      <c r="W362" s="50">
        <v>61.300400000000003</v>
      </c>
      <c r="X362" s="50">
        <v>65.973699999999994</v>
      </c>
    </row>
    <row r="363" spans="1:24">
      <c r="A363" t="s">
        <v>984</v>
      </c>
      <c r="B363" s="17">
        <f>IFERROR(YEAR(VLOOKUP($A363,'01_ipo_master'!$A:$C,3,FALSE)),YEAR(VLOOKUP("0"&amp;$A363,'01_ipo_master'!$A:$C,3,FALSE)))</f>
        <v>2023</v>
      </c>
      <c r="C363" s="73">
        <f>[1]!wss($A363:$A363,"hks_stm_is","item=83","rptDate="&amp;($B363-3)&amp;"1231","rptType=1","currencyType=Cur=CNY","WssConvert=0","WssDivide=8","showcodes=N","cols=1;rows=1")</f>
        <v>0.47802</v>
      </c>
      <c r="D363" s="73">
        <f>[1]!wss($A363:$A363,"hks_stm_is","item=83","rptDate="&amp;($B363-2)&amp;"1231","rptType=1","currencyType=Cur=CNY","WssConvert=0","WssDivide=8","showcodes=N","cols=1;rows=1")</f>
        <v>0.41921000000000003</v>
      </c>
      <c r="E363" s="73">
        <f>[1]!wss($A363:$A363,"hks_stm_is","item=83","rptDate="&amp;($B363-1)&amp;"1231","rptType=1","currencyType=Cur=CNY","WssConvert=0","WssDivide=8","showcodes=N","cols=1;rows=1")</f>
        <v>0.46989999999999998</v>
      </c>
      <c r="F363" s="73">
        <f>[1]!wss($A363:$A363,"hks_stm_is","item=61","rptDate="&amp;($B363-3)&amp;"1231","rptType=1","currencyType=Cur=CNY","WssConvert=0","WssDivide=8","showcodes=N","cols=1;rows=1")</f>
        <v>7.2099900000000003</v>
      </c>
      <c r="G363" s="73">
        <f>[1]!wss($A363:$A363,"hks_stm_is","item=61","rptDate="&amp;($B363-2)&amp;"1231","rptType=1","currencyType=Cur=CNY","WssConvert=0","WssDivide=8","showcodes=N","cols=1;rows=1")</f>
        <v>7.3013300000000001</v>
      </c>
      <c r="H363" s="73">
        <f>[1]!wss($A363:$A363,"hks_stm_is","item=61","rptDate="&amp;($B363-1)&amp;"1231","rptType=1","currencyType=Cur=CNY","WssConvert=0","WssDivide=8","showcodes=N","cols=1;rows=1")</f>
        <v>5.5928500000000003</v>
      </c>
      <c r="I363" s="73" t="str">
        <f>[1]!wss($A363:$A363,"hks_fa_grossprofitmargin","rptDate="&amp;($B363-3)&amp;"1231","WssConvert=0","showcodes=N","cols=1;rows=1")</f>
        <v/>
      </c>
      <c r="J363" s="43" t="str">
        <f>[1]!wss($A363:$A363,"hks_fa_grossprofitmargin","rptDate="&amp;($B363-2)&amp;"1231","WssConvert=0","showcodes=N","cols=1;rows=1")</f>
        <v/>
      </c>
      <c r="K363" s="43" t="str">
        <f>[1]!wss($A363:$A363,"hks_fa_grossprofitmargin","rptDate="&amp;($B363-1)&amp;"1231","WssConvert=0","showcodes=N","cols=1;rows=1")</f>
        <v/>
      </c>
      <c r="L363" s="73">
        <f>[1]!wss($A363:$A363,"hks_fa_roe","rptDate="&amp;($B363-1)&amp;"1231","WssConvert=0","showcodes=N","cols=1;rows=1")</f>
        <v>8.0909999999999993</v>
      </c>
      <c r="M363" s="43">
        <f>[1]!wss($A363:$A363,"hks_fa_debttoassets","rptDate="&amp;($B363-1)&amp;"1231","WssConvert=0","showcodes=N","cols=1;rows=1")</f>
        <v>58.257199999999997</v>
      </c>
      <c r="P363" s="50">
        <v>0.47116999999999998</v>
      </c>
      <c r="Q363" s="50">
        <v>0.42431000000000002</v>
      </c>
      <c r="R363" s="50">
        <v>0.17807000000000001</v>
      </c>
      <c r="S363" s="50">
        <v>-8.7296200000000006</v>
      </c>
      <c r="T363" s="50">
        <v>-8.9148499999999995</v>
      </c>
      <c r="U363" s="50">
        <v>1.9581200000000001</v>
      </c>
      <c r="V363" s="50"/>
      <c r="W363" s="50"/>
      <c r="X363" s="50"/>
    </row>
    <row r="364" spans="1:24">
      <c r="A364" t="s">
        <v>986</v>
      </c>
      <c r="B364" s="17">
        <f>IFERROR(YEAR(VLOOKUP($A364,'01_ipo_master'!$A:$C,3,FALSE)),YEAR(VLOOKUP("0"&amp;$A364,'01_ipo_master'!$A:$C,3,FALSE)))</f>
        <v>2022</v>
      </c>
      <c r="C364" s="73">
        <f>[1]!wss($A364:$A364,"hks_stm_is","item=83","rptDate="&amp;($B364-3)&amp;"1231","rptType=1","currencyType=Cur=CNY","WssConvert=0","WssDivide=8","showcodes=N","cols=1;rows=1")</f>
        <v>3.0000000000000001E-5</v>
      </c>
      <c r="D364" s="73">
        <f>[1]!wss($A364:$A364,"hks_stm_is","item=83","rptDate="&amp;($B364-2)&amp;"1231","rptType=1","currencyType=Cur=CNY","WssConvert=0","WssDivide=8","showcodes=N","cols=1;rows=1")</f>
        <v>3.0700000000000002E-2</v>
      </c>
      <c r="E364" s="73">
        <f>[1]!wss($A364:$A364,"hks_stm_is","item=83","rptDate="&amp;($B364-1)&amp;"1231","rptType=1","currencyType=Cur=CNY","WssConvert=0","WssDivide=8","showcodes=N","cols=1;rows=1")</f>
        <v>8.9099999999999999E-2</v>
      </c>
      <c r="F364" s="73">
        <f>[1]!wss($A364:$A364,"hks_stm_is","item=61","rptDate="&amp;($B364-3)&amp;"1231","rptType=1","currencyType=Cur=CNY","WssConvert=0","WssDivide=8","showcodes=N","cols=1;rows=1")</f>
        <v>-0.27440999999999999</v>
      </c>
      <c r="G364" s="73">
        <f>[1]!wss($A364:$A364,"hks_stm_is","item=61","rptDate="&amp;($B364-2)&amp;"1231","rptType=1","currencyType=Cur=CNY","WssConvert=0","WssDivide=8","showcodes=N","cols=1;rows=1")</f>
        <v>-2.9944700000000002</v>
      </c>
      <c r="H364" s="73">
        <f>[1]!wss($A364:$A364,"hks_stm_is","item=61","rptDate="&amp;($B364-1)&amp;"1231","rptType=1","currencyType=Cur=CNY","WssConvert=0","WssDivide=8","showcodes=N","cols=1;rows=1")</f>
        <v>-5.0051699999999997</v>
      </c>
      <c r="I364" s="73" t="str">
        <f>[1]!wss($A364:$A364,"hks_fa_grossprofitmargin","rptDate="&amp;($B364-3)&amp;"1231","WssConvert=0","showcodes=N","cols=1;rows=1")</f>
        <v/>
      </c>
      <c r="J364" s="43" t="str">
        <f>[1]!wss($A364:$A364,"hks_fa_grossprofitmargin","rptDate="&amp;($B364-2)&amp;"1231","WssConvert=0","showcodes=N","cols=1;rows=1")</f>
        <v/>
      </c>
      <c r="K364" s="43" t="str">
        <f>[1]!wss($A364:$A364,"hks_fa_grossprofitmargin","rptDate="&amp;($B364-1)&amp;"1231","WssConvert=0","showcodes=N","cols=1;rows=1")</f>
        <v/>
      </c>
      <c r="L364" s="73">
        <f>[1]!wss($A364:$A364,"hks_fa_roe","rptDate="&amp;($B364-1)&amp;"1231","WssConvert=0","showcodes=N","cols=1;rows=1")</f>
        <v>-60.907600000000002</v>
      </c>
      <c r="M364" s="43">
        <f>[1]!wss($A364:$A364,"hks_fa_debttoassets","rptDate="&amp;($B364-1)&amp;"1231","WssConvert=0","showcodes=N","cols=1;rows=1")</f>
        <v>3.7848000000000002</v>
      </c>
      <c r="P364" s="50">
        <v>0.43828</v>
      </c>
      <c r="Q364" s="50">
        <v>0.41559000000000001</v>
      </c>
      <c r="R364" s="50">
        <v>0.90586999999999995</v>
      </c>
      <c r="S364" s="50">
        <v>-3.7173600000000002</v>
      </c>
      <c r="T364" s="50">
        <v>-1.7750999999999999</v>
      </c>
      <c r="U364" s="50">
        <v>-2.7122899999999999</v>
      </c>
      <c r="V364" s="50"/>
      <c r="W364" s="50"/>
      <c r="X364" s="50">
        <v>91.090299999999999</v>
      </c>
    </row>
    <row r="365" spans="1:24">
      <c r="A365" t="s">
        <v>988</v>
      </c>
      <c r="B365" s="17">
        <f>IFERROR(YEAR(VLOOKUP($A365,'01_ipo_master'!$A:$C,3,FALSE)),YEAR(VLOOKUP("0"&amp;$A365,'01_ipo_master'!$A:$C,3,FALSE)))</f>
        <v>2024</v>
      </c>
      <c r="C365" s="73">
        <f>[1]!wss($A365:$A365,"hks_stm_is","item=83","rptDate="&amp;($B365-3)&amp;"1231","rptType=1","currencyType=Cur=CNY","WssConvert=0","WssDivide=8","showcodes=N","cols=1;rows=1")</f>
        <v>0.40328999999999998</v>
      </c>
      <c r="D365" s="73">
        <f>[1]!wss($A365:$A365,"hks_stm_is","item=83","rptDate="&amp;($B365-2)&amp;"1231","rptType=1","currencyType=Cur=CNY","WssConvert=0","WssDivide=8","showcodes=N","cols=1;rows=1")</f>
        <v>0.20383000000000001</v>
      </c>
      <c r="E365" s="73">
        <f>[1]!wss($A365:$A365,"hks_stm_is","item=83","rptDate="&amp;($B365-1)&amp;"1231","rptType=1","currencyType=Cur=CNY","WssConvert=0","WssDivide=8","showcodes=N","cols=1;rows=1")</f>
        <v>0.42120000000000002</v>
      </c>
      <c r="F365" s="73">
        <f>[1]!wss($A365:$A365,"hks_stm_is","item=61","rptDate="&amp;($B365-3)&amp;"1231","rptType=1","currencyType=Cur=CNY","WssConvert=0","WssDivide=8","showcodes=N","cols=1;rows=1")</f>
        <v>0.17737</v>
      </c>
      <c r="G365" s="73">
        <f>[1]!wss($A365:$A365,"hks_stm_is","item=61","rptDate="&amp;($B365-2)&amp;"1231","rptType=1","currencyType=Cur=CNY","WssConvert=0","WssDivide=8","showcodes=N","cols=1;rows=1")</f>
        <v>2.912E-2</v>
      </c>
      <c r="H365" s="73">
        <f>[1]!wss($A365:$A365,"hks_stm_is","item=61","rptDate="&amp;($B365-1)&amp;"1231","rptType=1","currencyType=Cur=CNY","WssConvert=0","WssDivide=8","showcodes=N","cols=1;rows=1")</f>
        <v>0.13253999999999999</v>
      </c>
      <c r="I365" s="73">
        <f>[1]!wss($A365:$A365,"hks_fa_grossprofitmargin","rptDate="&amp;($B365-3)&amp;"1231","WssConvert=0","showcodes=N","cols=1;rows=1")</f>
        <v>75.8553</v>
      </c>
      <c r="J365" s="43">
        <f>[1]!wss($A365:$A365,"hks_fa_grossprofitmargin","rptDate="&amp;($B365-2)&amp;"1231","WssConvert=0","showcodes=N","cols=1;rows=1")</f>
        <v>57.567900000000002</v>
      </c>
      <c r="K365" s="43">
        <f>[1]!wss($A365:$A365,"hks_fa_grossprofitmargin","rptDate="&amp;($B365-1)&amp;"1231","WssConvert=0","showcodes=N","cols=1;rows=1")</f>
        <v>71.761399999999995</v>
      </c>
      <c r="L365" s="73">
        <f>[1]!wss($A365:$A365,"hks_fa_roe","rptDate="&amp;($B365-1)&amp;"1231","WssConvert=0","showcodes=N","cols=1;rows=1")</f>
        <v>15.4192</v>
      </c>
      <c r="M365" s="43">
        <f>[1]!wss($A365:$A365,"hks_fa_debttoassets","rptDate="&amp;($B365-1)&amp;"1231","WssConvert=0","showcodes=N","cols=1;rows=1")</f>
        <v>13.6708</v>
      </c>
      <c r="P365" s="50">
        <v>0.42120000000000002</v>
      </c>
      <c r="Q365" s="50">
        <v>0.55259999999999998</v>
      </c>
      <c r="R365" s="50">
        <v>0.81361000000000006</v>
      </c>
      <c r="S365" s="50">
        <v>0.13253999999999999</v>
      </c>
      <c r="T365" s="50">
        <v>0.16297</v>
      </c>
      <c r="U365" s="50">
        <v>0.2031</v>
      </c>
      <c r="V365" s="50">
        <v>71.761399999999995</v>
      </c>
      <c r="W365" s="50">
        <v>63.5306</v>
      </c>
      <c r="X365" s="50">
        <v>64.133899999999997</v>
      </c>
    </row>
    <row r="366" spans="1:24">
      <c r="A366" t="s">
        <v>990</v>
      </c>
      <c r="B366" s="17">
        <f>IFERROR(YEAR(VLOOKUP($A366,'01_ipo_master'!$A:$C,3,FALSE)),YEAR(VLOOKUP("0"&amp;$A366,'01_ipo_master'!$A:$C,3,FALSE)))</f>
        <v>2022</v>
      </c>
      <c r="C366" s="73" t="str">
        <f>[1]!wss($A366:$A366,"hks_stm_is","item=83","rptDate="&amp;($B366-3)&amp;"1231","rptType=1","currencyType=Cur=CNY","WssConvert=0","WssDivide=8","showcodes=N","cols=1;rows=1")</f>
        <v/>
      </c>
      <c r="D366" s="73">
        <f>[1]!wss($A366:$A366,"hks_stm_is","item=83","rptDate="&amp;($B366-2)&amp;"1231","rptType=1","currencyType=Cur=CNY","WssConvert=0","WssDivide=8","showcodes=N","cols=1;rows=1")</f>
        <v>9.0950000000000003E-2</v>
      </c>
      <c r="E366" s="73">
        <f>[1]!wss($A366:$A366,"hks_stm_is","item=83","rptDate="&amp;($B366-1)&amp;"1231","rptType=1","currencyType=Cur=CNY","WssConvert=0","WssDivide=8","showcodes=N","cols=1;rows=1")</f>
        <v>0.22552</v>
      </c>
      <c r="F366" s="73" t="str">
        <f>[1]!wss($A366:$A366,"hks_stm_is","item=61","rptDate="&amp;($B366-3)&amp;"1231","rptType=1","currencyType=Cur=CNY","WssConvert=0","WssDivide=8","showcodes=N","cols=1;rows=1")</f>
        <v/>
      </c>
      <c r="G366" s="73">
        <f>[1]!wss($A366:$A366,"hks_stm_is","item=61","rptDate="&amp;($B366-2)&amp;"1231","rptType=1","currencyType=Cur=CNY","WssConvert=0","WssDivide=8","showcodes=N","cols=1;rows=1")</f>
        <v>-1.3708500000000001</v>
      </c>
      <c r="H366" s="73">
        <f>[1]!wss($A366:$A366,"hks_stm_is","item=61","rptDate="&amp;($B366-1)&amp;"1231","rptType=1","currencyType=Cur=CNY","WssConvert=0","WssDivide=8","showcodes=N","cols=1;rows=1")</f>
        <v>-1.0187299999999999</v>
      </c>
      <c r="I366" s="73" t="str">
        <f>[1]!wss($A366:$A366,"hks_fa_grossprofitmargin","rptDate="&amp;($B366-3)&amp;"1231","WssConvert=0","showcodes=N","cols=1;rows=1")</f>
        <v/>
      </c>
      <c r="J366" s="43">
        <f>[1]!wss($A366:$A366,"hks_fa_grossprofitmargin","rptDate="&amp;($B366-2)&amp;"1231","WssConvert=0","showcodes=N","cols=1;rows=1")</f>
        <v>51.248100000000001</v>
      </c>
      <c r="K366" s="43">
        <f>[1]!wss($A366:$A366,"hks_fa_grossprofitmargin","rptDate="&amp;($B366-1)&amp;"1231","WssConvert=0","showcodes=N","cols=1;rows=1")</f>
        <v>69.316900000000004</v>
      </c>
      <c r="L366" s="73">
        <f>[1]!wss($A366:$A366,"hks_fa_roe","rptDate="&amp;($B366-1)&amp;"1231","WssConvert=0","showcodes=N","cols=1;rows=1")</f>
        <v>-92.221599999999995</v>
      </c>
      <c r="M366" s="43">
        <f>[1]!wss($A366:$A366,"hks_fa_debttoassets","rptDate="&amp;($B366-1)&amp;"1231","WssConvert=0","showcodes=N","cols=1;rows=1")</f>
        <v>14.974600000000001</v>
      </c>
      <c r="P366" s="50">
        <v>0.40960999999999997</v>
      </c>
      <c r="Q366" s="50">
        <v>0.53530999999999995</v>
      </c>
      <c r="R366" s="50">
        <v>0.95267999999999997</v>
      </c>
      <c r="S366" s="50">
        <v>-0.97485999999999995</v>
      </c>
      <c r="T366" s="50">
        <v>-1.04365</v>
      </c>
      <c r="U366" s="50">
        <v>-0.38168999999999997</v>
      </c>
      <c r="V366" s="50">
        <v>75.829099999999997</v>
      </c>
      <c r="W366" s="50">
        <v>71.752799999999993</v>
      </c>
      <c r="X366" s="50">
        <v>67.162099999999995</v>
      </c>
    </row>
    <row r="367" spans="1:24">
      <c r="A367" t="s">
        <v>992</v>
      </c>
      <c r="B367" s="17">
        <f>IFERROR(YEAR(VLOOKUP($A367,'01_ipo_master'!$A:$C,3,FALSE)),YEAR(VLOOKUP("0"&amp;$A367,'01_ipo_master'!$A:$C,3,FALSE)))</f>
        <v>2026</v>
      </c>
      <c r="C367" s="73">
        <f>[1]!wss($A367:$A367,"hks_stm_is","item=83","rptDate="&amp;($B367-3)&amp;"1231","rptType=1","currencyType=Cur=CNY","WssConvert=0","WssDivide=8","showcodes=N","cols=1;rows=1")</f>
        <v>0.38235000000000002</v>
      </c>
      <c r="D367" s="73">
        <f>[1]!wss($A367:$A367,"hks_stm_is","item=83","rptDate="&amp;($B367-2)&amp;"1231","rptType=1","currencyType=Cur=CNY","WssConvert=0","WssDivide=8","showcodes=N","cols=1;rows=1")</f>
        <v>0.60191000000000006</v>
      </c>
      <c r="E367" s="73">
        <f>[1]!wss($A367:$A367,"hks_stm_is","item=83","rptDate="&amp;($B367-1)&amp;"1231","rptType=1","currencyType=Cur=CNY","WssConvert=0","WssDivide=8","showcodes=N","cols=1;rows=1")</f>
        <v>1.06368</v>
      </c>
      <c r="F367" s="73">
        <f>[1]!wss($A367:$A367,"hks_stm_is","item=61","rptDate="&amp;($B367-3)&amp;"1231","rptType=1","currencyType=Cur=CNY","WssConvert=0","WssDivide=8","showcodes=N","cols=1;rows=1")</f>
        <v>-4.1350300000000004</v>
      </c>
      <c r="G367" s="73">
        <f>[1]!wss($A367:$A367,"hks_stm_is","item=61","rptDate="&amp;($B367-2)&amp;"1231","rptType=1","currencyType=Cur=CNY","WssConvert=0","WssDivide=8","showcodes=N","cols=1;rows=1")</f>
        <v>-7.3528000000000002</v>
      </c>
      <c r="H367" s="73">
        <f>[1]!wss($A367:$A367,"hks_stm_is","item=61","rptDate="&amp;($B367-1)&amp;"1231","rptType=1","currencyType=Cur=CNY","WssConvert=0","WssDivide=8","showcodes=N","cols=1;rows=1")</f>
        <v>-13.42376</v>
      </c>
      <c r="I367" s="73">
        <f>[1]!wss($A367:$A367,"hks_fa_grossprofitmargin","rptDate="&amp;($B367-3)&amp;"1231","WssConvert=0","showcodes=N","cols=1;rows=1")</f>
        <v>60.685200000000002</v>
      </c>
      <c r="J367" s="43">
        <f>[1]!wss($A367:$A367,"hks_fa_grossprofitmargin","rptDate="&amp;($B367-2)&amp;"1231","WssConvert=0","showcodes=N","cols=1;rows=1")</f>
        <v>53.518000000000001</v>
      </c>
      <c r="K367" s="43">
        <f>[1]!wss($A367:$A367,"hks_fa_grossprofitmargin","rptDate="&amp;($B367-1)&amp;"1231","WssConvert=0","showcodes=N","cols=1;rows=1")</f>
        <v>38.985399999999998</v>
      </c>
      <c r="L367" s="73" t="str">
        <f>[1]!wss($A367:$A367,"hks_fa_roe","rptDate="&amp;($B367-1)&amp;"1231","WssConvert=0","showcodes=N","cols=1;rows=1")</f>
        <v/>
      </c>
      <c r="M367" s="43">
        <f>[1]!wss($A367:$A367,"hks_fa_debttoassets","rptDate="&amp;($B367-1)&amp;"1231","WssConvert=0","showcodes=N","cols=1;rows=1")</f>
        <v>473.32859999999999</v>
      </c>
      <c r="P367" s="50">
        <v>0.38235000000000002</v>
      </c>
      <c r="Q367" s="50">
        <v>0.60190999999999995</v>
      </c>
      <c r="R367" s="50">
        <v>1.06368</v>
      </c>
      <c r="S367" s="50">
        <v>-4.1350300000000004</v>
      </c>
      <c r="T367" s="50">
        <v>-7.3528000000000002</v>
      </c>
      <c r="U367" s="50">
        <v>-13.42376</v>
      </c>
      <c r="V367" s="50">
        <v>60.685200000000002</v>
      </c>
      <c r="W367" s="50">
        <v>53.518000000000001</v>
      </c>
      <c r="X367" s="50">
        <v>38.985399999999998</v>
      </c>
    </row>
    <row r="368" spans="1:24">
      <c r="A368" t="s">
        <v>994</v>
      </c>
      <c r="B368" s="17">
        <f>IFERROR(YEAR(VLOOKUP($A368,'01_ipo_master'!$A:$C,3,FALSE)),YEAR(VLOOKUP("0"&amp;$A368,'01_ipo_master'!$A:$C,3,FALSE)))</f>
        <v>2024</v>
      </c>
      <c r="C368" s="73">
        <f>[1]!wss($A368:$A368,"hks_stm_is","item=83","rptDate="&amp;($B368-3)&amp;"1231","rptType=1","currencyType=Cur=CNY","WssConvert=0","WssDivide=8","showcodes=N","cols=1;rows=1")</f>
        <v>0.34886</v>
      </c>
      <c r="D368" s="73">
        <f>[1]!wss($A368:$A368,"hks_stm_is","item=83","rptDate="&amp;($B368-2)&amp;"1231","rptType=1","currencyType=Cur=CNY","WssConvert=0","WssDivide=8","showcodes=N","cols=1;rows=1")</f>
        <v>0.25725999999999999</v>
      </c>
      <c r="E368" s="73">
        <f>[1]!wss($A368:$A368,"hks_stm_is","item=83","rptDate="&amp;($B368-1)&amp;"1231","rptType=1","currencyType=Cur=CNY","WssConvert=0","WssDivide=8","showcodes=N","cols=1;rows=1")</f>
        <v>0.24921000000000001</v>
      </c>
      <c r="F368" s="73">
        <f>[1]!wss($A368:$A368,"hks_stm_is","item=61","rptDate="&amp;($B368-3)&amp;"1231","rptType=1","currencyType=Cur=CNY","WssConvert=0","WssDivide=8","showcodes=N","cols=1;rows=1")</f>
        <v>-4.1103899999999998</v>
      </c>
      <c r="G368" s="73">
        <f>[1]!wss($A368:$A368,"hks_stm_is","item=61","rptDate="&amp;($B368-2)&amp;"1231","rptType=1","currencyType=Cur=CNY","WssConvert=0","WssDivide=8","showcodes=N","cols=1;rows=1")</f>
        <v>-2.9819100000000001</v>
      </c>
      <c r="H368" s="73">
        <f>[1]!wss($A368:$A368,"hks_stm_is","item=61","rptDate="&amp;($B368-1)&amp;"1231","rptType=1","currencyType=Cur=CNY","WssConvert=0","WssDivide=8","showcodes=N","cols=1;rows=1")</f>
        <v>-5.0774800000000004</v>
      </c>
      <c r="I368" s="73" t="str">
        <f>[1]!wss($A368:$A368,"hks_fa_grossprofitmargin","rptDate="&amp;($B368-3)&amp;"1231","WssConvert=0","showcodes=N","cols=1;rows=1")</f>
        <v/>
      </c>
      <c r="J368" s="43" t="str">
        <f>[1]!wss($A368:$A368,"hks_fa_grossprofitmargin","rptDate="&amp;($B368-2)&amp;"1231","WssConvert=0","showcodes=N","cols=1;rows=1")</f>
        <v/>
      </c>
      <c r="K368" s="43" t="str">
        <f>[1]!wss($A368:$A368,"hks_fa_grossprofitmargin","rptDate="&amp;($B368-1)&amp;"1231","WssConvert=0","showcodes=N","cols=1;rows=1")</f>
        <v/>
      </c>
      <c r="L368" s="73">
        <f>[1]!wss($A368:$A368,"hks_fa_roe","rptDate="&amp;($B368-1)&amp;"1231","WssConvert=0","showcodes=N","cols=1;rows=1")</f>
        <v>-108.43770000000001</v>
      </c>
      <c r="M368" s="43">
        <f>[1]!wss($A368:$A368,"hks_fa_debttoassets","rptDate="&amp;($B368-1)&amp;"1231","WssConvert=0","showcodes=N","cols=1;rows=1")</f>
        <v>62.172400000000003</v>
      </c>
      <c r="P368" s="50">
        <v>0.24920999999999999</v>
      </c>
      <c r="Q368" s="50">
        <v>1.5879300000000001</v>
      </c>
      <c r="R368" s="50">
        <v>8.0696100000000008</v>
      </c>
      <c r="S368" s="50">
        <v>-5.0774800000000004</v>
      </c>
      <c r="T368" s="50">
        <v>-3.3557399999999999</v>
      </c>
      <c r="U368" s="50">
        <v>3.1444999999999999</v>
      </c>
      <c r="V368" s="50"/>
      <c r="W368" s="50">
        <v>58.058599999999998</v>
      </c>
      <c r="X368" s="50">
        <v>88.531199999999998</v>
      </c>
    </row>
    <row r="369" spans="1:24">
      <c r="A369" t="s">
        <v>996</v>
      </c>
      <c r="B369" s="17">
        <f>IFERROR(YEAR(VLOOKUP($A369,'01_ipo_master'!$A:$C,3,FALSE)),YEAR(VLOOKUP("0"&amp;$A369,'01_ipo_master'!$A:$C,3,FALSE)))</f>
        <v>2026</v>
      </c>
      <c r="C369" s="73">
        <f>[1]!wss($A369:$A369,"hks_stm_is","item=83","rptDate="&amp;($B369-3)&amp;"1231","rptType=1","currencyType=Cur=CNY","WssConvert=0","WssDivide=8","showcodes=N","cols=1;rows=1")</f>
        <v>0.24506142</v>
      </c>
      <c r="D369" s="73">
        <f>[1]!wss($A369:$A369,"hks_stm_is","item=83","rptDate="&amp;($B369-2)&amp;"1231","rptType=1","currencyType=Cur=CNY","WssConvert=0","WssDivide=8","showcodes=N","cols=1;rows=1")</f>
        <v>2.1941153320000004</v>
      </c>
      <c r="E369" s="73">
        <f>[1]!wss($A369:$A369,"hks_stm_is","item=83","rptDate="&amp;($B369-1)&amp;"1231","rptType=1","currencyType=Cur=CNY","WssConvert=0","WssDivide=8","showcodes=N","cols=1;rows=1")</f>
        <v>5.555422944</v>
      </c>
      <c r="F369" s="73">
        <f>[1]!wss($A369:$A369,"hks_stm_is","item=61","rptDate="&amp;($B369-3)&amp;"1231","rptType=1","currencyType=Cur=CNY","WssConvert=0","WssDivide=8","showcodes=N","cols=1;rows=1")</f>
        <v>-19.069886442000001</v>
      </c>
      <c r="G369" s="73">
        <f>[1]!wss($A369:$A369,"hks_stm_is","item=61","rptDate="&amp;($B369-2)&amp;"1231","rptType=1","currencyType=Cur=CNY","WssConvert=0","WssDivide=8","showcodes=N","cols=1;rows=1")</f>
        <v>-33.443168392000004</v>
      </c>
      <c r="H369" s="73">
        <f>[1]!wss($A369:$A369,"hks_stm_is","item=61","rptDate="&amp;($B369-1)&amp;"1231","rptType=1","currencyType=Cur=CNY","WssConvert=0","WssDivide=8","showcodes=N","cols=1;rows=1")</f>
        <v>-131.55221569600002</v>
      </c>
      <c r="I369" s="73">
        <f>[1]!wss($A369:$A369,"hks_fa_grossprofitmargin","rptDate="&amp;($B369-3)&amp;"1231","WssConvert=0","showcodes=N","cols=1;rows=1")</f>
        <v>-24.682099999999998</v>
      </c>
      <c r="J369" s="43">
        <f>[1]!wss($A369:$A369,"hks_fa_grossprofitmargin","rptDate="&amp;($B369-2)&amp;"1231","WssConvert=0","showcodes=N","cols=1;rows=1")</f>
        <v>12.246499999999999</v>
      </c>
      <c r="K369" s="43">
        <f>[1]!wss($A369:$A369,"hks_fa_grossprofitmargin","rptDate="&amp;($B369-1)&amp;"1231","WssConvert=0","showcodes=N","cols=1;rows=1")</f>
        <v>25.404199999999999</v>
      </c>
      <c r="L369" s="73" t="str">
        <f>[1]!wss($A369:$A369,"hks_fa_roe","rptDate="&amp;($B369-1)&amp;"1231","WssConvert=0","showcodes=N","cols=1;rows=1")</f>
        <v/>
      </c>
      <c r="M369" s="43">
        <f>[1]!wss($A369:$A369,"hks_fa_debttoassets","rptDate="&amp;($B369-1)&amp;"1231","WssConvert=0","showcodes=N","cols=1;rows=1")</f>
        <v>343.30950000000001</v>
      </c>
      <c r="P369" s="50">
        <v>0.24506142</v>
      </c>
      <c r="Q369" s="50">
        <v>2.194115332</v>
      </c>
      <c r="R369" s="50">
        <v>5.555422944</v>
      </c>
      <c r="S369" s="50">
        <v>-19.069886442000001</v>
      </c>
      <c r="T369" s="50">
        <v>-33.443168391999997</v>
      </c>
      <c r="U369" s="50">
        <v>-131.55221569599999</v>
      </c>
      <c r="V369" s="50">
        <v>-24.682099999999998</v>
      </c>
      <c r="W369" s="50">
        <v>12.246499999999999</v>
      </c>
      <c r="X369" s="50">
        <v>25.404199999999999</v>
      </c>
    </row>
    <row r="370" spans="1:24">
      <c r="A370" t="s">
        <v>998</v>
      </c>
      <c r="B370" s="17">
        <f>IFERROR(YEAR(VLOOKUP($A370,'01_ipo_master'!$A:$C,3,FALSE)),YEAR(VLOOKUP("0"&amp;$A370,'01_ipo_master'!$A:$C,3,FALSE)))</f>
        <v>2025</v>
      </c>
      <c r="C370" s="73">
        <f>[1]!wss($A370:$A370,"hks_stm_is","item=83","rptDate="&amp;($B370-3)&amp;"1231","rptType=1","currencyType=Cur=CNY","WssConvert=0","WssDivide=8","showcodes=N","cols=1;rows=1")</f>
        <v>0.22620000000000001</v>
      </c>
      <c r="D370" s="73">
        <f>[1]!wss($A370:$A370,"hks_stm_is","item=83","rptDate="&amp;($B370-2)&amp;"1231","rptType=1","currencyType=Cur=CNY","WssConvert=0","WssDivide=8","showcodes=N","cols=1;rows=1")</f>
        <v>0.16849</v>
      </c>
      <c r="E370" s="73">
        <f>[1]!wss($A370:$A370,"hks_stm_is","item=83","rptDate="&amp;($B370-1)&amp;"1231","rptType=1","currencyType=Cur=CNY","WssConvert=0","WssDivide=8","showcodes=N","cols=1;rows=1")</f>
        <v>0.20055000000000001</v>
      </c>
      <c r="F370" s="73">
        <f>[1]!wss($A370:$A370,"hks_stm_is","item=61","rptDate="&amp;($B370-3)&amp;"1231","rptType=1","currencyType=Cur=CNY","WssConvert=0","WssDivide=8","showcodes=N","cols=1;rows=1")</f>
        <v>-3.00644</v>
      </c>
      <c r="G370" s="73">
        <f>[1]!wss($A370:$A370,"hks_stm_is","item=61","rptDate="&amp;($B370-2)&amp;"1231","rptType=1","currencyType=Cur=CNY","WssConvert=0","WssDivide=8","showcodes=N","cols=1;rows=1")</f>
        <v>-7.3337599999999998</v>
      </c>
      <c r="H370" s="73">
        <f>[1]!wss($A370:$A370,"hks_stm_is","item=61","rptDate="&amp;($B370-1)&amp;"1231","rptType=1","currencyType=Cur=CNY","WssConvert=0","WssDivide=8","showcodes=N","cols=1;rows=1")</f>
        <v>-1.7469000000000001</v>
      </c>
      <c r="I370" s="73" t="str">
        <f>[1]!wss($A370:$A370,"hks_fa_grossprofitmargin","rptDate="&amp;($B370-3)&amp;"1231","WssConvert=0","showcodes=N","cols=1;rows=1")</f>
        <v/>
      </c>
      <c r="J370" s="43" t="str">
        <f>[1]!wss($A370:$A370,"hks_fa_grossprofitmargin","rptDate="&amp;($B370-2)&amp;"1231","WssConvert=0","showcodes=N","cols=1;rows=1")</f>
        <v/>
      </c>
      <c r="K370" s="43" t="str">
        <f>[1]!wss($A370:$A370,"hks_fa_grossprofitmargin","rptDate="&amp;($B370-1)&amp;"1231","WssConvert=0","showcodes=N","cols=1;rows=1")</f>
        <v/>
      </c>
      <c r="L370" s="73">
        <f>[1]!wss($A370:$A370,"hks_fa_roe","rptDate="&amp;($B370-1)&amp;"1231","WssConvert=0","showcodes=N","cols=1;rows=1")</f>
        <v>-23.267199999999999</v>
      </c>
      <c r="M370" s="43">
        <f>[1]!wss($A370:$A370,"hks_fa_debttoassets","rptDate="&amp;($B370-1)&amp;"1231","WssConvert=0","showcodes=N","cols=1;rows=1")</f>
        <v>14.797700000000001</v>
      </c>
      <c r="P370" s="50">
        <v>0.16849</v>
      </c>
      <c r="Q370" s="50">
        <v>0.20055000000000001</v>
      </c>
      <c r="R370" s="50">
        <v>1.3150900000000001</v>
      </c>
      <c r="S370" s="50">
        <v>-7.3337599999999998</v>
      </c>
      <c r="T370" s="50">
        <v>-1.7468999999999999</v>
      </c>
      <c r="U370" s="50">
        <v>-3.4136299999999999</v>
      </c>
      <c r="V370" s="50"/>
      <c r="W370" s="50"/>
      <c r="X370" s="50">
        <v>89.010599999999997</v>
      </c>
    </row>
    <row r="371" spans="1:24">
      <c r="A371" t="s">
        <v>1000</v>
      </c>
      <c r="B371" s="17">
        <f>IFERROR(YEAR(VLOOKUP($A371,'01_ipo_master'!$A:$C,3,FALSE)),YEAR(VLOOKUP("0"&amp;$A371,'01_ipo_master'!$A:$C,3,FALSE)))</f>
        <v>2023</v>
      </c>
      <c r="C371" s="73">
        <f>[1]!wss($A371:$A371,"hks_stm_is","item=83","rptDate="&amp;($B371-3)&amp;"1231","rptType=1","currencyType=Cur=CNY","WssConvert=0","WssDivide=8","showcodes=N","cols=1;rows=1")</f>
        <v>1.2869999999999999E-2</v>
      </c>
      <c r="D371" s="73">
        <f>[1]!wss($A371:$A371,"hks_stm_is","item=83","rptDate="&amp;($B371-2)&amp;"1231","rptType=1","currencyType=Cur=CNY","WssConvert=0","WssDivide=8","showcodes=N","cols=1;rows=1")</f>
        <v>5.1999999999999998E-3</v>
      </c>
      <c r="E371" s="73">
        <f>[1]!wss($A371:$A371,"hks_stm_is","item=83","rptDate="&amp;($B371-1)&amp;"1231","rptType=1","currencyType=Cur=CNY","WssConvert=0","WssDivide=8","showcodes=N","cols=1;rows=1")</f>
        <v>4.7980000000000002E-2</v>
      </c>
      <c r="F371" s="73">
        <f>[1]!wss($A371:$A371,"hks_stm_is","item=61","rptDate="&amp;($B371-3)&amp;"1231","rptType=1","currencyType=Cur=CNY","WssConvert=0","WssDivide=8","showcodes=N","cols=1;rows=1")</f>
        <v>-2.5710800000000003</v>
      </c>
      <c r="G371" s="73">
        <f>[1]!wss($A371:$A371,"hks_stm_is","item=61","rptDate="&amp;($B371-2)&amp;"1231","rptType=1","currencyType=Cur=CNY","WssConvert=0","WssDivide=8","showcodes=N","cols=1;rows=1")</f>
        <v>-7.4896400000000005</v>
      </c>
      <c r="H371" s="73">
        <f>[1]!wss($A371:$A371,"hks_stm_is","item=61","rptDate="&amp;($B371-1)&amp;"1231","rptType=1","currencyType=Cur=CNY","WssConvert=0","WssDivide=8","showcodes=N","cols=1;rows=1")</f>
        <v>-7.8159400000000003</v>
      </c>
      <c r="I371" s="73" t="str">
        <f>[1]!wss($A371:$A371,"hks_fa_grossprofitmargin","rptDate="&amp;($B371-3)&amp;"1231","WssConvert=0","showcodes=N","cols=1;rows=1")</f>
        <v/>
      </c>
      <c r="J371" s="43" t="str">
        <f>[1]!wss($A371:$A371,"hks_fa_grossprofitmargin","rptDate="&amp;($B371-2)&amp;"1231","WssConvert=0","showcodes=N","cols=1;rows=1")</f>
        <v/>
      </c>
      <c r="K371" s="43" t="str">
        <f>[1]!wss($A371:$A371,"hks_fa_grossprofitmargin","rptDate="&amp;($B371-1)&amp;"1231","WssConvert=0","showcodes=N","cols=1;rows=1")</f>
        <v/>
      </c>
      <c r="L371" s="73" t="str">
        <f>[1]!wss($A371:$A371,"hks_fa_roe","rptDate="&amp;($B371-1)&amp;"1231","WssConvert=0","showcodes=N","cols=1;rows=1")</f>
        <v/>
      </c>
      <c r="M371" s="43">
        <f>[1]!wss($A371:$A371,"hks_fa_debttoassets","rptDate="&amp;($B371-1)&amp;"1231","WssConvert=0","showcodes=N","cols=1;rows=1")</f>
        <v>497.00540000000001</v>
      </c>
      <c r="P371" s="50">
        <v>0.16742000000000001</v>
      </c>
      <c r="Q371" s="50">
        <v>0.38168999999999997</v>
      </c>
      <c r="R371" s="50">
        <v>1.0671900000000001</v>
      </c>
      <c r="S371" s="50">
        <v>-3.6881400000000002</v>
      </c>
      <c r="T371" s="50">
        <v>-2.5429599999999999</v>
      </c>
      <c r="U371" s="50">
        <v>-2.29318</v>
      </c>
      <c r="V371" s="50"/>
      <c r="W371" s="50"/>
      <c r="X371" s="50">
        <v>80.978099999999998</v>
      </c>
    </row>
    <row r="372" spans="1:24">
      <c r="A372" t="s">
        <v>1002</v>
      </c>
      <c r="B372" s="17">
        <f>IFERROR(YEAR(VLOOKUP($A372,'01_ipo_master'!$A:$C,3,FALSE)),YEAR(VLOOKUP("0"&amp;$A372,'01_ipo_master'!$A:$C,3,FALSE)))</f>
        <v>2025</v>
      </c>
      <c r="C372" s="73">
        <f>[1]!wss($A372:$A372,"hks_stm_is","item=83","rptDate="&amp;($B372-3)&amp;"1231","rptType=1","currencyType=Cur=CNY","WssConvert=0","WssDivide=8","showcodes=N","cols=1;rows=1")</f>
        <v>0.23547000000000001</v>
      </c>
      <c r="D372" s="73">
        <f>[1]!wss($A372:$A372,"hks_stm_is","item=83","rptDate="&amp;($B372-2)&amp;"1231","rptType=1","currencyType=Cur=CNY","WssConvert=0","WssDivide=8","showcodes=N","cols=1;rows=1")</f>
        <v>0.14635000000000001</v>
      </c>
      <c r="E372" s="73">
        <f>[1]!wss($A372:$A372,"hks_stm_is","item=83","rptDate="&amp;($B372-1)&amp;"1231","rptType=1","currencyType=Cur=CNY","WssConvert=0","WssDivide=8","showcodes=N","cols=1;rows=1")</f>
        <v>7.0070000000000007E-2</v>
      </c>
      <c r="F372" s="73">
        <f>[1]!wss($A372:$A372,"hks_stm_is","item=61","rptDate="&amp;($B372-3)&amp;"1231","rptType=1","currencyType=Cur=CNY","WssConvert=0","WssDivide=8","showcodes=N","cols=1;rows=1")</f>
        <v>-3.0641600000000002</v>
      </c>
      <c r="G372" s="73">
        <f>[1]!wss($A372:$A372,"hks_stm_is","item=61","rptDate="&amp;($B372-2)&amp;"1231","rptType=1","currencyType=Cur=CNY","WssConvert=0","WssDivide=8","showcodes=N","cols=1;rows=1")</f>
        <v>-2.78999</v>
      </c>
      <c r="H372" s="73">
        <f>[1]!wss($A372:$A372,"hks_stm_is","item=61","rptDate="&amp;($B372-1)&amp;"1231","rptType=1","currencyType=Cur=CNY","WssConvert=0","WssDivide=8","showcodes=N","cols=1;rows=1")</f>
        <v>-2.8315800000000002</v>
      </c>
      <c r="I372" s="73" t="str">
        <f>[1]!wss($A372:$A372,"hks_fa_grossprofitmargin","rptDate="&amp;($B372-3)&amp;"1231","WssConvert=0","showcodes=N","cols=1;rows=1")</f>
        <v/>
      </c>
      <c r="J372" s="43" t="str">
        <f>[1]!wss($A372:$A372,"hks_fa_grossprofitmargin","rptDate="&amp;($B372-2)&amp;"1231","WssConvert=0","showcodes=N","cols=1;rows=1")</f>
        <v/>
      </c>
      <c r="K372" s="43" t="str">
        <f>[1]!wss($A372:$A372,"hks_fa_grossprofitmargin","rptDate="&amp;($B372-1)&amp;"1231","WssConvert=0","showcodes=N","cols=1;rows=1")</f>
        <v/>
      </c>
      <c r="L372" s="73">
        <f>[1]!wss($A372:$A372,"hks_fa_roe","rptDate="&amp;($B372-1)&amp;"1231","WssConvert=0","showcodes=N","cols=1;rows=1")</f>
        <v>-233.94720000000001</v>
      </c>
      <c r="M372" s="43">
        <f>[1]!wss($A372:$A372,"hks_fa_debttoassets","rptDate="&amp;($B372-1)&amp;"1231","WssConvert=0","showcodes=N","cols=1;rows=1")</f>
        <v>73.680700000000002</v>
      </c>
      <c r="P372" s="50">
        <v>0.14635000000000001</v>
      </c>
      <c r="Q372" s="50">
        <v>7.0069999999999993E-2</v>
      </c>
      <c r="R372" s="50">
        <v>1.89E-3</v>
      </c>
      <c r="S372" s="50">
        <v>-2.78999</v>
      </c>
      <c r="T372" s="50">
        <v>-2.8315800000000002</v>
      </c>
      <c r="U372" s="50">
        <v>-2.0836199999999998</v>
      </c>
      <c r="V372" s="50"/>
      <c r="W372" s="50"/>
      <c r="X372" s="50"/>
    </row>
    <row r="373" spans="1:24">
      <c r="A373" t="s">
        <v>1004</v>
      </c>
      <c r="B373" s="17">
        <f>IFERROR(YEAR(VLOOKUP($A373,'01_ipo_master'!$A:$C,3,FALSE)),YEAR(VLOOKUP("0"&amp;$A373,'01_ipo_master'!$A:$C,3,FALSE)))</f>
        <v>2025</v>
      </c>
      <c r="C373" s="73" t="str">
        <f>[1]!wss($A373:$A373,"hks_stm_is","item=83","rptDate="&amp;($B373-3)&amp;"1231","rptType=1","currencyType=Cur=CNY","WssConvert=0","WssDivide=8","showcodes=N","cols=1;rows=1")</f>
        <v/>
      </c>
      <c r="D373" s="73">
        <f>[1]!wss($A373:$A373,"hks_stm_is","item=83","rptDate="&amp;($B373-2)&amp;"1231","rptType=1","currencyType=Cur=CNY","WssConvert=0","WssDivide=8","showcodes=N","cols=1;rows=1")</f>
        <v>8.8650000000000007E-2</v>
      </c>
      <c r="E373" s="73">
        <f>[1]!wss($A373:$A373,"hks_stm_is","item=83","rptDate="&amp;($B373-1)&amp;"1231","rptType=1","currencyType=Cur=CNY","WssConvert=0","WssDivide=8","showcodes=N","cols=1;rows=1")</f>
        <v>0.18309</v>
      </c>
      <c r="F373" s="73">
        <f>[1]!wss($A373:$A373,"hks_stm_is","item=61","rptDate="&amp;($B373-3)&amp;"1231","rptType=1","currencyType=Cur=CNY","WssConvert=0","WssDivide=8","showcodes=N","cols=1;rows=1")</f>
        <v>-2.80789</v>
      </c>
      <c r="G373" s="73">
        <f>[1]!wss($A373:$A373,"hks_stm_is","item=61","rptDate="&amp;($B373-2)&amp;"1231","rptType=1","currencyType=Cur=CNY","WssConvert=0","WssDivide=8","showcodes=N","cols=1;rows=1")</f>
        <v>-3.62249</v>
      </c>
      <c r="H373" s="73">
        <f>[1]!wss($A373:$A373,"hks_stm_is","item=61","rptDate="&amp;($B373-1)&amp;"1231","rptType=1","currencyType=Cur=CNY","WssConvert=0","WssDivide=8","showcodes=N","cols=1;rows=1")</f>
        <v>-3.0121600000000002</v>
      </c>
      <c r="I373" s="73" t="str">
        <f>[1]!wss($A373:$A373,"hks_fa_grossprofitmargin","rptDate="&amp;($B373-3)&amp;"1231","WssConvert=0","showcodes=N","cols=1;rows=1")</f>
        <v/>
      </c>
      <c r="J373" s="43">
        <f>[1]!wss($A373:$A373,"hks_fa_grossprofitmargin","rptDate="&amp;($B373-2)&amp;"1231","WssConvert=0","showcodes=N","cols=1;rows=1")</f>
        <v>64.072199999999995</v>
      </c>
      <c r="K373" s="43" t="str">
        <f>[1]!wss($A373:$A373,"hks_fa_grossprofitmargin","rptDate="&amp;($B373-1)&amp;"1231","WssConvert=0","showcodes=N","cols=1;rows=1")</f>
        <v/>
      </c>
      <c r="L373" s="73">
        <f>[1]!wss($A373:$A373,"hks_fa_roe","rptDate="&amp;($B373-1)&amp;"1231","WssConvert=0","showcodes=N","cols=1;rows=1")</f>
        <v>88.172200000000004</v>
      </c>
      <c r="M373" s="43">
        <f>[1]!wss($A373:$A373,"hks_fa_debttoassets","rptDate="&amp;($B373-1)&amp;"1231","WssConvert=0","showcodes=N","cols=1;rows=1")</f>
        <v>60.331200000000003</v>
      </c>
      <c r="P373" s="50">
        <v>8.8650000000000007E-2</v>
      </c>
      <c r="Q373" s="50">
        <v>0.18309</v>
      </c>
      <c r="R373" s="50">
        <v>1.7725500000000001</v>
      </c>
      <c r="S373" s="50">
        <v>-3.62249</v>
      </c>
      <c r="T373" s="50">
        <v>-3.0121600000000002</v>
      </c>
      <c r="U373" s="50">
        <v>-2.1141899999999998</v>
      </c>
      <c r="V373" s="50">
        <v>64.072199999999995</v>
      </c>
      <c r="W373" s="50"/>
      <c r="X373" s="50"/>
    </row>
    <row r="374" spans="1:24">
      <c r="A374" t="s">
        <v>1006</v>
      </c>
      <c r="B374" s="17">
        <f>IFERROR(YEAR(VLOOKUP($A374,'01_ipo_master'!$A:$C,3,FALSE)),YEAR(VLOOKUP("0"&amp;$A374,'01_ipo_master'!$A:$C,3,FALSE)))</f>
        <v>2025</v>
      </c>
      <c r="C374" s="73" t="str">
        <f>[1]!wss($A374:$A374,"hks_stm_is","item=83","rptDate="&amp;($B374-3)&amp;"1231","rptType=1","currencyType=Cur=CNY","WssConvert=0","WssDivide=8","showcodes=N","cols=1;rows=1")</f>
        <v/>
      </c>
      <c r="D374" s="73">
        <f>[1]!wss($A374:$A374,"hks_stm_is","item=83","rptDate="&amp;($B374-2)&amp;"1231","rptType=1","currencyType=Cur=CNY","WssConvert=0","WssDivide=8","showcodes=N","cols=1;rows=1")</f>
        <v>6.93E-2</v>
      </c>
      <c r="E374" s="73">
        <f>[1]!wss($A374:$A374,"hks_stm_is","item=83","rptDate="&amp;($B374-1)&amp;"1231","rptType=1","currencyType=Cur=CNY","WssConvert=0","WssDivide=8","showcodes=N","cols=1;rows=1")</f>
        <v>6.1600000000000002E-2</v>
      </c>
      <c r="F374" s="73" t="str">
        <f>[1]!wss($A374:$A374,"hks_stm_is","item=61","rptDate="&amp;($B374-3)&amp;"1231","rptType=1","currencyType=Cur=CNY","WssConvert=0","WssDivide=8","showcodes=N","cols=1;rows=1")</f>
        <v/>
      </c>
      <c r="G374" s="73">
        <f>[1]!wss($A374:$A374,"hks_stm_is","item=61","rptDate="&amp;($B374-2)&amp;"1231","rptType=1","currencyType=Cur=CNY","WssConvert=0","WssDivide=8","showcodes=N","cols=1;rows=1")</f>
        <v>-1.60395</v>
      </c>
      <c r="H374" s="73">
        <f>[1]!wss($A374:$A374,"hks_stm_is","item=61","rptDate="&amp;($B374-1)&amp;"1231","rptType=1","currencyType=Cur=CNY","WssConvert=0","WssDivide=8","showcodes=N","cols=1;rows=1")</f>
        <v>-3.6443300000000001</v>
      </c>
      <c r="I374" s="73" t="str">
        <f>[1]!wss($A374:$A374,"hks_fa_grossprofitmargin","rptDate="&amp;($B374-3)&amp;"1231","WssConvert=0","showcodes=N","cols=1;rows=1")</f>
        <v/>
      </c>
      <c r="J374" s="43">
        <f>[1]!wss($A374:$A374,"hks_fa_grossprofitmargin","rptDate="&amp;($B374-2)&amp;"1231","WssConvert=0","showcodes=N","cols=1;rows=1")</f>
        <v>97.849900000000005</v>
      </c>
      <c r="K374" s="43">
        <f>[1]!wss($A374:$A374,"hks_fa_grossprofitmargin","rptDate="&amp;($B374-1)&amp;"1231","WssConvert=0","showcodes=N","cols=1;rows=1")</f>
        <v>81.493499999999997</v>
      </c>
      <c r="L374" s="73">
        <f>[1]!wss($A374:$A374,"hks_fa_roe","rptDate="&amp;($B374-1)&amp;"1231","WssConvert=0","showcodes=N","cols=1;rows=1")</f>
        <v>-41.768799999999999</v>
      </c>
      <c r="M374" s="43">
        <f>[1]!wss($A374:$A374,"hks_fa_debttoassets","rptDate="&amp;($B374-1)&amp;"1231","WssConvert=0","showcodes=N","cols=1;rows=1")</f>
        <v>26.949300000000001</v>
      </c>
      <c r="P374" s="50">
        <v>6.93E-2</v>
      </c>
      <c r="Q374" s="50">
        <v>6.1600000000000002E-2</v>
      </c>
      <c r="R374" s="50">
        <v>0.49156</v>
      </c>
      <c r="S374" s="50">
        <v>-1.60395</v>
      </c>
      <c r="T374" s="50">
        <v>-3.6443300000000001</v>
      </c>
      <c r="U374" s="50">
        <v>-3.95302</v>
      </c>
      <c r="V374" s="50">
        <v>97.849900000000005</v>
      </c>
      <c r="W374" s="50">
        <v>81.493499999999997</v>
      </c>
      <c r="X374" s="50">
        <v>89.004400000000004</v>
      </c>
    </row>
    <row r="375" spans="1:24">
      <c r="A375" t="s">
        <v>1008</v>
      </c>
      <c r="B375" s="17">
        <f>IFERROR(YEAR(VLOOKUP($A375,'01_ipo_master'!$A:$C,3,FALSE)),YEAR(VLOOKUP("0"&amp;$A375,'01_ipo_master'!$A:$C,3,FALSE)))</f>
        <v>2025</v>
      </c>
      <c r="C375" s="73">
        <f>[1]!wss($A375:$A375,"hks_stm_is","item=83","rptDate="&amp;($B375-3)&amp;"1231","rptType=1","currencyType=Cur=CNY","WssConvert=0","WssDivide=8","showcodes=N","cols=1;rows=1")</f>
        <v>0.66356999999999999</v>
      </c>
      <c r="D375" s="73">
        <f>[1]!wss($A375:$A375,"hks_stm_is","item=83","rptDate="&amp;($B375-2)&amp;"1231","rptType=1","currencyType=Cur=CNY","WssConvert=0","WssDivide=8","showcodes=N","cols=1;rows=1")</f>
        <v>6.6640000000000005E-2</v>
      </c>
      <c r="E375" s="73">
        <f>[1]!wss($A375:$A375,"hks_stm_is","item=83","rptDate="&amp;($B375-1)&amp;"1231","rptType=1","currencyType=Cur=CNY","WssConvert=0","WssDivide=8","showcodes=N","cols=1;rows=1")</f>
        <v>7.6810000000000003E-2</v>
      </c>
      <c r="F375" s="73">
        <f>[1]!wss($A375:$A375,"hks_stm_is","item=61","rptDate="&amp;($B375-3)&amp;"1231","rptType=1","currencyType=Cur=CNY","WssConvert=0","WssDivide=8","showcodes=N","cols=1;rows=1")</f>
        <v>-0.28400000000000003</v>
      </c>
      <c r="G375" s="73">
        <f>[1]!wss($A375:$A375,"hks_stm_is","item=61","rptDate="&amp;($B375-2)&amp;"1231","rptType=1","currencyType=Cur=CNY","WssConvert=0","WssDivide=8","showcodes=N","cols=1;rows=1")</f>
        <v>-0.76056000000000001</v>
      </c>
      <c r="H375" s="73">
        <f>[1]!wss($A375:$A375,"hks_stm_is","item=61","rptDate="&amp;($B375-1)&amp;"1231","rptType=1","currencyType=Cur=CNY","WssConvert=0","WssDivide=8","showcodes=N","cols=1;rows=1")</f>
        <v>-1.1583000000000001</v>
      </c>
      <c r="I375" s="73" t="str">
        <f>[1]!wss($A375:$A375,"hks_fa_grossprofitmargin","rptDate="&amp;($B375-3)&amp;"1231","WssConvert=0","showcodes=N","cols=1;rows=1")</f>
        <v/>
      </c>
      <c r="J375" s="43" t="str">
        <f>[1]!wss($A375:$A375,"hks_fa_grossprofitmargin","rptDate="&amp;($B375-2)&amp;"1231","WssConvert=0","showcodes=N","cols=1;rows=1")</f>
        <v/>
      </c>
      <c r="K375" s="43" t="str">
        <f>[1]!wss($A375:$A375,"hks_fa_grossprofitmargin","rptDate="&amp;($B375-1)&amp;"1231","WssConvert=0","showcodes=N","cols=1;rows=1")</f>
        <v/>
      </c>
      <c r="L375" s="73">
        <f>[1]!wss($A375:$A375,"hks_fa_roe","rptDate="&amp;($B375-1)&amp;"1231","WssConvert=0","showcodes=N","cols=1;rows=1")</f>
        <v>-53.332799999999999</v>
      </c>
      <c r="M375" s="43">
        <f>[1]!wss($A375:$A375,"hks_fa_debttoassets","rptDate="&amp;($B375-1)&amp;"1231","WssConvert=0","showcodes=N","cols=1;rows=1")</f>
        <v>56.8063</v>
      </c>
      <c r="P375" s="50">
        <v>6.6640000000000005E-2</v>
      </c>
      <c r="Q375" s="50">
        <v>7.6810000000000003E-2</v>
      </c>
      <c r="R375" s="50">
        <v>0.16616</v>
      </c>
      <c r="S375" s="50">
        <v>-0.76056000000000001</v>
      </c>
      <c r="T375" s="50">
        <v>-1.1583000000000001</v>
      </c>
      <c r="U375" s="50">
        <v>-1.3100700000000001</v>
      </c>
      <c r="V375" s="50"/>
      <c r="W375" s="50"/>
      <c r="X375" s="50"/>
    </row>
    <row r="376" spans="1:24">
      <c r="A376" t="s">
        <v>1010</v>
      </c>
      <c r="B376" s="17">
        <f>IFERROR(YEAR(VLOOKUP($A376,'01_ipo_master'!$A:$C,3,FALSE)),YEAR(VLOOKUP("0"&amp;$A376,'01_ipo_master'!$A:$C,3,FALSE)))</f>
        <v>2025</v>
      </c>
      <c r="C376" s="73">
        <f>[1]!wss($A376:$A376,"hks_stm_is","item=83","rptDate="&amp;($B376-3)&amp;"1231","rptType=1","currencyType=Cur=CNY","WssConvert=0","WssDivide=8","showcodes=N","cols=1;rows=1")</f>
        <v>3.2803266000000005E-2</v>
      </c>
      <c r="D376" s="73">
        <f>[1]!wss($A376:$A376,"hks_stm_is","item=83","rptDate="&amp;($B376-2)&amp;"1231","rptType=1","currencyType=Cur=CNY","WssConvert=0","WssDivide=8","showcodes=N","cols=1;rows=1")</f>
        <v>6.2327760000000003E-2</v>
      </c>
      <c r="E376" s="73">
        <f>[1]!wss($A376:$A376,"hks_stm_is","item=83","rptDate="&amp;($B376-1)&amp;"1231","rptType=1","currencyType=Cur=CNY","WssConvert=0","WssDivide=8","showcodes=N","cols=1;rows=1")</f>
        <v>0.71884000000000003</v>
      </c>
      <c r="F376" s="73">
        <f>[1]!wss($A376:$A376,"hks_stm_is","item=61","rptDate="&amp;($B376-3)&amp;"1231","rptType=1","currencyType=Cur=CNY","WssConvert=0","WssDivide=8","showcodes=N","cols=1;rows=1")</f>
        <v>-4.6549993480000005</v>
      </c>
      <c r="G376" s="73">
        <f>[1]!wss($A376:$A376,"hks_stm_is","item=61","rptDate="&amp;($B376-2)&amp;"1231","rptType=1","currencyType=Cur=CNY","WssConvert=0","WssDivide=8","showcodes=N","cols=1;rows=1")</f>
        <v>-9.1662886859999997</v>
      </c>
      <c r="H376" s="73">
        <f>[1]!wss($A376:$A376,"hks_stm_is","item=61","rptDate="&amp;($B376-1)&amp;"1231","rptType=1","currencyType=Cur=CNY","WssConvert=0","WssDivide=8","showcodes=N","cols=1;rows=1")</f>
        <v>-7.12586092</v>
      </c>
      <c r="I376" s="73" t="str">
        <f>[1]!wss($A376:$A376,"hks_fa_grossprofitmargin","rptDate="&amp;($B376-3)&amp;"1231","WssConvert=0","showcodes=N","cols=1;rows=1")</f>
        <v/>
      </c>
      <c r="J376" s="43" t="str">
        <f>[1]!wss($A376:$A376,"hks_fa_grossprofitmargin","rptDate="&amp;($B376-2)&amp;"1231","WssConvert=0","showcodes=N","cols=1;rows=1")</f>
        <v/>
      </c>
      <c r="K376" s="43" t="str">
        <f>[1]!wss($A376:$A376,"hks_fa_grossprofitmargin","rptDate="&amp;($B376-1)&amp;"1231","WssConvert=0","showcodes=N","cols=1;rows=1")</f>
        <v/>
      </c>
      <c r="L376" s="73" t="str">
        <f>[1]!wss($A376:$A376,"hks_fa_roe","rptDate="&amp;($B376-1)&amp;"1231","WssConvert=0","showcodes=N","cols=1;rows=1")</f>
        <v/>
      </c>
      <c r="M376" s="43">
        <f>[1]!wss($A376:$A376,"hks_fa_debttoassets","rptDate="&amp;($B376-1)&amp;"1231","WssConvert=0","showcodes=N","cols=1;rows=1")</f>
        <v>978.66729999999995</v>
      </c>
      <c r="P376" s="50">
        <v>6.2327760000000003E-2</v>
      </c>
      <c r="Q376" s="50">
        <v>0.71884000000000003</v>
      </c>
      <c r="R376" s="50"/>
      <c r="S376" s="50">
        <v>-9.1662886859999997</v>
      </c>
      <c r="T376" s="50">
        <v>-7.12586092</v>
      </c>
      <c r="U376" s="50">
        <v>-4.7556860800000003</v>
      </c>
      <c r="V376" s="50"/>
      <c r="W376" s="50"/>
      <c r="X376" s="50"/>
    </row>
    <row r="377" spans="1:24">
      <c r="A377" t="s">
        <v>1012</v>
      </c>
      <c r="B377" s="17">
        <f>IFERROR(YEAR(VLOOKUP($A377,'01_ipo_master'!$A:$C,3,FALSE)),YEAR(VLOOKUP("0"&amp;$A377,'01_ipo_master'!$A:$C,3,FALSE)))</f>
        <v>2023</v>
      </c>
      <c r="C377" s="73">
        <f>[1]!wss($A377:$A377,"hks_stm_is","item=83","rptDate="&amp;($B377-3)&amp;"1231","rptType=1","currencyType=Cur=CNY","WssConvert=0","WssDivide=8","showcodes=N","cols=1;rows=1")</f>
        <v>4.8739999999999999E-2</v>
      </c>
      <c r="D377" s="73">
        <f>[1]!wss($A377:$A377,"hks_stm_is","item=83","rptDate="&amp;($B377-2)&amp;"1231","rptType=1","currencyType=Cur=CNY","WssConvert=0","WssDivide=8","showcodes=N","cols=1;rows=1")</f>
        <v>4.9660000000000003E-2</v>
      </c>
      <c r="E377" s="73">
        <f>[1]!wss($A377:$A377,"hks_stm_is","item=83","rptDate="&amp;($B377-1)&amp;"1231","rptType=1","currencyType=Cur=CNY","WssConvert=0","WssDivide=8","showcodes=N","cols=1;rows=1")</f>
        <v>2.0560000000000002E-2</v>
      </c>
      <c r="F377" s="73">
        <f>[1]!wss($A377:$A377,"hks_stm_is","item=61","rptDate="&amp;($B377-3)&amp;"1231","rptType=1","currencyType=Cur=CNY","WssConvert=0","WssDivide=8","showcodes=N","cols=1;rows=1")</f>
        <v>-1.7404900000000001</v>
      </c>
      <c r="G377" s="73">
        <f>[1]!wss($A377:$A377,"hks_stm_is","item=61","rptDate="&amp;($B377-2)&amp;"1231","rptType=1","currencyType=Cur=CNY","WssConvert=0","WssDivide=8","showcodes=N","cols=1;rows=1")</f>
        <v>-5.3935700000000004</v>
      </c>
      <c r="H377" s="73">
        <f>[1]!wss($A377:$A377,"hks_stm_is","item=61","rptDate="&amp;($B377-1)&amp;"1231","rptType=1","currencyType=Cur=CNY","WssConvert=0","WssDivide=8","showcodes=N","cols=1;rows=1")</f>
        <v>-7.2518000000000002</v>
      </c>
      <c r="I377" s="73" t="str">
        <f>[1]!wss($A377:$A377,"hks_fa_grossprofitmargin","rptDate="&amp;($B377-3)&amp;"1231","WssConvert=0","showcodes=N","cols=1;rows=1")</f>
        <v/>
      </c>
      <c r="J377" s="43" t="str">
        <f>[1]!wss($A377:$A377,"hks_fa_grossprofitmargin","rptDate="&amp;($B377-2)&amp;"1231","WssConvert=0","showcodes=N","cols=1;rows=1")</f>
        <v/>
      </c>
      <c r="K377" s="43" t="str">
        <f>[1]!wss($A377:$A377,"hks_fa_grossprofitmargin","rptDate="&amp;($B377-1)&amp;"1231","WssConvert=0","showcodes=N","cols=1;rows=1")</f>
        <v/>
      </c>
      <c r="L377" s="73">
        <f>[1]!wss($A377:$A377,"hks_fa_roe","rptDate="&amp;($B377-1)&amp;"1231","WssConvert=0","showcodes=N","cols=1;rows=1")</f>
        <v>-410.93549999999999</v>
      </c>
      <c r="M377" s="43">
        <f>[1]!wss($A377:$A377,"hks_fa_debttoassets","rptDate="&amp;($B377-1)&amp;"1231","WssConvert=0","showcodes=N","cols=1;rows=1")</f>
        <v>12.4003</v>
      </c>
      <c r="P377" s="50">
        <v>1.8020000000000001E-2</v>
      </c>
      <c r="Q377" s="50">
        <v>0.21387</v>
      </c>
      <c r="R377" s="50">
        <v>0.11031000000000001</v>
      </c>
      <c r="S377" s="50">
        <v>-2.4935</v>
      </c>
      <c r="T377" s="50">
        <v>-1.68235</v>
      </c>
      <c r="U377" s="50">
        <v>-1.5035499999999999</v>
      </c>
      <c r="V377" s="50"/>
      <c r="W377" s="50"/>
      <c r="X377" s="50"/>
    </row>
    <row r="378" spans="1:24">
      <c r="A378" t="s">
        <v>1014</v>
      </c>
      <c r="B378" s="17">
        <f>IFERROR(YEAR(VLOOKUP($A378,'01_ipo_master'!$A:$C,3,FALSE)),YEAR(VLOOKUP("0"&amp;$A378,'01_ipo_master'!$A:$C,3,FALSE)))</f>
        <v>2025</v>
      </c>
      <c r="C378" s="73">
        <f>[1]!wss($A378:$A378,"hks_stm_is","item=83","rptDate="&amp;($B378-3)&amp;"1231","rptType=1","currencyType=Cur=CNY","WssConvert=0","WssDivide=8","showcodes=N","cols=1;rows=1")</f>
        <v>1.24E-3</v>
      </c>
      <c r="D378" s="73">
        <f>[1]!wss($A378:$A378,"hks_stm_is","item=83","rptDate="&amp;($B378-2)&amp;"1231","rptType=1","currencyType=Cur=CNY","WssConvert=0","WssDivide=8","showcodes=N","cols=1;rows=1")</f>
        <v>1.1810000000000001E-2</v>
      </c>
      <c r="E378" s="73">
        <f>[1]!wss($A378:$A378,"hks_stm_is","item=83","rptDate="&amp;($B378-1)&amp;"1231","rptType=1","currencyType=Cur=CNY","WssConvert=0","WssDivide=8","showcodes=N","cols=1;rows=1")</f>
        <v>0.17910000000000001</v>
      </c>
      <c r="F378" s="73">
        <f>[1]!wss($A378:$A378,"hks_stm_is","item=61","rptDate="&amp;($B378-3)&amp;"1231","rptType=1","currencyType=Cur=CNY","WssConvert=0","WssDivide=8","showcodes=N","cols=1;rows=1")</f>
        <v>-2.5194399999999999</v>
      </c>
      <c r="G378" s="73">
        <f>[1]!wss($A378:$A378,"hks_stm_is","item=61","rptDate="&amp;($B378-2)&amp;"1231","rptType=1","currencyType=Cur=CNY","WssConvert=0","WssDivide=8","showcodes=N","cols=1;rows=1")</f>
        <v>-3.4339400000000002</v>
      </c>
      <c r="H378" s="73">
        <f>[1]!wss($A378:$A378,"hks_stm_is","item=61","rptDate="&amp;($B378-1)&amp;"1231","rptType=1","currencyType=Cur=CNY","WssConvert=0","WssDivide=8","showcodes=N","cols=1;rows=1")</f>
        <v>-2.7461000000000002</v>
      </c>
      <c r="I378" s="73" t="str">
        <f>[1]!wss($A378:$A378,"hks_fa_grossprofitmargin","rptDate="&amp;($B378-3)&amp;"1231","WssConvert=0","showcodes=N","cols=1;rows=1")</f>
        <v/>
      </c>
      <c r="J378" s="43" t="str">
        <f>[1]!wss($A378:$A378,"hks_fa_grossprofitmargin","rptDate="&amp;($B378-2)&amp;"1231","WssConvert=0","showcodes=N","cols=1;rows=1")</f>
        <v/>
      </c>
      <c r="K378" s="43" t="str">
        <f>[1]!wss($A378:$A378,"hks_fa_grossprofitmargin","rptDate="&amp;($B378-1)&amp;"1231","WssConvert=0","showcodes=N","cols=1;rows=1")</f>
        <v/>
      </c>
      <c r="L378" s="73">
        <f>[1]!wss($A378:$A378,"hks_fa_roe","rptDate="&amp;($B378-1)&amp;"1231","WssConvert=0","showcodes=N","cols=1;rows=1")</f>
        <v>-41.982500000000002</v>
      </c>
      <c r="M378" s="43">
        <f>[1]!wss($A378:$A378,"hks_fa_debttoassets","rptDate="&amp;($B378-1)&amp;"1231","WssConvert=0","showcodes=N","cols=1;rows=1")</f>
        <v>16.608599999999999</v>
      </c>
      <c r="P378" s="50">
        <v>1.1809999999999999E-2</v>
      </c>
      <c r="Q378" s="50">
        <v>0.17910000000000001</v>
      </c>
      <c r="R378" s="50">
        <v>6.2710000000000002E-2</v>
      </c>
      <c r="S378" s="50">
        <v>-3.4339400000000002</v>
      </c>
      <c r="T378" s="50">
        <v>-2.7461000000000002</v>
      </c>
      <c r="U378" s="50">
        <v>-2.9596399999999998</v>
      </c>
      <c r="V378" s="50"/>
      <c r="W378" s="50"/>
      <c r="X378" s="50"/>
    </row>
    <row r="379" spans="1:24">
      <c r="A379" t="s">
        <v>1016</v>
      </c>
      <c r="B379" s="17">
        <f>IFERROR(YEAR(VLOOKUP($A379,'01_ipo_master'!$A:$C,3,FALSE)),YEAR(VLOOKUP("0"&amp;$A379,'01_ipo_master'!$A:$C,3,FALSE)))</f>
        <v>2025</v>
      </c>
      <c r="C379" s="73">
        <f>[1]!wss($A379:$A379,"hks_stm_is","item=83","rptDate="&amp;($B379-3)&amp;"1231","rptType=1","currencyType=Cur=CNY","WssConvert=0","WssDivide=8","showcodes=N","cols=1;rows=1")</f>
        <v>3.6999999999999999E-4</v>
      </c>
      <c r="D379" s="73">
        <f>[1]!wss($A379:$A379,"hks_stm_is","item=83","rptDate="&amp;($B379-2)&amp;"1231","rptType=1","currencyType=Cur=CNY","WssConvert=0","WssDivide=8","showcodes=N","cols=1;rows=1")</f>
        <v>4.7200000000000002E-3</v>
      </c>
      <c r="E379" s="73">
        <f>[1]!wss($A379:$A379,"hks_stm_is","item=83","rptDate="&amp;($B379-1)&amp;"1231","rptType=1","currencyType=Cur=CNY","WssConvert=0","WssDivide=8","showcodes=N","cols=1;rows=1")</f>
        <v>2.6099999999999999E-3</v>
      </c>
      <c r="F379" s="73">
        <f>[1]!wss($A379:$A379,"hks_stm_is","item=61","rptDate="&amp;($B379-3)&amp;"1231","rptType=1","currencyType=Cur=CNY","WssConvert=0","WssDivide=8","showcodes=N","cols=1;rows=1")</f>
        <v>-0.85926000000000002</v>
      </c>
      <c r="G379" s="73">
        <f>[1]!wss($A379:$A379,"hks_stm_is","item=61","rptDate="&amp;($B379-2)&amp;"1231","rptType=1","currencyType=Cur=CNY","WssConvert=0","WssDivide=8","showcodes=N","cols=1;rows=1")</f>
        <v>-1.0518799999999999</v>
      </c>
      <c r="H379" s="73">
        <f>[1]!wss($A379:$A379,"hks_stm_is","item=61","rptDate="&amp;($B379-1)&amp;"1231","rptType=1","currencyType=Cur=CNY","WssConvert=0","WssDivide=8","showcodes=N","cols=1;rows=1")</f>
        <v>-2.1225000000000001</v>
      </c>
      <c r="I379" s="73" t="str">
        <f>[1]!wss($A379:$A379,"hks_fa_grossprofitmargin","rptDate="&amp;($B379-3)&amp;"1231","WssConvert=0","showcodes=N","cols=1;rows=1")</f>
        <v/>
      </c>
      <c r="J379" s="43">
        <f>[1]!wss($A379:$A379,"hks_fa_grossprofitmargin","rptDate="&amp;($B379-2)&amp;"1231","WssConvert=0","showcodes=N","cols=1;rows=1")</f>
        <v>45.974600000000002</v>
      </c>
      <c r="K379" s="43">
        <f>[1]!wss($A379:$A379,"hks_fa_grossprofitmargin","rptDate="&amp;($B379-1)&amp;"1231","WssConvert=0","showcodes=N","cols=1;rows=1")</f>
        <v>92.337199999999996</v>
      </c>
      <c r="L379" s="73">
        <f>[1]!wss($A379:$A379,"hks_fa_roe","rptDate="&amp;($B379-1)&amp;"1231","WssConvert=0","showcodes=N","cols=1;rows=1")</f>
        <v>-2274.7977000000001</v>
      </c>
      <c r="M379" s="43">
        <f>[1]!wss($A379:$A379,"hks_fa_debttoassets","rptDate="&amp;($B379-1)&amp;"1231","WssConvert=0","showcodes=N","cols=1;rows=1")</f>
        <v>21.025400000000001</v>
      </c>
      <c r="P379" s="50">
        <v>4.7200000000000002E-3</v>
      </c>
      <c r="Q379" s="50">
        <v>2.6099999999999999E-3</v>
      </c>
      <c r="R379" s="50">
        <v>5.2199999999999998E-3</v>
      </c>
      <c r="S379" s="50">
        <v>-1.0518799999999999</v>
      </c>
      <c r="T379" s="50">
        <v>-2.1225000000000001</v>
      </c>
      <c r="U379" s="50">
        <v>-2.0898400000000001</v>
      </c>
      <c r="V379" s="50">
        <v>45.974600000000002</v>
      </c>
      <c r="W379" s="50">
        <v>92.337199999999996</v>
      </c>
      <c r="X379" s="50">
        <v>92.145600000000002</v>
      </c>
    </row>
    <row r="380" spans="1:24">
      <c r="A380" t="s">
        <v>1018</v>
      </c>
      <c r="B380" s="17">
        <f>IFERROR(YEAR(VLOOKUP($A380,'01_ipo_master'!$A:$C,3,FALSE)),YEAR(VLOOKUP("0"&amp;$A380,'01_ipo_master'!$A:$C,3,FALSE)))</f>
        <v>2023</v>
      </c>
      <c r="C380" s="73">
        <f>[1]!wss($A380:$A380,"hks_stm_is","item=83","rptDate="&amp;($B380-3)&amp;"1231","rptType=1","currencyType=Cur=CNY","WssConvert=0","WssDivide=8","showcodes=N","cols=1;rows=1")</f>
        <v>1.191E-2</v>
      </c>
      <c r="D380" s="73">
        <f>[1]!wss($A380:$A380,"hks_stm_is","item=83","rptDate="&amp;($B380-2)&amp;"1231","rptType=1","currencyType=Cur=CNY","WssConvert=0","WssDivide=8","showcodes=N","cols=1;rows=1")</f>
        <v>5.067E-2</v>
      </c>
      <c r="E380" s="73">
        <f>[1]!wss($A380:$A380,"hks_stm_is","item=83","rptDate="&amp;($B380-1)&amp;"1231","rptType=1","currencyType=Cur=CNY","WssConvert=0","WssDivide=8","showcodes=N","cols=1;rows=1")</f>
        <v>5.3800000000000002E-3</v>
      </c>
      <c r="F380" s="73">
        <f>[1]!wss($A380:$A380,"hks_stm_is","item=61","rptDate="&amp;($B380-3)&amp;"1231","rptType=1","currencyType=Cur=CNY","WssConvert=0","WssDivide=8","showcodes=N","cols=1;rows=1")</f>
        <v>-6.6093999999999999</v>
      </c>
      <c r="G380" s="73">
        <f>[1]!wss($A380:$A380,"hks_stm_is","item=61","rptDate="&amp;($B380-2)&amp;"1231","rptType=1","currencyType=Cur=CNY","WssConvert=0","WssDivide=8","showcodes=N","cols=1;rows=1")</f>
        <v>-7.3294899999999998</v>
      </c>
      <c r="H380" s="73">
        <f>[1]!wss($A380:$A380,"hks_stm_is","item=61","rptDate="&amp;($B380-1)&amp;"1231","rptType=1","currencyType=Cur=CNY","WssConvert=0","WssDivide=8","showcodes=N","cols=1;rows=1")</f>
        <v>-4.0289400000000004</v>
      </c>
      <c r="I380" s="73" t="str">
        <f>[1]!wss($A380:$A380,"hks_fa_grossprofitmargin","rptDate="&amp;($B380-3)&amp;"1231","WssConvert=0","showcodes=N","cols=1;rows=1")</f>
        <v/>
      </c>
      <c r="J380" s="43" t="str">
        <f>[1]!wss($A380:$A380,"hks_fa_grossprofitmargin","rptDate="&amp;($B380-2)&amp;"1231","WssConvert=0","showcodes=N","cols=1;rows=1")</f>
        <v/>
      </c>
      <c r="K380" s="43" t="str">
        <f>[1]!wss($A380:$A380,"hks_fa_grossprofitmargin","rptDate="&amp;($B380-1)&amp;"1231","WssConvert=0","showcodes=N","cols=1;rows=1")</f>
        <v/>
      </c>
      <c r="L380" s="73">
        <f>[1]!wss($A380:$A380,"hks_fa_roe","rptDate="&amp;($B380-1)&amp;"1231","WssConvert=0","showcodes=N","cols=1;rows=1")</f>
        <v>98.360600000000005</v>
      </c>
      <c r="M380" s="43">
        <f>[1]!wss($A380:$A380,"hks_fa_debttoassets","rptDate="&amp;($B380-1)&amp;"1231","WssConvert=0","showcodes=N","cols=1;rows=1")</f>
        <v>7.2332000000000001</v>
      </c>
      <c r="P380" s="50">
        <v>3.8600000000000001E-3</v>
      </c>
      <c r="Q380" s="50">
        <v>0.74148999999999998</v>
      </c>
      <c r="R380" s="50">
        <v>1.54294</v>
      </c>
      <c r="S380" s="50">
        <v>-3.7945899999999999</v>
      </c>
      <c r="T380" s="50">
        <v>-3.15855</v>
      </c>
      <c r="U380" s="50">
        <v>-2.1858</v>
      </c>
      <c r="V380" s="50"/>
      <c r="W380" s="50"/>
      <c r="X380" s="50">
        <v>99.280600000000007</v>
      </c>
    </row>
    <row r="381" spans="1:24">
      <c r="A381" t="s">
        <v>1020</v>
      </c>
      <c r="B381" s="17">
        <f>IFERROR(YEAR(VLOOKUP($A381,'01_ipo_master'!$A:$C,3,FALSE)),YEAR(VLOOKUP("0"&amp;$A381,'01_ipo_master'!$A:$C,3,FALSE)))</f>
        <v>2024</v>
      </c>
      <c r="C381" s="73">
        <f>[1]!wss($A381:$A381,"hks_stm_is","item=83","rptDate="&amp;($B381-3)&amp;"1231","rptType=1","currencyType=Cur=CNY","WssConvert=0","WssDivide=8","showcodes=N","cols=1;rows=1")</f>
        <v>6.0000000000000002E-5</v>
      </c>
      <c r="D381" s="73">
        <f>[1]!wss($A381:$A381,"hks_stm_is","item=83","rptDate="&amp;($B381-2)&amp;"1231","rptType=1","currencyType=Cur=CNY","WssConvert=0","WssDivide=8","showcodes=N","cols=1;rows=1")</f>
        <v>1.7389999999999999E-2</v>
      </c>
      <c r="E381" s="73">
        <f>[1]!wss($A381:$A381,"hks_stm_is","item=83","rptDate="&amp;($B381-1)&amp;"1231","rptType=1","currencyType=Cur=CNY","WssConvert=0","WssDivide=8","showcodes=N","cols=1;rows=1")</f>
        <v>2.2799999999999999E-3</v>
      </c>
      <c r="F381" s="73">
        <f>[1]!wss($A381:$A381,"hks_stm_is","item=61","rptDate="&amp;($B381-3)&amp;"1231","rptType=1","currencyType=Cur=CNY","WssConvert=0","WssDivide=8","showcodes=N","cols=1;rows=1")</f>
        <v>-0.70632000000000006</v>
      </c>
      <c r="G381" s="73">
        <f>[1]!wss($A381:$A381,"hks_stm_is","item=61","rptDate="&amp;($B381-2)&amp;"1231","rptType=1","currencyType=Cur=CNY","WssConvert=0","WssDivide=8","showcodes=N","cols=1;rows=1")</f>
        <v>-0.51988000000000001</v>
      </c>
      <c r="H381" s="73">
        <f>[1]!wss($A381:$A381,"hks_stm_is","item=61","rptDate="&amp;($B381-1)&amp;"1231","rptType=1","currencyType=Cur=CNY","WssConvert=0","WssDivide=8","showcodes=N","cols=1;rows=1")</f>
        <v>-1.32701</v>
      </c>
      <c r="I381" s="73" t="str">
        <f>[1]!wss($A381:$A381,"hks_fa_grossprofitmargin","rptDate="&amp;($B381-3)&amp;"1231","WssConvert=0","showcodes=N","cols=1;rows=1")</f>
        <v/>
      </c>
      <c r="J381" s="43" t="str">
        <f>[1]!wss($A381:$A381,"hks_fa_grossprofitmargin","rptDate="&amp;($B381-2)&amp;"1231","WssConvert=0","showcodes=N","cols=1;rows=1")</f>
        <v/>
      </c>
      <c r="K381" s="43" t="str">
        <f>[1]!wss($A381:$A381,"hks_fa_grossprofitmargin","rptDate="&amp;($B381-1)&amp;"1231","WssConvert=0","showcodes=N","cols=1;rows=1")</f>
        <v/>
      </c>
      <c r="L381" s="73" t="str">
        <f>[1]!wss($A381:$A381,"hks_fa_roe","rptDate="&amp;($B381-1)&amp;"1231","WssConvert=0","showcodes=N","cols=1;rows=1")</f>
        <v/>
      </c>
      <c r="M381" s="43">
        <f>[1]!wss($A381:$A381,"hks_fa_debttoassets","rptDate="&amp;($B381-1)&amp;"1231","WssConvert=0","showcodes=N","cols=1;rows=1")</f>
        <v>135.84399999999999</v>
      </c>
      <c r="P381" s="50">
        <v>2.2799999999999999E-3</v>
      </c>
      <c r="Q381" s="50">
        <v>9.4850000000000004E-2</v>
      </c>
      <c r="R381" s="50"/>
      <c r="S381" s="50">
        <v>-1.32701</v>
      </c>
      <c r="T381" s="50">
        <v>-0.79964999999999997</v>
      </c>
      <c r="U381" s="50"/>
      <c r="V381" s="50"/>
      <c r="W381" s="50"/>
      <c r="X381" s="50"/>
    </row>
    <row r="382" spans="1:24">
      <c r="A382" t="s">
        <v>1022</v>
      </c>
      <c r="B382" s="17">
        <f>IFERROR(YEAR(VLOOKUP($A382,'01_ipo_master'!$A:$C,3,FALSE)),YEAR(VLOOKUP("0"&amp;$A382,'01_ipo_master'!$A:$C,3,FALSE)))</f>
        <v>2026</v>
      </c>
      <c r="C382" s="73">
        <f>[1]!wss($A382:$A382,"hks_stm_is","item=83","rptDate="&amp;($B382-3)&amp;"1231","rptType=1","currencyType=Cur=CNY","WssConvert=0","WssDivide=8","showcodes=N","cols=1;rows=1")</f>
        <v>4.4000000000000002E-4</v>
      </c>
      <c r="D382" s="73">
        <f>[1]!wss($A382:$A382,"hks_stm_is","item=83","rptDate="&amp;($B382-2)&amp;"1231","rptType=1","currencyType=Cur=CNY","WssConvert=0","WssDivide=8","showcodes=N","cols=1;rows=1")</f>
        <v>1.4262699999999999</v>
      </c>
      <c r="E382" s="73">
        <f>[1]!wss($A382:$A382,"hks_stm_is","item=83","rptDate="&amp;($B382-1)&amp;"1231","rptType=1","currencyType=Cur=CNY","WssConvert=0","WssDivide=8","showcodes=N","cols=1;rows=1")</f>
        <v>1.4851000000000001</v>
      </c>
      <c r="F382" s="73">
        <f>[1]!wss($A382:$A382,"hks_stm_is","item=61","rptDate="&amp;($B382-3)&amp;"1231","rptType=1","currencyType=Cur=CNY","WssConvert=0","WssDivide=8","showcodes=N","cols=1;rows=1")</f>
        <v>-4.2834900000000005</v>
      </c>
      <c r="G382" s="73">
        <f>[1]!wss($A382:$A382,"hks_stm_is","item=61","rptDate="&amp;($B382-2)&amp;"1231","rptType=1","currencyType=Cur=CNY","WssConvert=0","WssDivide=8","showcodes=N","cols=1;rows=1")</f>
        <v>-2.7015099999999999</v>
      </c>
      <c r="H382" s="73">
        <f>[1]!wss($A382:$A382,"hks_stm_is","item=61","rptDate="&amp;($B382-1)&amp;"1231","rptType=1","currencyType=Cur=CNY","WssConvert=0","WssDivide=8","showcodes=N","cols=1;rows=1")</f>
        <v>-2.7805900000000001</v>
      </c>
      <c r="I382" s="73">
        <f>[1]!wss($A382:$A382,"hks_fa_grossprofitmargin","rptDate="&amp;($B382-3)&amp;"1231","WssConvert=0","showcodes=N","cols=1;rows=1")</f>
        <v>45.454500000000003</v>
      </c>
      <c r="J382" s="43">
        <f>[1]!wss($A382:$A382,"hks_fa_grossprofitmargin","rptDate="&amp;($B382-2)&amp;"1231","WssConvert=0","showcodes=N","cols=1;rows=1")</f>
        <v>91.654499999999999</v>
      </c>
      <c r="K382" s="43">
        <f>[1]!wss($A382:$A382,"hks_fa_grossprofitmargin","rptDate="&amp;($B382-1)&amp;"1231","WssConvert=0","showcodes=N","cols=1;rows=1")</f>
        <v>90.925899999999999</v>
      </c>
      <c r="L382" s="73" t="str">
        <f>[1]!wss($A382:$A382,"hks_fa_roe","rptDate="&amp;($B382-1)&amp;"1231","WssConvert=0","showcodes=N","cols=1;rows=1")</f>
        <v/>
      </c>
      <c r="M382" s="43">
        <f>[1]!wss($A382:$A382,"hks_fa_debttoassets","rptDate="&amp;($B382-1)&amp;"1231","WssConvert=0","showcodes=N","cols=1;rows=1")</f>
        <v>96.811899999999994</v>
      </c>
      <c r="P382" s="50">
        <v>4.4000000000000002E-4</v>
      </c>
      <c r="Q382" s="50">
        <v>1.4262699999999999</v>
      </c>
      <c r="R382" s="50">
        <v>1.4851000000000001</v>
      </c>
      <c r="S382" s="50">
        <v>-4.2834899999999996</v>
      </c>
      <c r="T382" s="50">
        <v>-2.7015099999999999</v>
      </c>
      <c r="U382" s="50">
        <v>-2.7805900000000001</v>
      </c>
      <c r="V382" s="50">
        <v>45.454500000000003</v>
      </c>
      <c r="W382" s="50">
        <v>91.654499999999999</v>
      </c>
      <c r="X382" s="50">
        <v>90.925899999999999</v>
      </c>
    </row>
    <row r="383" spans="1:24">
      <c r="A383" t="s">
        <v>1024</v>
      </c>
      <c r="B383" s="17">
        <f>IFERROR(YEAR(VLOOKUP($A383,'01_ipo_master'!$A:$C,3,FALSE)),YEAR(VLOOKUP("0"&amp;$A383,'01_ipo_master'!$A:$C,3,FALSE)))</f>
        <v>2023</v>
      </c>
      <c r="C383" s="73" t="str">
        <f>[1]!wss($A383:$A383,"hks_stm_is","item=83","rptDate="&amp;($B383-3)&amp;"1231","rptType=1","currencyType=Cur=CNY","WssConvert=0","WssDivide=8","showcodes=N","cols=1;rows=1")</f>
        <v/>
      </c>
      <c r="D383" s="73">
        <f>[1]!wss($A383:$A383,"hks_stm_is","item=83","rptDate="&amp;($B383-2)&amp;"1231","rptType=1","currencyType=Cur=CNY","WssConvert=0","WssDivide=8","showcodes=N","cols=1;rows=1")</f>
        <v>4.4999999999999999E-4</v>
      </c>
      <c r="E383" s="73">
        <f>[1]!wss($A383:$A383,"hks_stm_is","item=83","rptDate="&amp;($B383-1)&amp;"1231","rptType=1","currencyType=Cur=CNY","WssConvert=0","WssDivide=8","showcodes=N","cols=1;rows=1")</f>
        <v>1.8799999999999999E-3</v>
      </c>
      <c r="F383" s="73" t="str">
        <f>[1]!wss($A383:$A383,"hks_stm_is","item=61","rptDate="&amp;($B383-3)&amp;"1231","rptType=1","currencyType=Cur=CNY","WssConvert=0","WssDivide=8","showcodes=N","cols=1;rows=1")</f>
        <v/>
      </c>
      <c r="G383" s="73">
        <f>[1]!wss($A383:$A383,"hks_stm_is","item=61","rptDate="&amp;($B383-2)&amp;"1231","rptType=1","currencyType=Cur=CNY","WssConvert=0","WssDivide=8","showcodes=N","cols=1;rows=1")</f>
        <v>-2.2114500000000001</v>
      </c>
      <c r="H383" s="73">
        <f>[1]!wss($A383:$A383,"hks_stm_is","item=61","rptDate="&amp;($B383-1)&amp;"1231","rptType=1","currencyType=Cur=CNY","WssConvert=0","WssDivide=8","showcodes=N","cols=1;rows=1")</f>
        <v>-1.9023700000000001</v>
      </c>
      <c r="I383" s="73" t="str">
        <f>[1]!wss($A383:$A383,"hks_fa_grossprofitmargin","rptDate="&amp;($B383-3)&amp;"1231","WssConvert=0","showcodes=N","cols=1;rows=1")</f>
        <v/>
      </c>
      <c r="J383" s="43" t="str">
        <f>[1]!wss($A383:$A383,"hks_fa_grossprofitmargin","rptDate="&amp;($B383-2)&amp;"1231","WssConvert=0","showcodes=N","cols=1;rows=1")</f>
        <v/>
      </c>
      <c r="K383" s="43" t="str">
        <f>[1]!wss($A383:$A383,"hks_fa_grossprofitmargin","rptDate="&amp;($B383-1)&amp;"1231","WssConvert=0","showcodes=N","cols=1;rows=1")</f>
        <v/>
      </c>
      <c r="L383" s="73" t="str">
        <f>[1]!wss($A383:$A383,"hks_fa_roe","rptDate="&amp;($B383-1)&amp;"1231","WssConvert=0","showcodes=N","cols=1;rows=1")</f>
        <v/>
      </c>
      <c r="M383" s="43">
        <f>[1]!wss($A383:$A383,"hks_fa_debttoassets","rptDate="&amp;($B383-1)&amp;"1231","WssConvert=0","showcodes=N","cols=1;rows=1")</f>
        <v>154.9795</v>
      </c>
      <c r="P383" s="50">
        <v>3.3E-4</v>
      </c>
      <c r="Q383" s="50">
        <v>0.67971000000000004</v>
      </c>
      <c r="R383" s="50">
        <v>0.19006999999999999</v>
      </c>
      <c r="S383" s="50">
        <v>-9.3930600000000002</v>
      </c>
      <c r="T383" s="50">
        <v>-3.8178800000000002</v>
      </c>
      <c r="U383" s="50">
        <v>-2.4496799999999999</v>
      </c>
      <c r="V383" s="50"/>
      <c r="W383" s="50"/>
      <c r="X383" s="50"/>
    </row>
    <row r="384" spans="1:24">
      <c r="A384" t="s">
        <v>1026</v>
      </c>
      <c r="B384" s="17">
        <f>IFERROR(YEAR(VLOOKUP($A384,'01_ipo_master'!$A:$C,3,FALSE)),YEAR(VLOOKUP("0"&amp;$A384,'01_ipo_master'!$A:$C,3,FALSE)))</f>
        <v>2025</v>
      </c>
      <c r="C384" s="73" t="str">
        <f>[1]!wss($A384:$A384,"hks_stm_is","item=83","rptDate="&amp;($B384-3)&amp;"1231","rptType=1","currencyType=Cur=CNY","WssConvert=0","WssDivide=8","showcodes=N","cols=1;rows=1")</f>
        <v/>
      </c>
      <c r="D384" s="73">
        <f>[1]!wss($A384:$A384,"hks_stm_is","item=83","rptDate="&amp;($B384-2)&amp;"1231","rptType=1","currencyType=Cur=CNY","WssConvert=0","WssDivide=8","showcodes=N","cols=1;rows=1")</f>
        <v>2.9E-4</v>
      </c>
      <c r="E384" s="73">
        <f>[1]!wss($A384:$A384,"hks_stm_is","item=83","rptDate="&amp;($B384-1)&amp;"1231","rptType=1","currencyType=Cur=CNY","WssConvert=0","WssDivide=8","showcodes=N","cols=1;rows=1")</f>
        <v>0.30093999999999999</v>
      </c>
      <c r="F384" s="73">
        <f>[1]!wss($A384:$A384,"hks_stm_is","item=61","rptDate="&amp;($B384-3)&amp;"1231","rptType=1","currencyType=Cur=CNY","WssConvert=0","WssDivide=8","showcodes=N","cols=1;rows=1")</f>
        <v>-5.1226500000000001</v>
      </c>
      <c r="G384" s="73">
        <f>[1]!wss($A384:$A384,"hks_stm_is","item=61","rptDate="&amp;($B384-2)&amp;"1231","rptType=1","currencyType=Cur=CNY","WssConvert=0","WssDivide=8","showcodes=N","cols=1;rows=1")</f>
        <v>-3.00562</v>
      </c>
      <c r="H384" s="73">
        <f>[1]!wss($A384:$A384,"hks_stm_is","item=61","rptDate="&amp;($B384-1)&amp;"1231","rptType=1","currencyType=Cur=CNY","WssConvert=0","WssDivide=8","showcodes=N","cols=1;rows=1")</f>
        <v>-5.5643000000000002</v>
      </c>
      <c r="I384" s="73" t="str">
        <f>[1]!wss($A384:$A384,"hks_fa_grossprofitmargin","rptDate="&amp;($B384-3)&amp;"1231","WssConvert=0","showcodes=N","cols=1;rows=1")</f>
        <v/>
      </c>
      <c r="J384" s="43">
        <f>[1]!wss($A384:$A384,"hks_fa_grossprofitmargin","rptDate="&amp;($B384-2)&amp;"1231","WssConvert=0","showcodes=N","cols=1;rows=1")</f>
        <v>68.965500000000006</v>
      </c>
      <c r="K384" s="43">
        <f>[1]!wss($A384:$A384,"hks_fa_grossprofitmargin","rptDate="&amp;($B384-1)&amp;"1231","WssConvert=0","showcodes=N","cols=1;rows=1")</f>
        <v>54.801600000000001</v>
      </c>
      <c r="L384" s="73">
        <f>[1]!wss($A384:$A384,"hks_fa_roe","rptDate="&amp;($B384-1)&amp;"1231","WssConvert=0","showcodes=N","cols=1;rows=1")</f>
        <v>-53.840400000000002</v>
      </c>
      <c r="M384" s="43">
        <f>[1]!wss($A384:$A384,"hks_fa_debttoassets","rptDate="&amp;($B384-1)&amp;"1231","WssConvert=0","showcodes=N","cols=1;rows=1")</f>
        <v>20.0486</v>
      </c>
      <c r="P384" s="50">
        <v>2.9E-4</v>
      </c>
      <c r="Q384" s="50">
        <v>0.30093999999999999</v>
      </c>
      <c r="R384" s="50">
        <v>0.51771999999999996</v>
      </c>
      <c r="S384" s="50">
        <v>-3.00562</v>
      </c>
      <c r="T384" s="50">
        <v>-5.5643000000000002</v>
      </c>
      <c r="U384" s="50">
        <v>-2.4550900000000002</v>
      </c>
      <c r="V384" s="50">
        <v>68.965500000000006</v>
      </c>
      <c r="W384" s="50">
        <v>54.801600000000001</v>
      </c>
      <c r="X384" s="50">
        <v>64.453800000000001</v>
      </c>
    </row>
    <row r="385" spans="1:24">
      <c r="A385" t="s">
        <v>1028</v>
      </c>
      <c r="B385" s="17">
        <f>IFERROR(YEAR(VLOOKUP($A385,'01_ipo_master'!$A:$C,3,FALSE)),YEAR(VLOOKUP("0"&amp;$A385,'01_ipo_master'!$A:$C,3,FALSE)))</f>
        <v>2023</v>
      </c>
      <c r="C385" s="73">
        <f>[1]!wss($A385:$A385,"hks_stm_is","item=83","rptDate="&amp;($B385-3)&amp;"1231","rptType=1","currencyType=Cur=CNY","WssConvert=0","WssDivide=8","showcodes=N","cols=1;rows=1")</f>
        <v>4.3200000000000001E-3</v>
      </c>
      <c r="D385" s="73">
        <f>[1]!wss($A385:$A385,"hks_stm_is","item=83","rptDate="&amp;($B385-2)&amp;"1231","rptType=1","currencyType=Cur=CNY","WssConvert=0","WssDivide=8","showcodes=N","cols=1;rows=1")</f>
        <v>5.4299999999999999E-3</v>
      </c>
      <c r="E385" s="73">
        <f>[1]!wss($A385:$A385,"hks_stm_is","item=83","rptDate="&amp;($B385-1)&amp;"1231","rptType=1","currencyType=Cur=CNY","WssConvert=0","WssDivide=8","showcodes=N","cols=1;rows=1")</f>
        <v>2.6000000000000003E-4</v>
      </c>
      <c r="F385" s="73">
        <f>[1]!wss($A385:$A385,"hks_stm_is","item=61","rptDate="&amp;($B385-3)&amp;"1231","rptType=1","currencyType=Cur=CNY","WssConvert=0","WssDivide=8","showcodes=N","cols=1;rows=1")</f>
        <v>-1.0784500000000001</v>
      </c>
      <c r="G385" s="73">
        <f>[1]!wss($A385:$A385,"hks_stm_is","item=61","rptDate="&amp;($B385-2)&amp;"1231","rptType=1","currencyType=Cur=CNY","WssConvert=0","WssDivide=8","showcodes=N","cols=1;rows=1")</f>
        <v>-1.4851799999999999</v>
      </c>
      <c r="H385" s="73">
        <f>[1]!wss($A385:$A385,"hks_stm_is","item=61","rptDate="&amp;($B385-1)&amp;"1231","rptType=1","currencyType=Cur=CNY","WssConvert=0","WssDivide=8","showcodes=N","cols=1;rows=1")</f>
        <v>-1.88866</v>
      </c>
      <c r="I385" s="73" t="str">
        <f>[1]!wss($A385:$A385,"hks_fa_grossprofitmargin","rptDate="&amp;($B385-3)&amp;"1231","WssConvert=0","showcodes=N","cols=1;rows=1")</f>
        <v/>
      </c>
      <c r="J385" s="43" t="str">
        <f>[1]!wss($A385:$A385,"hks_fa_grossprofitmargin","rptDate="&amp;($B385-2)&amp;"1231","WssConvert=0","showcodes=N","cols=1;rows=1")</f>
        <v/>
      </c>
      <c r="K385" s="43" t="str">
        <f>[1]!wss($A385:$A385,"hks_fa_grossprofitmargin","rptDate="&amp;($B385-1)&amp;"1231","WssConvert=0","showcodes=N","cols=1;rows=1")</f>
        <v/>
      </c>
      <c r="L385" s="73">
        <f>[1]!wss($A385:$A385,"hks_fa_roe","rptDate="&amp;($B385-1)&amp;"1231","WssConvert=0","showcodes=N","cols=1;rows=1")</f>
        <v>-126.31229999999999</v>
      </c>
      <c r="M385" s="43">
        <f>[1]!wss($A385:$A385,"hks_fa_debttoassets","rptDate="&amp;($B385-1)&amp;"1231","WssConvert=0","showcodes=N","cols=1;rows=1")</f>
        <v>48.527000000000001</v>
      </c>
      <c r="P385" s="50">
        <v>2.3000000000000001E-4</v>
      </c>
      <c r="Q385" s="50">
        <v>1.07813</v>
      </c>
      <c r="R385" s="50">
        <v>0.66857999999999995</v>
      </c>
      <c r="S385" s="50">
        <v>-1.9170199999999999</v>
      </c>
      <c r="T385" s="50">
        <v>-0.97599000000000002</v>
      </c>
      <c r="U385" s="50">
        <v>-0.84731999999999996</v>
      </c>
      <c r="V385" s="50"/>
      <c r="W385" s="50">
        <v>78.904200000000003</v>
      </c>
      <c r="X385" s="50">
        <v>16.0564</v>
      </c>
    </row>
    <row r="386" spans="1:24">
      <c r="A386" t="s">
        <v>1030</v>
      </c>
      <c r="B386" s="17">
        <f>IFERROR(YEAR(VLOOKUP($A386,'01_ipo_master'!$A:$C,3,FALSE)),YEAR(VLOOKUP("0"&amp;$A386,'01_ipo_master'!$A:$C,3,FALSE)))</f>
        <v>2022</v>
      </c>
      <c r="C386" s="73">
        <f>[1]!wss($A386:$A386,"hks_stm_is","item=83","rptDate="&amp;($B386-3)&amp;"1231","rptType=1","currencyType=Cur=CNY","WssConvert=0","WssDivide=8","showcodes=N","cols=1;rows=1")</f>
        <v>4.4999999999999999E-4</v>
      </c>
      <c r="D386" s="73" t="str">
        <f>[1]!wss($A386:$A386,"hks_stm_is","item=83","rptDate="&amp;($B386-2)&amp;"1231","rptType=1","currencyType=Cur=CNY","WssConvert=0","WssDivide=8","showcodes=N","cols=1;rows=1")</f>
        <v/>
      </c>
      <c r="E386" s="73" t="str">
        <f>[1]!wss($A386:$A386,"hks_stm_is","item=83","rptDate="&amp;($B386-1)&amp;"1231","rptType=1","currencyType=Cur=CNY","WssConvert=0","WssDivide=8","showcodes=N","cols=1;rows=1")</f>
        <v/>
      </c>
      <c r="F386" s="73">
        <f>[1]!wss($A386:$A386,"hks_stm_is","item=61","rptDate="&amp;($B386-3)&amp;"1231","rptType=1","currencyType=Cur=CNY","WssConvert=0","WssDivide=8","showcodes=N","cols=1;rows=1")</f>
        <v>-1.3827</v>
      </c>
      <c r="G386" s="73">
        <f>[1]!wss($A386:$A386,"hks_stm_is","item=61","rptDate="&amp;($B386-2)&amp;"1231","rptType=1","currencyType=Cur=CNY","WssConvert=0","WssDivide=8","showcodes=N","cols=1;rows=1")</f>
        <v>-1.794</v>
      </c>
      <c r="H386" s="73">
        <f>[1]!wss($A386:$A386,"hks_stm_is","item=61","rptDate="&amp;($B386-1)&amp;"1231","rptType=1","currencyType=Cur=CNY","WssConvert=0","WssDivide=8","showcodes=N","cols=1;rows=1")</f>
        <v>-6.5756100000000002</v>
      </c>
      <c r="I386" s="73" t="str">
        <f>[1]!wss($A386:$A386,"hks_fa_grossprofitmargin","rptDate="&amp;($B386-3)&amp;"1231","WssConvert=0","showcodes=N","cols=1;rows=1")</f>
        <v/>
      </c>
      <c r="J386" s="43" t="str">
        <f>[1]!wss($A386:$A386,"hks_fa_grossprofitmargin","rptDate="&amp;($B386-2)&amp;"1231","WssConvert=0","showcodes=N","cols=1;rows=1")</f>
        <v/>
      </c>
      <c r="K386" s="43" t="str">
        <f>[1]!wss($A386:$A386,"hks_fa_grossprofitmargin","rptDate="&amp;($B386-1)&amp;"1231","WssConvert=0","showcodes=N","cols=1;rows=1")</f>
        <v/>
      </c>
      <c r="L386" s="73">
        <f>[1]!wss($A386:$A386,"hks_fa_roe","rptDate="&amp;($B386-1)&amp;"1231","WssConvert=0","showcodes=N","cols=1;rows=1")</f>
        <v>-197.90639999999999</v>
      </c>
      <c r="M386" s="43">
        <f>[1]!wss($A386:$A386,"hks_fa_debttoassets","rptDate="&amp;($B386-1)&amp;"1231","WssConvert=0","showcodes=N","cols=1;rows=1")</f>
        <v>12.813700000000001</v>
      </c>
      <c r="P386" s="50"/>
      <c r="Q386" s="50"/>
      <c r="R386" s="50">
        <v>0.12726000000000001</v>
      </c>
      <c r="S386" s="50">
        <v>-5.71957</v>
      </c>
      <c r="T386" s="50">
        <v>-5.6238900000000003</v>
      </c>
      <c r="U386" s="50">
        <v>-6.1039000000000003</v>
      </c>
      <c r="V386" s="50"/>
      <c r="W386" s="50"/>
      <c r="X386" s="50">
        <v>88.275999999999996</v>
      </c>
    </row>
    <row r="387" spans="1:24">
      <c r="A387" t="s">
        <v>1032</v>
      </c>
      <c r="B387" s="17">
        <f>IFERROR(YEAR(VLOOKUP($A387,'01_ipo_master'!$A:$C,3,FALSE)),YEAR(VLOOKUP("0"&amp;$A387,'01_ipo_master'!$A:$C,3,FALSE)))</f>
        <v>2022</v>
      </c>
      <c r="C387" s="73" t="str">
        <f>[1]!wss($A387:$A387,"hks_stm_is","item=83","rptDate="&amp;($B387-3)&amp;"1231","rptType=1","currencyType=Cur=CNY","WssConvert=0","WssDivide=8","showcodes=N","cols=1;rows=1")</f>
        <v/>
      </c>
      <c r="D387" s="73" t="str">
        <f>[1]!wss($A387:$A387,"hks_stm_is","item=83","rptDate="&amp;($B387-2)&amp;"1231","rptType=1","currencyType=Cur=CNY","WssConvert=0","WssDivide=8","showcodes=N","cols=1;rows=1")</f>
        <v/>
      </c>
      <c r="E387" s="73" t="str">
        <f>[1]!wss($A387:$A387,"hks_stm_is","item=83","rptDate="&amp;($B387-1)&amp;"1231","rptType=1","currencyType=Cur=CNY","WssConvert=0","WssDivide=8","showcodes=N","cols=1;rows=1")</f>
        <v/>
      </c>
      <c r="F387" s="73" t="str">
        <f>[1]!wss($A387:$A387,"hks_stm_is","item=61","rptDate="&amp;($B387-3)&amp;"1231","rptType=1","currencyType=Cur=CNY","WssConvert=0","WssDivide=8","showcodes=N","cols=1;rows=1")</f>
        <v/>
      </c>
      <c r="G387" s="73" t="str">
        <f>[1]!wss($A387:$A387,"hks_stm_is","item=61","rptDate="&amp;($B387-2)&amp;"1231","rptType=1","currencyType=Cur=CNY","WssConvert=0","WssDivide=8","showcodes=N","cols=1;rows=1")</f>
        <v/>
      </c>
      <c r="H387" s="73" t="str">
        <f>[1]!wss($A387:$A387,"hks_stm_is","item=61","rptDate="&amp;($B387-1)&amp;"1231","rptType=1","currencyType=Cur=CNY","WssConvert=0","WssDivide=8","showcodes=N","cols=1;rows=1")</f>
        <v/>
      </c>
      <c r="I387" s="73" t="str">
        <f>[1]!wss($A387:$A387,"hks_fa_grossprofitmargin","rptDate="&amp;($B387-3)&amp;"1231","WssConvert=0","showcodes=N","cols=1;rows=1")</f>
        <v/>
      </c>
      <c r="J387" s="43" t="str">
        <f>[1]!wss($A387:$A387,"hks_fa_grossprofitmargin","rptDate="&amp;($B387-2)&amp;"1231","WssConvert=0","showcodes=N","cols=1;rows=1")</f>
        <v/>
      </c>
      <c r="K387" s="43" t="str">
        <f>[1]!wss($A387:$A387,"hks_fa_grossprofitmargin","rptDate="&amp;($B387-1)&amp;"1231","WssConvert=0","showcodes=N","cols=1;rows=1")</f>
        <v/>
      </c>
      <c r="L387" s="73" t="str">
        <f>[1]!wss($A387:$A387,"hks_fa_roe","rptDate="&amp;($B387-1)&amp;"1231","WssConvert=0","showcodes=N","cols=1;rows=1")</f>
        <v/>
      </c>
      <c r="M387" s="43" t="str">
        <f>[1]!wss($A387:$A387,"hks_fa_debttoassets","rptDate="&amp;($B387-1)&amp;"1231","WssConvert=0","showcodes=N","cols=1;rows=1")</f>
        <v/>
      </c>
      <c r="P387" s="50"/>
      <c r="Q387" s="50">
        <v>5.4204312540000004</v>
      </c>
      <c r="R387" s="50">
        <v>4.5783461640000001</v>
      </c>
      <c r="S387" s="50">
        <v>-0.41925447264679999</v>
      </c>
      <c r="T387" s="50">
        <v>-14.355381138</v>
      </c>
      <c r="U387" s="50">
        <v>-2.8106331400000002</v>
      </c>
      <c r="V387" s="50"/>
      <c r="W387" s="50">
        <v>30.755600000000001</v>
      </c>
      <c r="X387" s="50">
        <v>24.7669</v>
      </c>
    </row>
    <row r="388" spans="1:24">
      <c r="A388" t="s">
        <v>1034</v>
      </c>
      <c r="B388" s="17">
        <f>IFERROR(YEAR(VLOOKUP($A388,'01_ipo_master'!$A:$C,3,FALSE)),YEAR(VLOOKUP("0"&amp;$A388,'01_ipo_master'!$A:$C,3,FALSE)))</f>
        <v>2024</v>
      </c>
      <c r="C388" s="73" t="str">
        <f>[1]!wss($A388:$A388,"hks_stm_is","item=83","rptDate="&amp;($B388-3)&amp;"1231","rptType=1","currencyType=Cur=CNY","WssConvert=0","WssDivide=8","showcodes=N","cols=1;rows=1")</f>
        <v/>
      </c>
      <c r="D388" s="73">
        <f>[1]!wss($A388:$A388,"hks_stm_is","item=83","rptDate="&amp;($B388-2)&amp;"1231","rptType=1","currencyType=Cur=CNY","WssConvert=0","WssDivide=8","showcodes=N","cols=1;rows=1")</f>
        <v>0.44242000000000004</v>
      </c>
      <c r="E388" s="73" t="str">
        <f>[1]!wss($A388:$A388,"hks_stm_is","item=83","rptDate="&amp;($B388-1)&amp;"1231","rptType=1","currencyType=Cur=CNY","WssConvert=0","WssDivide=8","showcodes=N","cols=1;rows=1")</f>
        <v/>
      </c>
      <c r="F388" s="73" t="str">
        <f>[1]!wss($A388:$A388,"hks_stm_is","item=61","rptDate="&amp;($B388-3)&amp;"1231","rptType=1","currencyType=Cur=CNY","WssConvert=0","WssDivide=8","showcodes=N","cols=1;rows=1")</f>
        <v/>
      </c>
      <c r="G388" s="73">
        <f>[1]!wss($A388:$A388,"hks_stm_is","item=61","rptDate="&amp;($B388-2)&amp;"1231","rptType=1","currencyType=Cur=CNY","WssConvert=0","WssDivide=8","showcodes=N","cols=1;rows=1")</f>
        <v>-3.1099299999999999</v>
      </c>
      <c r="H388" s="73">
        <f>[1]!wss($A388:$A388,"hks_stm_is","item=61","rptDate="&amp;($B388-1)&amp;"1231","rptType=1","currencyType=Cur=CNY","WssConvert=0","WssDivide=8","showcodes=N","cols=1;rows=1")</f>
        <v>-3.8242700000000003</v>
      </c>
      <c r="I388" s="73" t="str">
        <f>[1]!wss($A388:$A388,"hks_fa_grossprofitmargin","rptDate="&amp;($B388-3)&amp;"1231","WssConvert=0","showcodes=N","cols=1;rows=1")</f>
        <v/>
      </c>
      <c r="J388" s="43">
        <f>[1]!wss($A388:$A388,"hks_fa_grossprofitmargin","rptDate="&amp;($B388-2)&amp;"1231","WssConvert=0","showcodes=N","cols=1;rows=1")</f>
        <v>45.303100000000001</v>
      </c>
      <c r="K388" s="43" t="str">
        <f>[1]!wss($A388:$A388,"hks_fa_grossprofitmargin","rptDate="&amp;($B388-1)&amp;"1231","WssConvert=0","showcodes=N","cols=1;rows=1")</f>
        <v/>
      </c>
      <c r="L388" s="73" t="str">
        <f>[1]!wss($A388:$A388,"hks_fa_roe","rptDate="&amp;($B388-1)&amp;"1231","WssConvert=0","showcodes=N","cols=1;rows=1")</f>
        <v/>
      </c>
      <c r="M388" s="43">
        <f>[1]!wss($A388:$A388,"hks_fa_debttoassets","rptDate="&amp;($B388-1)&amp;"1231","WssConvert=0","showcodes=N","cols=1;rows=1")</f>
        <v>253.54640000000001</v>
      </c>
      <c r="P388" s="50"/>
      <c r="Q388" s="50">
        <v>1.07E-3</v>
      </c>
      <c r="R388" s="50"/>
      <c r="S388" s="50">
        <v>-3.8242699999999998</v>
      </c>
      <c r="T388" s="50">
        <v>-3.8695499999999998</v>
      </c>
      <c r="U388" s="50">
        <v>-2.9976799999999999</v>
      </c>
      <c r="V388" s="50"/>
      <c r="W388" s="50">
        <v>13.084099999999999</v>
      </c>
      <c r="X388" s="50"/>
    </row>
    <row r="389" spans="1:24">
      <c r="A389" t="s">
        <v>1036</v>
      </c>
      <c r="B389" s="17">
        <f>IFERROR(YEAR(VLOOKUP($A389,'01_ipo_master'!$A:$C,3,FALSE)),YEAR(VLOOKUP("0"&amp;$A389,'01_ipo_master'!$A:$C,3,FALSE)))</f>
        <v>2025</v>
      </c>
      <c r="C389" s="73" t="str">
        <f>[1]!wss($A389:$A389,"hks_stm_is","item=83","rptDate="&amp;($B389-3)&amp;"1231","rptType=1","currencyType=Cur=CNY","WssConvert=0","WssDivide=8","showcodes=N","cols=1;rows=1")</f>
        <v/>
      </c>
      <c r="D389" s="73" t="str">
        <f>[1]!wss($A389:$A389,"hks_stm_is","item=83","rptDate="&amp;($B389-2)&amp;"1231","rptType=1","currencyType=Cur=CNY","WssConvert=0","WssDivide=8","showcodes=N","cols=1;rows=1")</f>
        <v/>
      </c>
      <c r="E389" s="73">
        <f>[1]!wss($A389:$A389,"hks_stm_is","item=83","rptDate="&amp;($B389-1)&amp;"1231","rptType=1","currencyType=Cur=CNY","WssConvert=0","WssDivide=8","showcodes=N","cols=1;rows=1")</f>
        <v>9.8640000000000005E-2</v>
      </c>
      <c r="F389" s="73">
        <f>[1]!wss($A389:$A389,"hks_stm_is","item=61","rptDate="&amp;($B389-3)&amp;"1231","rptType=1","currencyType=Cur=CNY","WssConvert=0","WssDivide=8","showcodes=N","cols=1;rows=1")</f>
        <v>-2.8896700000000002</v>
      </c>
      <c r="G389" s="73">
        <f>[1]!wss($A389:$A389,"hks_stm_is","item=61","rptDate="&amp;($B389-2)&amp;"1231","rptType=1","currencyType=Cur=CNY","WssConvert=0","WssDivide=8","showcodes=N","cols=1;rows=1")</f>
        <v>-2.4957000000000003</v>
      </c>
      <c r="H389" s="73">
        <f>[1]!wss($A389:$A389,"hks_stm_is","item=61","rptDate="&amp;($B389-1)&amp;"1231","rptType=1","currencyType=Cur=CNY","WssConvert=0","WssDivide=8","showcodes=N","cols=1;rows=1")</f>
        <v>-1.8224199999999999</v>
      </c>
      <c r="I389" s="73" t="str">
        <f>[1]!wss($A389:$A389,"hks_fa_grossprofitmargin","rptDate="&amp;($B389-3)&amp;"1231","WssConvert=0","showcodes=N","cols=1;rows=1")</f>
        <v/>
      </c>
      <c r="J389" s="43" t="str">
        <f>[1]!wss($A389:$A389,"hks_fa_grossprofitmargin","rptDate="&amp;($B389-2)&amp;"1231","WssConvert=0","showcodes=N","cols=1;rows=1")</f>
        <v/>
      </c>
      <c r="K389" s="43" t="str">
        <f>[1]!wss($A389:$A389,"hks_fa_grossprofitmargin","rptDate="&amp;($B389-1)&amp;"1231","WssConvert=0","showcodes=N","cols=1;rows=1")</f>
        <v/>
      </c>
      <c r="L389" s="73">
        <f>[1]!wss($A389:$A389,"hks_fa_roe","rptDate="&amp;($B389-1)&amp;"1231","WssConvert=0","showcodes=N","cols=1;rows=1")</f>
        <v>-57.657800000000002</v>
      </c>
      <c r="M389" s="43">
        <f>[1]!wss($A389:$A389,"hks_fa_debttoassets","rptDate="&amp;($B389-1)&amp;"1231","WssConvert=0","showcodes=N","cols=1;rows=1")</f>
        <v>17.8842</v>
      </c>
      <c r="P389" s="50"/>
      <c r="Q389" s="50">
        <v>9.8640000000000005E-2</v>
      </c>
      <c r="R389" s="50">
        <v>1.65E-3</v>
      </c>
      <c r="S389" s="50">
        <v>-2.4956999999999998</v>
      </c>
      <c r="T389" s="50">
        <v>-1.8224199999999999</v>
      </c>
      <c r="U389" s="50">
        <v>-2.5342199999999999</v>
      </c>
      <c r="V389" s="50"/>
      <c r="W389" s="50"/>
      <c r="X389" s="50">
        <v>11.5152</v>
      </c>
    </row>
    <row r="390" spans="1:24">
      <c r="A390" t="s">
        <v>1038</v>
      </c>
      <c r="B390" s="17">
        <f>IFERROR(YEAR(VLOOKUP($A390,'01_ipo_master'!$A:$C,3,FALSE)),YEAR(VLOOKUP("0"&amp;$A390,'01_ipo_master'!$A:$C,3,FALSE)))</f>
        <v>2025</v>
      </c>
      <c r="C390" s="73" t="str">
        <f>[1]!wss($A390:$A390,"hks_stm_is","item=83","rptDate="&amp;($B390-3)&amp;"1231","rptType=1","currencyType=Cur=CNY","WssConvert=0","WssDivide=8","showcodes=N","cols=1;rows=1")</f>
        <v/>
      </c>
      <c r="D390" s="73" t="str">
        <f>[1]!wss($A390:$A390,"hks_stm_is","item=83","rptDate="&amp;($B390-2)&amp;"1231","rptType=1","currencyType=Cur=CNY","WssConvert=0","WssDivide=8","showcodes=N","cols=1;rows=1")</f>
        <v/>
      </c>
      <c r="E390" s="73" t="str">
        <f>[1]!wss($A390:$A390,"hks_stm_is","item=83","rptDate="&amp;($B390-1)&amp;"1231","rptType=1","currencyType=Cur=CNY","WssConvert=0","WssDivide=8","showcodes=N","cols=1;rows=1")</f>
        <v/>
      </c>
      <c r="F390" s="73">
        <f>[1]!wss($A390:$A390,"hks_stm_is","item=61","rptDate="&amp;($B390-3)&amp;"1231","rptType=1","currencyType=Cur=CNY","WssConvert=0","WssDivide=8","showcodes=N","cols=1;rows=1")</f>
        <v>-0.83664561469999998</v>
      </c>
      <c r="G390" s="73">
        <f>[1]!wss($A390:$A390,"hks_stm_is","item=61","rptDate="&amp;($B390-2)&amp;"1231","rptType=1","currencyType=Cur=CNY","WssConvert=0","WssDivide=8","showcodes=N","cols=1;rows=1")</f>
        <v>-0.71518882400000006</v>
      </c>
      <c r="H390" s="73">
        <f>[1]!wss($A390:$A390,"hks_stm_is","item=61","rptDate="&amp;($B390-1)&amp;"1231","rptType=1","currencyType=Cur=CNY","WssConvert=0","WssDivide=8","showcodes=N","cols=1;rows=1")</f>
        <v>-1.601771388</v>
      </c>
      <c r="I390" s="73" t="str">
        <f>[1]!wss($A390:$A390,"hks_fa_grossprofitmargin","rptDate="&amp;($B390-3)&amp;"1231","WssConvert=0","showcodes=N","cols=1;rows=1")</f>
        <v/>
      </c>
      <c r="J390" s="43" t="str">
        <f>[1]!wss($A390:$A390,"hks_fa_grossprofitmargin","rptDate="&amp;($B390-2)&amp;"1231","WssConvert=0","showcodes=N","cols=1;rows=1")</f>
        <v/>
      </c>
      <c r="K390" s="43" t="str">
        <f>[1]!wss($A390:$A390,"hks_fa_grossprofitmargin","rptDate="&amp;($B390-1)&amp;"1231","WssConvert=0","showcodes=N","cols=1;rows=1")</f>
        <v/>
      </c>
      <c r="L390" s="73" t="str">
        <f>[1]!wss($A390:$A390,"hks_fa_roe","rptDate="&amp;($B390-1)&amp;"1231","WssConvert=0","showcodes=N","cols=1;rows=1")</f>
        <v/>
      </c>
      <c r="M390" s="43">
        <f>[1]!wss($A390:$A390,"hks_fa_debttoassets","rptDate="&amp;($B390-1)&amp;"1231","WssConvert=0","showcodes=N","cols=1;rows=1")</f>
        <v>100.70180000000001</v>
      </c>
      <c r="P390" s="50"/>
      <c r="Q390" s="50"/>
      <c r="R390" s="50">
        <v>9.6016621456000006</v>
      </c>
      <c r="S390" s="50">
        <v>-0.71518882399999995</v>
      </c>
      <c r="T390" s="50">
        <v>-1.601771388</v>
      </c>
      <c r="U390" s="50">
        <v>2.7559048640000001</v>
      </c>
      <c r="V390" s="50"/>
      <c r="W390" s="50"/>
      <c r="X390" s="50">
        <v>48.914400000000001</v>
      </c>
    </row>
    <row r="391" spans="1:24">
      <c r="A391" t="s">
        <v>1040</v>
      </c>
      <c r="B391" s="17">
        <f>IFERROR(YEAR(VLOOKUP($A391,'01_ipo_master'!$A:$C,3,FALSE)),YEAR(VLOOKUP("0"&amp;$A391,'01_ipo_master'!$A:$C,3,FALSE)))</f>
        <v>2025</v>
      </c>
      <c r="C391" s="73" t="str">
        <f>[1]!wss($A391:$A391,"hks_stm_is","item=83","rptDate="&amp;($B391-3)&amp;"1231","rptType=1","currencyType=Cur=CNY","WssConvert=0","WssDivide=8","showcodes=N","cols=1;rows=1")</f>
        <v/>
      </c>
      <c r="D391" s="73" t="str">
        <f>[1]!wss($A391:$A391,"hks_stm_is","item=83","rptDate="&amp;($B391-2)&amp;"1231","rptType=1","currencyType=Cur=CNY","WssConvert=0","WssDivide=8","showcodes=N","cols=1;rows=1")</f>
        <v/>
      </c>
      <c r="E391" s="73">
        <f>[1]!wss($A391:$A391,"hks_stm_is","item=83","rptDate="&amp;($B391-1)&amp;"1231","rptType=1","currencyType=Cur=CNY","WssConvert=0","WssDivide=8","showcodes=N","cols=1;rows=1")</f>
        <v>1.1151471550000001</v>
      </c>
      <c r="F391" s="73" t="str">
        <f>[1]!wss($A391:$A391,"hks_stm_is","item=61","rptDate="&amp;($B391-3)&amp;"1231","rptType=1","currencyType=Cur=CNY","WssConvert=0","WssDivide=8","showcodes=N","cols=1;rows=1")</f>
        <v/>
      </c>
      <c r="G391" s="73" t="str">
        <f>[1]!wss($A391:$A391,"hks_stm_is","item=61","rptDate="&amp;($B391-2)&amp;"1231","rptType=1","currencyType=Cur=CNY","WssConvert=0","WssDivide=8","showcodes=N","cols=1;rows=1")</f>
        <v/>
      </c>
      <c r="H391" s="73">
        <f>[1]!wss($A391:$A391,"hks_stm_is","item=61","rptDate="&amp;($B391-1)&amp;"1231","rptType=1","currencyType=Cur=CNY","WssConvert=0","WssDivide=8","showcodes=N","cols=1;rows=1")</f>
        <v>9.4036431500000003E-2</v>
      </c>
      <c r="I391" s="73" t="str">
        <f>[1]!wss($A391:$A391,"hks_fa_grossprofitmargin","rptDate="&amp;($B391-3)&amp;"1231","WssConvert=0","showcodes=N","cols=1;rows=1")</f>
        <v/>
      </c>
      <c r="J391" s="43" t="str">
        <f>[1]!wss($A391:$A391,"hks_fa_grossprofitmargin","rptDate="&amp;($B391-2)&amp;"1231","WssConvert=0","showcodes=N","cols=1;rows=1")</f>
        <v/>
      </c>
      <c r="K391" s="43">
        <f>[1]!wss($A391:$A391,"hks_fa_grossprofitmargin","rptDate="&amp;($B391-1)&amp;"1231","WssConvert=0","showcodes=N","cols=1;rows=1")</f>
        <v>19.344000000000001</v>
      </c>
      <c r="L391" s="73" t="str">
        <f>[1]!wss($A391:$A391,"hks_fa_roe","rptDate="&amp;($B391-1)&amp;"1231","WssConvert=0","showcodes=N","cols=1;rows=1")</f>
        <v/>
      </c>
      <c r="M391" s="43">
        <f>[1]!wss($A391:$A391,"hks_fa_debttoassets","rptDate="&amp;($B391-1)&amp;"1231","WssConvert=0","showcodes=N","cols=1;rows=1")</f>
        <v>47.004800000000003</v>
      </c>
      <c r="P391" s="50"/>
      <c r="Q391" s="50">
        <v>1.1151471550000001</v>
      </c>
      <c r="R391" s="50">
        <v>1.4260861121999999</v>
      </c>
      <c r="S391" s="50"/>
      <c r="T391" s="50">
        <v>9.4036431500000003E-2</v>
      </c>
      <c r="U391" s="50">
        <v>0.12987909419999999</v>
      </c>
      <c r="V391" s="50"/>
      <c r="W391" s="50">
        <v>19.344000000000001</v>
      </c>
      <c r="X391" s="50">
        <v>20.350899999999999</v>
      </c>
    </row>
    <row r="392" spans="1:24">
      <c r="B392" s="17" t="e">
        <f>IFERROR(YEAR(VLOOKUP($A392,'01_ipo_master'!$A:$C,3,FALSE)),YEAR(VLOOKUP("0"&amp;$A392,'01_ipo_master'!$A:$C,3,FALSE)))</f>
        <v>#N/A</v>
      </c>
      <c r="C392" s="73" t="str">
        <f>[1]!wss($A392:$A392,"hks_stm_is","item=83","rptDate="&amp;($B392-3)&amp;"1231","rptType=1","currencyType=Cur=CNY","WssConvert=0","WssDivide=8","showcodes=N","cols=1;rows=1")</f>
        <v>#NA</v>
      </c>
      <c r="D392" s="73" t="str">
        <f>[1]!wss($A392:$A392,"hks_stm_is","item=83","rptDate="&amp;($B392-2)&amp;"1231","rptType=1","currencyType=Cur=CNY","WssConvert=0","WssDivide=8","showcodes=N","cols=1;rows=1")</f>
        <v>#NA</v>
      </c>
      <c r="E392" s="73" t="str">
        <f>[1]!wss($A392:$A392,"hks_stm_is","item=83","rptDate="&amp;($B392-1)&amp;"1231","rptType=1","currencyType=Cur=CNY","WssConvert=0","WssDivide=8","showcodes=N","cols=1;rows=1")</f>
        <v>#NA</v>
      </c>
      <c r="F392" s="73" t="str">
        <f>[1]!wss($A392:$A392,"hks_stm_is","item=61","rptDate="&amp;($B392-3)&amp;"1231","rptType=1","currencyType=Cur=CNY","WssConvert=0","WssDivide=8","showcodes=N","cols=1;rows=1")</f>
        <v>#NA</v>
      </c>
      <c r="G392" s="73" t="str">
        <f>[1]!wss($A392:$A392,"hks_stm_is","item=61","rptDate="&amp;($B392-2)&amp;"1231","rptType=1","currencyType=Cur=CNY","WssConvert=0","WssDivide=8","showcodes=N","cols=1;rows=1")</f>
        <v>#NA</v>
      </c>
      <c r="H392" s="73" t="str">
        <f>[1]!wss($A392:$A392,"hks_stm_is","item=61","rptDate="&amp;($B392-1)&amp;"1231","rptType=1","currencyType=Cur=CNY","WssConvert=0","WssDivide=8","showcodes=N","cols=1;rows=1")</f>
        <v>#NA</v>
      </c>
      <c r="I392" s="73" t="str">
        <f>[1]!wss($A392:$A392,"hks_fa_grossprofitmargin","rptDate="&amp;($B392-3)&amp;"1231","WssConvert=0","showcodes=N","cols=1;rows=1")</f>
        <v>#NA</v>
      </c>
      <c r="J392" s="43" t="str">
        <f>[1]!wss($A392:$A392,"hks_fa_grossprofitmargin","rptDate="&amp;($B392-2)&amp;"1231","WssConvert=0","showcodes=N","cols=1;rows=1")</f>
        <v>#NA</v>
      </c>
      <c r="K392" s="43" t="str">
        <f>[1]!wss($A392:$A392,"hks_fa_grossprofitmargin","rptDate="&amp;($B392-1)&amp;"1231","WssConvert=0","showcodes=N","cols=1;rows=1")</f>
        <v>#NA</v>
      </c>
      <c r="L392" s="73" t="str">
        <f>[1]!wss($A392:$A392,"hks_fa_roe","rptDate="&amp;($B392-1)&amp;"1231","WssConvert=0","showcodes=N","cols=1;rows=1")</f>
        <v>#NA</v>
      </c>
      <c r="M392" s="43" t="str">
        <f>[1]!wss($A392:$A392,"hks_fa_debttoassets","rptDate="&amp;($B392-1)&amp;"1231","WssConvert=0","showcodes=N","cols=1;rows=1")</f>
        <v>#NA</v>
      </c>
      <c r="P392" s="50"/>
      <c r="Q392" s="50"/>
      <c r="R392" s="50"/>
      <c r="S392" s="50"/>
      <c r="T392" s="50"/>
      <c r="U392" s="50"/>
      <c r="V392" s="50"/>
      <c r="W392" s="50"/>
      <c r="X392" s="50"/>
    </row>
    <row r="393" spans="1:24">
      <c r="A393" t="s">
        <v>1042</v>
      </c>
      <c r="P393" s="50"/>
      <c r="Q393" s="50"/>
      <c r="R393" s="50"/>
      <c r="S393" s="50"/>
      <c r="T393" s="50"/>
      <c r="U393" s="50"/>
      <c r="V393" s="50"/>
      <c r="W393" s="50"/>
      <c r="X393" s="50"/>
    </row>
  </sheetData>
  <phoneticPr fontId="21"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472FA-EB04-46EB-ABE1-4DEB31E62A5F}">
  <dimension ref="A1:P392"/>
  <sheetViews>
    <sheetView topLeftCell="A76" workbookViewId="0">
      <selection activeCell="I19" sqref="I19"/>
    </sheetView>
  </sheetViews>
  <sheetFormatPr defaultRowHeight="12.75"/>
  <cols>
    <col min="1" max="16384" width="9.06640625" style="74"/>
  </cols>
  <sheetData>
    <row r="1" spans="1:16" ht="140.25">
      <c r="A1" s="74" t="s">
        <v>3524</v>
      </c>
      <c r="B1" s="74" t="s">
        <v>3525</v>
      </c>
      <c r="C1" s="74" t="s">
        <v>3526</v>
      </c>
      <c r="D1" s="74" t="s">
        <v>3527</v>
      </c>
      <c r="E1" s="75" t="s">
        <v>3528</v>
      </c>
      <c r="F1" s="75" t="s">
        <v>3529</v>
      </c>
      <c r="G1" s="75" t="s">
        <v>3530</v>
      </c>
      <c r="H1" s="75" t="s">
        <v>3531</v>
      </c>
      <c r="I1" s="75" t="s">
        <v>3532</v>
      </c>
      <c r="J1" s="75" t="s">
        <v>3533</v>
      </c>
      <c r="K1" s="75" t="s">
        <v>3534</v>
      </c>
      <c r="L1" s="75" t="s">
        <v>3535</v>
      </c>
      <c r="M1" s="75" t="s">
        <v>3536</v>
      </c>
      <c r="N1" s="75" t="s">
        <v>3537</v>
      </c>
      <c r="O1" s="75" t="s">
        <v>3538</v>
      </c>
      <c r="P1" s="75" t="s">
        <v>3539</v>
      </c>
    </row>
    <row r="2" spans="1:16">
      <c r="A2" s="74" t="s">
        <v>221</v>
      </c>
      <c r="B2" s="74" t="s">
        <v>1045</v>
      </c>
      <c r="C2" s="76">
        <v>45797</v>
      </c>
      <c r="D2" s="74" t="s">
        <v>224</v>
      </c>
      <c r="E2" s="77">
        <v>455.15792536790002</v>
      </c>
      <c r="F2" s="77">
        <v>500.24357803599997</v>
      </c>
      <c r="G2" s="77">
        <v>1298.692622</v>
      </c>
      <c r="H2" s="77">
        <v>3285.9398799999999</v>
      </c>
      <c r="I2" s="77">
        <v>45.603074327100003</v>
      </c>
      <c r="J2" s="77">
        <v>55.8333871038</v>
      </c>
      <c r="K2" s="77">
        <v>159.31317899999999</v>
      </c>
      <c r="L2" s="77">
        <v>307.29163999999997</v>
      </c>
      <c r="M2" s="77">
        <v>28.6341</v>
      </c>
      <c r="N2" s="77">
        <v>27.3371</v>
      </c>
      <c r="O2" s="77">
        <v>26.007300000000001</v>
      </c>
      <c r="P2" s="77">
        <v>15.1739</v>
      </c>
    </row>
    <row r="3" spans="1:16">
      <c r="A3" s="74" t="s">
        <v>222</v>
      </c>
      <c r="B3" s="74" t="s">
        <v>223</v>
      </c>
      <c r="C3" s="76">
        <v>45552</v>
      </c>
      <c r="D3" s="74" t="s">
        <v>224</v>
      </c>
      <c r="E3" s="77">
        <v>2764.9540099999999</v>
      </c>
      <c r="F3" s="77">
        <v>2857.0972900000002</v>
      </c>
      <c r="G3" s="77">
        <v>3433.6082500000002</v>
      </c>
      <c r="H3" s="77">
        <v>3457.0870599999998</v>
      </c>
      <c r="I3" s="77">
        <v>242.11222000000001</v>
      </c>
      <c r="J3" s="77">
        <v>272.22971000000001</v>
      </c>
      <c r="K3" s="77">
        <v>285.8698</v>
      </c>
      <c r="L3" s="77">
        <v>295.53341999999998</v>
      </c>
      <c r="M3" s="77">
        <v>28.420500000000001</v>
      </c>
      <c r="N3" s="77">
        <v>23.4697</v>
      </c>
      <c r="O3" s="77">
        <v>22.3992</v>
      </c>
      <c r="P3" s="77">
        <v>24.1206</v>
      </c>
    </row>
    <row r="4" spans="1:16">
      <c r="A4" s="74" t="s">
        <v>318</v>
      </c>
      <c r="B4" s="74" t="s">
        <v>319</v>
      </c>
      <c r="C4" s="76">
        <v>45930</v>
      </c>
      <c r="D4" s="74" t="s">
        <v>224</v>
      </c>
      <c r="H4" s="77">
        <v>126.615104726</v>
      </c>
      <c r="L4" s="77">
        <v>12.79257728</v>
      </c>
      <c r="P4" s="77">
        <v>34.128700000000002</v>
      </c>
    </row>
    <row r="5" spans="1:16">
      <c r="A5" s="74" t="s">
        <v>357</v>
      </c>
      <c r="B5" s="74" t="s">
        <v>358</v>
      </c>
      <c r="C5" s="76">
        <v>46133</v>
      </c>
      <c r="D5" s="74" t="s">
        <v>224</v>
      </c>
      <c r="E5" s="77">
        <v>38.756993727999998</v>
      </c>
      <c r="F5" s="77">
        <v>55.740214484600003</v>
      </c>
      <c r="G5" s="77">
        <v>74.038894624299999</v>
      </c>
      <c r="H5" s="77">
        <v>78.851550000000003</v>
      </c>
      <c r="I5" s="77">
        <v>4.6274583123999999</v>
      </c>
      <c r="J5" s="77">
        <v>5.1889211134000002</v>
      </c>
      <c r="K5" s="77">
        <v>6.7042469473999997</v>
      </c>
      <c r="L5" s="77">
        <v>7.90646</v>
      </c>
      <c r="M5" s="77">
        <v>25.5822</v>
      </c>
      <c r="N5" s="77">
        <v>23.305700000000002</v>
      </c>
      <c r="O5" s="77">
        <v>20.069700000000001</v>
      </c>
      <c r="P5" s="77">
        <v>18.147600000000001</v>
      </c>
    </row>
    <row r="6" spans="1:16">
      <c r="A6" s="74" t="s">
        <v>243</v>
      </c>
      <c r="B6" s="74" t="s">
        <v>244</v>
      </c>
      <c r="C6" s="76">
        <v>44798</v>
      </c>
      <c r="D6" s="74" t="s">
        <v>224</v>
      </c>
      <c r="E6" s="77">
        <v>480.1259</v>
      </c>
      <c r="F6" s="77">
        <v>525.97807</v>
      </c>
      <c r="G6" s="77">
        <v>676.75514999999996</v>
      </c>
      <c r="H6" s="77">
        <v>544.32851000000005</v>
      </c>
      <c r="I6" s="77">
        <v>44.975729999999999</v>
      </c>
      <c r="J6" s="77">
        <v>59.313479999999998</v>
      </c>
      <c r="K6" s="77">
        <v>97.265569999999997</v>
      </c>
      <c r="L6" s="77">
        <v>51.139620000000001</v>
      </c>
      <c r="M6" s="77">
        <v>51.075499999999998</v>
      </c>
      <c r="N6" s="77">
        <v>38.915100000000002</v>
      </c>
      <c r="O6" s="77">
        <v>32.942799999999998</v>
      </c>
      <c r="P6" s="77">
        <v>27.3003</v>
      </c>
    </row>
    <row r="7" spans="1:16">
      <c r="A7" s="74" t="s">
        <v>240</v>
      </c>
      <c r="B7" s="74" t="s">
        <v>241</v>
      </c>
      <c r="C7" s="76">
        <v>45958</v>
      </c>
      <c r="D7" s="74" t="s">
        <v>224</v>
      </c>
      <c r="E7" s="77">
        <v>752.94849999999997</v>
      </c>
      <c r="F7" s="77">
        <v>989.34465</v>
      </c>
      <c r="G7" s="77">
        <v>1056.9107300000001</v>
      </c>
      <c r="H7" s="77">
        <v>808.38530000000003</v>
      </c>
      <c r="I7" s="77">
        <v>112.06662</v>
      </c>
      <c r="J7" s="77">
        <v>154.31465</v>
      </c>
      <c r="K7" s="77">
        <v>120.33364</v>
      </c>
      <c r="L7" s="77">
        <v>43.01041</v>
      </c>
      <c r="M7" s="77">
        <v>32.356200000000001</v>
      </c>
      <c r="N7" s="77">
        <v>29.529199999999999</v>
      </c>
      <c r="O7" s="77">
        <v>25.556799999999999</v>
      </c>
      <c r="P7" s="77">
        <v>22.633099999999999</v>
      </c>
    </row>
    <row r="8" spans="1:16">
      <c r="A8" s="74" t="s">
        <v>259</v>
      </c>
      <c r="B8" s="74" t="s">
        <v>260</v>
      </c>
      <c r="C8" s="76">
        <v>45966</v>
      </c>
      <c r="D8" s="74" t="s">
        <v>224</v>
      </c>
      <c r="E8" s="77">
        <v>175.6943585523</v>
      </c>
      <c r="F8" s="77">
        <v>139.4819212088</v>
      </c>
      <c r="G8" s="77">
        <v>163.66133627569999</v>
      </c>
      <c r="H8" s="77">
        <v>340.56074000000001</v>
      </c>
      <c r="I8" s="77">
        <v>0.66721504369999995</v>
      </c>
      <c r="J8" s="77">
        <v>-17.285911914700002</v>
      </c>
      <c r="K8" s="77">
        <v>-18.239113492400001</v>
      </c>
      <c r="L8" s="77">
        <v>-38.318660000000001</v>
      </c>
      <c r="M8" s="77">
        <v>14.6562</v>
      </c>
      <c r="N8" s="77">
        <v>2.1392000000000002</v>
      </c>
      <c r="O8" s="77">
        <v>1.7019</v>
      </c>
      <c r="P8" s="77">
        <v>8.0091999999999999</v>
      </c>
    </row>
    <row r="9" spans="1:16">
      <c r="A9" s="74" t="s">
        <v>256</v>
      </c>
      <c r="B9" s="74" t="s">
        <v>257</v>
      </c>
      <c r="C9" s="76">
        <v>44755</v>
      </c>
      <c r="D9" s="74" t="s">
        <v>224</v>
      </c>
      <c r="E9" s="77">
        <v>48.163609999999998</v>
      </c>
      <c r="F9" s="77">
        <v>32.15231</v>
      </c>
      <c r="G9" s="77">
        <v>75.978629999999995</v>
      </c>
      <c r="H9" s="77">
        <v>401.68923000000001</v>
      </c>
      <c r="I9" s="77">
        <v>-59.814349999999997</v>
      </c>
      <c r="J9" s="77">
        <v>-18.309200000000001</v>
      </c>
      <c r="K9" s="77">
        <v>36.491849999999999</v>
      </c>
      <c r="L9" s="77">
        <v>239.44589999999999</v>
      </c>
      <c r="M9" s="77">
        <v>56.002400000000002</v>
      </c>
      <c r="N9" s="77">
        <v>41.272100000000002</v>
      </c>
      <c r="O9" s="77">
        <v>61.7</v>
      </c>
      <c r="P9" s="77">
        <v>85.026700000000005</v>
      </c>
    </row>
    <row r="10" spans="1:16">
      <c r="A10" s="74" t="s">
        <v>231</v>
      </c>
      <c r="B10" s="74" t="s">
        <v>232</v>
      </c>
      <c r="C10" s="76">
        <v>46059</v>
      </c>
      <c r="D10" s="74" t="s">
        <v>224</v>
      </c>
      <c r="E10" s="77">
        <v>201.93901048949999</v>
      </c>
      <c r="F10" s="77">
        <v>562.26424051449999</v>
      </c>
      <c r="G10" s="77">
        <v>787.97699301260002</v>
      </c>
      <c r="H10" s="77">
        <v>1248.2621217773999</v>
      </c>
      <c r="I10" s="77">
        <v>61.143636628499998</v>
      </c>
      <c r="J10" s="77">
        <v>274.5142194073</v>
      </c>
      <c r="K10" s="77">
        <v>69.037776919199999</v>
      </c>
      <c r="L10" s="77">
        <v>132.6615651239</v>
      </c>
      <c r="M10" s="77">
        <v>35.866100000000003</v>
      </c>
      <c r="N10" s="77">
        <v>60.644100000000002</v>
      </c>
      <c r="O10" s="77">
        <v>16.647400000000001</v>
      </c>
      <c r="P10" s="77">
        <v>17.4956</v>
      </c>
    </row>
    <row r="11" spans="1:16">
      <c r="A11" s="74" t="s">
        <v>285</v>
      </c>
      <c r="B11" s="74" t="s">
        <v>286</v>
      </c>
      <c r="C11" s="76">
        <v>45800</v>
      </c>
      <c r="D11" s="74" t="s">
        <v>224</v>
      </c>
      <c r="E11" s="77">
        <v>230.72234724250001</v>
      </c>
      <c r="F11" s="77">
        <v>274.77639289069998</v>
      </c>
      <c r="G11" s="77">
        <v>257.03721005350002</v>
      </c>
      <c r="H11" s="77">
        <v>212.75271000000001</v>
      </c>
      <c r="I11" s="77">
        <v>53.280275195599998</v>
      </c>
      <c r="J11" s="77">
        <v>63.283832196900001</v>
      </c>
      <c r="K11" s="77">
        <v>45.302175504700003</v>
      </c>
      <c r="L11" s="77">
        <v>39.063740000000003</v>
      </c>
      <c r="M11" s="77">
        <v>87.374700000000004</v>
      </c>
      <c r="N11" s="77">
        <v>87.813000000000002</v>
      </c>
      <c r="O11" s="77">
        <v>85.442599999999999</v>
      </c>
      <c r="P11" s="77">
        <v>83.611800000000002</v>
      </c>
    </row>
    <row r="12" spans="1:16">
      <c r="A12" s="74" t="s">
        <v>339</v>
      </c>
      <c r="B12" s="74" t="s">
        <v>340</v>
      </c>
      <c r="C12" s="76">
        <v>46056</v>
      </c>
      <c r="D12" s="74" t="s">
        <v>224</v>
      </c>
      <c r="E12" s="77">
        <v>41.644221811400001</v>
      </c>
      <c r="F12" s="77">
        <v>49.081450412700001</v>
      </c>
      <c r="G12" s="77">
        <v>69.010119561400003</v>
      </c>
      <c r="H12" s="77">
        <v>85.000230000000002</v>
      </c>
      <c r="I12" s="77">
        <v>5.7057389559000002</v>
      </c>
      <c r="J12" s="77">
        <v>8.1206351098000003</v>
      </c>
      <c r="K12" s="77">
        <v>11.9296040759</v>
      </c>
      <c r="L12" s="77">
        <v>14.40521</v>
      </c>
      <c r="M12" s="77">
        <v>46.169699999999999</v>
      </c>
      <c r="N12" s="77">
        <v>46.052</v>
      </c>
      <c r="O12" s="77">
        <v>43.753700000000002</v>
      </c>
      <c r="P12" s="77">
        <v>41.552300000000002</v>
      </c>
    </row>
    <row r="13" spans="1:16">
      <c r="A13" s="74" t="s">
        <v>282</v>
      </c>
      <c r="B13" s="74" t="s">
        <v>283</v>
      </c>
      <c r="C13" s="76">
        <v>45831</v>
      </c>
      <c r="D13" s="74" t="s">
        <v>224</v>
      </c>
      <c r="E13" s="77">
        <v>111.951781032</v>
      </c>
      <c r="F13" s="77">
        <v>120.31859947629999</v>
      </c>
      <c r="G13" s="77">
        <v>159.37246275530001</v>
      </c>
      <c r="H13" s="77">
        <v>213.47550000000001</v>
      </c>
      <c r="I13" s="77">
        <v>14.2120423613</v>
      </c>
      <c r="J13" s="77">
        <v>14.621588215699999</v>
      </c>
      <c r="K13" s="77">
        <v>16.840444074699999</v>
      </c>
      <c r="L13" s="77">
        <v>25.733440000000002</v>
      </c>
      <c r="M13" s="77">
        <v>29.015499999999999</v>
      </c>
      <c r="N13" s="77">
        <v>29.350999999999999</v>
      </c>
      <c r="O13" s="77">
        <v>25.286000000000001</v>
      </c>
      <c r="P13" s="77">
        <v>25.584299999999999</v>
      </c>
    </row>
    <row r="14" spans="1:16">
      <c r="A14" s="74" t="s">
        <v>279</v>
      </c>
      <c r="B14" s="74" t="s">
        <v>280</v>
      </c>
      <c r="C14" s="76">
        <v>45827</v>
      </c>
      <c r="D14" s="74" t="s">
        <v>224</v>
      </c>
      <c r="E14" s="77">
        <v>195.93540208260001</v>
      </c>
      <c r="F14" s="77">
        <v>225.80534775269999</v>
      </c>
      <c r="G14" s="77">
        <v>247.857710782</v>
      </c>
      <c r="H14" s="77">
        <v>256.09652</v>
      </c>
      <c r="I14" s="77">
        <v>53.5318502935</v>
      </c>
      <c r="J14" s="77">
        <v>64.028599919100003</v>
      </c>
      <c r="K14" s="77">
        <v>66.707578117200001</v>
      </c>
      <c r="L14" s="77">
        <v>61.977170000000001</v>
      </c>
      <c r="M14" s="77">
        <v>44.876100000000001</v>
      </c>
      <c r="N14" s="77">
        <v>41.627699999999997</v>
      </c>
      <c r="O14" s="77">
        <v>38.122300000000003</v>
      </c>
      <c r="P14" s="77">
        <v>34.872100000000003</v>
      </c>
    </row>
    <row r="15" spans="1:16">
      <c r="A15" s="74" t="s">
        <v>229</v>
      </c>
      <c r="B15" s="74" t="s">
        <v>230</v>
      </c>
      <c r="C15" s="76">
        <v>45925</v>
      </c>
      <c r="D15" s="74" t="s">
        <v>224</v>
      </c>
      <c r="H15" s="77">
        <v>926.18</v>
      </c>
      <c r="L15" s="77">
        <v>62.66</v>
      </c>
      <c r="P15" s="77">
        <v>13.8256</v>
      </c>
    </row>
    <row r="16" spans="1:16">
      <c r="A16" s="74" t="s">
        <v>275</v>
      </c>
      <c r="B16" s="74" t="s">
        <v>276</v>
      </c>
      <c r="C16" s="76">
        <v>44840</v>
      </c>
      <c r="D16" s="74" t="s">
        <v>224</v>
      </c>
      <c r="E16" s="77">
        <v>17.33832</v>
      </c>
      <c r="F16" s="77">
        <v>28.254190000000001</v>
      </c>
      <c r="G16" s="77">
        <v>68.171149999999997</v>
      </c>
      <c r="H16" s="77">
        <v>203.74941999999999</v>
      </c>
      <c r="I16" s="77">
        <v>-1.1869000000000001</v>
      </c>
      <c r="J16" s="77">
        <v>5.1569999999999998E-2</v>
      </c>
      <c r="K16" s="77">
        <v>1.40029</v>
      </c>
      <c r="L16" s="77">
        <v>6.9162600000000003</v>
      </c>
      <c r="M16" s="77">
        <v>4.8019999999999996</v>
      </c>
      <c r="N16" s="77">
        <v>13.614800000000001</v>
      </c>
      <c r="O16" s="77">
        <v>5.5488999999999997</v>
      </c>
      <c r="P16" s="77">
        <v>10.3241</v>
      </c>
    </row>
    <row r="17" spans="1:16">
      <c r="A17" s="74" t="s">
        <v>487</v>
      </c>
      <c r="B17" s="74" t="s">
        <v>488</v>
      </c>
      <c r="C17" s="76">
        <v>46062</v>
      </c>
      <c r="D17" s="74" t="s">
        <v>224</v>
      </c>
      <c r="E17" s="77">
        <v>17.3751999427</v>
      </c>
      <c r="F17" s="77">
        <v>18.2173174733</v>
      </c>
      <c r="G17" s="77">
        <v>25.523100284000002</v>
      </c>
      <c r="H17" s="77">
        <v>36.722580000000001</v>
      </c>
      <c r="I17" s="77">
        <v>9.3285839172999996</v>
      </c>
      <c r="J17" s="77">
        <v>11.036834669299999</v>
      </c>
      <c r="K17" s="77">
        <v>8.2913754437999998</v>
      </c>
      <c r="L17" s="77">
        <v>12.993779999999999</v>
      </c>
      <c r="M17" s="77">
        <v>73.957099999999997</v>
      </c>
      <c r="N17" s="77">
        <v>72.237899999999996</v>
      </c>
      <c r="O17" s="77">
        <v>47.882599999999996</v>
      </c>
      <c r="P17" s="77">
        <v>46.443100000000001</v>
      </c>
    </row>
    <row r="18" spans="1:16">
      <c r="A18" s="74" t="s">
        <v>775</v>
      </c>
      <c r="B18" s="74" t="s">
        <v>776</v>
      </c>
      <c r="C18" s="76">
        <v>45967</v>
      </c>
      <c r="D18" s="74" t="s">
        <v>224</v>
      </c>
      <c r="G18" s="77">
        <v>0.51751556899999995</v>
      </c>
      <c r="H18" s="77">
        <v>4.7628113560000003</v>
      </c>
      <c r="K18" s="77">
        <v>-14.326452928</v>
      </c>
      <c r="L18" s="77">
        <v>-10.308861628000001</v>
      </c>
      <c r="O18" s="77">
        <v>77.738100000000003</v>
      </c>
      <c r="P18" s="77">
        <v>46.886800000000001</v>
      </c>
    </row>
    <row r="19" spans="1:16">
      <c r="A19" s="74" t="s">
        <v>236</v>
      </c>
      <c r="B19" s="74" t="s">
        <v>237</v>
      </c>
      <c r="C19" s="76">
        <v>44904</v>
      </c>
      <c r="D19" s="74" t="s">
        <v>224</v>
      </c>
      <c r="I19" s="77">
        <v>50.86</v>
      </c>
      <c r="J19" s="77">
        <v>56.19</v>
      </c>
      <c r="K19" s="77">
        <v>58.83</v>
      </c>
      <c r="L19" s="77">
        <v>48.81</v>
      </c>
    </row>
    <row r="20" spans="1:16">
      <c r="A20" s="74" t="s">
        <v>974</v>
      </c>
      <c r="B20" s="74" t="s">
        <v>975</v>
      </c>
      <c r="C20" s="76">
        <v>46024</v>
      </c>
      <c r="D20" s="74" t="s">
        <v>224</v>
      </c>
      <c r="H20" s="77">
        <v>4.9899999999999996E-3</v>
      </c>
      <c r="L20" s="77">
        <v>-14.743119999999999</v>
      </c>
    </row>
    <row r="21" spans="1:16">
      <c r="A21" s="74" t="s">
        <v>325</v>
      </c>
      <c r="B21" s="74" t="s">
        <v>326</v>
      </c>
      <c r="C21" s="76">
        <v>45985</v>
      </c>
      <c r="D21" s="74" t="s">
        <v>224</v>
      </c>
      <c r="H21" s="77">
        <v>134.89725999999999</v>
      </c>
      <c r="L21" s="77">
        <v>8.8128600000000006</v>
      </c>
      <c r="P21" s="77">
        <v>15.1311</v>
      </c>
    </row>
    <row r="22" spans="1:16">
      <c r="A22" s="74" t="s">
        <v>268</v>
      </c>
      <c r="B22" s="74" t="s">
        <v>269</v>
      </c>
      <c r="C22" s="76">
        <v>44833</v>
      </c>
      <c r="D22" s="74" t="s">
        <v>224</v>
      </c>
      <c r="E22" s="77">
        <v>139.27288999999999</v>
      </c>
      <c r="F22" s="77">
        <v>181.45464000000001</v>
      </c>
      <c r="G22" s="77">
        <v>237.04539</v>
      </c>
      <c r="H22" s="77">
        <v>301.05802999999997</v>
      </c>
      <c r="I22" s="77">
        <v>10.19894</v>
      </c>
      <c r="J22" s="77">
        <v>14.64039</v>
      </c>
      <c r="K22" s="77">
        <v>16.67642</v>
      </c>
      <c r="L22" s="77">
        <v>15.104900000000001</v>
      </c>
      <c r="M22" s="77">
        <v>17.723400000000002</v>
      </c>
      <c r="N22" s="77">
        <v>18.543099999999999</v>
      </c>
      <c r="O22" s="77">
        <v>16.9588</v>
      </c>
      <c r="P22" s="77">
        <v>14.052899999999999</v>
      </c>
    </row>
    <row r="23" spans="1:16">
      <c r="A23" s="74" t="s">
        <v>311</v>
      </c>
      <c r="B23" s="74" t="s">
        <v>312</v>
      </c>
      <c r="C23" s="76">
        <v>44833</v>
      </c>
      <c r="D23" s="74" t="s">
        <v>224</v>
      </c>
      <c r="E23" s="77">
        <v>1.1696299999999999</v>
      </c>
      <c r="F23" s="77">
        <v>6.3130100000000002</v>
      </c>
      <c r="G23" s="77">
        <v>31.320589999999999</v>
      </c>
      <c r="H23" s="77">
        <v>123.8463</v>
      </c>
      <c r="I23" s="77">
        <v>-9.0113099999999999</v>
      </c>
      <c r="J23" s="77">
        <v>-11.00093</v>
      </c>
      <c r="K23" s="77">
        <v>-28.457730000000002</v>
      </c>
      <c r="L23" s="77">
        <v>-51.088859999999997</v>
      </c>
      <c r="M23" s="77">
        <v>-95.727699999999999</v>
      </c>
      <c r="N23" s="77">
        <v>-50.625799999999998</v>
      </c>
      <c r="O23" s="77">
        <v>-44.304099999999998</v>
      </c>
      <c r="P23" s="77">
        <v>-15.433</v>
      </c>
    </row>
    <row r="24" spans="1:16">
      <c r="A24" s="74" t="s">
        <v>542</v>
      </c>
      <c r="B24" s="74" t="s">
        <v>543</v>
      </c>
      <c r="C24" s="76">
        <v>45589</v>
      </c>
      <c r="D24" s="74" t="s">
        <v>224</v>
      </c>
      <c r="G24" s="77">
        <v>4.6672000000000002</v>
      </c>
      <c r="H24" s="77">
        <v>9.0567600000000006</v>
      </c>
      <c r="K24" s="77">
        <v>-20.612929999999999</v>
      </c>
      <c r="L24" s="77">
        <v>-87.194100000000006</v>
      </c>
      <c r="O24" s="77">
        <v>70.917500000000004</v>
      </c>
      <c r="P24" s="77">
        <v>69.308800000000005</v>
      </c>
    </row>
    <row r="25" spans="1:16">
      <c r="A25" s="74" t="s">
        <v>226</v>
      </c>
      <c r="B25" s="74" t="s">
        <v>227</v>
      </c>
      <c r="C25" s="76">
        <v>45623</v>
      </c>
      <c r="D25" s="74" t="s">
        <v>224</v>
      </c>
      <c r="E25" s="77">
        <v>1119.1377775231999</v>
      </c>
      <c r="F25" s="77">
        <v>1539.8687</v>
      </c>
      <c r="G25" s="77">
        <v>2071.8664699999999</v>
      </c>
      <c r="H25" s="77">
        <v>2674.9041400000001</v>
      </c>
      <c r="I25" s="77">
        <v>57.965055321999998</v>
      </c>
      <c r="J25" s="77">
        <v>68.099040000000002</v>
      </c>
      <c r="K25" s="77">
        <v>47.319789999999998</v>
      </c>
      <c r="L25" s="77">
        <v>62.270580000000002</v>
      </c>
      <c r="M25" s="77">
        <v>17.2134</v>
      </c>
      <c r="N25" s="77">
        <v>15.929500000000001</v>
      </c>
      <c r="O25" s="77">
        <v>12.441700000000001</v>
      </c>
      <c r="P25" s="77">
        <v>12.3415</v>
      </c>
    </row>
    <row r="26" spans="1:16">
      <c r="A26" s="74" t="s">
        <v>331</v>
      </c>
      <c r="B26" s="74" t="s">
        <v>332</v>
      </c>
      <c r="C26" s="76">
        <v>45588</v>
      </c>
      <c r="D26" s="74" t="s">
        <v>224</v>
      </c>
      <c r="G26" s="77">
        <v>113.39881</v>
      </c>
      <c r="H26" s="77">
        <v>126.22776</v>
      </c>
      <c r="K26" s="77">
        <v>8.58141</v>
      </c>
      <c r="L26" s="77">
        <v>9.8980800000000002</v>
      </c>
      <c r="O26" s="77">
        <v>43.839700000000001</v>
      </c>
      <c r="P26" s="77">
        <v>41.663600000000002</v>
      </c>
    </row>
    <row r="27" spans="1:16">
      <c r="A27" s="74" t="s">
        <v>533</v>
      </c>
      <c r="B27" s="74" t="s">
        <v>534</v>
      </c>
      <c r="C27" s="76">
        <v>46059</v>
      </c>
      <c r="D27" s="74" t="s">
        <v>224</v>
      </c>
      <c r="E27" s="77">
        <v>13.149488058199999</v>
      </c>
      <c r="F27" s="77">
        <v>21.989133519799999</v>
      </c>
      <c r="G27" s="77">
        <v>40.598861845199998</v>
      </c>
      <c r="H27" s="77">
        <v>27.861499999999999</v>
      </c>
      <c r="I27" s="77">
        <v>2.2797456693</v>
      </c>
      <c r="J27" s="77">
        <v>3.0359461081000001</v>
      </c>
      <c r="K27" s="77">
        <v>6.9889223352999998</v>
      </c>
      <c r="L27" s="77">
        <v>4.34687</v>
      </c>
      <c r="M27" s="77">
        <v>35.523400000000002</v>
      </c>
      <c r="N27" s="77">
        <v>34.583300000000001</v>
      </c>
      <c r="O27" s="77">
        <v>36.020800000000001</v>
      </c>
      <c r="P27" s="77">
        <v>34.018900000000002</v>
      </c>
    </row>
    <row r="28" spans="1:16">
      <c r="A28" s="74" t="s">
        <v>996</v>
      </c>
      <c r="B28" s="74" t="s">
        <v>997</v>
      </c>
      <c r="C28" s="76">
        <v>46031</v>
      </c>
      <c r="D28" s="74" t="s">
        <v>224</v>
      </c>
      <c r="L28" s="77">
        <v>-5.1348602879999996</v>
      </c>
    </row>
    <row r="29" spans="1:16">
      <c r="A29" s="74" t="s">
        <v>253</v>
      </c>
      <c r="B29" s="74" t="s">
        <v>254</v>
      </c>
      <c r="C29" s="76">
        <v>45847</v>
      </c>
      <c r="D29" s="74" t="s">
        <v>224</v>
      </c>
      <c r="E29" s="77">
        <v>299.71630457869998</v>
      </c>
      <c r="F29" s="77">
        <v>366.49952879630001</v>
      </c>
      <c r="G29" s="77">
        <v>448.96825044389999</v>
      </c>
      <c r="H29" s="77">
        <v>466.98545999999999</v>
      </c>
      <c r="I29" s="77">
        <v>24.687914370600001</v>
      </c>
      <c r="J29" s="77">
        <v>48.961702283699999</v>
      </c>
      <c r="K29" s="77">
        <v>20.702429343799999</v>
      </c>
      <c r="L29" s="77">
        <v>24.480370000000001</v>
      </c>
      <c r="M29" s="77">
        <v>24.499199999999998</v>
      </c>
      <c r="N29" s="77">
        <v>28.881599999999999</v>
      </c>
      <c r="O29" s="77">
        <v>20.268699999999999</v>
      </c>
      <c r="P29" s="77">
        <v>18.302299999999999</v>
      </c>
    </row>
    <row r="30" spans="1:16">
      <c r="A30" s="74" t="s">
        <v>387</v>
      </c>
      <c r="B30" s="74" t="s">
        <v>388</v>
      </c>
      <c r="C30" s="76">
        <v>46035</v>
      </c>
      <c r="D30" s="74" t="s">
        <v>224</v>
      </c>
      <c r="E30" s="77">
        <v>31.809556342400001</v>
      </c>
      <c r="F30" s="77">
        <v>44.783950790900001</v>
      </c>
      <c r="G30" s="77">
        <v>84.735041308099994</v>
      </c>
      <c r="H30" s="77">
        <v>81.29992</v>
      </c>
      <c r="I30" s="77">
        <v>6.0692209022999997</v>
      </c>
      <c r="J30" s="77">
        <v>8.8070210775</v>
      </c>
      <c r="K30" s="77">
        <v>23.3679353526</v>
      </c>
      <c r="L30" s="77">
        <v>20.52882</v>
      </c>
      <c r="M30" s="77">
        <v>40.109499999999997</v>
      </c>
      <c r="N30" s="77">
        <v>37.1205</v>
      </c>
      <c r="O30" s="77">
        <v>46.310499999999998</v>
      </c>
      <c r="P30" s="77">
        <v>45.476300000000002</v>
      </c>
    </row>
    <row r="31" spans="1:16">
      <c r="A31" s="74" t="s">
        <v>292</v>
      </c>
      <c r="B31" s="74" t="s">
        <v>293</v>
      </c>
      <c r="C31" s="76">
        <v>46034</v>
      </c>
      <c r="D31" s="74" t="s">
        <v>224</v>
      </c>
      <c r="E31" s="77">
        <v>136.148906829</v>
      </c>
      <c r="F31" s="77">
        <v>198.05257809450001</v>
      </c>
      <c r="G31" s="77">
        <v>240.80233763000001</v>
      </c>
      <c r="H31" s="77">
        <v>200.40249</v>
      </c>
      <c r="I31" s="77">
        <v>4.6563223867000003</v>
      </c>
      <c r="J31" s="77">
        <v>27.061093376100001</v>
      </c>
      <c r="K31" s="77">
        <v>44.761874736599999</v>
      </c>
      <c r="L31" s="77">
        <v>9.8272999999999993</v>
      </c>
      <c r="M31" s="77">
        <v>27.302299999999999</v>
      </c>
      <c r="N31" s="77">
        <v>29.8459</v>
      </c>
      <c r="O31" s="77">
        <v>34.429200000000002</v>
      </c>
      <c r="P31" s="77">
        <v>23.658899999999999</v>
      </c>
    </row>
    <row r="32" spans="1:16">
      <c r="A32" s="74" t="s">
        <v>369</v>
      </c>
      <c r="B32" s="74" t="s">
        <v>370</v>
      </c>
      <c r="C32" s="76">
        <v>45043</v>
      </c>
      <c r="D32" s="74" t="s">
        <v>224</v>
      </c>
      <c r="F32" s="77">
        <v>23.989149999999999</v>
      </c>
      <c r="G32" s="77">
        <v>51.015929999999997</v>
      </c>
      <c r="H32" s="77">
        <v>58.559170000000002</v>
      </c>
      <c r="J32" s="77">
        <v>5.2008799999999997</v>
      </c>
      <c r="K32" s="77">
        <v>10.32197</v>
      </c>
      <c r="L32" s="77">
        <v>10.29866</v>
      </c>
      <c r="N32" s="77">
        <v>52.237000000000002</v>
      </c>
      <c r="O32" s="77">
        <v>53.5077</v>
      </c>
      <c r="P32" s="77">
        <v>55.310400000000001</v>
      </c>
    </row>
    <row r="33" spans="1:16">
      <c r="A33" s="74" t="s">
        <v>450</v>
      </c>
      <c r="B33" s="74" t="s">
        <v>451</v>
      </c>
      <c r="C33" s="76">
        <v>45958</v>
      </c>
      <c r="D33" s="74" t="s">
        <v>224</v>
      </c>
      <c r="E33" s="77">
        <v>29.7014409493</v>
      </c>
      <c r="F33" s="77">
        <v>27.050123474700001</v>
      </c>
      <c r="G33" s="77">
        <v>29.165597204099999</v>
      </c>
      <c r="H33" s="77">
        <v>37.837389999999999</v>
      </c>
      <c r="I33" s="77">
        <v>0.2174619498</v>
      </c>
      <c r="J33" s="77">
        <v>-2.6630852551999999</v>
      </c>
      <c r="K33" s="77">
        <v>0.67259806450000004</v>
      </c>
      <c r="L33" s="77">
        <v>1.71106</v>
      </c>
      <c r="M33" s="77">
        <v>17.385000000000002</v>
      </c>
      <c r="N33" s="77">
        <v>12.792199999999999</v>
      </c>
      <c r="O33" s="77">
        <v>19.6967</v>
      </c>
      <c r="P33" s="77">
        <v>18.1999</v>
      </c>
    </row>
    <row r="34" spans="1:16">
      <c r="A34" s="74" t="s">
        <v>958</v>
      </c>
      <c r="B34" s="74" t="s">
        <v>959</v>
      </c>
      <c r="C34" s="76">
        <v>46030</v>
      </c>
      <c r="D34" s="74" t="s">
        <v>224</v>
      </c>
      <c r="H34" s="77">
        <v>0.57408999999999999</v>
      </c>
      <c r="L34" s="77">
        <v>-1.43374</v>
      </c>
      <c r="P34" s="77">
        <v>54.625599999999999</v>
      </c>
    </row>
    <row r="35" spans="1:16">
      <c r="A35" s="74" t="s">
        <v>313</v>
      </c>
      <c r="B35" s="74" t="s">
        <v>314</v>
      </c>
      <c r="C35" s="76">
        <v>46064</v>
      </c>
      <c r="D35" s="74" t="s">
        <v>224</v>
      </c>
      <c r="E35" s="77">
        <v>46.555705883800002</v>
      </c>
      <c r="F35" s="77">
        <v>58.141749151500001</v>
      </c>
      <c r="G35" s="77">
        <v>99.9793389413</v>
      </c>
      <c r="H35" s="77">
        <v>138.36131</v>
      </c>
      <c r="I35" s="77">
        <v>7.6557208694999996</v>
      </c>
      <c r="J35" s="77">
        <v>7.6750520518999998</v>
      </c>
      <c r="K35" s="77">
        <v>15.8467304604</v>
      </c>
      <c r="L35" s="77">
        <v>23.181329999999999</v>
      </c>
      <c r="M35" s="77">
        <v>38.9617</v>
      </c>
      <c r="N35" s="77">
        <v>33.823799999999999</v>
      </c>
      <c r="O35" s="77">
        <v>33.799999999999997</v>
      </c>
      <c r="P35" s="77">
        <v>36.607500000000002</v>
      </c>
    </row>
    <row r="36" spans="1:16">
      <c r="A36" s="74" t="s">
        <v>517</v>
      </c>
      <c r="B36" s="74" t="s">
        <v>518</v>
      </c>
      <c r="C36" s="76">
        <v>45916</v>
      </c>
      <c r="D36" s="74" t="s">
        <v>224</v>
      </c>
      <c r="E36" s="77">
        <v>3.4808400000000002</v>
      </c>
      <c r="F36" s="77">
        <v>4.1551400000000003</v>
      </c>
      <c r="G36" s="77">
        <v>7.2076799999999999</v>
      </c>
      <c r="H36" s="77">
        <v>12.0267</v>
      </c>
      <c r="I36" s="77">
        <v>-1.20224</v>
      </c>
      <c r="J36" s="77">
        <v>-1.07216</v>
      </c>
      <c r="K36" s="77">
        <v>-2.4482699999999999</v>
      </c>
      <c r="L36" s="77">
        <v>-3.0076499999999999</v>
      </c>
      <c r="M36" s="77">
        <v>70.301100000000005</v>
      </c>
      <c r="N36" s="77">
        <v>57.498399999999997</v>
      </c>
      <c r="O36" s="77">
        <v>52.970700000000001</v>
      </c>
      <c r="P36" s="77">
        <v>39.244900000000001</v>
      </c>
    </row>
    <row r="37" spans="1:16">
      <c r="A37" s="74" t="s">
        <v>219</v>
      </c>
      <c r="B37" s="74" t="s">
        <v>81</v>
      </c>
      <c r="C37" s="76">
        <v>46135</v>
      </c>
      <c r="D37" s="74" t="s">
        <v>224</v>
      </c>
      <c r="E37" s="77">
        <v>352.42945793439998</v>
      </c>
      <c r="F37" s="77">
        <v>597.68044331429996</v>
      </c>
      <c r="G37" s="77">
        <v>836.05626285740004</v>
      </c>
      <c r="H37" s="77">
        <v>926.45702000000006</v>
      </c>
      <c r="I37" s="77">
        <v>5.0542066902</v>
      </c>
      <c r="J37" s="77">
        <v>21.914954663</v>
      </c>
      <c r="K37" s="77">
        <v>18.9284038688</v>
      </c>
      <c r="L37" s="77">
        <v>25.851459999999999</v>
      </c>
      <c r="M37" s="77">
        <v>7.7218999999999998</v>
      </c>
      <c r="N37" s="77">
        <v>9.7520000000000007</v>
      </c>
      <c r="O37" s="77">
        <v>7.5789999999999997</v>
      </c>
      <c r="P37" s="77">
        <v>9.5767000000000007</v>
      </c>
    </row>
    <row r="38" spans="1:16">
      <c r="A38" s="74" t="s">
        <v>976</v>
      </c>
      <c r="B38" s="74" t="s">
        <v>977</v>
      </c>
      <c r="C38" s="76">
        <v>46128</v>
      </c>
      <c r="D38" s="74" t="s">
        <v>224</v>
      </c>
    </row>
    <row r="39" spans="1:16">
      <c r="A39" s="74" t="s">
        <v>374</v>
      </c>
      <c r="B39" s="74" t="s">
        <v>375</v>
      </c>
      <c r="C39" s="76">
        <v>44575</v>
      </c>
      <c r="D39" s="74" t="s">
        <v>224</v>
      </c>
      <c r="E39" s="77">
        <v>16.301169999999999</v>
      </c>
      <c r="F39" s="77">
        <v>22.88664</v>
      </c>
      <c r="G39" s="77">
        <v>40.800719999999998</v>
      </c>
      <c r="H39" s="77">
        <v>71.651870000000002</v>
      </c>
      <c r="I39" s="77">
        <v>1.5688899999999999</v>
      </c>
      <c r="J39" s="77">
        <v>2.44502</v>
      </c>
      <c r="K39" s="77">
        <v>4.5322399999999998</v>
      </c>
      <c r="L39" s="77">
        <v>7.0268699999999997</v>
      </c>
      <c r="M39" s="77">
        <v>21.1127</v>
      </c>
      <c r="N39" s="77">
        <v>23.725000000000001</v>
      </c>
      <c r="O39" s="77">
        <v>22.424600000000002</v>
      </c>
      <c r="P39" s="77">
        <v>16.175799999999999</v>
      </c>
    </row>
    <row r="40" spans="1:16">
      <c r="A40" s="74" t="s">
        <v>346</v>
      </c>
      <c r="B40" s="74" t="s">
        <v>347</v>
      </c>
      <c r="C40" s="76">
        <v>46050</v>
      </c>
      <c r="D40" s="74" t="s">
        <v>224</v>
      </c>
      <c r="H40" s="77">
        <v>42.85745</v>
      </c>
      <c r="L40" s="77">
        <v>0.71650999999999998</v>
      </c>
      <c r="P40" s="77">
        <v>7.4515000000000002</v>
      </c>
    </row>
    <row r="41" spans="1:16">
      <c r="A41" s="74" t="s">
        <v>277</v>
      </c>
      <c r="B41" s="74" t="s">
        <v>278</v>
      </c>
      <c r="C41" s="76">
        <v>45902</v>
      </c>
      <c r="D41" s="74" t="s">
        <v>224</v>
      </c>
      <c r="H41" s="77">
        <v>195.27584999999999</v>
      </c>
      <c r="L41" s="77">
        <v>14.41738</v>
      </c>
      <c r="P41" s="77">
        <v>21.2515</v>
      </c>
    </row>
    <row r="42" spans="1:16">
      <c r="A42" s="74" t="s">
        <v>503</v>
      </c>
      <c r="B42" s="74" t="s">
        <v>504</v>
      </c>
      <c r="C42" s="76">
        <v>45247</v>
      </c>
      <c r="D42" s="74" t="s">
        <v>224</v>
      </c>
      <c r="F42" s="77">
        <v>0.96353</v>
      </c>
      <c r="G42" s="77">
        <v>3.11131</v>
      </c>
      <c r="H42" s="77">
        <v>9.9042300000000001</v>
      </c>
      <c r="J42" s="77">
        <v>0.26299</v>
      </c>
      <c r="K42" s="77">
        <v>0.54930000000000001</v>
      </c>
      <c r="L42" s="77">
        <v>1.55731</v>
      </c>
      <c r="N42" s="77">
        <v>8.3869000000000007</v>
      </c>
      <c r="O42" s="77">
        <v>36.477899999999998</v>
      </c>
      <c r="P42" s="77">
        <v>26.360800000000001</v>
      </c>
    </row>
    <row r="43" spans="1:16">
      <c r="A43" s="74" t="s">
        <v>295</v>
      </c>
      <c r="B43" s="74" t="s">
        <v>296</v>
      </c>
      <c r="C43" s="76">
        <v>45719</v>
      </c>
      <c r="D43" s="74" t="s">
        <v>224</v>
      </c>
      <c r="G43" s="77">
        <v>103.50986</v>
      </c>
      <c r="H43" s="77">
        <v>135.75577000000001</v>
      </c>
      <c r="K43" s="77">
        <v>19.10361</v>
      </c>
      <c r="L43" s="77">
        <v>19.96715</v>
      </c>
      <c r="O43" s="77">
        <v>31.338699999999999</v>
      </c>
      <c r="P43" s="77">
        <v>28.336500000000001</v>
      </c>
    </row>
    <row r="44" spans="1:16">
      <c r="A44" s="74" t="s">
        <v>246</v>
      </c>
      <c r="B44" s="74" t="s">
        <v>247</v>
      </c>
      <c r="C44" s="76">
        <v>45226</v>
      </c>
      <c r="D44" s="74" t="s">
        <v>224</v>
      </c>
      <c r="F44" s="77">
        <v>100.184945825</v>
      </c>
      <c r="G44" s="77">
        <v>309.33621260000001</v>
      </c>
      <c r="H44" s="77">
        <v>506.14729048800001</v>
      </c>
      <c r="J44" s="77">
        <v>-36.854984164000001</v>
      </c>
      <c r="K44" s="77">
        <v>-385.53749513100001</v>
      </c>
      <c r="L44" s="77">
        <v>115.34547652800001</v>
      </c>
      <c r="N44" s="77">
        <v>-17.0303</v>
      </c>
      <c r="O44" s="77">
        <v>-11.2277</v>
      </c>
      <c r="P44" s="77">
        <v>-3.7185000000000001</v>
      </c>
    </row>
    <row r="45" spans="1:16">
      <c r="A45" s="74" t="s">
        <v>290</v>
      </c>
      <c r="B45" s="74" t="s">
        <v>291</v>
      </c>
      <c r="C45" s="76">
        <v>44896</v>
      </c>
      <c r="D45" s="74" t="s">
        <v>224</v>
      </c>
      <c r="E45" s="77">
        <v>93.474339999999998</v>
      </c>
      <c r="F45" s="77">
        <v>77.551739999999995</v>
      </c>
      <c r="G45" s="77">
        <v>124.49318</v>
      </c>
      <c r="H45" s="77">
        <v>182.89596</v>
      </c>
      <c r="I45" s="77">
        <v>5.6558400000000004</v>
      </c>
      <c r="J45" s="77">
        <v>5.2015599999999997</v>
      </c>
      <c r="K45" s="77">
        <v>10.99508</v>
      </c>
      <c r="L45" s="77">
        <v>17.35238</v>
      </c>
      <c r="M45" s="77">
        <v>10.8918</v>
      </c>
      <c r="N45" s="77">
        <v>12.2842</v>
      </c>
      <c r="O45" s="77">
        <v>12.1768</v>
      </c>
      <c r="P45" s="77">
        <v>24.570399999999999</v>
      </c>
    </row>
    <row r="46" spans="1:16">
      <c r="A46" s="74" t="s">
        <v>874</v>
      </c>
      <c r="B46" s="74" t="s">
        <v>875</v>
      </c>
      <c r="C46" s="76">
        <v>46030</v>
      </c>
      <c r="D46" s="74" t="s">
        <v>224</v>
      </c>
      <c r="H46" s="77">
        <v>1.8936900000000001</v>
      </c>
      <c r="L46" s="77">
        <v>-5.2383899999999999</v>
      </c>
      <c r="P46" s="77">
        <v>59.361400000000003</v>
      </c>
    </row>
    <row r="47" spans="1:16">
      <c r="A47" s="74" t="s">
        <v>299</v>
      </c>
      <c r="B47" s="74" t="s">
        <v>300</v>
      </c>
      <c r="C47" s="76">
        <v>45845</v>
      </c>
      <c r="D47" s="74" t="s">
        <v>224</v>
      </c>
      <c r="I47" s="77">
        <v>-19.393836</v>
      </c>
      <c r="J47" s="77">
        <v>-15.855506999999999</v>
      </c>
      <c r="K47" s="77">
        <v>8.6071950000000008</v>
      </c>
      <c r="L47" s="77">
        <v>-15.252473999999999</v>
      </c>
    </row>
    <row r="48" spans="1:16">
      <c r="A48" s="74" t="s">
        <v>262</v>
      </c>
      <c r="B48" s="74" t="s">
        <v>263</v>
      </c>
      <c r="C48" s="76">
        <v>45978</v>
      </c>
      <c r="D48" s="74" t="s">
        <v>224</v>
      </c>
      <c r="E48" s="77">
        <v>52.956857749400001</v>
      </c>
      <c r="F48" s="77">
        <v>74.125452604800003</v>
      </c>
      <c r="G48" s="77">
        <v>200.12839691440001</v>
      </c>
      <c r="H48" s="77">
        <v>303.43741999999997</v>
      </c>
      <c r="I48" s="77">
        <v>1.7982699987999999</v>
      </c>
      <c r="J48" s="77">
        <v>4.2015938857000004</v>
      </c>
      <c r="K48" s="77">
        <v>9.3895208414999995</v>
      </c>
      <c r="L48" s="77">
        <v>15.48644</v>
      </c>
      <c r="M48" s="77">
        <v>12.0543</v>
      </c>
      <c r="N48" s="77">
        <v>12.827500000000001</v>
      </c>
      <c r="O48" s="77">
        <v>11.278</v>
      </c>
      <c r="P48" s="77">
        <v>11.141</v>
      </c>
    </row>
    <row r="49" spans="1:16">
      <c r="A49" s="74" t="s">
        <v>248</v>
      </c>
      <c r="B49" s="74" t="s">
        <v>249</v>
      </c>
      <c r="C49" s="76">
        <v>45967</v>
      </c>
      <c r="D49" s="74" t="s">
        <v>224</v>
      </c>
      <c r="E49" s="77">
        <v>615.47181460340005</v>
      </c>
      <c r="F49" s="77">
        <v>477.55987510580002</v>
      </c>
      <c r="G49" s="77">
        <v>455.47825678390001</v>
      </c>
      <c r="H49" s="77">
        <v>497.93351999999999</v>
      </c>
      <c r="I49" s="77">
        <v>9.4005671850999999</v>
      </c>
      <c r="J49" s="77">
        <v>6.1617373950000003</v>
      </c>
      <c r="K49" s="77">
        <v>-37.532910362199999</v>
      </c>
      <c r="L49" s="77">
        <v>3.94184</v>
      </c>
      <c r="M49" s="77">
        <v>15.7936</v>
      </c>
      <c r="N49" s="77">
        <v>13.0642</v>
      </c>
      <c r="O49" s="77">
        <v>11.389200000000001</v>
      </c>
      <c r="P49" s="77">
        <v>11.13</v>
      </c>
    </row>
    <row r="50" spans="1:16">
      <c r="A50" s="74" t="s">
        <v>474</v>
      </c>
      <c r="B50" s="74" t="s">
        <v>475</v>
      </c>
      <c r="C50" s="76">
        <v>46101</v>
      </c>
      <c r="D50" s="74" t="s">
        <v>224</v>
      </c>
      <c r="E50" s="77">
        <v>13.2613730523</v>
      </c>
      <c r="F50" s="77">
        <v>16.0120630752</v>
      </c>
      <c r="G50" s="77">
        <v>20.651752171399998</v>
      </c>
      <c r="H50" s="77">
        <v>24.12387</v>
      </c>
      <c r="I50" s="77">
        <v>1.0506047504</v>
      </c>
      <c r="J50" s="77">
        <v>1.5553341591000001</v>
      </c>
      <c r="K50" s="77">
        <v>1.010913183</v>
      </c>
      <c r="L50" s="77">
        <v>2.7965100000000001</v>
      </c>
      <c r="M50" s="77">
        <v>22.7654</v>
      </c>
      <c r="N50" s="77">
        <v>23.295400000000001</v>
      </c>
      <c r="O50" s="77">
        <v>18.885400000000001</v>
      </c>
      <c r="P50" s="77">
        <v>26.06</v>
      </c>
    </row>
    <row r="51" spans="1:16">
      <c r="A51" s="74" t="s">
        <v>364</v>
      </c>
      <c r="B51" s="74" t="s">
        <v>365</v>
      </c>
      <c r="C51" s="76">
        <v>45726</v>
      </c>
      <c r="D51" s="74" t="s">
        <v>224</v>
      </c>
      <c r="E51" s="77">
        <v>59.016646397099997</v>
      </c>
      <c r="F51" s="77">
        <v>44.148050209300003</v>
      </c>
      <c r="G51" s="77">
        <v>37.826239999999999</v>
      </c>
      <c r="H51" s="77">
        <v>62.667870000000001</v>
      </c>
      <c r="I51" s="77">
        <v>1.8801220857000001</v>
      </c>
      <c r="J51" s="77">
        <v>7.8402481250999996</v>
      </c>
      <c r="K51" s="77">
        <v>5.8194900000000001</v>
      </c>
      <c r="L51" s="77">
        <v>4.50976</v>
      </c>
      <c r="M51" s="77">
        <v>17.854700000000001</v>
      </c>
      <c r="N51" s="77">
        <v>28.5792</v>
      </c>
      <c r="O51" s="77">
        <v>33.244199999999999</v>
      </c>
      <c r="P51" s="77">
        <v>28.6418</v>
      </c>
    </row>
    <row r="52" spans="1:16">
      <c r="A52" s="74" t="s">
        <v>307</v>
      </c>
      <c r="B52" s="74" t="s">
        <v>308</v>
      </c>
      <c r="C52" s="76">
        <v>46002</v>
      </c>
      <c r="D52" s="74" t="s">
        <v>224</v>
      </c>
      <c r="F52" s="77">
        <v>67.995919999999998</v>
      </c>
      <c r="G52" s="77">
        <v>103.45495</v>
      </c>
      <c r="H52" s="77">
        <v>141.34694999999999</v>
      </c>
      <c r="J52" s="77">
        <v>3.42902</v>
      </c>
      <c r="K52" s="77">
        <v>-12.335889999999999</v>
      </c>
      <c r="L52" s="77">
        <v>-13.341279999999999</v>
      </c>
      <c r="N52" s="77">
        <v>15.2751</v>
      </c>
      <c r="O52" s="77">
        <v>18.627199999999998</v>
      </c>
      <c r="P52" s="77">
        <v>17.976400000000002</v>
      </c>
    </row>
    <row r="53" spans="1:16">
      <c r="A53" s="74" t="s">
        <v>890</v>
      </c>
      <c r="B53" s="74" t="s">
        <v>891</v>
      </c>
      <c r="C53" s="76">
        <v>46063</v>
      </c>
      <c r="D53" s="74" t="s">
        <v>224</v>
      </c>
      <c r="H53" s="77">
        <v>0.50229999999999997</v>
      </c>
      <c r="L53" s="77">
        <v>-6.1157399999999997</v>
      </c>
      <c r="P53" s="77">
        <v>25.869</v>
      </c>
    </row>
    <row r="54" spans="1:16">
      <c r="A54" s="74" t="s">
        <v>499</v>
      </c>
      <c r="B54" s="74" t="s">
        <v>500</v>
      </c>
      <c r="C54" s="76">
        <v>45847</v>
      </c>
      <c r="D54" s="74" t="s">
        <v>224</v>
      </c>
      <c r="G54" s="77">
        <v>7.8966599999999998</v>
      </c>
      <c r="H54" s="77">
        <v>14.52163</v>
      </c>
      <c r="K54" s="77">
        <v>-10.50184</v>
      </c>
      <c r="L54" s="77">
        <v>-15.67108</v>
      </c>
      <c r="O54" s="77">
        <v>10.161899999999999</v>
      </c>
      <c r="P54" s="77">
        <v>17.666599999999999</v>
      </c>
    </row>
    <row r="55" spans="1:16">
      <c r="A55" s="74" t="s">
        <v>394</v>
      </c>
      <c r="B55" s="74" t="s">
        <v>395</v>
      </c>
      <c r="C55" s="76">
        <v>45952</v>
      </c>
      <c r="D55" s="74" t="s">
        <v>224</v>
      </c>
      <c r="E55" s="77">
        <v>19.099800242699999</v>
      </c>
      <c r="F55" s="77">
        <v>27.3588904171</v>
      </c>
      <c r="G55" s="77">
        <v>40.980692022100001</v>
      </c>
      <c r="H55" s="77">
        <v>52.027360000000002</v>
      </c>
      <c r="I55" s="77">
        <v>1.7007469967</v>
      </c>
      <c r="J55" s="77">
        <v>2.8362334422000002</v>
      </c>
      <c r="K55" s="77">
        <v>4.0134540167999999</v>
      </c>
      <c r="L55" s="77">
        <v>3.6483300000000001</v>
      </c>
      <c r="M55" s="77">
        <v>26.473099999999999</v>
      </c>
      <c r="N55" s="77">
        <v>28.1096</v>
      </c>
      <c r="O55" s="77">
        <v>23.888400000000001</v>
      </c>
      <c r="P55" s="77">
        <v>20.484999999999999</v>
      </c>
    </row>
    <row r="56" spans="1:16">
      <c r="A56" s="74" t="s">
        <v>390</v>
      </c>
      <c r="B56" s="74" t="s">
        <v>391</v>
      </c>
      <c r="C56" s="76">
        <v>46066</v>
      </c>
      <c r="D56" s="74" t="s">
        <v>224</v>
      </c>
      <c r="E56" s="77">
        <v>39.364958713100002</v>
      </c>
      <c r="F56" s="77">
        <v>40.577531231199998</v>
      </c>
      <c r="G56" s="77">
        <v>53.658974028099998</v>
      </c>
      <c r="H56" s="77">
        <v>53.366489999999999</v>
      </c>
      <c r="I56" s="77">
        <v>2.0959026596000001</v>
      </c>
      <c r="J56" s="77">
        <v>3.9575407394000002</v>
      </c>
      <c r="K56" s="77">
        <v>5.5270991798000004</v>
      </c>
      <c r="L56" s="77">
        <v>6.1462300000000001</v>
      </c>
      <c r="M56" s="77">
        <v>34.954599999999999</v>
      </c>
      <c r="N56" s="77">
        <v>38.762799999999999</v>
      </c>
      <c r="O56" s="77">
        <v>31.976400000000002</v>
      </c>
      <c r="P56" s="77">
        <v>30.205500000000001</v>
      </c>
    </row>
    <row r="57" spans="1:16">
      <c r="A57" s="74" t="s">
        <v>461</v>
      </c>
      <c r="B57" s="74" t="s">
        <v>462</v>
      </c>
      <c r="C57" s="76">
        <v>45971</v>
      </c>
      <c r="D57" s="74" t="s">
        <v>224</v>
      </c>
      <c r="H57" s="77">
        <v>22.279616107999999</v>
      </c>
      <c r="L57" s="77">
        <v>1.28078994</v>
      </c>
      <c r="P57" s="77">
        <v>22.9864</v>
      </c>
    </row>
    <row r="58" spans="1:16">
      <c r="A58" s="74" t="s">
        <v>463</v>
      </c>
      <c r="B58" s="74" t="s">
        <v>464</v>
      </c>
      <c r="C58" s="76">
        <v>45636</v>
      </c>
      <c r="D58" s="74" t="s">
        <v>224</v>
      </c>
      <c r="G58" s="77">
        <v>15.77347</v>
      </c>
      <c r="H58" s="77">
        <v>18.291119999999999</v>
      </c>
      <c r="K58" s="77">
        <v>3.3101600000000002</v>
      </c>
      <c r="L58" s="77">
        <v>3.5208200000000001</v>
      </c>
      <c r="O58" s="77">
        <v>83.431600000000003</v>
      </c>
      <c r="P58" s="77">
        <v>83.826400000000007</v>
      </c>
    </row>
    <row r="59" spans="1:16">
      <c r="A59" s="74" t="s">
        <v>840</v>
      </c>
      <c r="B59" s="74" t="s">
        <v>841</v>
      </c>
      <c r="C59" s="76">
        <v>46021</v>
      </c>
      <c r="D59" s="74" t="s">
        <v>224</v>
      </c>
      <c r="G59" s="77">
        <v>0.300486741</v>
      </c>
      <c r="H59" s="77">
        <v>2.0996179619999999</v>
      </c>
      <c r="K59" s="77">
        <v>-8.3206072849999995</v>
      </c>
      <c r="L59" s="77">
        <v>-15.449432888</v>
      </c>
      <c r="P59" s="77">
        <v>63.389400000000002</v>
      </c>
    </row>
    <row r="60" spans="1:16">
      <c r="A60" s="74" t="s">
        <v>733</v>
      </c>
      <c r="B60" s="74" t="s">
        <v>734</v>
      </c>
      <c r="C60" s="76">
        <v>46129</v>
      </c>
      <c r="D60" s="74" t="s">
        <v>224</v>
      </c>
      <c r="H60" s="77">
        <v>6.0440699999999996</v>
      </c>
      <c r="L60" s="77">
        <v>-0.83148</v>
      </c>
      <c r="P60" s="77">
        <v>76.161100000000005</v>
      </c>
    </row>
    <row r="61" spans="1:16">
      <c r="A61" s="74" t="s">
        <v>819</v>
      </c>
      <c r="B61" s="74" t="s">
        <v>820</v>
      </c>
      <c r="C61" s="76">
        <v>45847</v>
      </c>
      <c r="D61" s="74" t="s">
        <v>224</v>
      </c>
      <c r="E61" s="77">
        <v>1.4202842416999999</v>
      </c>
      <c r="F61" s="77">
        <v>2.3229551785</v>
      </c>
      <c r="G61" s="77">
        <v>3.2740118395</v>
      </c>
      <c r="H61" s="77">
        <v>3.22973</v>
      </c>
      <c r="I61" s="77">
        <v>0.3505119847</v>
      </c>
      <c r="J61" s="77">
        <v>0.78351145600000005</v>
      </c>
      <c r="K61" s="77">
        <v>1.3526835215999999</v>
      </c>
      <c r="L61" s="77">
        <v>1.42001</v>
      </c>
      <c r="M61" s="77">
        <v>47.291600000000003</v>
      </c>
      <c r="N61" s="77">
        <v>49.9114</v>
      </c>
      <c r="O61" s="77">
        <v>57.047400000000003</v>
      </c>
      <c r="P61" s="77">
        <v>57.341900000000003</v>
      </c>
    </row>
    <row r="62" spans="1:16">
      <c r="A62" s="74" t="s">
        <v>220</v>
      </c>
      <c r="B62" s="74" t="s">
        <v>393</v>
      </c>
      <c r="C62" s="76">
        <v>45405</v>
      </c>
      <c r="D62" s="74" t="s">
        <v>224</v>
      </c>
      <c r="F62" s="77">
        <v>10.80095</v>
      </c>
      <c r="G62" s="77">
        <v>36.44209</v>
      </c>
      <c r="H62" s="77">
        <v>42.316699999999997</v>
      </c>
      <c r="J62" s="77">
        <v>2.00576</v>
      </c>
      <c r="K62" s="77">
        <v>7.55816</v>
      </c>
      <c r="L62" s="77">
        <v>9.5431600000000003</v>
      </c>
      <c r="N62" s="77">
        <v>36.730699999999999</v>
      </c>
      <c r="O62" s="77">
        <v>35.701599999999999</v>
      </c>
      <c r="P62" s="77">
        <v>34.411700000000003</v>
      </c>
    </row>
    <row r="63" spans="1:16">
      <c r="A63" s="74" t="s">
        <v>992</v>
      </c>
      <c r="B63" s="74" t="s">
        <v>993</v>
      </c>
      <c r="C63" s="76">
        <v>46140</v>
      </c>
      <c r="D63" s="74" t="s">
        <v>224</v>
      </c>
    </row>
    <row r="64" spans="1:16">
      <c r="A64" s="74" t="s">
        <v>322</v>
      </c>
      <c r="B64" s="74" t="s">
        <v>323</v>
      </c>
      <c r="C64" s="76">
        <v>45842</v>
      </c>
      <c r="D64" s="74" t="s">
        <v>224</v>
      </c>
      <c r="E64" s="77">
        <v>52.279270686300002</v>
      </c>
      <c r="F64" s="77">
        <v>69.203118731700002</v>
      </c>
      <c r="G64" s="77">
        <v>92.135176677299995</v>
      </c>
      <c r="H64" s="77">
        <v>121.05618</v>
      </c>
      <c r="I64" s="77">
        <v>3.7334380514999999</v>
      </c>
      <c r="J64" s="77">
        <v>6.0380031103</v>
      </c>
      <c r="K64" s="77">
        <v>6.8229608471000001</v>
      </c>
      <c r="L64" s="77">
        <v>11.010300000000001</v>
      </c>
      <c r="M64" s="77">
        <v>25.2135</v>
      </c>
      <c r="N64" s="77">
        <v>25.199000000000002</v>
      </c>
      <c r="O64" s="77">
        <v>21.623000000000001</v>
      </c>
      <c r="P64" s="77">
        <v>21.151599999999998</v>
      </c>
    </row>
    <row r="65" spans="1:16">
      <c r="A65" s="74" t="s">
        <v>689</v>
      </c>
      <c r="B65" s="74" t="s">
        <v>690</v>
      </c>
      <c r="C65" s="76">
        <v>45951</v>
      </c>
      <c r="D65" s="74" t="s">
        <v>224</v>
      </c>
      <c r="F65" s="77">
        <v>2.93946</v>
      </c>
      <c r="G65" s="77">
        <v>4.3342200000000002</v>
      </c>
      <c r="H65" s="77">
        <v>5.2307800000000002</v>
      </c>
      <c r="J65" s="77">
        <v>-3.64072</v>
      </c>
      <c r="K65" s="77">
        <v>-2.5120100000000001</v>
      </c>
      <c r="L65" s="77">
        <v>-5.05335</v>
      </c>
      <c r="N65" s="77">
        <v>46.243200000000002</v>
      </c>
      <c r="O65" s="77">
        <v>50.540100000000002</v>
      </c>
      <c r="P65" s="77">
        <v>52.289099999999998</v>
      </c>
    </row>
    <row r="66" spans="1:16">
      <c r="A66" s="74" t="s">
        <v>824</v>
      </c>
      <c r="B66" s="74" t="s">
        <v>825</v>
      </c>
      <c r="C66" s="76">
        <v>45967</v>
      </c>
      <c r="D66" s="74" t="s">
        <v>224</v>
      </c>
      <c r="F66" s="77">
        <v>0.18190000000000001</v>
      </c>
      <c r="G66" s="77">
        <v>1.3817200000000001</v>
      </c>
      <c r="H66" s="77">
        <v>5.2754300000000001</v>
      </c>
      <c r="J66" s="77">
        <v>-6.9488799999999999</v>
      </c>
      <c r="K66" s="77">
        <v>-10.072509999999999</v>
      </c>
      <c r="L66" s="77">
        <v>-12.984959999999999</v>
      </c>
      <c r="N66" s="77">
        <v>74.073700000000002</v>
      </c>
      <c r="O66" s="77">
        <v>37.388199999999998</v>
      </c>
      <c r="P66" s="77">
        <v>44.080800000000004</v>
      </c>
    </row>
    <row r="67" spans="1:16">
      <c r="A67" s="74" t="s">
        <v>411</v>
      </c>
      <c r="B67" s="74" t="s">
        <v>412</v>
      </c>
      <c r="C67" s="76">
        <v>45741</v>
      </c>
      <c r="D67" s="74" t="s">
        <v>224</v>
      </c>
      <c r="G67" s="77">
        <v>11.019887394</v>
      </c>
      <c r="H67" s="77">
        <v>32.509150941999998</v>
      </c>
      <c r="K67" s="77">
        <v>1.8147154910000001</v>
      </c>
      <c r="L67" s="77">
        <v>4.7144770319999996</v>
      </c>
      <c r="O67" s="77">
        <v>25.9208</v>
      </c>
      <c r="P67" s="77">
        <v>24.0091</v>
      </c>
    </row>
    <row r="68" spans="1:16">
      <c r="A68" s="74" t="s">
        <v>585</v>
      </c>
      <c r="B68" s="74" t="s">
        <v>586</v>
      </c>
      <c r="C68" s="76">
        <v>45889</v>
      </c>
      <c r="D68" s="74" t="s">
        <v>224</v>
      </c>
      <c r="E68" s="77">
        <v>2.6641204269999998</v>
      </c>
      <c r="F68" s="77">
        <v>3.8627047815000002</v>
      </c>
      <c r="G68" s="77">
        <v>4.8959529485999997</v>
      </c>
      <c r="H68" s="77">
        <v>4.17035</v>
      </c>
      <c r="I68" s="77">
        <v>-2.0068361652000002</v>
      </c>
      <c r="J68" s="77">
        <v>-6.4161324523000003</v>
      </c>
      <c r="K68" s="77">
        <v>0.8995150757</v>
      </c>
      <c r="L68" s="77">
        <v>-1.75682</v>
      </c>
      <c r="M68" s="77">
        <v>37.179200000000002</v>
      </c>
      <c r="N68" s="77">
        <v>28.820799999999998</v>
      </c>
      <c r="O68" s="77">
        <v>27.808</v>
      </c>
      <c r="P68" s="77">
        <v>-7.9015000000000004</v>
      </c>
    </row>
    <row r="69" spans="1:16">
      <c r="A69" s="74" t="s">
        <v>570</v>
      </c>
      <c r="B69" s="74" t="s">
        <v>571</v>
      </c>
      <c r="C69" s="76">
        <v>45999</v>
      </c>
      <c r="D69" s="74" t="s">
        <v>224</v>
      </c>
      <c r="E69" s="77">
        <v>0.91639909779999995</v>
      </c>
      <c r="F69" s="77">
        <v>2.4133837749999998</v>
      </c>
      <c r="G69" s="77">
        <v>8.5826698389999994</v>
      </c>
      <c r="H69" s="77">
        <v>16.70393</v>
      </c>
      <c r="I69" s="77">
        <v>-9.1084966099999998E-2</v>
      </c>
      <c r="J69" s="77">
        <v>0.50816041580000004</v>
      </c>
      <c r="K69" s="77">
        <v>2.2373863056999999</v>
      </c>
      <c r="L69" s="77">
        <v>2.5057399999999999</v>
      </c>
      <c r="M69" s="77">
        <v>58.136600000000001</v>
      </c>
      <c r="N69" s="77">
        <v>54.199399999999997</v>
      </c>
      <c r="O69" s="77">
        <v>53.293700000000001</v>
      </c>
      <c r="P69" s="77">
        <v>48.508000000000003</v>
      </c>
    </row>
    <row r="70" spans="1:16">
      <c r="A70" s="74" t="s">
        <v>234</v>
      </c>
      <c r="B70" s="74" t="s">
        <v>235</v>
      </c>
      <c r="C70" s="76">
        <v>44610</v>
      </c>
      <c r="D70" s="74" t="s">
        <v>224</v>
      </c>
      <c r="E70" s="77">
        <v>436.33229999999998</v>
      </c>
      <c r="F70" s="77">
        <v>496.29135000000002</v>
      </c>
      <c r="G70" s="77">
        <v>657.63174000000004</v>
      </c>
      <c r="H70" s="77">
        <v>803.54774999999995</v>
      </c>
      <c r="I70" s="77">
        <v>-4.1533300000000004</v>
      </c>
      <c r="J70" s="77">
        <v>-4.0528700000000004</v>
      </c>
      <c r="K70" s="77">
        <v>-3.4988100000000002</v>
      </c>
      <c r="L70" s="77">
        <v>2.8724500000000002</v>
      </c>
      <c r="M70" s="77">
        <v>2.9315000000000002</v>
      </c>
      <c r="N70" s="77">
        <v>2.7090999999999998</v>
      </c>
      <c r="O70" s="77">
        <v>2.8403999999999998</v>
      </c>
      <c r="P70" s="77">
        <v>3.1073</v>
      </c>
    </row>
    <row r="71" spans="1:16">
      <c r="A71" s="74" t="s">
        <v>327</v>
      </c>
      <c r="B71" s="74" t="s">
        <v>328</v>
      </c>
      <c r="C71" s="76">
        <v>45278</v>
      </c>
      <c r="D71" s="74" t="s">
        <v>224</v>
      </c>
      <c r="E71" s="77">
        <v>2.3323800000000001</v>
      </c>
      <c r="F71" s="77">
        <v>9.0698600000000003</v>
      </c>
      <c r="G71" s="77">
        <v>21.091439999999999</v>
      </c>
      <c r="H71" s="77">
        <v>146.47778</v>
      </c>
      <c r="I71" s="77">
        <v>-1.1187199999999999</v>
      </c>
      <c r="J71" s="77">
        <v>-0.40843000000000002</v>
      </c>
      <c r="K71" s="77">
        <v>-7.1722700000000001</v>
      </c>
      <c r="L71" s="77">
        <v>-3.54121</v>
      </c>
      <c r="M71" s="77">
        <v>-5.6843000000000004</v>
      </c>
      <c r="N71" s="77">
        <v>12.2491</v>
      </c>
      <c r="O71" s="77">
        <v>-15.4034</v>
      </c>
      <c r="P71" s="77">
        <v>7.4297000000000004</v>
      </c>
    </row>
    <row r="72" spans="1:16">
      <c r="A72" s="74" t="s">
        <v>1022</v>
      </c>
      <c r="B72" s="74" t="s">
        <v>1023</v>
      </c>
      <c r="C72" s="76">
        <v>46031</v>
      </c>
      <c r="D72" s="74" t="s">
        <v>224</v>
      </c>
    </row>
    <row r="73" spans="1:16">
      <c r="A73" s="74" t="s">
        <v>968</v>
      </c>
      <c r="B73" s="74" t="s">
        <v>969</v>
      </c>
      <c r="C73" s="76">
        <v>45919</v>
      </c>
      <c r="D73" s="74" t="s">
        <v>224</v>
      </c>
      <c r="H73" s="77">
        <v>1.05061</v>
      </c>
      <c r="L73" s="77">
        <v>-2.75244</v>
      </c>
      <c r="P73" s="77">
        <v>90.038200000000003</v>
      </c>
    </row>
    <row r="74" spans="1:16">
      <c r="A74" s="74" t="s">
        <v>360</v>
      </c>
      <c r="B74" s="74" t="s">
        <v>361</v>
      </c>
      <c r="C74" s="76">
        <v>45700</v>
      </c>
      <c r="D74" s="74" t="s">
        <v>224</v>
      </c>
      <c r="G74" s="77">
        <v>43.839010000000002</v>
      </c>
      <c r="H74" s="77">
        <v>55.592219999999998</v>
      </c>
      <c r="K74" s="77">
        <v>0.20139000000000001</v>
      </c>
      <c r="L74" s="77">
        <v>3.6661899999999998</v>
      </c>
      <c r="O74" s="77">
        <v>29.9666</v>
      </c>
      <c r="P74" s="77">
        <v>28.1142</v>
      </c>
    </row>
    <row r="75" spans="1:16">
      <c r="A75" s="74" t="s">
        <v>350</v>
      </c>
      <c r="B75" s="74" t="s">
        <v>351</v>
      </c>
      <c r="C75" s="76">
        <v>44651</v>
      </c>
      <c r="D75" s="74" t="s">
        <v>224</v>
      </c>
      <c r="E75" s="77">
        <v>53.001985574999999</v>
      </c>
      <c r="F75" s="77">
        <v>51.215068500000001</v>
      </c>
      <c r="G75" s="77">
        <v>66.961056968999998</v>
      </c>
      <c r="H75" s="77">
        <v>79.606816820999995</v>
      </c>
      <c r="I75" s="77">
        <v>2.0811113400000001</v>
      </c>
      <c r="J75" s="77">
        <v>1.7659815000000001</v>
      </c>
      <c r="K75" s="77">
        <v>2.710636365</v>
      </c>
      <c r="L75" s="77">
        <v>4.474078746</v>
      </c>
      <c r="M75" s="77">
        <v>85.288799999999995</v>
      </c>
      <c r="N75" s="77">
        <v>84.851600000000005</v>
      </c>
      <c r="O75" s="77">
        <v>86.603200000000001</v>
      </c>
      <c r="P75" s="77">
        <v>85.078100000000006</v>
      </c>
    </row>
    <row r="76" spans="1:16">
      <c r="A76" s="74" t="s">
        <v>641</v>
      </c>
      <c r="B76" s="74" t="s">
        <v>642</v>
      </c>
      <c r="C76" s="76">
        <v>45667</v>
      </c>
      <c r="D76" s="74" t="s">
        <v>224</v>
      </c>
      <c r="G76" s="77">
        <v>3.29772</v>
      </c>
      <c r="H76" s="77">
        <v>3.2557399999999999</v>
      </c>
      <c r="K76" s="77">
        <v>-5.0259400000000003</v>
      </c>
      <c r="L76" s="77">
        <v>-4.1988599999999998</v>
      </c>
      <c r="O76" s="77">
        <v>37.420099999999998</v>
      </c>
      <c r="P76" s="77">
        <v>37.908099999999997</v>
      </c>
    </row>
    <row r="77" spans="1:16">
      <c r="A77" s="74" t="s">
        <v>600</v>
      </c>
      <c r="B77" s="74" t="s">
        <v>601</v>
      </c>
      <c r="C77" s="76">
        <v>46090</v>
      </c>
      <c r="D77" s="74" t="s">
        <v>224</v>
      </c>
      <c r="E77" s="77">
        <v>17.702838338999999</v>
      </c>
      <c r="F77" s="77">
        <v>11.853011367400001</v>
      </c>
      <c r="G77" s="77">
        <v>11.3247823112</v>
      </c>
      <c r="H77" s="77">
        <v>11.52459</v>
      </c>
      <c r="I77" s="77">
        <v>3.5706406732999998</v>
      </c>
      <c r="J77" s="77">
        <v>2.4474484397</v>
      </c>
      <c r="K77" s="77">
        <v>1.4754601894999999</v>
      </c>
      <c r="L77" s="77">
        <v>1.5049600000000001</v>
      </c>
      <c r="M77" s="77">
        <v>32.022199999999998</v>
      </c>
      <c r="N77" s="77">
        <v>33.296399999999998</v>
      </c>
      <c r="O77" s="77">
        <v>29.267099999999999</v>
      </c>
      <c r="P77" s="77">
        <v>29.0778</v>
      </c>
    </row>
    <row r="78" spans="1:16">
      <c r="A78" s="74" t="s">
        <v>490</v>
      </c>
      <c r="B78" s="74" t="s">
        <v>491</v>
      </c>
      <c r="C78" s="76">
        <v>46104</v>
      </c>
      <c r="D78" s="74" t="s">
        <v>224</v>
      </c>
      <c r="H78" s="77">
        <v>19.882439999999999</v>
      </c>
      <c r="L78" s="77">
        <v>3.64507</v>
      </c>
      <c r="P78" s="77">
        <v>45.409799999999997</v>
      </c>
    </row>
    <row r="79" spans="1:16">
      <c r="A79" s="74" t="s">
        <v>525</v>
      </c>
      <c r="B79" s="74" t="s">
        <v>526</v>
      </c>
      <c r="C79" s="76">
        <v>45762</v>
      </c>
      <c r="D79" s="74" t="s">
        <v>224</v>
      </c>
      <c r="H79" s="77">
        <v>1.6E-2</v>
      </c>
      <c r="L79" s="77">
        <v>-3.8708999999999998</v>
      </c>
    </row>
    <row r="80" spans="1:16">
      <c r="A80" s="74" t="s">
        <v>795</v>
      </c>
      <c r="B80" s="74" t="s">
        <v>796</v>
      </c>
      <c r="C80" s="76">
        <v>46021</v>
      </c>
      <c r="D80" s="74" t="s">
        <v>224</v>
      </c>
      <c r="H80" s="77">
        <v>2.7459699999999998</v>
      </c>
      <c r="L80" s="77">
        <v>-0.86982999999999999</v>
      </c>
      <c r="P80" s="77">
        <v>34.282600000000002</v>
      </c>
    </row>
    <row r="81" spans="1:16">
      <c r="A81" s="74" t="s">
        <v>344</v>
      </c>
      <c r="B81" s="74" t="s">
        <v>345</v>
      </c>
      <c r="C81" s="76">
        <v>45833</v>
      </c>
      <c r="D81" s="74" t="s">
        <v>224</v>
      </c>
      <c r="G81" s="77">
        <v>71.525390000000002</v>
      </c>
      <c r="H81" s="77">
        <v>76.309610000000006</v>
      </c>
      <c r="K81" s="77">
        <v>-29.5078</v>
      </c>
      <c r="L81" s="77">
        <v>-19.720649999999999</v>
      </c>
      <c r="O81" s="77">
        <v>-24.422899999999998</v>
      </c>
      <c r="P81" s="77">
        <v>-4.4423000000000004</v>
      </c>
    </row>
    <row r="82" spans="1:16">
      <c r="A82" s="74" t="s">
        <v>921</v>
      </c>
      <c r="B82" s="74" t="s">
        <v>922</v>
      </c>
      <c r="C82" s="76">
        <v>46111</v>
      </c>
      <c r="D82" s="74" t="s">
        <v>224</v>
      </c>
      <c r="H82" s="77">
        <v>1.0944199999999999</v>
      </c>
      <c r="L82" s="77">
        <v>-0.79527999999999999</v>
      </c>
      <c r="P82" s="77">
        <v>13.711399999999999</v>
      </c>
    </row>
    <row r="83" spans="1:16">
      <c r="A83" s="74" t="s">
        <v>581</v>
      </c>
      <c r="B83" s="74" t="s">
        <v>582</v>
      </c>
      <c r="C83" s="76">
        <v>45670</v>
      </c>
      <c r="D83" s="74" t="s">
        <v>224</v>
      </c>
      <c r="I83" s="77">
        <v>1.3975799202999999</v>
      </c>
      <c r="J83" s="77">
        <v>3.286</v>
      </c>
      <c r="K83" s="77">
        <v>3.5251199999999998</v>
      </c>
      <c r="L83" s="77">
        <v>4.3771000000000004</v>
      </c>
    </row>
    <row r="84" spans="1:16">
      <c r="A84" s="74" t="s">
        <v>612</v>
      </c>
      <c r="B84" s="74" t="s">
        <v>613</v>
      </c>
      <c r="C84" s="76">
        <v>45996</v>
      </c>
      <c r="D84" s="74" t="s">
        <v>224</v>
      </c>
      <c r="G84" s="77">
        <v>1.5464199999999999</v>
      </c>
      <c r="H84" s="77">
        <v>4.3685499999999999</v>
      </c>
      <c r="K84" s="77">
        <v>-1.73451</v>
      </c>
      <c r="L84" s="77">
        <v>6.9510000000000002E-2</v>
      </c>
      <c r="O84" s="77">
        <v>15.6523</v>
      </c>
      <c r="P84" s="77">
        <v>20.026299999999999</v>
      </c>
    </row>
    <row r="85" spans="1:16">
      <c r="A85" s="74" t="s">
        <v>348</v>
      </c>
      <c r="B85" s="74" t="s">
        <v>349</v>
      </c>
      <c r="C85" s="76">
        <v>45071</v>
      </c>
      <c r="D85" s="74" t="s">
        <v>224</v>
      </c>
      <c r="E85" s="77">
        <v>26.224319999999999</v>
      </c>
      <c r="F85" s="77">
        <v>36.635950000000001</v>
      </c>
      <c r="G85" s="77">
        <v>61.411679999999997</v>
      </c>
      <c r="H85" s="77">
        <v>78.77646</v>
      </c>
      <c r="I85" s="77">
        <v>3.1358199999999998</v>
      </c>
      <c r="J85" s="77">
        <v>4.4837300000000004</v>
      </c>
      <c r="K85" s="77">
        <v>7.0963799999999999</v>
      </c>
      <c r="L85" s="77">
        <v>6.6656199999999997</v>
      </c>
      <c r="M85" s="77">
        <v>51.042000000000002</v>
      </c>
      <c r="N85" s="77">
        <v>44.993000000000002</v>
      </c>
      <c r="O85" s="77">
        <v>46.341900000000003</v>
      </c>
      <c r="P85" s="77">
        <v>39.770800000000001</v>
      </c>
    </row>
    <row r="86" spans="1:16">
      <c r="A86" s="74" t="s">
        <v>616</v>
      </c>
      <c r="B86" s="74" t="s">
        <v>617</v>
      </c>
      <c r="C86" s="76">
        <v>46111</v>
      </c>
      <c r="D86" s="74" t="s">
        <v>224</v>
      </c>
      <c r="H86" s="77">
        <v>4.4069099999999999</v>
      </c>
      <c r="L86" s="77">
        <v>1.2754300000000001</v>
      </c>
      <c r="P86" s="77">
        <v>33.7654</v>
      </c>
    </row>
    <row r="87" spans="1:16">
      <c r="A87" s="74" t="s">
        <v>272</v>
      </c>
      <c r="B87" s="74" t="s">
        <v>273</v>
      </c>
      <c r="C87" s="76">
        <v>46044</v>
      </c>
      <c r="D87" s="74" t="s">
        <v>224</v>
      </c>
      <c r="E87" s="77">
        <v>99.538066589500005</v>
      </c>
      <c r="F87" s="77">
        <v>163.9521081227</v>
      </c>
      <c r="G87" s="77">
        <v>245.33108974090001</v>
      </c>
      <c r="H87" s="77">
        <v>293.43151999999998</v>
      </c>
      <c r="I87" s="77">
        <v>0.976166851</v>
      </c>
      <c r="J87" s="77">
        <v>2.9770228374999999</v>
      </c>
      <c r="K87" s="77">
        <v>5.4702508395000002</v>
      </c>
      <c r="L87" s="77">
        <v>5.6130100000000001</v>
      </c>
      <c r="M87" s="77">
        <v>7.2263000000000002</v>
      </c>
      <c r="N87" s="77">
        <v>8.0975999999999999</v>
      </c>
      <c r="O87" s="77">
        <v>7.3089000000000004</v>
      </c>
      <c r="P87" s="77">
        <v>8.0602</v>
      </c>
    </row>
    <row r="88" spans="1:16">
      <c r="A88" s="74" t="s">
        <v>915</v>
      </c>
      <c r="B88" s="74" t="s">
        <v>916</v>
      </c>
      <c r="C88" s="76">
        <v>46008</v>
      </c>
      <c r="D88" s="74" t="s">
        <v>224</v>
      </c>
      <c r="H88" s="77">
        <v>1.1528899928</v>
      </c>
      <c r="L88" s="77">
        <v>-5.2230032862</v>
      </c>
      <c r="P88" s="77">
        <v>97.233199999999997</v>
      </c>
    </row>
    <row r="89" spans="1:16">
      <c r="A89" s="74" t="s">
        <v>546</v>
      </c>
      <c r="B89" s="74" t="s">
        <v>547</v>
      </c>
      <c r="C89" s="76">
        <v>45118</v>
      </c>
      <c r="D89" s="74" t="s">
        <v>224</v>
      </c>
      <c r="G89" s="77">
        <v>0.32322000000000001</v>
      </c>
      <c r="H89" s="77">
        <v>8.0393299999999996</v>
      </c>
      <c r="K89" s="77">
        <v>-8.8979499999999998</v>
      </c>
      <c r="L89" s="77">
        <v>-6.16099</v>
      </c>
      <c r="O89" s="77">
        <v>36.498399999999997</v>
      </c>
      <c r="P89" s="77">
        <v>65.565799999999996</v>
      </c>
    </row>
    <row r="90" spans="1:16">
      <c r="A90" s="74" t="s">
        <v>687</v>
      </c>
      <c r="B90" s="74" t="s">
        <v>688</v>
      </c>
      <c r="C90" s="76">
        <v>45265</v>
      </c>
      <c r="D90" s="74" t="s">
        <v>224</v>
      </c>
      <c r="E90" s="77">
        <v>3.65882</v>
      </c>
      <c r="F90" s="77">
        <v>2.2688299999999999</v>
      </c>
      <c r="G90" s="77">
        <v>4.5713800000000004</v>
      </c>
      <c r="H90" s="77">
        <v>7.48475</v>
      </c>
      <c r="I90" s="77">
        <v>0.21251</v>
      </c>
      <c r="J90" s="77">
        <v>-2.1482600000000001</v>
      </c>
      <c r="K90" s="77">
        <v>-7.0307599999999999</v>
      </c>
      <c r="L90" s="77">
        <v>-2.7341600000000001</v>
      </c>
      <c r="M90" s="77">
        <v>30.430599999999998</v>
      </c>
      <c r="N90" s="77">
        <v>3.5181</v>
      </c>
      <c r="O90" s="77">
        <v>27.896999999999998</v>
      </c>
      <c r="P90" s="77">
        <v>21.216899999999999</v>
      </c>
    </row>
    <row r="91" spans="1:16">
      <c r="A91" s="74" t="s">
        <v>362</v>
      </c>
      <c r="B91" s="74" t="s">
        <v>363</v>
      </c>
      <c r="C91" s="76">
        <v>45485</v>
      </c>
      <c r="D91" s="74" t="s">
        <v>224</v>
      </c>
      <c r="F91" s="77">
        <v>38.266124286999997</v>
      </c>
      <c r="G91" s="77">
        <v>47.060954410000001</v>
      </c>
      <c r="H91" s="77">
        <v>62.269234972</v>
      </c>
      <c r="J91" s="77">
        <v>2.3565328839999999</v>
      </c>
      <c r="K91" s="77">
        <v>4.6161980710000003</v>
      </c>
      <c r="L91" s="77">
        <v>6.1341410959999996</v>
      </c>
      <c r="N91" s="77">
        <v>31.601700000000001</v>
      </c>
      <c r="O91" s="77">
        <v>32.822800000000001</v>
      </c>
      <c r="P91" s="77">
        <v>33.344799999999999</v>
      </c>
    </row>
    <row r="92" spans="1:16">
      <c r="A92" s="74" t="s">
        <v>419</v>
      </c>
      <c r="B92" s="74" t="s">
        <v>420</v>
      </c>
      <c r="C92" s="76">
        <v>46090</v>
      </c>
      <c r="D92" s="74" t="s">
        <v>224</v>
      </c>
      <c r="E92" s="77">
        <v>14.1046454967</v>
      </c>
      <c r="F92" s="77">
        <v>24.943660508499999</v>
      </c>
      <c r="G92" s="77">
        <v>30.056764645600001</v>
      </c>
      <c r="H92" s="77">
        <v>38.807789999999997</v>
      </c>
      <c r="I92" s="77">
        <v>0.65762217079999996</v>
      </c>
      <c r="J92" s="77">
        <v>1.2811864953000001</v>
      </c>
      <c r="K92" s="77">
        <v>1.2203025203</v>
      </c>
      <c r="L92" s="77">
        <v>1.6677999999999999</v>
      </c>
      <c r="M92" s="77">
        <v>35.508299999999998</v>
      </c>
      <c r="N92" s="77">
        <v>33.709600000000002</v>
      </c>
      <c r="O92" s="77">
        <v>32.2104</v>
      </c>
      <c r="P92" s="77">
        <v>32.885599999999997</v>
      </c>
    </row>
    <row r="93" spans="1:16">
      <c r="A93" s="74" t="s">
        <v>399</v>
      </c>
      <c r="B93" s="74" t="s">
        <v>400</v>
      </c>
      <c r="C93" s="76">
        <v>45834</v>
      </c>
      <c r="D93" s="74" t="s">
        <v>224</v>
      </c>
      <c r="G93" s="77">
        <v>27.830559999999998</v>
      </c>
      <c r="H93" s="77">
        <v>31.0169</v>
      </c>
      <c r="K93" s="77">
        <v>4.2568700000000002</v>
      </c>
      <c r="L93" s="77">
        <v>5.7524100000000002</v>
      </c>
      <c r="O93" s="77">
        <v>35.017699999999998</v>
      </c>
      <c r="P93" s="77">
        <v>38.691400000000002</v>
      </c>
    </row>
    <row r="94" spans="1:16">
      <c r="A94" s="74" t="s">
        <v>1004</v>
      </c>
      <c r="B94" s="74" t="s">
        <v>1005</v>
      </c>
      <c r="C94" s="76">
        <v>45863</v>
      </c>
      <c r="D94" s="74" t="s">
        <v>224</v>
      </c>
      <c r="L94" s="77">
        <v>-2.80789</v>
      </c>
    </row>
    <row r="95" spans="1:16">
      <c r="A95" s="74" t="s">
        <v>735</v>
      </c>
      <c r="B95" s="74" t="s">
        <v>736</v>
      </c>
      <c r="C95" s="76">
        <v>45656</v>
      </c>
      <c r="D95" s="74" t="s">
        <v>224</v>
      </c>
      <c r="G95" s="77">
        <v>0.68215000000000003</v>
      </c>
      <c r="H95" s="77">
        <v>1.36174</v>
      </c>
      <c r="K95" s="77">
        <v>-33.99342</v>
      </c>
      <c r="L95" s="77">
        <v>-22.054760000000002</v>
      </c>
      <c r="O95" s="77">
        <v>-266.12040000000002</v>
      </c>
      <c r="P95" s="77">
        <v>-289.4135</v>
      </c>
    </row>
    <row r="96" spans="1:16">
      <c r="A96" s="74" t="s">
        <v>949</v>
      </c>
      <c r="B96" s="74" t="s">
        <v>950</v>
      </c>
      <c r="C96" s="76">
        <v>46010</v>
      </c>
      <c r="D96" s="74" t="s">
        <v>224</v>
      </c>
      <c r="G96" s="77">
        <v>0.77385000000000004</v>
      </c>
      <c r="H96" s="77">
        <v>0.31056</v>
      </c>
      <c r="K96" s="77">
        <v>-1.7954399999999999</v>
      </c>
      <c r="L96" s="77">
        <v>-2.6299700000000001</v>
      </c>
      <c r="O96" s="77">
        <v>33.1098</v>
      </c>
      <c r="P96" s="77">
        <v>-19.303799999999999</v>
      </c>
    </row>
    <row r="97" spans="1:16">
      <c r="A97" s="74" t="s">
        <v>701</v>
      </c>
      <c r="B97" s="74" t="s">
        <v>702</v>
      </c>
      <c r="C97" s="76">
        <v>46129</v>
      </c>
      <c r="D97" s="74" t="s">
        <v>224</v>
      </c>
      <c r="E97" s="77">
        <v>2.8229500000000001</v>
      </c>
      <c r="F97" s="77">
        <v>3.5341800000000001</v>
      </c>
      <c r="H97" s="77">
        <v>6.0061600000000004</v>
      </c>
      <c r="I97" s="77">
        <v>-2.6055700000000002</v>
      </c>
      <c r="J97" s="77">
        <v>-2.9660899999999999</v>
      </c>
      <c r="L97" s="77">
        <v>-7.0373599999999996</v>
      </c>
      <c r="M97" s="77">
        <v>68.8262</v>
      </c>
      <c r="N97" s="77">
        <v>67.554299999999998</v>
      </c>
      <c r="P97" s="77">
        <v>72.676100000000005</v>
      </c>
    </row>
    <row r="98" spans="1:16">
      <c r="A98" s="74" t="s">
        <v>301</v>
      </c>
      <c r="B98" s="74" t="s">
        <v>302</v>
      </c>
      <c r="C98" s="76">
        <v>45785</v>
      </c>
      <c r="D98" s="74" t="s">
        <v>224</v>
      </c>
      <c r="E98" s="77">
        <v>8.1666683170999992</v>
      </c>
      <c r="F98" s="77">
        <v>8.4936129801</v>
      </c>
      <c r="G98" s="77">
        <v>16.393799999999999</v>
      </c>
      <c r="H98" s="77">
        <v>110.85713</v>
      </c>
      <c r="I98" s="77">
        <v>0.17227122440000001</v>
      </c>
      <c r="J98" s="77">
        <v>0.13546420989999999</v>
      </c>
      <c r="K98" s="77">
        <v>-1.7863500000000001</v>
      </c>
      <c r="L98" s="77">
        <v>7.1694500000000003</v>
      </c>
      <c r="M98" s="77">
        <v>27.915299999999998</v>
      </c>
      <c r="N98" s="77">
        <v>23.744</v>
      </c>
      <c r="O98" s="77">
        <v>12.6403</v>
      </c>
      <c r="P98" s="77">
        <v>10.963100000000001</v>
      </c>
    </row>
    <row r="99" spans="1:16">
      <c r="A99" s="74" t="s">
        <v>1038</v>
      </c>
      <c r="B99" s="74" t="s">
        <v>1039</v>
      </c>
      <c r="C99" s="76">
        <v>45897</v>
      </c>
      <c r="D99" s="74" t="s">
        <v>224</v>
      </c>
      <c r="K99" s="77">
        <v>-0.21081816</v>
      </c>
      <c r="L99" s="77">
        <v>-0.83664561469999998</v>
      </c>
    </row>
    <row r="100" spans="1:16">
      <c r="A100" s="74" t="s">
        <v>982</v>
      </c>
      <c r="B100" s="74" t="s">
        <v>983</v>
      </c>
      <c r="C100" s="76">
        <v>46030</v>
      </c>
      <c r="D100" s="74" t="s">
        <v>224</v>
      </c>
      <c r="J100" s="77">
        <v>-0.79366000000000003</v>
      </c>
      <c r="K100" s="77">
        <v>-3.4927199999999998</v>
      </c>
    </row>
    <row r="101" spans="1:16">
      <c r="A101" s="74" t="s">
        <v>329</v>
      </c>
      <c r="B101" s="74" t="s">
        <v>330</v>
      </c>
      <c r="C101" s="76">
        <v>45195</v>
      </c>
      <c r="D101" s="74" t="s">
        <v>224</v>
      </c>
      <c r="E101" s="77">
        <v>70.40361</v>
      </c>
      <c r="F101" s="77">
        <v>87.533159999999995</v>
      </c>
      <c r="G101" s="77">
        <v>117.24263000000001</v>
      </c>
      <c r="H101" s="77">
        <v>115.46850999999999</v>
      </c>
      <c r="I101" s="77">
        <v>-34.282780000000002</v>
      </c>
      <c r="J101" s="77">
        <v>-39.282089999999997</v>
      </c>
      <c r="K101" s="77">
        <v>-58.405769999999997</v>
      </c>
      <c r="L101" s="77">
        <v>-21.361730000000001</v>
      </c>
      <c r="M101" s="77">
        <v>7.4344000000000001</v>
      </c>
      <c r="N101" s="77">
        <v>12.3384</v>
      </c>
      <c r="O101" s="77">
        <v>15.952400000000001</v>
      </c>
      <c r="P101" s="77">
        <v>19.660599999999999</v>
      </c>
    </row>
    <row r="102" spans="1:16">
      <c r="A102" s="74" t="s">
        <v>953</v>
      </c>
      <c r="B102" s="74" t="s">
        <v>954</v>
      </c>
      <c r="C102" s="76">
        <v>46140</v>
      </c>
      <c r="D102" s="74" t="s">
        <v>224</v>
      </c>
      <c r="E102" s="77">
        <v>0.28736847030000001</v>
      </c>
      <c r="F102" s="77">
        <v>4.3765443799999998E-2</v>
      </c>
      <c r="G102" s="77">
        <v>0.1542217837</v>
      </c>
      <c r="H102" s="77">
        <v>0.25843444380000002</v>
      </c>
      <c r="I102" s="77">
        <v>-9.2789399669999995</v>
      </c>
      <c r="J102" s="77">
        <v>-6.4254537558999996</v>
      </c>
      <c r="K102" s="77">
        <v>-7.6958667346</v>
      </c>
      <c r="L102" s="77">
        <v>-9.5523457232000002</v>
      </c>
      <c r="M102" s="77">
        <v>37.586100000000002</v>
      </c>
      <c r="N102" s="77">
        <v>20.8551</v>
      </c>
      <c r="O102" s="77">
        <v>80.032200000000003</v>
      </c>
      <c r="P102" s="77">
        <v>99.726600000000005</v>
      </c>
    </row>
    <row r="103" spans="1:16">
      <c r="A103" s="74" t="s">
        <v>609</v>
      </c>
      <c r="B103" s="74" t="s">
        <v>610</v>
      </c>
      <c r="C103" s="76">
        <v>46013</v>
      </c>
      <c r="D103" s="74" t="s">
        <v>224</v>
      </c>
      <c r="E103" s="77">
        <v>95.351564399200001</v>
      </c>
      <c r="F103" s="77">
        <v>99.113747547499997</v>
      </c>
      <c r="G103" s="77">
        <v>105.0629056364</v>
      </c>
      <c r="I103" s="77">
        <v>0.79493205659999999</v>
      </c>
      <c r="J103" s="77">
        <v>0.94173413090000002</v>
      </c>
      <c r="K103" s="77">
        <v>2.4359856640999999</v>
      </c>
      <c r="L103" s="77">
        <v>2.4605999999999999</v>
      </c>
    </row>
    <row r="104" spans="1:16">
      <c r="A104" s="74" t="s">
        <v>695</v>
      </c>
      <c r="B104" s="74" t="s">
        <v>696</v>
      </c>
      <c r="C104" s="76">
        <v>46031</v>
      </c>
      <c r="D104" s="74" t="s">
        <v>224</v>
      </c>
      <c r="E104" s="77">
        <v>7.0307147047000003</v>
      </c>
      <c r="F104" s="77">
        <v>8.6560713620000005</v>
      </c>
      <c r="G104" s="77">
        <v>10.008018867400001</v>
      </c>
      <c r="H104" s="77">
        <v>6.37303</v>
      </c>
      <c r="I104" s="77">
        <v>0.19115038379999999</v>
      </c>
      <c r="J104" s="77">
        <v>0.39171636129999998</v>
      </c>
      <c r="K104" s="77">
        <v>1.1197351976000001</v>
      </c>
      <c r="L104" s="77">
        <v>0.83504</v>
      </c>
      <c r="M104" s="77">
        <v>5.2121000000000004</v>
      </c>
      <c r="N104" s="77">
        <v>8.2063000000000006</v>
      </c>
      <c r="O104" s="77">
        <v>15.000299999999999</v>
      </c>
      <c r="P104" s="77">
        <v>26.752300000000002</v>
      </c>
    </row>
    <row r="105" spans="1:16">
      <c r="A105" s="74" t="s">
        <v>653</v>
      </c>
      <c r="B105" s="74" t="s">
        <v>654</v>
      </c>
      <c r="C105" s="76">
        <v>46021</v>
      </c>
      <c r="D105" s="74" t="s">
        <v>224</v>
      </c>
      <c r="H105" s="77">
        <v>6.9115000000000002</v>
      </c>
      <c r="L105" s="77">
        <v>-5.8709999999999998E-2</v>
      </c>
      <c r="P105" s="77">
        <v>77.997100000000003</v>
      </c>
    </row>
    <row r="106" spans="1:16">
      <c r="A106" s="74" t="s">
        <v>527</v>
      </c>
      <c r="B106" s="74" t="s">
        <v>528</v>
      </c>
      <c r="C106" s="76">
        <v>44588</v>
      </c>
      <c r="D106" s="74" t="s">
        <v>224</v>
      </c>
      <c r="E106" s="77">
        <v>2.2914099999999999</v>
      </c>
      <c r="F106" s="77">
        <v>4.62324</v>
      </c>
      <c r="G106" s="77">
        <v>8.6116799999999998</v>
      </c>
      <c r="H106" s="77">
        <v>15.57643</v>
      </c>
      <c r="I106" s="77">
        <v>-2.4422700000000002</v>
      </c>
      <c r="J106" s="77">
        <v>-3.6099899999999998</v>
      </c>
      <c r="K106" s="77">
        <v>-6.36599</v>
      </c>
      <c r="L106" s="77">
        <v>-3.63042</v>
      </c>
      <c r="M106" s="77">
        <v>31.252800000000001</v>
      </c>
      <c r="N106" s="77">
        <v>29.118300000000001</v>
      </c>
      <c r="O106" s="77">
        <v>31.032399999999999</v>
      </c>
      <c r="P106" s="77">
        <v>32.554200000000002</v>
      </c>
    </row>
    <row r="107" spans="1:16">
      <c r="A107" s="74" t="s">
        <v>556</v>
      </c>
      <c r="B107" s="74" t="s">
        <v>557</v>
      </c>
      <c r="C107" s="76">
        <v>45964</v>
      </c>
      <c r="D107" s="74" t="s">
        <v>224</v>
      </c>
      <c r="G107" s="77">
        <v>10.43277</v>
      </c>
      <c r="H107" s="77">
        <v>12.69265</v>
      </c>
      <c r="K107" s="77">
        <v>-24.753219999999999</v>
      </c>
      <c r="L107" s="77">
        <v>16.599240000000002</v>
      </c>
      <c r="O107" s="77">
        <v>61.049500000000002</v>
      </c>
      <c r="P107" s="77">
        <v>53.238599999999998</v>
      </c>
    </row>
    <row r="108" spans="1:16">
      <c r="A108" s="74" t="s">
        <v>494</v>
      </c>
      <c r="B108" s="74" t="s">
        <v>495</v>
      </c>
      <c r="C108" s="76">
        <v>46091</v>
      </c>
      <c r="D108" s="74" t="s">
        <v>224</v>
      </c>
      <c r="E108" s="77">
        <v>9.2925554396999992</v>
      </c>
      <c r="F108" s="77">
        <v>11.1618565715</v>
      </c>
      <c r="G108" s="77">
        <v>19.644466746999999</v>
      </c>
      <c r="H108" s="77">
        <v>23.05932</v>
      </c>
      <c r="I108" s="77">
        <v>0.24453253080000001</v>
      </c>
      <c r="J108" s="77">
        <v>0.27439978809999999</v>
      </c>
      <c r="K108" s="77">
        <v>1.1814003914</v>
      </c>
      <c r="L108" s="77">
        <v>1.2783599999999999</v>
      </c>
      <c r="M108" s="77">
        <v>19.713200000000001</v>
      </c>
      <c r="N108" s="77">
        <v>20.978300000000001</v>
      </c>
      <c r="O108" s="77">
        <v>18.676100000000002</v>
      </c>
      <c r="P108" s="77">
        <v>17.579699999999999</v>
      </c>
    </row>
    <row r="109" spans="1:16">
      <c r="A109" s="74" t="s">
        <v>727</v>
      </c>
      <c r="B109" s="74" t="s">
        <v>728</v>
      </c>
      <c r="C109" s="76">
        <v>45838</v>
      </c>
      <c r="D109" s="74" t="s">
        <v>224</v>
      </c>
    </row>
    <row r="110" spans="1:16">
      <c r="A110" s="74" t="s">
        <v>984</v>
      </c>
      <c r="B110" s="74" t="s">
        <v>985</v>
      </c>
      <c r="C110" s="76">
        <v>45205</v>
      </c>
      <c r="D110" s="74" t="s">
        <v>224</v>
      </c>
      <c r="E110" s="77">
        <v>0.56039000000000005</v>
      </c>
      <c r="F110" s="77">
        <v>0.38601999999999997</v>
      </c>
      <c r="G110" s="77">
        <v>0.34822999999999998</v>
      </c>
      <c r="H110" s="77">
        <v>0.45983000000000002</v>
      </c>
      <c r="I110" s="77">
        <v>1.4456899999999999</v>
      </c>
      <c r="J110" s="77">
        <v>7.2099900000000003</v>
      </c>
      <c r="K110" s="77">
        <v>7.3013300000000001</v>
      </c>
      <c r="L110" s="77">
        <v>5.5928500000000003</v>
      </c>
    </row>
    <row r="111" spans="1:16">
      <c r="A111" s="74" t="s">
        <v>426</v>
      </c>
      <c r="B111" s="74" t="s">
        <v>427</v>
      </c>
      <c r="C111" s="76">
        <v>45197</v>
      </c>
      <c r="D111" s="74" t="s">
        <v>224</v>
      </c>
      <c r="E111" s="77">
        <v>4.59518</v>
      </c>
      <c r="F111" s="77">
        <v>9.4223800000000004</v>
      </c>
      <c r="G111" s="77">
        <v>20.183990000000001</v>
      </c>
      <c r="H111" s="77">
        <v>30.826370000000001</v>
      </c>
      <c r="I111" s="77">
        <v>-7.1657599999999997</v>
      </c>
      <c r="J111" s="77">
        <v>-7.4965000000000002</v>
      </c>
      <c r="K111" s="77">
        <v>-17.856549999999999</v>
      </c>
      <c r="L111" s="77">
        <v>-16.448969999999999</v>
      </c>
      <c r="M111" s="77">
        <v>43.541499999999999</v>
      </c>
      <c r="N111" s="77">
        <v>45.607900000000001</v>
      </c>
      <c r="O111" s="77">
        <v>47.239199999999997</v>
      </c>
      <c r="P111" s="77">
        <v>48.226399999999998</v>
      </c>
    </row>
    <row r="112" spans="1:16">
      <c r="A112" s="74" t="s">
        <v>381</v>
      </c>
      <c r="B112" s="74" t="s">
        <v>382</v>
      </c>
      <c r="C112" s="76">
        <v>45597</v>
      </c>
      <c r="D112" s="74" t="s">
        <v>224</v>
      </c>
      <c r="F112" s="77">
        <v>52.879420824999997</v>
      </c>
      <c r="G112" s="77">
        <v>117.149407052</v>
      </c>
      <c r="H112" s="77">
        <v>170.17791162</v>
      </c>
      <c r="J112" s="77">
        <v>12.001313819</v>
      </c>
      <c r="K112" s="77">
        <v>68.712831609999995</v>
      </c>
      <c r="L112" s="77">
        <v>74.837482485999999</v>
      </c>
      <c r="N112" s="77">
        <v>23.703600000000002</v>
      </c>
      <c r="O112" s="77">
        <v>50.693800000000003</v>
      </c>
      <c r="P112" s="77">
        <v>44.663499999999999</v>
      </c>
    </row>
    <row r="113" spans="1:16">
      <c r="A113" s="74" t="s">
        <v>655</v>
      </c>
      <c r="B113" s="74" t="s">
        <v>656</v>
      </c>
      <c r="C113" s="76">
        <v>44938</v>
      </c>
      <c r="D113" s="74" t="s">
        <v>224</v>
      </c>
      <c r="E113" s="77">
        <v>5.5362</v>
      </c>
      <c r="F113" s="77">
        <v>5.7229299999999999</v>
      </c>
      <c r="G113" s="77">
        <v>6.2936899999999998</v>
      </c>
      <c r="H113" s="77">
        <v>7.3811658019999999</v>
      </c>
      <c r="I113" s="77">
        <v>0.6391</v>
      </c>
      <c r="J113" s="77">
        <v>-3.6600000000000001E-3</v>
      </c>
      <c r="K113" s="77">
        <v>-1.4636899999999999</v>
      </c>
      <c r="L113" s="77">
        <v>-1.6645426066</v>
      </c>
      <c r="M113" s="77">
        <v>44.5334</v>
      </c>
      <c r="N113" s="77">
        <v>43.219499999999996</v>
      </c>
      <c r="O113" s="77">
        <v>37.502600000000001</v>
      </c>
      <c r="P113" s="77">
        <v>38.400300000000001</v>
      </c>
    </row>
    <row r="114" spans="1:16">
      <c r="A114" s="74" t="s">
        <v>448</v>
      </c>
      <c r="B114" s="74" t="s">
        <v>449</v>
      </c>
      <c r="C114" s="76">
        <v>44757</v>
      </c>
      <c r="D114" s="74" t="s">
        <v>224</v>
      </c>
      <c r="E114" s="77">
        <v>28.920310000000001</v>
      </c>
      <c r="F114" s="77">
        <v>32.616729999999997</v>
      </c>
      <c r="G114" s="77">
        <v>31.2685</v>
      </c>
      <c r="H114" s="77">
        <v>27.282979999999998</v>
      </c>
      <c r="I114" s="77">
        <v>2.0749300000000002</v>
      </c>
      <c r="J114" s="77">
        <v>2.7399399999999998</v>
      </c>
      <c r="K114" s="77">
        <v>3.6271900000000001</v>
      </c>
      <c r="L114" s="77">
        <v>2.2641200000000001</v>
      </c>
      <c r="M114" s="77">
        <v>16.400600000000001</v>
      </c>
      <c r="N114" s="77">
        <v>20.033100000000001</v>
      </c>
      <c r="O114" s="77">
        <v>23.423200000000001</v>
      </c>
      <c r="P114" s="77">
        <v>18.1081</v>
      </c>
    </row>
    <row r="115" spans="1:16">
      <c r="A115" s="74" t="s">
        <v>763</v>
      </c>
      <c r="B115" s="74" t="s">
        <v>764</v>
      </c>
      <c r="C115" s="76">
        <v>46021</v>
      </c>
      <c r="D115" s="74" t="s">
        <v>224</v>
      </c>
      <c r="G115" s="77">
        <v>1.20045</v>
      </c>
      <c r="H115" s="77">
        <v>2.8789899999999999</v>
      </c>
      <c r="K115" s="77">
        <v>-1.0105999999999999</v>
      </c>
      <c r="L115" s="77">
        <v>-0.75141000000000002</v>
      </c>
      <c r="O115" s="77">
        <v>75.182599999999994</v>
      </c>
      <c r="P115" s="77">
        <v>78.018299999999996</v>
      </c>
    </row>
    <row r="116" spans="1:16">
      <c r="A116" s="74" t="s">
        <v>931</v>
      </c>
      <c r="B116" s="74" t="s">
        <v>932</v>
      </c>
      <c r="C116" s="76">
        <v>45800</v>
      </c>
      <c r="D116" s="74" t="s">
        <v>224</v>
      </c>
      <c r="G116" s="77">
        <v>3.866852231422</v>
      </c>
      <c r="H116" s="77">
        <v>1.2368412942660001</v>
      </c>
      <c r="K116" s="77">
        <v>-0.19644156518600001</v>
      </c>
      <c r="L116" s="77">
        <v>-3.9448617789979998</v>
      </c>
      <c r="O116" s="77">
        <v>69.578900000000004</v>
      </c>
      <c r="P116" s="77">
        <v>52.516399999999997</v>
      </c>
    </row>
    <row r="117" spans="1:16">
      <c r="A117" s="74" t="s">
        <v>304</v>
      </c>
      <c r="B117" s="74" t="s">
        <v>305</v>
      </c>
      <c r="C117" s="76">
        <v>46057</v>
      </c>
      <c r="D117" s="74" t="s">
        <v>224</v>
      </c>
      <c r="E117" s="77">
        <v>50.5527679367</v>
      </c>
      <c r="F117" s="77">
        <v>71.623575455099996</v>
      </c>
      <c r="G117" s="77">
        <v>97.386404179799996</v>
      </c>
      <c r="H117" s="77">
        <v>134.06440000000001</v>
      </c>
      <c r="I117" s="77">
        <v>3.9602641589999998</v>
      </c>
      <c r="J117" s="77">
        <v>7.3083915295999997</v>
      </c>
      <c r="K117" s="77">
        <v>6.4294154224</v>
      </c>
      <c r="L117" s="77">
        <v>6.6341200000000002</v>
      </c>
      <c r="M117" s="77">
        <v>17.3155</v>
      </c>
      <c r="N117" s="77">
        <v>19.315799999999999</v>
      </c>
      <c r="O117" s="77">
        <v>14.513500000000001</v>
      </c>
      <c r="P117" s="77">
        <v>11.7851</v>
      </c>
    </row>
    <row r="118" spans="1:16">
      <c r="A118" s="74" t="s">
        <v>550</v>
      </c>
      <c r="B118" s="74" t="s">
        <v>551</v>
      </c>
      <c r="C118" s="76">
        <v>45930</v>
      </c>
      <c r="D118" s="74" t="s">
        <v>224</v>
      </c>
      <c r="G118" s="77">
        <v>8.63781</v>
      </c>
      <c r="H118" s="77">
        <v>12.177569999999999</v>
      </c>
      <c r="K118" s="77">
        <v>-3.7209500000000002</v>
      </c>
      <c r="L118" s="77">
        <v>-4.52095</v>
      </c>
      <c r="O118" s="77">
        <v>21.292300000000001</v>
      </c>
      <c r="P118" s="77">
        <v>14.052199999999999</v>
      </c>
    </row>
    <row r="119" spans="1:16">
      <c r="A119" s="74" t="s">
        <v>465</v>
      </c>
      <c r="B119" s="74" t="s">
        <v>466</v>
      </c>
      <c r="C119" s="76">
        <v>46148</v>
      </c>
      <c r="D119" s="74" t="s">
        <v>224</v>
      </c>
      <c r="E119" s="77">
        <v>14.546830824100001</v>
      </c>
      <c r="F119" s="77">
        <v>23.550341766100001</v>
      </c>
      <c r="G119" s="77">
        <v>22.566736867900001</v>
      </c>
      <c r="H119" s="77">
        <v>29.769580000000001</v>
      </c>
      <c r="I119" s="77">
        <v>1.2368673101000001</v>
      </c>
      <c r="J119" s="77">
        <v>4.2394988567</v>
      </c>
      <c r="K119" s="77">
        <v>4.2885656239000003</v>
      </c>
      <c r="L119" s="77">
        <v>3.0168300000000001</v>
      </c>
      <c r="M119" s="77">
        <v>38.029499999999999</v>
      </c>
      <c r="N119" s="77">
        <v>46.3825</v>
      </c>
      <c r="O119" s="77">
        <v>43.358400000000003</v>
      </c>
      <c r="P119" s="77">
        <v>37.841999999999999</v>
      </c>
    </row>
    <row r="120" spans="1:16">
      <c r="A120" s="74" t="s">
        <v>453</v>
      </c>
      <c r="B120" s="74" t="s">
        <v>454</v>
      </c>
      <c r="C120" s="76">
        <v>46141</v>
      </c>
      <c r="D120" s="74" t="s">
        <v>224</v>
      </c>
      <c r="H120" s="77">
        <v>34.043799999999997</v>
      </c>
      <c r="L120" s="77">
        <v>1.5951599999999999</v>
      </c>
      <c r="P120" s="77">
        <v>28.1173</v>
      </c>
    </row>
    <row r="121" spans="1:16">
      <c r="A121" s="74" t="s">
        <v>618</v>
      </c>
      <c r="B121" s="74" t="s">
        <v>619</v>
      </c>
      <c r="C121" s="76">
        <v>45296</v>
      </c>
      <c r="D121" s="74" t="s">
        <v>224</v>
      </c>
      <c r="F121" s="77">
        <v>1.7093100000000001</v>
      </c>
      <c r="G121" s="77">
        <v>3.3106300000000002</v>
      </c>
      <c r="H121" s="77">
        <v>5.3032199999999996</v>
      </c>
      <c r="J121" s="77">
        <v>-2.2079399999999998</v>
      </c>
      <c r="K121" s="77">
        <v>-16.587299999999999</v>
      </c>
      <c r="L121" s="77">
        <v>-20.886520000000001</v>
      </c>
      <c r="N121" s="77">
        <v>44.093800000000002</v>
      </c>
      <c r="O121" s="77">
        <v>42.369</v>
      </c>
      <c r="P121" s="77">
        <v>-7.4096000000000002</v>
      </c>
    </row>
    <row r="122" spans="1:16">
      <c r="A122" s="74" t="s">
        <v>492</v>
      </c>
      <c r="B122" s="74" t="s">
        <v>493</v>
      </c>
      <c r="C122" s="76">
        <v>45483</v>
      </c>
      <c r="D122" s="74" t="s">
        <v>224</v>
      </c>
      <c r="F122" s="77">
        <v>4.0396799999999997</v>
      </c>
      <c r="G122" s="77">
        <v>10.135289999999999</v>
      </c>
      <c r="H122" s="77">
        <v>13.683590000000001</v>
      </c>
      <c r="J122" s="77">
        <v>-2.9920300000000002</v>
      </c>
      <c r="K122" s="77">
        <v>-6.8462699999999996</v>
      </c>
      <c r="L122" s="77">
        <v>-6.26783</v>
      </c>
      <c r="N122" s="77">
        <v>-22.827999999999999</v>
      </c>
      <c r="O122" s="77">
        <v>-24.1845</v>
      </c>
      <c r="P122" s="77">
        <v>-10.6631</v>
      </c>
    </row>
    <row r="123" spans="1:16">
      <c r="A123" s="74" t="s">
        <v>446</v>
      </c>
      <c r="B123" s="74" t="s">
        <v>447</v>
      </c>
      <c r="C123" s="76">
        <v>45471</v>
      </c>
      <c r="D123" s="74" t="s">
        <v>224</v>
      </c>
      <c r="E123" s="77">
        <v>9.2684217043999997</v>
      </c>
      <c r="F123" s="77">
        <v>8.9553200000000004</v>
      </c>
      <c r="G123" s="77">
        <v>12.64603</v>
      </c>
      <c r="H123" s="77">
        <v>12.9422</v>
      </c>
      <c r="I123" s="77">
        <v>0.91460993889999997</v>
      </c>
      <c r="J123" s="77">
        <v>0.88024999999999998</v>
      </c>
      <c r="K123" s="77">
        <v>1.1388</v>
      </c>
      <c r="L123" s="77">
        <v>0.94528999999999996</v>
      </c>
      <c r="N123" s="77">
        <v>43.111699999999999</v>
      </c>
      <c r="O123" s="77">
        <v>41.198799999999999</v>
      </c>
      <c r="P123" s="77">
        <v>41.889200000000002</v>
      </c>
    </row>
    <row r="124" spans="1:16">
      <c r="A124" s="74" t="s">
        <v>624</v>
      </c>
      <c r="B124" s="74" t="s">
        <v>625</v>
      </c>
      <c r="C124" s="76">
        <v>45289</v>
      </c>
      <c r="D124" s="74" t="s">
        <v>224</v>
      </c>
      <c r="F124" s="77">
        <v>7.4022600000000001</v>
      </c>
      <c r="G124" s="77">
        <v>8.1722999999999999</v>
      </c>
      <c r="H124" s="77">
        <v>10.08272</v>
      </c>
      <c r="J124" s="77">
        <v>-7.0698999999999996</v>
      </c>
      <c r="K124" s="77">
        <v>-9.2018000000000004</v>
      </c>
      <c r="L124" s="77">
        <v>-9.7480899999999995</v>
      </c>
      <c r="N124" s="77">
        <v>44.680700000000002</v>
      </c>
      <c r="O124" s="77">
        <v>31.319600000000001</v>
      </c>
      <c r="P124" s="77">
        <v>29.1633</v>
      </c>
    </row>
    <row r="125" spans="1:16">
      <c r="A125" s="74" t="s">
        <v>866</v>
      </c>
      <c r="B125" s="74" t="s">
        <v>867</v>
      </c>
      <c r="C125" s="76">
        <v>45512</v>
      </c>
      <c r="D125" s="74" t="s">
        <v>224</v>
      </c>
      <c r="F125" s="77">
        <v>0.53020999999999996</v>
      </c>
      <c r="G125" s="77">
        <v>0.60504000000000002</v>
      </c>
      <c r="H125" s="77">
        <v>1.65442</v>
      </c>
      <c r="J125" s="77">
        <v>-7.6023800000000001</v>
      </c>
      <c r="K125" s="77">
        <v>-23.565020000000001</v>
      </c>
      <c r="L125" s="77">
        <v>-27.539359999999999</v>
      </c>
      <c r="N125" s="77">
        <v>22.6967</v>
      </c>
      <c r="O125" s="77">
        <v>36.149700000000003</v>
      </c>
      <c r="P125" s="77">
        <v>29.394600000000001</v>
      </c>
    </row>
    <row r="126" spans="1:16">
      <c r="A126" s="74" t="s">
        <v>925</v>
      </c>
      <c r="B126" s="74" t="s">
        <v>926</v>
      </c>
      <c r="C126" s="76">
        <v>45456</v>
      </c>
      <c r="D126" s="74" t="s">
        <v>224</v>
      </c>
      <c r="F126" s="77">
        <v>0.35636000000000001</v>
      </c>
      <c r="G126" s="77">
        <v>0.62799000000000005</v>
      </c>
      <c r="H126" s="77">
        <v>1.3335300000000001</v>
      </c>
      <c r="J126" s="77">
        <v>-7.3410799999999998</v>
      </c>
      <c r="K126" s="77">
        <v>-21.372879999999999</v>
      </c>
      <c r="L126" s="77">
        <v>-14.385070000000001</v>
      </c>
      <c r="N126" s="77">
        <v>62.392000000000003</v>
      </c>
      <c r="O126" s="77">
        <v>52.206200000000003</v>
      </c>
      <c r="P126" s="77">
        <v>49.557899999999997</v>
      </c>
    </row>
    <row r="127" spans="1:16">
      <c r="A127" s="74" t="s">
        <v>626</v>
      </c>
      <c r="B127" s="74" t="s">
        <v>627</v>
      </c>
      <c r="C127" s="76">
        <v>46104</v>
      </c>
      <c r="D127" s="74" t="s">
        <v>224</v>
      </c>
      <c r="E127" s="77">
        <v>3.9327725657000001</v>
      </c>
      <c r="F127" s="77">
        <v>3.7880303729999998</v>
      </c>
      <c r="G127" s="77">
        <v>10.1137803464</v>
      </c>
      <c r="H127" s="77">
        <v>11.95411</v>
      </c>
      <c r="I127" s="77">
        <v>1.0392064164000001</v>
      </c>
      <c r="J127" s="77">
        <v>0.1123477054</v>
      </c>
      <c r="K127" s="77">
        <v>2.1897595710000002</v>
      </c>
      <c r="L127" s="77">
        <v>-0.32485000000000003</v>
      </c>
      <c r="M127" s="77">
        <v>24.508400000000002</v>
      </c>
      <c r="N127" s="77">
        <v>41.822200000000002</v>
      </c>
      <c r="O127" s="77">
        <v>47.658900000000003</v>
      </c>
      <c r="P127" s="77">
        <v>35.637999999999998</v>
      </c>
    </row>
    <row r="128" spans="1:16">
      <c r="A128" s="74" t="s">
        <v>509</v>
      </c>
      <c r="B128" s="74" t="s">
        <v>510</v>
      </c>
      <c r="C128" s="76">
        <v>44995</v>
      </c>
      <c r="D128" s="74" t="s">
        <v>224</v>
      </c>
      <c r="E128" s="77">
        <v>2.7422200000000001</v>
      </c>
      <c r="F128" s="77">
        <v>7.0867500000000003</v>
      </c>
      <c r="G128" s="77">
        <v>14.519220000000001</v>
      </c>
      <c r="H128" s="77">
        <v>18.50141</v>
      </c>
      <c r="I128" s="77">
        <v>-0.57574000000000003</v>
      </c>
      <c r="J128" s="77">
        <v>0.86143999999999998</v>
      </c>
      <c r="K128" s="77">
        <v>2.32178</v>
      </c>
      <c r="L128" s="77">
        <v>4.6055400000000004</v>
      </c>
      <c r="M128" s="77">
        <v>82.498099999999994</v>
      </c>
      <c r="N128" s="77">
        <v>89.692700000000002</v>
      </c>
      <c r="O128" s="77">
        <v>86.699700000000007</v>
      </c>
      <c r="P128" s="77">
        <v>87.283299999999997</v>
      </c>
    </row>
    <row r="129" spans="1:16">
      <c r="A129" s="74" t="s">
        <v>405</v>
      </c>
      <c r="B129" s="74" t="s">
        <v>406</v>
      </c>
      <c r="C129" s="76">
        <v>44910</v>
      </c>
      <c r="D129" s="74" t="s">
        <v>224</v>
      </c>
      <c r="E129" s="77">
        <v>33.847659999999998</v>
      </c>
      <c r="F129" s="77">
        <v>41.203569999999999</v>
      </c>
      <c r="G129" s="77">
        <v>48.002000000000002</v>
      </c>
      <c r="H129" s="77">
        <v>46.322209999999998</v>
      </c>
      <c r="I129" s="77">
        <v>6.5809899999999999</v>
      </c>
      <c r="J129" s="77">
        <v>8.18764</v>
      </c>
      <c r="K129" s="77">
        <v>8.2672899999999991</v>
      </c>
      <c r="L129" s="77">
        <v>1.5129699999999999</v>
      </c>
      <c r="M129" s="77">
        <v>37.057299999999998</v>
      </c>
      <c r="N129" s="77">
        <v>37.9983</v>
      </c>
      <c r="O129" s="77">
        <v>37.353299999999997</v>
      </c>
      <c r="P129" s="77">
        <v>42.303800000000003</v>
      </c>
    </row>
    <row r="130" spans="1:16">
      <c r="A130" s="74" t="s">
        <v>432</v>
      </c>
      <c r="B130" s="74" t="s">
        <v>433</v>
      </c>
      <c r="C130" s="76">
        <v>45761</v>
      </c>
      <c r="D130" s="74" t="s">
        <v>224</v>
      </c>
      <c r="G130" s="77">
        <v>14.99296</v>
      </c>
      <c r="H130" s="77">
        <v>32.902529999999999</v>
      </c>
      <c r="K130" s="77">
        <v>-4.0227500000000003</v>
      </c>
      <c r="L130" s="77">
        <v>-17.199809999999999</v>
      </c>
      <c r="O130" s="77">
        <v>7.0236000000000001</v>
      </c>
      <c r="P130" s="77">
        <v>8.7828999999999997</v>
      </c>
    </row>
    <row r="131" spans="1:16">
      <c r="A131" s="74" t="s">
        <v>1032</v>
      </c>
      <c r="B131" s="74" t="s">
        <v>1033</v>
      </c>
      <c r="C131" s="76">
        <v>44788</v>
      </c>
      <c r="D131" s="74" t="s">
        <v>224</v>
      </c>
      <c r="L131" s="77">
        <v>-1.5652397091121</v>
      </c>
    </row>
    <row r="132" spans="1:16">
      <c r="A132" s="74" t="s">
        <v>1006</v>
      </c>
      <c r="B132" s="74" t="s">
        <v>1007</v>
      </c>
      <c r="C132" s="76">
        <v>46001</v>
      </c>
      <c r="D132" s="74" t="s">
        <v>224</v>
      </c>
    </row>
    <row r="133" spans="1:16">
      <c r="A133" s="74" t="s">
        <v>316</v>
      </c>
      <c r="B133" s="74" t="s">
        <v>317</v>
      </c>
      <c r="C133" s="76">
        <v>45266</v>
      </c>
      <c r="D133" s="74" t="s">
        <v>224</v>
      </c>
      <c r="E133" s="77">
        <v>55.161050000000003</v>
      </c>
      <c r="F133" s="77">
        <v>81.453490000000002</v>
      </c>
      <c r="G133" s="77">
        <v>99.015659999999997</v>
      </c>
      <c r="H133" s="77">
        <v>150.37027</v>
      </c>
      <c r="I133" s="77">
        <v>20.025480000000002</v>
      </c>
      <c r="J133" s="77">
        <v>34.881729999999997</v>
      </c>
      <c r="K133" s="77">
        <v>-29.973030000000001</v>
      </c>
      <c r="L133" s="77">
        <v>9.9286600000000007</v>
      </c>
      <c r="M133" s="77">
        <v>27.8231</v>
      </c>
      <c r="N133" s="77">
        <v>38.8429</v>
      </c>
      <c r="O133" s="77">
        <v>7.7169999999999996</v>
      </c>
      <c r="P133" s="77">
        <v>13.7539</v>
      </c>
    </row>
    <row r="134" spans="1:16">
      <c r="A134" s="74" t="s">
        <v>862</v>
      </c>
      <c r="B134" s="74" t="s">
        <v>863</v>
      </c>
      <c r="C134" s="76">
        <v>45950</v>
      </c>
      <c r="D134" s="74" t="s">
        <v>224</v>
      </c>
      <c r="H134" s="77">
        <v>2.1246499999999999</v>
      </c>
      <c r="L134" s="77">
        <v>0.68981000000000003</v>
      </c>
      <c r="P134" s="77">
        <v>80.988399999999999</v>
      </c>
    </row>
    <row r="135" spans="1:16">
      <c r="A135" s="74" t="s">
        <v>424</v>
      </c>
      <c r="B135" s="74" t="s">
        <v>425</v>
      </c>
      <c r="C135" s="76">
        <v>45895</v>
      </c>
      <c r="D135" s="74" t="s">
        <v>224</v>
      </c>
      <c r="G135" s="77">
        <v>24.40203</v>
      </c>
      <c r="H135" s="77">
        <v>40.724800000000002</v>
      </c>
      <c r="K135" s="77">
        <v>-0.53544999999999998</v>
      </c>
      <c r="L135" s="77">
        <v>2.81019</v>
      </c>
      <c r="O135" s="77">
        <v>7.5143000000000004</v>
      </c>
      <c r="P135" s="77">
        <v>16.9331</v>
      </c>
    </row>
    <row r="136" spans="1:16">
      <c r="A136" s="74" t="s">
        <v>529</v>
      </c>
      <c r="B136" s="74" t="s">
        <v>530</v>
      </c>
      <c r="C136" s="76">
        <v>45834</v>
      </c>
      <c r="D136" s="74" t="s">
        <v>224</v>
      </c>
      <c r="H136" s="77">
        <v>16.74654</v>
      </c>
      <c r="L136" s="77">
        <v>1.7088699999999999</v>
      </c>
      <c r="P136" s="77">
        <v>51.439500000000002</v>
      </c>
    </row>
    <row r="137" spans="1:16">
      <c r="A137" s="74" t="s">
        <v>639</v>
      </c>
      <c r="B137" s="74" t="s">
        <v>640</v>
      </c>
      <c r="C137" s="76">
        <v>44699</v>
      </c>
      <c r="D137" s="74" t="s">
        <v>224</v>
      </c>
      <c r="E137" s="77">
        <v>6.7782600000000004</v>
      </c>
      <c r="F137" s="77">
        <v>12.0032</v>
      </c>
      <c r="G137" s="77">
        <v>16.967400000000001</v>
      </c>
      <c r="H137" s="77">
        <v>37.562010000000001</v>
      </c>
      <c r="I137" s="77">
        <v>-0.30957000000000001</v>
      </c>
      <c r="J137" s="77">
        <v>2.5533399999999999</v>
      </c>
      <c r="K137" s="77">
        <v>3.80932</v>
      </c>
      <c r="L137" s="77">
        <v>3.7730899999999998</v>
      </c>
      <c r="M137" s="77">
        <v>44.1402</v>
      </c>
      <c r="N137" s="77">
        <v>54.643300000000004</v>
      </c>
      <c r="O137" s="77">
        <v>52.991999999999997</v>
      </c>
      <c r="P137" s="77">
        <v>34.815199999999997</v>
      </c>
    </row>
    <row r="138" spans="1:16">
      <c r="A138" s="74" t="s">
        <v>430</v>
      </c>
      <c r="B138" s="74" t="s">
        <v>431</v>
      </c>
      <c r="C138" s="76">
        <v>44917</v>
      </c>
      <c r="D138" s="74" t="s">
        <v>224</v>
      </c>
      <c r="E138" s="77">
        <v>28.743210000000001</v>
      </c>
      <c r="F138" s="77">
        <v>33.816330000000001</v>
      </c>
      <c r="G138" s="77">
        <v>36.18882</v>
      </c>
      <c r="H138" s="77">
        <v>26.753309999999999</v>
      </c>
      <c r="I138" s="77">
        <v>0.62570999999999999</v>
      </c>
      <c r="J138" s="77">
        <v>2.03457</v>
      </c>
      <c r="K138" s="77">
        <v>3.3888699999999998</v>
      </c>
      <c r="L138" s="77">
        <v>1.4710399999999999</v>
      </c>
      <c r="M138" s="77">
        <v>60.862099999999998</v>
      </c>
      <c r="N138" s="77">
        <v>64.660799999999995</v>
      </c>
      <c r="O138" s="77">
        <v>65.231200000000001</v>
      </c>
      <c r="P138" s="77">
        <v>63.529800000000002</v>
      </c>
    </row>
    <row r="139" spans="1:16">
      <c r="A139" s="74" t="s">
        <v>413</v>
      </c>
      <c r="B139" s="74" t="s">
        <v>414</v>
      </c>
      <c r="C139" s="76">
        <v>45372</v>
      </c>
      <c r="D139" s="74" t="s">
        <v>224</v>
      </c>
      <c r="F139" s="77">
        <v>18.209320000000002</v>
      </c>
      <c r="G139" s="77">
        <v>20.81579</v>
      </c>
      <c r="H139" s="77">
        <v>38.414000000000001</v>
      </c>
      <c r="J139" s="77">
        <v>0.27879999999999999</v>
      </c>
      <c r="K139" s="77">
        <v>2.0229400000000002</v>
      </c>
      <c r="L139" s="77">
        <v>3.9633699999999998</v>
      </c>
      <c r="N139" s="77">
        <v>6.2343000000000002</v>
      </c>
      <c r="O139" s="77">
        <v>12.0457</v>
      </c>
      <c r="P139" s="77">
        <v>16.4894</v>
      </c>
    </row>
    <row r="140" spans="1:16">
      <c r="A140" s="74" t="s">
        <v>894</v>
      </c>
      <c r="B140" s="74" t="s">
        <v>895</v>
      </c>
      <c r="C140" s="76">
        <v>44615</v>
      </c>
      <c r="D140" s="74" t="s">
        <v>224</v>
      </c>
      <c r="H140" s="77">
        <v>0.15572</v>
      </c>
      <c r="I140" s="77">
        <v>-4.4703600000000003</v>
      </c>
      <c r="J140" s="77">
        <v>-5.8184899999999997</v>
      </c>
      <c r="K140" s="77">
        <v>-10.109959999999999</v>
      </c>
      <c r="L140" s="77">
        <v>-6.8905200000000004</v>
      </c>
      <c r="P140" s="77">
        <v>87.124300000000005</v>
      </c>
    </row>
    <row r="141" spans="1:16">
      <c r="A141" s="74" t="s">
        <v>864</v>
      </c>
      <c r="B141" s="74" t="s">
        <v>865</v>
      </c>
      <c r="C141" s="76">
        <v>46007</v>
      </c>
      <c r="D141" s="74" t="s">
        <v>224</v>
      </c>
      <c r="H141" s="77">
        <v>1.41831</v>
      </c>
      <c r="L141" s="77">
        <v>0.24279999999999999</v>
      </c>
      <c r="P141" s="77">
        <v>25.1144</v>
      </c>
    </row>
    <row r="142" spans="1:16">
      <c r="A142" s="74" t="s">
        <v>540</v>
      </c>
      <c r="B142" s="74" t="s">
        <v>541</v>
      </c>
      <c r="C142" s="76">
        <v>45567</v>
      </c>
      <c r="D142" s="74" t="s">
        <v>224</v>
      </c>
      <c r="G142" s="77">
        <v>6.75345</v>
      </c>
      <c r="H142" s="77">
        <v>7.6848200000000002</v>
      </c>
      <c r="K142" s="77">
        <v>0.31718000000000002</v>
      </c>
      <c r="L142" s="77">
        <v>1.0876999999999999</v>
      </c>
      <c r="O142" s="77">
        <v>18.7346</v>
      </c>
      <c r="P142" s="77">
        <v>35.822600000000001</v>
      </c>
    </row>
    <row r="143" spans="1:16">
      <c r="A143" s="74" t="s">
        <v>1030</v>
      </c>
      <c r="B143" s="74" t="s">
        <v>1031</v>
      </c>
      <c r="C143" s="76">
        <v>44651</v>
      </c>
      <c r="D143" s="74" t="s">
        <v>224</v>
      </c>
      <c r="I143" s="77">
        <v>-1.3827</v>
      </c>
      <c r="J143" s="77">
        <v>-1.794</v>
      </c>
      <c r="K143" s="77">
        <v>-6.5756100000000002</v>
      </c>
      <c r="L143" s="77">
        <v>-7.2270300000000001</v>
      </c>
    </row>
    <row r="144" spans="1:16">
      <c r="A144" s="74" t="s">
        <v>422</v>
      </c>
      <c r="B144" s="74" t="s">
        <v>423</v>
      </c>
      <c r="C144" s="76">
        <v>45646</v>
      </c>
      <c r="D144" s="74" t="s">
        <v>224</v>
      </c>
      <c r="G144" s="77">
        <v>26.457730000000002</v>
      </c>
      <c r="H144" s="77">
        <v>32.1342</v>
      </c>
      <c r="K144" s="77">
        <v>2.2711899999999998</v>
      </c>
      <c r="L144" s="77">
        <v>2.37574</v>
      </c>
      <c r="O144" s="77">
        <v>65.490499999999997</v>
      </c>
      <c r="P144" s="77">
        <v>66.144499999999994</v>
      </c>
    </row>
    <row r="145" spans="1:16">
      <c r="A145" s="74" t="s">
        <v>468</v>
      </c>
      <c r="B145" s="74" t="s">
        <v>469</v>
      </c>
      <c r="C145" s="76">
        <v>44630</v>
      </c>
      <c r="D145" s="74" t="s">
        <v>224</v>
      </c>
      <c r="E145" s="77">
        <v>7.8832300000000002</v>
      </c>
      <c r="F145" s="77">
        <v>9.4420999999999999</v>
      </c>
      <c r="G145" s="77">
        <v>15.155250000000001</v>
      </c>
      <c r="H145" s="77">
        <v>24.36035</v>
      </c>
      <c r="I145" s="77">
        <v>0.22624</v>
      </c>
      <c r="J145" s="77">
        <v>0.77124000000000004</v>
      </c>
      <c r="K145" s="77">
        <v>1.7797700000000001</v>
      </c>
      <c r="L145" s="77">
        <v>3.36002</v>
      </c>
      <c r="M145" s="77">
        <v>19.2209</v>
      </c>
      <c r="N145" s="77">
        <v>24.866199999999999</v>
      </c>
      <c r="O145" s="77">
        <v>31.014600000000002</v>
      </c>
      <c r="P145" s="77">
        <v>30.125599999999999</v>
      </c>
    </row>
    <row r="146" spans="1:16">
      <c r="A146" s="74" t="s">
        <v>436</v>
      </c>
      <c r="B146" s="74" t="s">
        <v>437</v>
      </c>
      <c r="C146" s="76">
        <v>45793</v>
      </c>
      <c r="D146" s="74" t="s">
        <v>224</v>
      </c>
      <c r="E146" s="77">
        <v>17.364940000000001</v>
      </c>
      <c r="F146" s="77">
        <v>15.694800000000001</v>
      </c>
      <c r="G146" s="77">
        <v>22.926780000000001</v>
      </c>
      <c r="H146" s="77">
        <v>23.754529999999999</v>
      </c>
      <c r="I146" s="77">
        <v>1.0606800000000001</v>
      </c>
      <c r="J146" s="77">
        <v>-0.55262</v>
      </c>
      <c r="K146" s="77">
        <v>1.13856</v>
      </c>
      <c r="L146" s="77">
        <v>0.16578999999999999</v>
      </c>
    </row>
    <row r="147" spans="1:16">
      <c r="A147" s="74" t="s">
        <v>428</v>
      </c>
      <c r="B147" s="74" t="s">
        <v>429</v>
      </c>
      <c r="C147" s="76">
        <v>44673</v>
      </c>
      <c r="D147" s="74" t="s">
        <v>224</v>
      </c>
      <c r="E147" s="77">
        <v>6.7051100000000003</v>
      </c>
      <c r="F147" s="77">
        <v>13.52196</v>
      </c>
      <c r="G147" s="77">
        <v>29.593240000000002</v>
      </c>
      <c r="H147" s="77">
        <v>36.049190000000003</v>
      </c>
      <c r="I147" s="77">
        <v>-10.042199999999999</v>
      </c>
      <c r="J147" s="77">
        <v>-5.1755000000000004</v>
      </c>
      <c r="K147" s="77">
        <v>-12.988799999999999</v>
      </c>
      <c r="L147" s="77">
        <v>-15.81157</v>
      </c>
      <c r="M147" s="77">
        <v>46.571899999999999</v>
      </c>
      <c r="N147" s="77">
        <v>56.041899999999998</v>
      </c>
      <c r="O147" s="77">
        <v>52.508600000000001</v>
      </c>
      <c r="P147" s="77">
        <v>50.155099999999997</v>
      </c>
    </row>
    <row r="148" spans="1:16">
      <c r="A148" s="74" t="s">
        <v>876</v>
      </c>
      <c r="B148" s="74" t="s">
        <v>877</v>
      </c>
      <c r="C148" s="76">
        <v>45649</v>
      </c>
      <c r="D148" s="74" t="s">
        <v>224</v>
      </c>
      <c r="G148" s="77">
        <v>1.7431399999999999</v>
      </c>
      <c r="H148" s="77">
        <v>2.4101300000000001</v>
      </c>
      <c r="K148" s="77">
        <v>-0.41558</v>
      </c>
      <c r="L148" s="77">
        <v>-0.52476999999999996</v>
      </c>
      <c r="O148" s="77">
        <v>50.529499999999999</v>
      </c>
      <c r="P148" s="77">
        <v>40.7517</v>
      </c>
    </row>
    <row r="149" spans="1:16">
      <c r="A149" s="74" t="s">
        <v>886</v>
      </c>
      <c r="B149" s="74" t="s">
        <v>887</v>
      </c>
      <c r="C149" s="76">
        <v>46147</v>
      </c>
      <c r="D149" s="74" t="s">
        <v>224</v>
      </c>
      <c r="H149" s="77">
        <v>1.4659599999999999</v>
      </c>
      <c r="L149" s="77">
        <v>0.40342</v>
      </c>
      <c r="P149" s="77">
        <v>70.901700000000005</v>
      </c>
    </row>
    <row r="150" spans="1:16">
      <c r="A150" s="74" t="s">
        <v>407</v>
      </c>
      <c r="B150" s="74" t="s">
        <v>408</v>
      </c>
      <c r="C150" s="76">
        <v>45211</v>
      </c>
      <c r="D150" s="74" t="s">
        <v>224</v>
      </c>
      <c r="F150" s="77">
        <v>23.27008</v>
      </c>
      <c r="G150" s="77">
        <v>35.982509999999998</v>
      </c>
      <c r="H150" s="77">
        <v>45.3292</v>
      </c>
      <c r="J150" s="77">
        <v>0.13974</v>
      </c>
      <c r="K150" s="77">
        <v>-1.72864</v>
      </c>
      <c r="L150" s="77">
        <v>-5.6421900000000003</v>
      </c>
      <c r="N150" s="77">
        <v>17.3903</v>
      </c>
      <c r="O150" s="77">
        <v>14.9389</v>
      </c>
      <c r="P150" s="77">
        <v>17.197500000000002</v>
      </c>
    </row>
    <row r="151" spans="1:16">
      <c r="A151" s="74" t="s">
        <v>342</v>
      </c>
      <c r="B151" s="74" t="s">
        <v>343</v>
      </c>
      <c r="C151" s="76">
        <v>45252</v>
      </c>
      <c r="D151" s="74" t="s">
        <v>224</v>
      </c>
      <c r="E151" s="77">
        <v>88.261560000000003</v>
      </c>
      <c r="F151" s="77">
        <v>101.4862</v>
      </c>
      <c r="G151" s="77">
        <v>132.78369000000001</v>
      </c>
      <c r="H151" s="77">
        <v>128.44821999999999</v>
      </c>
      <c r="I151" s="77">
        <v>3.46896</v>
      </c>
      <c r="J151" s="77">
        <v>2.1635599999999999</v>
      </c>
      <c r="K151" s="77">
        <v>1.2483</v>
      </c>
      <c r="L151" s="77">
        <v>1.5088200000000001</v>
      </c>
      <c r="M151" s="77">
        <v>13.606400000000001</v>
      </c>
      <c r="N151" s="77">
        <v>14.0718</v>
      </c>
      <c r="O151" s="77">
        <v>13.1637</v>
      </c>
      <c r="P151" s="77">
        <v>14.3408</v>
      </c>
    </row>
    <row r="152" spans="1:16">
      <c r="A152" s="74" t="s">
        <v>745</v>
      </c>
      <c r="B152" s="74" t="s">
        <v>746</v>
      </c>
      <c r="C152" s="76">
        <v>45834</v>
      </c>
      <c r="D152" s="74" t="s">
        <v>224</v>
      </c>
      <c r="G152" s="77">
        <v>2.5876199999999998</v>
      </c>
      <c r="H152" s="77">
        <v>4.7152200000000004</v>
      </c>
      <c r="K152" s="77">
        <v>-1.19401</v>
      </c>
      <c r="L152" s="77">
        <v>-4.0749599999999999</v>
      </c>
      <c r="O152" s="77">
        <v>30.6432</v>
      </c>
      <c r="P152" s="77">
        <v>29.930700000000002</v>
      </c>
    </row>
    <row r="153" spans="1:16">
      <c r="A153" s="74" t="s">
        <v>978</v>
      </c>
      <c r="B153" s="74" t="s">
        <v>979</v>
      </c>
      <c r="C153" s="76">
        <v>46111</v>
      </c>
      <c r="D153" s="74" t="s">
        <v>224</v>
      </c>
    </row>
    <row r="154" spans="1:16">
      <c r="A154" s="74" t="s">
        <v>1000</v>
      </c>
      <c r="B154" s="74" t="s">
        <v>1001</v>
      </c>
      <c r="C154" s="76">
        <v>45106</v>
      </c>
      <c r="D154" s="74" t="s">
        <v>224</v>
      </c>
      <c r="J154" s="77">
        <v>-2.5710799999999998</v>
      </c>
      <c r="K154" s="77">
        <v>-7.4896399999999996</v>
      </c>
      <c r="L154" s="77">
        <v>-7.8159400000000003</v>
      </c>
    </row>
    <row r="155" spans="1:16">
      <c r="A155" s="74" t="s">
        <v>401</v>
      </c>
      <c r="B155" s="74" t="s">
        <v>402</v>
      </c>
      <c r="C155" s="76">
        <v>45211</v>
      </c>
      <c r="D155" s="74" t="s">
        <v>224</v>
      </c>
      <c r="E155" s="77">
        <v>24.944800000000001</v>
      </c>
      <c r="F155" s="77">
        <v>23.78332</v>
      </c>
      <c r="G155" s="77">
        <v>34.176870000000001</v>
      </c>
      <c r="H155" s="77">
        <v>47.83023</v>
      </c>
      <c r="I155" s="77">
        <v>0.69633999999999996</v>
      </c>
      <c r="J155" s="77">
        <v>0.40293000000000001</v>
      </c>
      <c r="K155" s="77">
        <v>0.59260000000000002</v>
      </c>
      <c r="L155" s="77">
        <v>1.1802999999999999</v>
      </c>
      <c r="M155" s="77">
        <v>13.684699999999999</v>
      </c>
      <c r="N155" s="77">
        <v>12.034700000000001</v>
      </c>
      <c r="O155" s="77">
        <v>11.3268</v>
      </c>
      <c r="P155" s="77">
        <v>11.735900000000001</v>
      </c>
    </row>
    <row r="156" spans="1:16">
      <c r="A156" s="74" t="s">
        <v>1036</v>
      </c>
      <c r="B156" s="74" t="s">
        <v>1037</v>
      </c>
      <c r="C156" s="76">
        <v>45737</v>
      </c>
      <c r="D156" s="74" t="s">
        <v>224</v>
      </c>
      <c r="J156" s="77">
        <v>-0.98970999999999998</v>
      </c>
      <c r="K156" s="77">
        <v>-4.8477600000000001</v>
      </c>
      <c r="L156" s="77">
        <v>-2.8896700000000002</v>
      </c>
    </row>
    <row r="157" spans="1:16">
      <c r="A157" s="74" t="s">
        <v>647</v>
      </c>
      <c r="B157" s="74" t="s">
        <v>648</v>
      </c>
      <c r="C157" s="76">
        <v>45923</v>
      </c>
      <c r="D157" s="74" t="s">
        <v>224</v>
      </c>
      <c r="H157" s="77">
        <v>5.0720200000000002</v>
      </c>
      <c r="L157" s="77">
        <v>-0.21229000000000001</v>
      </c>
      <c r="P157" s="77">
        <v>47.669600000000003</v>
      </c>
    </row>
    <row r="158" spans="1:16">
      <c r="A158" s="74" t="s">
        <v>1026</v>
      </c>
      <c r="B158" s="74" t="s">
        <v>1027</v>
      </c>
      <c r="C158" s="76">
        <v>45945</v>
      </c>
      <c r="D158" s="74" t="s">
        <v>224</v>
      </c>
      <c r="L158" s="77">
        <v>-5.1226500000000001</v>
      </c>
    </row>
    <row r="159" spans="1:16">
      <c r="A159" s="74" t="s">
        <v>538</v>
      </c>
      <c r="B159" s="74" t="s">
        <v>539</v>
      </c>
      <c r="C159" s="76">
        <v>45632</v>
      </c>
      <c r="D159" s="74" t="s">
        <v>224</v>
      </c>
      <c r="E159" s="77">
        <v>2.6455000000000002</v>
      </c>
      <c r="F159" s="77">
        <v>4.8675499999999996</v>
      </c>
      <c r="G159" s="77">
        <v>8.4819200000000006</v>
      </c>
      <c r="H159" s="77">
        <v>13.282640000000001</v>
      </c>
      <c r="I159" s="77">
        <v>-8.2881300000000007</v>
      </c>
      <c r="J159" s="77">
        <v>-10.754479999999999</v>
      </c>
      <c r="K159" s="77">
        <v>-17.506799999999998</v>
      </c>
      <c r="L159" s="77">
        <v>-8.0740599999999993</v>
      </c>
      <c r="M159" s="77">
        <v>-47.578200000000002</v>
      </c>
      <c r="N159" s="77">
        <v>-7.5101000000000004</v>
      </c>
      <c r="O159" s="77">
        <v>20.365600000000001</v>
      </c>
      <c r="P159" s="77">
        <v>38.034300000000002</v>
      </c>
    </row>
    <row r="160" spans="1:16">
      <c r="A160" s="74" t="s">
        <v>943</v>
      </c>
      <c r="B160" s="74" t="s">
        <v>944</v>
      </c>
      <c r="C160" s="76">
        <v>45946</v>
      </c>
      <c r="D160" s="74" t="s">
        <v>224</v>
      </c>
      <c r="H160" s="77">
        <v>1.6128</v>
      </c>
      <c r="L160" s="77">
        <v>-3.6541999999999999</v>
      </c>
      <c r="P160" s="77">
        <v>24.349599999999999</v>
      </c>
    </row>
    <row r="161" spans="1:16">
      <c r="A161" s="74" t="s">
        <v>832</v>
      </c>
      <c r="B161" s="74" t="s">
        <v>833</v>
      </c>
      <c r="C161" s="76">
        <v>46066</v>
      </c>
      <c r="D161" s="74" t="s">
        <v>224</v>
      </c>
      <c r="H161" s="77">
        <v>3.1299199999999998</v>
      </c>
      <c r="L161" s="77">
        <v>-1.7578</v>
      </c>
      <c r="P161" s="77">
        <v>30.947800000000001</v>
      </c>
    </row>
    <row r="162" spans="1:16">
      <c r="A162" s="74" t="s">
        <v>880</v>
      </c>
      <c r="B162" s="74" t="s">
        <v>881</v>
      </c>
      <c r="C162" s="76">
        <v>46021</v>
      </c>
      <c r="D162" s="74" t="s">
        <v>224</v>
      </c>
      <c r="G162" s="77">
        <v>1.2610699999999999</v>
      </c>
      <c r="H162" s="77">
        <v>1.69977</v>
      </c>
      <c r="K162" s="77">
        <v>-1.4643900000000001</v>
      </c>
      <c r="L162" s="77">
        <v>-1.8984000000000001</v>
      </c>
      <c r="O162" s="77">
        <v>65.153400000000005</v>
      </c>
      <c r="P162" s="77">
        <v>64.953500000000005</v>
      </c>
    </row>
    <row r="163" spans="1:16">
      <c r="A163" s="74" t="s">
        <v>753</v>
      </c>
      <c r="B163" s="74" t="s">
        <v>754</v>
      </c>
      <c r="C163" s="76">
        <v>46105</v>
      </c>
      <c r="D163" s="74" t="s">
        <v>224</v>
      </c>
      <c r="H163" s="77">
        <v>2.1409199999999999</v>
      </c>
      <c r="L163" s="77">
        <v>-2.52372</v>
      </c>
      <c r="P163" s="77">
        <v>22.5992</v>
      </c>
    </row>
    <row r="164" spans="1:16">
      <c r="A164" s="74" t="s">
        <v>637</v>
      </c>
      <c r="B164" s="74" t="s">
        <v>638</v>
      </c>
      <c r="C164" s="76">
        <v>45632</v>
      </c>
      <c r="D164" s="74" t="s">
        <v>224</v>
      </c>
      <c r="G164" s="77">
        <v>5.2410899999999998</v>
      </c>
      <c r="H164" s="77">
        <v>6.0464799999999999</v>
      </c>
      <c r="K164" s="77">
        <v>-5.7280199999999999</v>
      </c>
      <c r="L164" s="77">
        <v>-5.05966</v>
      </c>
      <c r="O164" s="77">
        <v>11.788600000000001</v>
      </c>
      <c r="P164" s="77">
        <v>8.24</v>
      </c>
    </row>
    <row r="165" spans="1:16">
      <c r="A165" s="74" t="s">
        <v>951</v>
      </c>
      <c r="B165" s="74" t="s">
        <v>952</v>
      </c>
      <c r="C165" s="76">
        <v>45958</v>
      </c>
      <c r="D165" s="74" t="s">
        <v>224</v>
      </c>
      <c r="H165" s="77">
        <v>1.00468</v>
      </c>
      <c r="L165" s="77">
        <v>-6.5522600000000004</v>
      </c>
      <c r="P165" s="77">
        <v>29.421299999999999</v>
      </c>
    </row>
    <row r="166" spans="1:16">
      <c r="A166" s="74" t="s">
        <v>658</v>
      </c>
      <c r="B166" s="74" t="s">
        <v>659</v>
      </c>
      <c r="C166" s="76">
        <v>45996</v>
      </c>
      <c r="D166" s="74" t="s">
        <v>224</v>
      </c>
      <c r="H166" s="77">
        <v>4.1809599999999998</v>
      </c>
      <c r="L166" s="77">
        <v>-0.35972999999999999</v>
      </c>
      <c r="P166" s="77">
        <v>61.698300000000003</v>
      </c>
    </row>
    <row r="167" spans="1:16">
      <c r="A167" s="74" t="s">
        <v>998</v>
      </c>
      <c r="B167" s="74" t="s">
        <v>999</v>
      </c>
      <c r="C167" s="76">
        <v>45884</v>
      </c>
      <c r="D167" s="74" t="s">
        <v>224</v>
      </c>
      <c r="L167" s="77">
        <v>-3.00644</v>
      </c>
    </row>
    <row r="168" spans="1:16">
      <c r="A168" s="74" t="s">
        <v>554</v>
      </c>
      <c r="B168" s="74" t="s">
        <v>555</v>
      </c>
      <c r="C168" s="76">
        <v>44642</v>
      </c>
      <c r="D168" s="74" t="s">
        <v>224</v>
      </c>
      <c r="E168" s="77">
        <v>10.802910000000001</v>
      </c>
      <c r="F168" s="77">
        <v>10.99868</v>
      </c>
      <c r="G168" s="77">
        <v>15.15127</v>
      </c>
      <c r="H168" s="77">
        <v>16.235530000000001</v>
      </c>
      <c r="I168" s="77">
        <v>-3.0117799999999999</v>
      </c>
      <c r="J168" s="77">
        <v>-3.1685400000000001</v>
      </c>
      <c r="K168" s="77">
        <v>-5.9942000000000002</v>
      </c>
      <c r="L168" s="77">
        <v>-7.0103200000000001</v>
      </c>
      <c r="M168" s="77">
        <v>15.16</v>
      </c>
      <c r="N168" s="77">
        <v>10.127700000000001</v>
      </c>
      <c r="O168" s="77">
        <v>24.052099999999999</v>
      </c>
      <c r="P168" s="77">
        <v>20.729700000000001</v>
      </c>
    </row>
    <row r="169" spans="1:16">
      <c r="A169" s="74" t="s">
        <v>651</v>
      </c>
      <c r="B169" s="74" t="s">
        <v>652</v>
      </c>
      <c r="C169" s="76">
        <v>45483</v>
      </c>
      <c r="D169" s="74" t="s">
        <v>224</v>
      </c>
      <c r="F169" s="77">
        <v>3.4717099999999999</v>
      </c>
      <c r="G169" s="77">
        <v>4.5993500000000003</v>
      </c>
      <c r="H169" s="77">
        <v>5.1499199999999998</v>
      </c>
      <c r="J169" s="77">
        <v>0.35167999999999999</v>
      </c>
      <c r="K169" s="77">
        <v>0.36895</v>
      </c>
      <c r="L169" s="77">
        <v>-0.87155000000000005</v>
      </c>
      <c r="N169" s="77">
        <v>32.193100000000001</v>
      </c>
      <c r="O169" s="77">
        <v>33.083399999999997</v>
      </c>
      <c r="P169" s="77">
        <v>39.120199999999997</v>
      </c>
    </row>
    <row r="170" spans="1:16">
      <c r="A170" s="74" t="s">
        <v>785</v>
      </c>
      <c r="B170" s="74" t="s">
        <v>786</v>
      </c>
      <c r="C170" s="76">
        <v>45653</v>
      </c>
      <c r="D170" s="74" t="s">
        <v>224</v>
      </c>
      <c r="G170" s="77">
        <v>1.7517400000000001</v>
      </c>
      <c r="H170" s="77">
        <v>2.79358</v>
      </c>
      <c r="K170" s="77">
        <v>-1.3222</v>
      </c>
      <c r="L170" s="77">
        <v>-2.1486399999999999</v>
      </c>
      <c r="O170" s="77">
        <v>9.7051999999999996</v>
      </c>
      <c r="P170" s="77">
        <v>12.0168</v>
      </c>
    </row>
    <row r="171" spans="1:16">
      <c r="A171" s="74" t="s">
        <v>1016</v>
      </c>
      <c r="B171" s="74" t="s">
        <v>1017</v>
      </c>
      <c r="C171" s="76">
        <v>46013</v>
      </c>
      <c r="D171" s="74" t="s">
        <v>224</v>
      </c>
      <c r="L171" s="77">
        <v>-0.85926000000000002</v>
      </c>
    </row>
    <row r="172" spans="1:16">
      <c r="A172" s="74" t="s">
        <v>666</v>
      </c>
      <c r="B172" s="74" t="s">
        <v>667</v>
      </c>
      <c r="C172" s="76">
        <v>44736</v>
      </c>
      <c r="D172" s="74" t="s">
        <v>224</v>
      </c>
      <c r="E172" s="77">
        <v>5.4845699999999997</v>
      </c>
      <c r="F172" s="77">
        <v>5.3040900000000004</v>
      </c>
      <c r="G172" s="77">
        <v>6.6085700000000003</v>
      </c>
      <c r="H172" s="77">
        <v>7.7324799999999998</v>
      </c>
      <c r="I172" s="77">
        <v>-1.8384499999999999</v>
      </c>
      <c r="J172" s="77">
        <v>-6.5822599999999998</v>
      </c>
      <c r="K172" s="77">
        <v>-8.7285400000000006</v>
      </c>
      <c r="L172" s="77">
        <v>-12.054080000000001</v>
      </c>
      <c r="M172" s="77">
        <v>31.560500000000001</v>
      </c>
      <c r="N172" s="77">
        <v>34.571100000000001</v>
      </c>
      <c r="O172" s="77">
        <v>36.577399999999997</v>
      </c>
      <c r="P172" s="77">
        <v>33.832500000000003</v>
      </c>
    </row>
    <row r="173" spans="1:16">
      <c r="A173" s="74" t="s">
        <v>629</v>
      </c>
      <c r="B173" s="74" t="s">
        <v>630</v>
      </c>
      <c r="C173" s="76">
        <v>45379</v>
      </c>
      <c r="D173" s="74" t="s">
        <v>224</v>
      </c>
      <c r="F173" s="77">
        <v>5.8850199999999999</v>
      </c>
      <c r="G173" s="77">
        <v>6.4364400000000002</v>
      </c>
      <c r="H173" s="77">
        <v>7.4274800000000001</v>
      </c>
      <c r="J173" s="77">
        <v>-3.6815899999999999</v>
      </c>
      <c r="K173" s="77">
        <v>-7.4658600000000002</v>
      </c>
      <c r="L173" s="77">
        <v>-9.1654</v>
      </c>
      <c r="N173" s="77">
        <v>64.273499999999999</v>
      </c>
      <c r="O173" s="77">
        <v>68.243300000000005</v>
      </c>
      <c r="P173" s="77">
        <v>62.735799999999998</v>
      </c>
    </row>
    <row r="174" spans="1:16">
      <c r="A174" s="74" t="s">
        <v>596</v>
      </c>
      <c r="B174" s="74" t="s">
        <v>597</v>
      </c>
      <c r="C174" s="76">
        <v>45280</v>
      </c>
      <c r="D174" s="74" t="s">
        <v>224</v>
      </c>
      <c r="F174" s="77">
        <v>0.47654999999999997</v>
      </c>
      <c r="G174" s="77">
        <v>1.7825800000000001</v>
      </c>
      <c r="H174" s="77">
        <v>13.25882</v>
      </c>
      <c r="J174" s="77">
        <v>-0.53827000000000003</v>
      </c>
      <c r="K174" s="77">
        <v>-4.6419899999999998</v>
      </c>
      <c r="L174" s="77">
        <v>-3.4237600000000001</v>
      </c>
      <c r="N174" s="77">
        <v>20.136399999999998</v>
      </c>
      <c r="O174" s="77">
        <v>20.634699999999999</v>
      </c>
      <c r="P174" s="77">
        <v>8.3396000000000008</v>
      </c>
    </row>
    <row r="175" spans="1:16">
      <c r="A175" s="74" t="s">
        <v>856</v>
      </c>
      <c r="B175" s="74" t="s">
        <v>857</v>
      </c>
      <c r="C175" s="76">
        <v>44873</v>
      </c>
      <c r="D175" s="74" t="s">
        <v>224</v>
      </c>
      <c r="E175" s="77">
        <v>1.1645099999999999</v>
      </c>
      <c r="F175" s="77">
        <v>1.48247</v>
      </c>
      <c r="G175" s="77">
        <v>2.2258300000000002</v>
      </c>
      <c r="H175" s="77">
        <v>2.4767000000000001</v>
      </c>
      <c r="I175" s="77">
        <v>0.51909000000000005</v>
      </c>
      <c r="J175" s="77">
        <v>0.68772</v>
      </c>
      <c r="K175" s="77">
        <v>0.58696999999999999</v>
      </c>
      <c r="L175" s="77">
        <v>-0.19813</v>
      </c>
      <c r="M175" s="77">
        <v>88.305000000000007</v>
      </c>
      <c r="N175" s="77">
        <v>89.791399999999996</v>
      </c>
      <c r="O175" s="77">
        <v>88.751199999999997</v>
      </c>
      <c r="P175" s="77">
        <v>88.701099999999997</v>
      </c>
    </row>
    <row r="176" spans="1:16">
      <c r="A176" s="74" t="s">
        <v>761</v>
      </c>
      <c r="B176" s="74" t="s">
        <v>762</v>
      </c>
      <c r="C176" s="76">
        <v>45197</v>
      </c>
      <c r="D176" s="74" t="s">
        <v>224</v>
      </c>
      <c r="E176" s="77">
        <v>3.9963700000000002</v>
      </c>
      <c r="F176" s="77">
        <v>5.0300799999999999</v>
      </c>
      <c r="G176" s="77">
        <v>6.1430199999999999</v>
      </c>
      <c r="H176" s="77">
        <v>6.8741500000000002</v>
      </c>
      <c r="I176" s="77">
        <v>-2.0965799999999999</v>
      </c>
      <c r="J176" s="77">
        <v>-1.96431</v>
      </c>
      <c r="K176" s="77">
        <v>-2.9653700000000001</v>
      </c>
      <c r="L176" s="77">
        <v>-2.41967</v>
      </c>
      <c r="M176" s="77">
        <v>22.145299999999999</v>
      </c>
      <c r="N176" s="77">
        <v>26.661200000000001</v>
      </c>
      <c r="O176" s="77">
        <v>27.710999999999999</v>
      </c>
      <c r="P176" s="77">
        <v>24.504799999999999</v>
      </c>
    </row>
    <row r="177" spans="1:16">
      <c r="A177" s="74" t="s">
        <v>438</v>
      </c>
      <c r="B177" s="74" t="s">
        <v>439</v>
      </c>
      <c r="C177" s="76">
        <v>44869</v>
      </c>
      <c r="D177" s="74" t="s">
        <v>224</v>
      </c>
      <c r="E177" s="77">
        <v>9.5670199999999994</v>
      </c>
      <c r="F177" s="77">
        <v>11.90479</v>
      </c>
      <c r="G177" s="77">
        <v>15.52486</v>
      </c>
      <c r="H177" s="77">
        <v>23.644449999999999</v>
      </c>
      <c r="I177" s="77">
        <v>5.5225999999999997</v>
      </c>
      <c r="J177" s="77">
        <v>8.2645</v>
      </c>
      <c r="K177" s="77">
        <v>8.2813199999999991</v>
      </c>
      <c r="L177" s="77">
        <v>10.020250000000001</v>
      </c>
      <c r="M177" s="77">
        <v>83.276899999999998</v>
      </c>
      <c r="N177" s="77">
        <v>84.593599999999995</v>
      </c>
      <c r="O177" s="77">
        <v>87.236699999999999</v>
      </c>
      <c r="P177" s="77">
        <v>84.385099999999994</v>
      </c>
    </row>
    <row r="178" spans="1:16">
      <c r="A178" s="74" t="s">
        <v>455</v>
      </c>
      <c r="B178" s="74" t="s">
        <v>456</v>
      </c>
      <c r="C178" s="76">
        <v>45013</v>
      </c>
      <c r="D178" s="74" t="s">
        <v>224</v>
      </c>
      <c r="E178" s="77">
        <v>8.3662899999999993</v>
      </c>
      <c r="F178" s="77">
        <v>11.04053</v>
      </c>
      <c r="G178" s="77">
        <v>16.11327</v>
      </c>
      <c r="H178" s="77">
        <v>20.207889999999999</v>
      </c>
      <c r="I178" s="77">
        <v>-1.8154999999999999</v>
      </c>
      <c r="J178" s="77">
        <v>-2.7404999999999999</v>
      </c>
      <c r="K178" s="77">
        <v>-4.7106300000000001</v>
      </c>
      <c r="L178" s="77">
        <v>-2.2263199999999999</v>
      </c>
      <c r="M178" s="77">
        <v>72.739999999999995</v>
      </c>
      <c r="N178" s="77">
        <v>71.875900000000001</v>
      </c>
      <c r="O178" s="77">
        <v>73.588200000000001</v>
      </c>
      <c r="P178" s="77">
        <v>72.796700000000001</v>
      </c>
    </row>
    <row r="179" spans="1:16">
      <c r="A179" s="74" t="s">
        <v>470</v>
      </c>
      <c r="B179" s="74" t="s">
        <v>471</v>
      </c>
      <c r="C179" s="76">
        <v>46013</v>
      </c>
      <c r="D179" s="74" t="s">
        <v>224</v>
      </c>
      <c r="G179" s="77">
        <v>22.236470000000001</v>
      </c>
      <c r="H179" s="77">
        <v>23.364350000000002</v>
      </c>
      <c r="K179" s="77">
        <v>0.69074999999999998</v>
      </c>
      <c r="L179" s="77">
        <v>0.89549999999999996</v>
      </c>
      <c r="O179" s="77">
        <v>15.305</v>
      </c>
      <c r="P179" s="77">
        <v>16.396799999999999</v>
      </c>
    </row>
    <row r="180" spans="1:16">
      <c r="A180" s="74" t="s">
        <v>680</v>
      </c>
      <c r="B180" s="74" t="s">
        <v>681</v>
      </c>
      <c r="C180" s="76">
        <v>44805</v>
      </c>
      <c r="D180" s="74" t="s">
        <v>224</v>
      </c>
      <c r="E180" s="77">
        <v>1.6987399999999999</v>
      </c>
      <c r="F180" s="77">
        <v>2.5354199999999998</v>
      </c>
      <c r="G180" s="77">
        <v>3.54555</v>
      </c>
      <c r="H180" s="77">
        <v>5.3388099999999996</v>
      </c>
      <c r="I180" s="77">
        <v>-2.6324299999999998</v>
      </c>
      <c r="J180" s="77">
        <v>-4.2809100000000004</v>
      </c>
      <c r="K180" s="77">
        <v>-5.4557599999999997</v>
      </c>
      <c r="L180" s="77">
        <v>-6.01945</v>
      </c>
      <c r="M180" s="77">
        <v>57.183</v>
      </c>
      <c r="N180" s="77">
        <v>65.864000000000004</v>
      </c>
      <c r="O180" s="77">
        <v>69.788899999999998</v>
      </c>
      <c r="P180" s="77">
        <v>73.377799999999993</v>
      </c>
    </row>
    <row r="181" spans="1:16">
      <c r="A181" s="74" t="s">
        <v>751</v>
      </c>
      <c r="B181" s="74" t="s">
        <v>752</v>
      </c>
      <c r="C181" s="76">
        <v>46105</v>
      </c>
      <c r="D181" s="74" t="s">
        <v>224</v>
      </c>
      <c r="H181" s="77">
        <v>6.5692399999999997</v>
      </c>
      <c r="L181" s="77">
        <v>-2.0933799999999998</v>
      </c>
      <c r="P181" s="77">
        <v>15.744300000000001</v>
      </c>
    </row>
    <row r="182" spans="1:16">
      <c r="A182" s="74" t="s">
        <v>1010</v>
      </c>
      <c r="B182" s="74" t="s">
        <v>1011</v>
      </c>
      <c r="C182" s="76">
        <v>45841</v>
      </c>
      <c r="D182" s="74" t="s">
        <v>224</v>
      </c>
      <c r="K182" s="77">
        <v>-1.957849956</v>
      </c>
      <c r="L182" s="77">
        <v>-4.6549993479999996</v>
      </c>
    </row>
    <row r="183" spans="1:16">
      <c r="A183" s="74" t="s">
        <v>844</v>
      </c>
      <c r="B183" s="74" t="s">
        <v>845</v>
      </c>
      <c r="C183" s="76">
        <v>45043</v>
      </c>
      <c r="D183" s="74" t="s">
        <v>224</v>
      </c>
      <c r="E183" s="77">
        <v>1.65391</v>
      </c>
      <c r="F183" s="77">
        <v>2.1585399999999999</v>
      </c>
      <c r="G183" s="77">
        <v>2.9773100000000001</v>
      </c>
      <c r="H183" s="77">
        <v>3.4895</v>
      </c>
      <c r="I183" s="77">
        <v>0.17016999999999999</v>
      </c>
      <c r="J183" s="77">
        <v>0.28914000000000001</v>
      </c>
      <c r="K183" s="77">
        <v>-1.5103</v>
      </c>
      <c r="L183" s="77">
        <v>-0.99880999999999998</v>
      </c>
      <c r="M183" s="77">
        <v>57.9923</v>
      </c>
      <c r="N183" s="77">
        <v>54.2181</v>
      </c>
      <c r="O183" s="77">
        <v>63.752200000000002</v>
      </c>
      <c r="P183" s="77">
        <v>59.126199999999997</v>
      </c>
    </row>
    <row r="184" spans="1:16">
      <c r="A184" s="74" t="s">
        <v>747</v>
      </c>
      <c r="B184" s="74" t="s">
        <v>748</v>
      </c>
      <c r="C184" s="76">
        <v>45938</v>
      </c>
      <c r="D184" s="74" t="s">
        <v>224</v>
      </c>
      <c r="G184" s="77">
        <v>0.41986000000000001</v>
      </c>
      <c r="H184" s="77">
        <v>3.4912700000000001</v>
      </c>
      <c r="K184" s="77">
        <v>-1.3172600000000001</v>
      </c>
      <c r="L184" s="77">
        <v>-0.49398999999999998</v>
      </c>
      <c r="O184" s="77">
        <v>52.791400000000003</v>
      </c>
      <c r="P184" s="77">
        <v>76.606800000000007</v>
      </c>
    </row>
    <row r="185" spans="1:16">
      <c r="A185" s="74" t="s">
        <v>783</v>
      </c>
      <c r="B185" s="74" t="s">
        <v>784</v>
      </c>
      <c r="C185" s="76">
        <v>46014</v>
      </c>
      <c r="D185" s="74" t="s">
        <v>224</v>
      </c>
      <c r="H185" s="77">
        <v>3.93607</v>
      </c>
      <c r="L185" s="77">
        <v>-2.061E-2</v>
      </c>
      <c r="P185" s="77">
        <v>82.611099999999993</v>
      </c>
    </row>
    <row r="186" spans="1:16">
      <c r="A186" s="74" t="s">
        <v>583</v>
      </c>
      <c r="B186" s="74" t="s">
        <v>584</v>
      </c>
      <c r="C186" s="76">
        <v>44852</v>
      </c>
      <c r="D186" s="74" t="s">
        <v>224</v>
      </c>
      <c r="E186" s="77">
        <v>2.50942</v>
      </c>
      <c r="F186" s="77">
        <v>3.38598</v>
      </c>
      <c r="G186" s="77">
        <v>5.9528999999999996</v>
      </c>
      <c r="H186" s="77">
        <v>10.661569999999999</v>
      </c>
      <c r="I186" s="77">
        <v>0.41879</v>
      </c>
      <c r="J186" s="77">
        <v>0.58882999999999996</v>
      </c>
      <c r="K186" s="77">
        <v>0.70201999999999998</v>
      </c>
      <c r="L186" s="77">
        <v>2.3674599999999999</v>
      </c>
      <c r="M186" s="77">
        <v>30.0169</v>
      </c>
      <c r="N186" s="77">
        <v>30.922799999999999</v>
      </c>
      <c r="O186" s="77">
        <v>29.484100000000002</v>
      </c>
      <c r="P186" s="77">
        <v>35.078800000000001</v>
      </c>
    </row>
    <row r="187" spans="1:16">
      <c r="A187" s="74" t="s">
        <v>579</v>
      </c>
      <c r="B187" s="74" t="s">
        <v>580</v>
      </c>
      <c r="C187" s="76">
        <v>45071</v>
      </c>
      <c r="D187" s="74" t="s">
        <v>224</v>
      </c>
      <c r="E187" s="77">
        <v>6.3240600000000002</v>
      </c>
      <c r="F187" s="77">
        <v>8.1314799999999998</v>
      </c>
      <c r="G187" s="77">
        <v>11.837490000000001</v>
      </c>
      <c r="H187" s="77">
        <v>13.71889</v>
      </c>
      <c r="I187" s="77">
        <v>-2.54826</v>
      </c>
      <c r="J187" s="77">
        <v>-0.88444</v>
      </c>
      <c r="K187" s="77">
        <v>-3.48245</v>
      </c>
      <c r="L187" s="77">
        <v>-6.1160699999999997</v>
      </c>
      <c r="M187" s="77">
        <v>37.985999999999997</v>
      </c>
      <c r="N187" s="77">
        <v>41.449399999999997</v>
      </c>
      <c r="O187" s="77">
        <v>47.7485</v>
      </c>
      <c r="P187" s="77">
        <v>45.670099999999998</v>
      </c>
    </row>
    <row r="188" spans="1:16">
      <c r="A188" s="74" t="s">
        <v>497</v>
      </c>
      <c r="B188" s="74" t="s">
        <v>498</v>
      </c>
      <c r="C188" s="76">
        <v>44942</v>
      </c>
      <c r="D188" s="74" t="s">
        <v>224</v>
      </c>
      <c r="E188" s="77">
        <v>14.04752</v>
      </c>
      <c r="F188" s="77">
        <v>15.032959999999999</v>
      </c>
      <c r="G188" s="77">
        <v>17.807400000000001</v>
      </c>
      <c r="H188" s="77">
        <v>16.354140000000001</v>
      </c>
      <c r="I188" s="77">
        <v>1.4032899999999999</v>
      </c>
      <c r="J188" s="77">
        <v>1.50959</v>
      </c>
      <c r="K188" s="77">
        <v>1.93475</v>
      </c>
      <c r="L188" s="77">
        <v>1.0310900000000001</v>
      </c>
      <c r="M188" s="77">
        <v>50.424599999999998</v>
      </c>
      <c r="N188" s="77">
        <v>46.565899999999999</v>
      </c>
      <c r="O188" s="77">
        <v>46.822400000000002</v>
      </c>
      <c r="P188" s="77">
        <v>43.893599999999999</v>
      </c>
    </row>
    <row r="189" spans="1:16">
      <c r="A189" s="74" t="s">
        <v>909</v>
      </c>
      <c r="B189" s="74" t="s">
        <v>910</v>
      </c>
      <c r="C189" s="76">
        <v>45967</v>
      </c>
      <c r="D189" s="74" t="s">
        <v>224</v>
      </c>
    </row>
    <row r="190" spans="1:16">
      <c r="A190" s="74" t="s">
        <v>1008</v>
      </c>
      <c r="B190" s="74" t="s">
        <v>1009</v>
      </c>
      <c r="C190" s="76">
        <v>46014</v>
      </c>
      <c r="D190" s="74" t="s">
        <v>224</v>
      </c>
      <c r="L190" s="77">
        <v>-0.28399999999999997</v>
      </c>
    </row>
    <row r="191" spans="1:16">
      <c r="A191" s="74" t="s">
        <v>970</v>
      </c>
      <c r="B191" s="74" t="s">
        <v>971</v>
      </c>
      <c r="C191" s="76">
        <v>45665</v>
      </c>
      <c r="D191" s="74" t="s">
        <v>224</v>
      </c>
      <c r="G191" s="77">
        <v>2.299E-2</v>
      </c>
      <c r="H191" s="77">
        <v>0.11291</v>
      </c>
      <c r="K191" s="77">
        <v>-6.97837</v>
      </c>
      <c r="L191" s="77">
        <v>-5.0245199999999999</v>
      </c>
      <c r="O191" s="77">
        <v>56.720300000000002</v>
      </c>
      <c r="P191" s="77">
        <v>29.200199999999999</v>
      </c>
    </row>
    <row r="192" spans="1:16">
      <c r="A192" s="74" t="s">
        <v>749</v>
      </c>
      <c r="B192" s="74" t="s">
        <v>750</v>
      </c>
      <c r="C192" s="76">
        <v>45656</v>
      </c>
      <c r="D192" s="74" t="s">
        <v>224</v>
      </c>
      <c r="G192" s="77">
        <v>3.7245200000000001</v>
      </c>
      <c r="H192" s="77">
        <v>4.7186000000000003</v>
      </c>
      <c r="K192" s="77">
        <v>-0.83706999999999998</v>
      </c>
      <c r="L192" s="77">
        <v>-1.8939999999999999</v>
      </c>
      <c r="O192" s="77">
        <v>50.403500000000001</v>
      </c>
      <c r="P192" s="77">
        <v>48.885100000000001</v>
      </c>
    </row>
    <row r="193" spans="1:16">
      <c r="A193" s="74" t="s">
        <v>434</v>
      </c>
      <c r="B193" s="74" t="s">
        <v>435</v>
      </c>
      <c r="C193" s="76">
        <v>44748</v>
      </c>
      <c r="D193" s="74" t="s">
        <v>224</v>
      </c>
      <c r="E193" s="77">
        <v>5.2443799999999996</v>
      </c>
      <c r="F193" s="77">
        <v>8.3912300000000002</v>
      </c>
      <c r="G193" s="77">
        <v>17.567309999999999</v>
      </c>
      <c r="H193" s="77">
        <v>29.880559999999999</v>
      </c>
      <c r="I193" s="77">
        <v>-5.5739700000000001</v>
      </c>
      <c r="J193" s="77">
        <v>-28.669750000000001</v>
      </c>
      <c r="K193" s="77">
        <v>-41.389130000000002</v>
      </c>
      <c r="L193" s="77">
        <v>-16.88937</v>
      </c>
      <c r="M193" s="77">
        <v>11.7402</v>
      </c>
      <c r="N193" s="77">
        <v>27.738</v>
      </c>
      <c r="O193" s="77">
        <v>32.448</v>
      </c>
      <c r="P193" s="77">
        <v>26.508900000000001</v>
      </c>
    </row>
    <row r="194" spans="1:16">
      <c r="A194" s="74" t="s">
        <v>1034</v>
      </c>
      <c r="B194" s="74" t="s">
        <v>1035</v>
      </c>
      <c r="C194" s="76">
        <v>45524</v>
      </c>
      <c r="D194" s="74" t="s">
        <v>224</v>
      </c>
      <c r="H194" s="77">
        <v>0.44241999999999998</v>
      </c>
      <c r="L194" s="77">
        <v>-3.1099299999999999</v>
      </c>
      <c r="P194" s="77">
        <v>45.303100000000001</v>
      </c>
    </row>
    <row r="195" spans="1:16">
      <c r="A195" s="74" t="s">
        <v>335</v>
      </c>
      <c r="B195" s="74" t="s">
        <v>336</v>
      </c>
      <c r="C195" s="76">
        <v>44755</v>
      </c>
      <c r="D195" s="74" t="s">
        <v>224</v>
      </c>
      <c r="E195" s="77">
        <v>93.949110000000005</v>
      </c>
      <c r="F195" s="77">
        <v>89.789860000000004</v>
      </c>
      <c r="G195" s="77">
        <v>90.716589999999997</v>
      </c>
      <c r="H195" s="77">
        <v>100.85648999999999</v>
      </c>
      <c r="I195" s="77">
        <v>-2.9064700000000001</v>
      </c>
      <c r="J195" s="77">
        <v>-2.6226699999999998</v>
      </c>
      <c r="K195" s="77">
        <v>-14.1501</v>
      </c>
      <c r="L195" s="77">
        <v>6.3817000000000004</v>
      </c>
      <c r="M195" s="77">
        <v>26.727</v>
      </c>
      <c r="N195" s="77">
        <v>30.432099999999998</v>
      </c>
      <c r="O195" s="77">
        <v>26.7943</v>
      </c>
      <c r="P195" s="77">
        <v>30.436900000000001</v>
      </c>
    </row>
    <row r="196" spans="1:16">
      <c r="A196" s="74" t="s">
        <v>575</v>
      </c>
      <c r="B196" s="74" t="s">
        <v>576</v>
      </c>
      <c r="C196" s="76">
        <v>45624</v>
      </c>
      <c r="D196" s="74" t="s">
        <v>224</v>
      </c>
      <c r="G196" s="77">
        <v>13.072509999999999</v>
      </c>
      <c r="H196" s="77">
        <v>11.254049999999999</v>
      </c>
      <c r="K196" s="77">
        <v>1.1941299999999999</v>
      </c>
      <c r="L196" s="77">
        <v>0.59867000000000004</v>
      </c>
      <c r="O196" s="77">
        <v>72.702699999999993</v>
      </c>
      <c r="P196" s="77">
        <v>75.9071</v>
      </c>
    </row>
    <row r="197" spans="1:16">
      <c r="A197" s="74" t="s">
        <v>759</v>
      </c>
      <c r="B197" s="74" t="s">
        <v>760</v>
      </c>
      <c r="C197" s="76">
        <v>45300</v>
      </c>
      <c r="D197" s="74" t="s">
        <v>224</v>
      </c>
      <c r="E197" s="77">
        <v>1.2664200000000001</v>
      </c>
      <c r="F197" s="77">
        <v>1.6632100000000001</v>
      </c>
      <c r="G197" s="77">
        <v>4.70505</v>
      </c>
      <c r="H197" s="77">
        <v>4.7217000000000002</v>
      </c>
      <c r="I197" s="77">
        <v>-2.8090000000000002</v>
      </c>
      <c r="J197" s="77">
        <v>-5.8326099999999999</v>
      </c>
      <c r="K197" s="77">
        <v>-8.1659299999999995</v>
      </c>
      <c r="L197" s="77">
        <v>-5.41404</v>
      </c>
      <c r="M197" s="77">
        <v>25.795500000000001</v>
      </c>
      <c r="N197" s="77">
        <v>4.4215999999999998</v>
      </c>
      <c r="O197" s="77">
        <v>-10.0192</v>
      </c>
      <c r="P197" s="77">
        <v>-30.203700000000001</v>
      </c>
    </row>
    <row r="198" spans="1:16">
      <c r="A198" s="74" t="s">
        <v>622</v>
      </c>
      <c r="B198" s="74" t="s">
        <v>623</v>
      </c>
      <c r="C198" s="76">
        <v>45831</v>
      </c>
      <c r="D198" s="74" t="s">
        <v>224</v>
      </c>
      <c r="G198" s="77">
        <v>4.6158599999999996</v>
      </c>
      <c r="H198" s="77">
        <v>8.0265199999999997</v>
      </c>
      <c r="K198" s="77">
        <v>-0.46090999999999999</v>
      </c>
      <c r="L198" s="77">
        <v>-0.58018000000000003</v>
      </c>
      <c r="O198" s="77">
        <v>8.9671000000000003</v>
      </c>
      <c r="P198" s="77">
        <v>9.9117999999999995</v>
      </c>
    </row>
    <row r="199" spans="1:16">
      <c r="A199" s="74" t="s">
        <v>757</v>
      </c>
      <c r="B199" s="74" t="s">
        <v>758</v>
      </c>
      <c r="C199" s="76">
        <v>46010</v>
      </c>
      <c r="D199" s="74" t="s">
        <v>224</v>
      </c>
      <c r="H199" s="77">
        <v>4.8235400000000004</v>
      </c>
      <c r="L199" s="77">
        <v>1.1789000000000001</v>
      </c>
      <c r="P199" s="77">
        <v>36.206800000000001</v>
      </c>
    </row>
    <row r="200" spans="1:16">
      <c r="A200" s="74" t="s">
        <v>352</v>
      </c>
      <c r="B200" s="74" t="s">
        <v>353</v>
      </c>
      <c r="C200" s="76">
        <v>45595</v>
      </c>
      <c r="D200" s="74" t="s">
        <v>224</v>
      </c>
      <c r="E200" s="77">
        <v>16.889591335599999</v>
      </c>
      <c r="F200" s="77">
        <v>19.145990000000001</v>
      </c>
      <c r="G200" s="77">
        <v>40.535049999999998</v>
      </c>
      <c r="H200" s="77">
        <v>140.71643</v>
      </c>
      <c r="I200" s="77">
        <v>1.2740604636999999</v>
      </c>
      <c r="J200" s="77">
        <v>2.0285000000000002</v>
      </c>
      <c r="K200" s="77">
        <v>3.5110299999999999</v>
      </c>
      <c r="L200" s="77">
        <v>7.5289700000000002</v>
      </c>
      <c r="M200" s="77">
        <v>33.6447</v>
      </c>
      <c r="N200" s="77">
        <v>30.7864</v>
      </c>
      <c r="O200" s="77">
        <v>26.637599999999999</v>
      </c>
      <c r="P200" s="77">
        <v>17.292300000000001</v>
      </c>
    </row>
    <row r="201" spans="1:16">
      <c r="A201" s="74" t="s">
        <v>854</v>
      </c>
      <c r="B201" s="74" t="s">
        <v>855</v>
      </c>
      <c r="C201" s="76">
        <v>45989</v>
      </c>
      <c r="D201" s="74" t="s">
        <v>224</v>
      </c>
      <c r="H201" s="77">
        <v>3.2707600000000001</v>
      </c>
      <c r="L201" s="77">
        <v>1.02007</v>
      </c>
      <c r="P201" s="77">
        <v>44.897199999999998</v>
      </c>
    </row>
    <row r="202" spans="1:16">
      <c r="A202" s="74" t="s">
        <v>691</v>
      </c>
      <c r="B202" s="74" t="s">
        <v>692</v>
      </c>
      <c r="C202" s="76">
        <v>45457</v>
      </c>
      <c r="D202" s="74" t="s">
        <v>224</v>
      </c>
      <c r="F202" s="77">
        <v>2.76064</v>
      </c>
      <c r="G202" s="77">
        <v>4.64276</v>
      </c>
      <c r="H202" s="77">
        <v>5.4875299999999996</v>
      </c>
      <c r="J202" s="77">
        <v>0.25385000000000002</v>
      </c>
      <c r="K202" s="77">
        <v>0.12684999999999999</v>
      </c>
      <c r="L202" s="77">
        <v>8.0339999999999995E-2</v>
      </c>
      <c r="N202" s="77">
        <v>19.5578</v>
      </c>
      <c r="O202" s="77">
        <v>12.1557</v>
      </c>
      <c r="P202" s="77">
        <v>12.563599999999999</v>
      </c>
    </row>
    <row r="203" spans="1:16">
      <c r="A203" s="74" t="s">
        <v>297</v>
      </c>
      <c r="B203" s="74" t="s">
        <v>298</v>
      </c>
      <c r="C203" s="76">
        <v>45625</v>
      </c>
      <c r="D203" s="74" t="s">
        <v>224</v>
      </c>
      <c r="F203" s="77">
        <v>108.34468</v>
      </c>
      <c r="G203" s="77">
        <v>168.71</v>
      </c>
      <c r="H203" s="77">
        <v>157.24215000000001</v>
      </c>
      <c r="J203" s="77">
        <v>1.7413000000000001</v>
      </c>
      <c r="K203" s="77">
        <v>2.2061799999999998</v>
      </c>
      <c r="L203" s="77">
        <v>1.8082499999999999</v>
      </c>
      <c r="N203" s="77">
        <v>5.9183000000000003</v>
      </c>
      <c r="O203" s="77">
        <v>3.1797</v>
      </c>
      <c r="P203" s="77">
        <v>4.8285</v>
      </c>
    </row>
    <row r="204" spans="1:16">
      <c r="A204" s="74" t="s">
        <v>371</v>
      </c>
      <c r="B204" s="74" t="s">
        <v>372</v>
      </c>
      <c r="C204" s="76">
        <v>45804</v>
      </c>
      <c r="D204" s="74" t="s">
        <v>224</v>
      </c>
      <c r="E204" s="77">
        <v>29.978070823100001</v>
      </c>
      <c r="F204" s="77">
        <v>43.972168645700002</v>
      </c>
      <c r="G204" s="77">
        <v>51.77657</v>
      </c>
      <c r="H204" s="77">
        <v>53.758839999999999</v>
      </c>
      <c r="I204" s="77">
        <v>3.2625702514000001</v>
      </c>
      <c r="J204" s="77">
        <v>5.5870707470000003</v>
      </c>
      <c r="K204" s="77">
        <v>2.2727900000000001</v>
      </c>
      <c r="L204" s="77">
        <v>1.8398000000000001</v>
      </c>
      <c r="M204" s="77">
        <v>43.201599999999999</v>
      </c>
      <c r="N204" s="77">
        <v>42.952199999999998</v>
      </c>
      <c r="O204" s="77">
        <v>38.332500000000003</v>
      </c>
      <c r="P204" s="77">
        <v>40.530099999999997</v>
      </c>
    </row>
    <row r="205" spans="1:16">
      <c r="A205" s="74" t="s">
        <v>850</v>
      </c>
      <c r="B205" s="74" t="s">
        <v>851</v>
      </c>
      <c r="C205" s="76">
        <v>45838</v>
      </c>
      <c r="D205" s="74" t="s">
        <v>224</v>
      </c>
      <c r="G205" s="77">
        <v>2.8213499999999998</v>
      </c>
      <c r="H205" s="77">
        <v>3.5084</v>
      </c>
      <c r="K205" s="77">
        <v>0.80278000000000005</v>
      </c>
      <c r="L205" s="77">
        <v>0.53979999999999995</v>
      </c>
      <c r="O205" s="77">
        <v>57.071599999999997</v>
      </c>
      <c r="P205" s="77">
        <v>57.310699999999997</v>
      </c>
    </row>
    <row r="206" spans="1:16">
      <c r="A206" s="74" t="s">
        <v>956</v>
      </c>
      <c r="B206" s="74" t="s">
        <v>957</v>
      </c>
      <c r="C206" s="76">
        <v>46111</v>
      </c>
      <c r="D206" s="74" t="s">
        <v>224</v>
      </c>
      <c r="H206" s="77">
        <v>1.01572</v>
      </c>
      <c r="L206" s="77">
        <v>-0.60855000000000004</v>
      </c>
      <c r="P206" s="77">
        <v>30.600999999999999</v>
      </c>
    </row>
    <row r="207" spans="1:16">
      <c r="A207" s="74" t="s">
        <v>664</v>
      </c>
      <c r="B207" s="74" t="s">
        <v>665</v>
      </c>
      <c r="C207" s="76">
        <v>44945</v>
      </c>
      <c r="D207" s="74" t="s">
        <v>224</v>
      </c>
      <c r="E207" s="77">
        <v>6.3143599999999998</v>
      </c>
      <c r="F207" s="77">
        <v>9.2204200000000007</v>
      </c>
      <c r="G207" s="77">
        <v>12.904489999999999</v>
      </c>
      <c r="H207" s="77">
        <v>9.8025400000000005</v>
      </c>
      <c r="I207" s="77">
        <v>1.1902299999999999</v>
      </c>
      <c r="J207" s="77">
        <v>2.9137</v>
      </c>
      <c r="K207" s="77">
        <v>3.3668399999999998</v>
      </c>
      <c r="L207" s="77">
        <v>17.244700000000002</v>
      </c>
      <c r="M207" s="77">
        <v>44.264800000000001</v>
      </c>
      <c r="N207" s="77">
        <v>53.466299999999997</v>
      </c>
      <c r="O207" s="77">
        <v>46.647300000000001</v>
      </c>
      <c r="P207" s="77">
        <v>37.04</v>
      </c>
    </row>
    <row r="208" spans="1:16">
      <c r="A208" s="74" t="s">
        <v>337</v>
      </c>
      <c r="B208" s="74" t="s">
        <v>338</v>
      </c>
      <c r="C208" s="76">
        <v>44942</v>
      </c>
      <c r="D208" s="74" t="s">
        <v>224</v>
      </c>
      <c r="E208" s="77">
        <v>89.761330000000001</v>
      </c>
      <c r="F208" s="77">
        <v>88.536929999999998</v>
      </c>
      <c r="G208" s="77">
        <v>102.89375</v>
      </c>
      <c r="H208" s="77">
        <v>113.11995</v>
      </c>
      <c r="I208" s="77">
        <v>2.4945300000000001</v>
      </c>
      <c r="J208" s="77">
        <v>0.49063000000000001</v>
      </c>
      <c r="K208" s="77">
        <v>2.3034500000000002</v>
      </c>
      <c r="L208" s="77">
        <v>3.2329699999999999</v>
      </c>
      <c r="M208" s="77">
        <v>9.7631999999999994</v>
      </c>
      <c r="N208" s="77">
        <v>9.1196999999999999</v>
      </c>
      <c r="O208" s="77">
        <v>11.239100000000001</v>
      </c>
      <c r="P208" s="77">
        <v>11.618499999999999</v>
      </c>
    </row>
    <row r="209" spans="1:16">
      <c r="A209" s="74" t="s">
        <v>631</v>
      </c>
      <c r="B209" s="74" t="s">
        <v>632</v>
      </c>
      <c r="C209" s="76">
        <v>45439</v>
      </c>
      <c r="D209" s="74" t="s">
        <v>224</v>
      </c>
      <c r="F209" s="77">
        <v>3.6511900000000002</v>
      </c>
      <c r="G209" s="77">
        <v>5.0236799999999997</v>
      </c>
      <c r="H209" s="77">
        <v>5.5361700000000003</v>
      </c>
      <c r="J209" s="77">
        <v>-1.12164</v>
      </c>
      <c r="K209" s="77">
        <v>-1.3946499999999999</v>
      </c>
      <c r="L209" s="77">
        <v>-1.16025</v>
      </c>
      <c r="N209" s="77">
        <v>66.043700000000001</v>
      </c>
      <c r="O209" s="77">
        <v>68.772499999999994</v>
      </c>
      <c r="P209" s="77">
        <v>60.446100000000001</v>
      </c>
    </row>
    <row r="210" spans="1:16">
      <c r="A210" s="74" t="s">
        <v>620</v>
      </c>
      <c r="B210" s="74" t="s">
        <v>621</v>
      </c>
      <c r="C210" s="76">
        <v>44918</v>
      </c>
      <c r="D210" s="74" t="s">
        <v>224</v>
      </c>
      <c r="E210" s="77">
        <v>6.7210106039999999</v>
      </c>
      <c r="F210" s="77">
        <v>5.772709528</v>
      </c>
      <c r="G210" s="77">
        <v>7.4252677340000002</v>
      </c>
      <c r="H210" s="77">
        <v>9.5292443040000006</v>
      </c>
      <c r="I210" s="77">
        <v>0.485403996</v>
      </c>
      <c r="J210" s="77">
        <v>0.46137567899999998</v>
      </c>
      <c r="K210" s="77">
        <v>-0.28333610799999998</v>
      </c>
      <c r="L210" s="77">
        <v>1.2878241859999999</v>
      </c>
      <c r="M210" s="77">
        <v>67.932000000000002</v>
      </c>
      <c r="N210" s="77">
        <v>65.580100000000002</v>
      </c>
      <c r="O210" s="77">
        <v>69.698300000000003</v>
      </c>
      <c r="P210" s="77">
        <v>67.574399999999997</v>
      </c>
    </row>
    <row r="211" spans="1:16">
      <c r="A211" s="74" t="s">
        <v>941</v>
      </c>
      <c r="B211" s="74" t="s">
        <v>942</v>
      </c>
      <c r="C211" s="76">
        <v>46112</v>
      </c>
      <c r="D211" s="74" t="s">
        <v>224</v>
      </c>
      <c r="H211" s="77">
        <v>1.3032699999999999</v>
      </c>
      <c r="L211" s="77">
        <v>-0.65902000000000005</v>
      </c>
      <c r="P211" s="77">
        <v>7.2732000000000001</v>
      </c>
    </row>
    <row r="212" spans="1:16">
      <c r="A212" s="74" t="s">
        <v>355</v>
      </c>
      <c r="B212" s="74" t="s">
        <v>356</v>
      </c>
      <c r="C212" s="76">
        <v>45604</v>
      </c>
      <c r="D212" s="74" t="s">
        <v>224</v>
      </c>
      <c r="G212" s="77">
        <v>90.711929999999995</v>
      </c>
      <c r="H212" s="77">
        <v>71.002300000000005</v>
      </c>
      <c r="K212" s="77">
        <v>-5.8079700000000001</v>
      </c>
      <c r="L212" s="77">
        <v>2.1905399999999999</v>
      </c>
      <c r="O212" s="77">
        <v>20.891400000000001</v>
      </c>
      <c r="P212" s="77">
        <v>34.915100000000002</v>
      </c>
    </row>
    <row r="213" spans="1:16">
      <c r="A213" s="74" t="s">
        <v>947</v>
      </c>
      <c r="B213" s="74" t="s">
        <v>948</v>
      </c>
      <c r="C213" s="76">
        <v>45089</v>
      </c>
      <c r="D213" s="74" t="s">
        <v>224</v>
      </c>
      <c r="G213" s="77">
        <v>2.0379999999999999E-2</v>
      </c>
      <c r="H213" s="77">
        <v>0.11366</v>
      </c>
      <c r="J213" s="77">
        <v>-1.7011099999999999</v>
      </c>
      <c r="K213" s="77">
        <v>-3.1958099999999998</v>
      </c>
      <c r="L213" s="77">
        <v>-5.5583600000000004</v>
      </c>
      <c r="O213" s="77">
        <v>78.998999999999995</v>
      </c>
      <c r="P213" s="77">
        <v>69.8399</v>
      </c>
    </row>
    <row r="214" spans="1:16">
      <c r="A214" s="74" t="s">
        <v>383</v>
      </c>
      <c r="B214" s="74" t="s">
        <v>384</v>
      </c>
      <c r="C214" s="76">
        <v>45232</v>
      </c>
      <c r="D214" s="74" t="s">
        <v>224</v>
      </c>
      <c r="F214" s="77">
        <v>29.64743</v>
      </c>
      <c r="G214" s="77">
        <v>39.578040000000001</v>
      </c>
      <c r="H214" s="77">
        <v>71.734570000000005</v>
      </c>
      <c r="J214" s="77">
        <v>-0.43292000000000003</v>
      </c>
      <c r="K214" s="77">
        <v>-4.6199000000000003</v>
      </c>
      <c r="L214" s="77">
        <v>2.2990699999999999</v>
      </c>
      <c r="N214" s="77">
        <v>11.1058</v>
      </c>
      <c r="O214" s="77">
        <v>8.9768000000000008</v>
      </c>
      <c r="P214" s="77">
        <v>17.410900000000002</v>
      </c>
    </row>
    <row r="215" spans="1:16">
      <c r="A215" s="74" t="s">
        <v>1020</v>
      </c>
      <c r="B215" s="74" t="s">
        <v>1021</v>
      </c>
      <c r="C215" s="76">
        <v>45436</v>
      </c>
      <c r="D215" s="74" t="s">
        <v>224</v>
      </c>
      <c r="K215" s="77">
        <v>-0.70631999999999995</v>
      </c>
      <c r="L215" s="77">
        <v>-0.51988000000000001</v>
      </c>
    </row>
    <row r="216" spans="1:16">
      <c r="A216" s="74" t="s">
        <v>707</v>
      </c>
      <c r="B216" s="74" t="s">
        <v>708</v>
      </c>
      <c r="C216" s="76">
        <v>45999</v>
      </c>
      <c r="D216" s="74" t="s">
        <v>224</v>
      </c>
      <c r="G216" s="77">
        <v>4.1685400000000001</v>
      </c>
      <c r="H216" s="77">
        <v>4.0011099999999997</v>
      </c>
      <c r="K216" s="77">
        <v>0.33739999999999998</v>
      </c>
      <c r="L216" s="77">
        <v>-0.59109999999999996</v>
      </c>
      <c r="O216" s="77">
        <v>51.098199999999999</v>
      </c>
      <c r="P216" s="77">
        <v>44.124000000000002</v>
      </c>
    </row>
    <row r="217" spans="1:16">
      <c r="A217" s="74" t="s">
        <v>505</v>
      </c>
      <c r="B217" s="74" t="s">
        <v>506</v>
      </c>
      <c r="C217" s="76">
        <v>45958</v>
      </c>
      <c r="D217" s="74" t="s">
        <v>224</v>
      </c>
      <c r="H217" s="77">
        <v>18.1754</v>
      </c>
      <c r="L217" s="77">
        <v>1.6609499999999999</v>
      </c>
      <c r="P217" s="77">
        <v>53.342199999999998</v>
      </c>
    </row>
    <row r="218" spans="1:16">
      <c r="A218" s="74" t="s">
        <v>870</v>
      </c>
      <c r="B218" s="74" t="s">
        <v>871</v>
      </c>
      <c r="C218" s="76">
        <v>45909</v>
      </c>
      <c r="D218" s="74" t="s">
        <v>224</v>
      </c>
      <c r="H218" s="77">
        <v>2.5418799999999999</v>
      </c>
      <c r="L218" s="77">
        <v>0.31434000000000001</v>
      </c>
      <c r="P218" s="77">
        <v>30.659199999999998</v>
      </c>
    </row>
    <row r="219" spans="1:16">
      <c r="A219" s="74" t="s">
        <v>779</v>
      </c>
      <c r="B219" s="74" t="s">
        <v>780</v>
      </c>
      <c r="C219" s="76">
        <v>46112</v>
      </c>
      <c r="D219" s="74" t="s">
        <v>224</v>
      </c>
      <c r="H219" s="77">
        <v>5.0318500000000004</v>
      </c>
      <c r="L219" s="77">
        <v>0.56938</v>
      </c>
      <c r="P219" s="77">
        <v>32.240200000000002</v>
      </c>
    </row>
    <row r="220" spans="1:16">
      <c r="A220" s="74" t="s">
        <v>568</v>
      </c>
      <c r="B220" s="74" t="s">
        <v>569</v>
      </c>
      <c r="C220" s="76">
        <v>45581</v>
      </c>
      <c r="D220" s="74" t="s">
        <v>224</v>
      </c>
      <c r="E220" s="77">
        <v>8.2496299999999998</v>
      </c>
      <c r="F220" s="77">
        <v>10.892139999999999</v>
      </c>
      <c r="G220" s="77">
        <v>14.710100000000001</v>
      </c>
      <c r="H220" s="77">
        <v>11.472899999999999</v>
      </c>
      <c r="I220" s="77">
        <v>-1.28244</v>
      </c>
      <c r="J220" s="77">
        <v>0.99406000000000005</v>
      </c>
      <c r="K220" s="77">
        <v>-2.19706</v>
      </c>
      <c r="L220" s="77">
        <v>-2.1275200000000001</v>
      </c>
      <c r="M220" s="77">
        <v>22.484300000000001</v>
      </c>
      <c r="N220" s="77">
        <v>21.7333</v>
      </c>
      <c r="O220" s="77">
        <v>19.7943</v>
      </c>
      <c r="P220" s="77">
        <v>19.928799999999999</v>
      </c>
    </row>
    <row r="221" spans="1:16">
      <c r="A221" s="74" t="s">
        <v>483</v>
      </c>
      <c r="B221" s="74" t="s">
        <v>484</v>
      </c>
      <c r="C221" s="76">
        <v>45666</v>
      </c>
      <c r="D221" s="74" t="s">
        <v>224</v>
      </c>
      <c r="F221" s="77">
        <v>13.023999999999999</v>
      </c>
      <c r="G221" s="77">
        <v>15.375249999999999</v>
      </c>
      <c r="H221" s="77">
        <v>18.395890000000001</v>
      </c>
      <c r="J221" s="77">
        <v>1.3748499999999999</v>
      </c>
      <c r="K221" s="77">
        <v>1.2965100000000001</v>
      </c>
      <c r="L221" s="77">
        <v>0.75880999999999998</v>
      </c>
      <c r="N221" s="77">
        <v>25.1967</v>
      </c>
      <c r="O221" s="77">
        <v>21.999400000000001</v>
      </c>
      <c r="P221" s="77">
        <v>19.767700000000001</v>
      </c>
    </row>
    <row r="222" spans="1:16">
      <c r="A222" s="74" t="s">
        <v>919</v>
      </c>
      <c r="B222" s="74" t="s">
        <v>920</v>
      </c>
      <c r="C222" s="76">
        <v>45672</v>
      </c>
      <c r="D222" s="74" t="s">
        <v>224</v>
      </c>
      <c r="E222" s="77">
        <v>8.0659999999999996E-2</v>
      </c>
      <c r="F222" s="77">
        <v>0.71203000000000005</v>
      </c>
      <c r="G222" s="77">
        <v>1.0690599999999999</v>
      </c>
      <c r="H222" s="77">
        <v>1.4538500000000001</v>
      </c>
      <c r="I222" s="77">
        <v>5.5939999999999997E-2</v>
      </c>
      <c r="J222" s="77">
        <v>0.51578999999999997</v>
      </c>
      <c r="K222" s="77">
        <v>0.37747000000000003</v>
      </c>
      <c r="L222" s="77">
        <v>0.50329999999999997</v>
      </c>
      <c r="M222" s="77">
        <v>96.888199999999998</v>
      </c>
      <c r="N222" s="77">
        <v>72.183800000000005</v>
      </c>
      <c r="O222" s="77">
        <v>59.906799999999997</v>
      </c>
      <c r="P222" s="77">
        <v>65.602400000000003</v>
      </c>
    </row>
    <row r="223" spans="1:16">
      <c r="A223" s="74" t="s">
        <v>980</v>
      </c>
      <c r="B223" s="74" t="s">
        <v>981</v>
      </c>
      <c r="C223" s="76">
        <v>45880</v>
      </c>
      <c r="D223" s="74" t="s">
        <v>224</v>
      </c>
    </row>
    <row r="224" spans="1:16">
      <c r="A224" s="74" t="s">
        <v>594</v>
      </c>
      <c r="B224" s="74" t="s">
        <v>595</v>
      </c>
      <c r="C224" s="76">
        <v>44783</v>
      </c>
      <c r="D224" s="74" t="s">
        <v>224</v>
      </c>
      <c r="E224" s="77">
        <v>17.94164</v>
      </c>
      <c r="F224" s="77">
        <v>14.26159</v>
      </c>
      <c r="G224" s="77">
        <v>12.48964</v>
      </c>
      <c r="H224" s="77">
        <v>9.5146899999999999</v>
      </c>
      <c r="I224" s="77">
        <v>0.82950999999999997</v>
      </c>
      <c r="J224" s="77">
        <v>0.50129999999999997</v>
      </c>
      <c r="K224" s="77">
        <v>0.60912999999999995</v>
      </c>
      <c r="L224" s="77">
        <v>-7.3203399999999998</v>
      </c>
      <c r="M224" s="77">
        <v>22.341799999999999</v>
      </c>
      <c r="N224" s="77">
        <v>38.267499999999998</v>
      </c>
      <c r="O224" s="77">
        <v>44.759500000000003</v>
      </c>
      <c r="P224" s="77">
        <v>39.306100000000001</v>
      </c>
    </row>
    <row r="225" spans="1:16">
      <c r="A225" s="74" t="s">
        <v>719</v>
      </c>
      <c r="B225" s="74" t="s">
        <v>720</v>
      </c>
      <c r="C225" s="76">
        <v>44910</v>
      </c>
      <c r="D225" s="74" t="s">
        <v>224</v>
      </c>
      <c r="G225" s="77">
        <v>0.60260000000000002</v>
      </c>
      <c r="H225" s="77">
        <v>5.6739199999999999</v>
      </c>
      <c r="I225" s="77">
        <v>-3.20431</v>
      </c>
      <c r="J225" s="77">
        <v>-6.3537999999999997</v>
      </c>
      <c r="K225" s="77">
        <v>-14.340920000000001</v>
      </c>
      <c r="L225" s="77">
        <v>-10.243499999999999</v>
      </c>
      <c r="O225" s="77">
        <v>92.9024</v>
      </c>
      <c r="P225" s="77">
        <v>92.559799999999996</v>
      </c>
    </row>
    <row r="226" spans="1:16">
      <c r="A226" s="74" t="s">
        <v>635</v>
      </c>
      <c r="B226" s="74" t="s">
        <v>636</v>
      </c>
      <c r="C226" s="76">
        <v>45847</v>
      </c>
      <c r="D226" s="74" t="s">
        <v>224</v>
      </c>
      <c r="E226" s="77">
        <v>8.7296773818000002</v>
      </c>
      <c r="F226" s="77">
        <v>9.8314920636000007</v>
      </c>
      <c r="G226" s="77">
        <v>9.9351500000000001</v>
      </c>
      <c r="H226" s="77">
        <v>8.0974299999999992</v>
      </c>
      <c r="I226" s="77">
        <v>0.55204958530000003</v>
      </c>
      <c r="J226" s="77">
        <v>0.64296061179999997</v>
      </c>
      <c r="K226" s="77">
        <v>0.74338000000000004</v>
      </c>
      <c r="L226" s="77">
        <v>0.75971999999999995</v>
      </c>
      <c r="M226" s="77">
        <v>17.346900000000002</v>
      </c>
      <c r="N226" s="77">
        <v>16.849699999999999</v>
      </c>
      <c r="O226" s="77">
        <v>18.480599999999999</v>
      </c>
      <c r="P226" s="77">
        <v>24.129300000000001</v>
      </c>
    </row>
    <row r="227" spans="1:16">
      <c r="A227" s="74" t="s">
        <v>789</v>
      </c>
      <c r="B227" s="74" t="s">
        <v>790</v>
      </c>
      <c r="C227" s="76">
        <v>45288</v>
      </c>
      <c r="D227" s="74" t="s">
        <v>224</v>
      </c>
      <c r="F227" s="77">
        <v>0.88719999999999999</v>
      </c>
      <c r="G227" s="77">
        <v>2.1271100000000001</v>
      </c>
      <c r="H227" s="77">
        <v>3.5251000000000001</v>
      </c>
      <c r="J227" s="77">
        <v>0.13994999999999999</v>
      </c>
      <c r="K227" s="77">
        <v>0.56969000000000003</v>
      </c>
      <c r="L227" s="77">
        <v>0.95262000000000002</v>
      </c>
      <c r="N227" s="77">
        <v>54.947000000000003</v>
      </c>
      <c r="O227" s="77">
        <v>56.4146</v>
      </c>
      <c r="P227" s="77">
        <v>56.544199999999996</v>
      </c>
    </row>
    <row r="228" spans="1:16">
      <c r="A228" s="74" t="s">
        <v>826</v>
      </c>
      <c r="B228" s="74" t="s">
        <v>827</v>
      </c>
      <c r="C228" s="76">
        <v>44754</v>
      </c>
      <c r="D228" s="74" t="s">
        <v>224</v>
      </c>
      <c r="E228" s="77">
        <v>1.7775000000000001</v>
      </c>
      <c r="F228" s="77">
        <v>2.0207299999999999</v>
      </c>
      <c r="G228" s="77">
        <v>3.24166</v>
      </c>
      <c r="H228" s="77">
        <v>3.5666799999999999</v>
      </c>
      <c r="I228" s="77">
        <v>0.56089</v>
      </c>
      <c r="J228" s="77">
        <v>0.67925999999999997</v>
      </c>
      <c r="K228" s="77">
        <v>0.78813</v>
      </c>
      <c r="L228" s="77">
        <v>0.55757999999999996</v>
      </c>
      <c r="M228" s="77">
        <v>59.688299999999998</v>
      </c>
      <c r="N228" s="77">
        <v>64.435100000000006</v>
      </c>
      <c r="O228" s="77">
        <v>59.426000000000002</v>
      </c>
      <c r="P228" s="77">
        <v>44.6096</v>
      </c>
    </row>
    <row r="229" spans="1:16">
      <c r="A229" s="74" t="s">
        <v>521</v>
      </c>
      <c r="B229" s="74" t="s">
        <v>522</v>
      </c>
      <c r="C229" s="76">
        <v>45014</v>
      </c>
      <c r="D229" s="74" t="s">
        <v>224</v>
      </c>
      <c r="E229" s="77">
        <v>9.4602155339999996</v>
      </c>
      <c r="F229" s="77">
        <v>11.674938321000001</v>
      </c>
      <c r="G229" s="77">
        <v>23.764656666</v>
      </c>
      <c r="H229" s="77">
        <v>25.009948246</v>
      </c>
      <c r="I229" s="77">
        <v>0.54044621400000004</v>
      </c>
      <c r="J229" s="77">
        <v>2.9427299000000001E-2</v>
      </c>
      <c r="K229" s="77">
        <v>2.1433190689999999</v>
      </c>
      <c r="L229" s="77">
        <v>3.9918301359999999</v>
      </c>
      <c r="M229" s="77">
        <v>11.8386</v>
      </c>
      <c r="N229" s="77">
        <v>7.1128999999999998</v>
      </c>
      <c r="O229" s="77">
        <v>15.4666</v>
      </c>
      <c r="P229" s="77">
        <v>17.366700000000002</v>
      </c>
    </row>
    <row r="230" spans="1:16">
      <c r="A230" s="74" t="s">
        <v>523</v>
      </c>
      <c r="B230" s="74" t="s">
        <v>524</v>
      </c>
      <c r="C230" s="76">
        <v>44889</v>
      </c>
      <c r="D230" s="74" t="s">
        <v>224</v>
      </c>
      <c r="E230" s="77">
        <v>5.0033899999999996</v>
      </c>
      <c r="F230" s="77">
        <v>10.221690000000001</v>
      </c>
      <c r="G230" s="77">
        <v>13.30402</v>
      </c>
      <c r="H230" s="77">
        <v>16.64049</v>
      </c>
      <c r="I230" s="77">
        <v>-0.60187000000000002</v>
      </c>
      <c r="J230" s="77">
        <v>-1.77302</v>
      </c>
      <c r="K230" s="77">
        <v>-4.4870200000000002</v>
      </c>
      <c r="L230" s="77">
        <v>0.99948000000000004</v>
      </c>
      <c r="M230" s="77">
        <v>16.009499999999999</v>
      </c>
      <c r="N230" s="77">
        <v>14.367699999999999</v>
      </c>
      <c r="O230" s="77">
        <v>14.517099999999999</v>
      </c>
      <c r="P230" s="77">
        <v>11.975300000000001</v>
      </c>
    </row>
    <row r="231" spans="1:16">
      <c r="A231" s="74" t="s">
        <v>409</v>
      </c>
      <c r="B231" s="74" t="s">
        <v>410</v>
      </c>
      <c r="C231" s="76">
        <v>44818</v>
      </c>
      <c r="D231" s="74" t="s">
        <v>224</v>
      </c>
      <c r="E231" s="77">
        <v>12.755890000000001</v>
      </c>
      <c r="F231" s="77">
        <v>22.285630000000001</v>
      </c>
      <c r="G231" s="77">
        <v>36.786900000000003</v>
      </c>
      <c r="H231" s="77">
        <v>43.290750000000003</v>
      </c>
      <c r="I231" s="77">
        <v>-2.7663500000000001</v>
      </c>
      <c r="J231" s="77">
        <v>-9.2424999999999997</v>
      </c>
      <c r="K231" s="77">
        <v>-15.78026</v>
      </c>
      <c r="L231" s="77">
        <v>-28.333950000000002</v>
      </c>
      <c r="M231" s="77">
        <v>36.842100000000002</v>
      </c>
      <c r="N231" s="77">
        <v>34.380600000000001</v>
      </c>
      <c r="O231" s="77">
        <v>31.595800000000001</v>
      </c>
      <c r="P231" s="77">
        <v>33.486800000000002</v>
      </c>
    </row>
    <row r="232" spans="1:16">
      <c r="A232" s="74" t="s">
        <v>809</v>
      </c>
      <c r="B232" s="74" t="s">
        <v>810</v>
      </c>
      <c r="C232" s="76">
        <v>45471</v>
      </c>
      <c r="D232" s="74" t="s">
        <v>224</v>
      </c>
      <c r="F232" s="77">
        <v>1.78392</v>
      </c>
      <c r="G232" s="77">
        <v>2.6001099999999999</v>
      </c>
      <c r="H232" s="77">
        <v>3.2893599999999998</v>
      </c>
      <c r="J232" s="77">
        <v>0.27265</v>
      </c>
      <c r="K232" s="77">
        <v>0.46011000000000002</v>
      </c>
      <c r="L232" s="77">
        <v>0.41249000000000002</v>
      </c>
      <c r="N232" s="77">
        <v>31.922999999999998</v>
      </c>
      <c r="O232" s="77">
        <v>34.580100000000002</v>
      </c>
      <c r="P232" s="77">
        <v>32.697499999999998</v>
      </c>
    </row>
    <row r="233" spans="1:16">
      <c r="A233" s="74" t="s">
        <v>815</v>
      </c>
      <c r="B233" s="74" t="s">
        <v>816</v>
      </c>
      <c r="C233" s="76">
        <v>44924</v>
      </c>
      <c r="D233" s="74" t="s">
        <v>224</v>
      </c>
      <c r="E233" s="77">
        <v>18.065930000000002</v>
      </c>
      <c r="F233" s="77">
        <v>15.599449999999999</v>
      </c>
      <c r="G233" s="77">
        <v>11.26746</v>
      </c>
      <c r="H233" s="77">
        <v>8.7342499999999994</v>
      </c>
      <c r="I233" s="77">
        <v>3.23421</v>
      </c>
      <c r="J233" s="77">
        <v>-0.16450999999999999</v>
      </c>
      <c r="K233" s="77">
        <v>-3.4499599999999999</v>
      </c>
      <c r="L233" s="77">
        <v>0.86917999999999995</v>
      </c>
      <c r="M233" s="77">
        <v>39.017299999999999</v>
      </c>
      <c r="N233" s="77">
        <v>37.657299999999999</v>
      </c>
      <c r="O233" s="77">
        <v>24.345500000000001</v>
      </c>
      <c r="P233" s="77">
        <v>32.180599999999998</v>
      </c>
    </row>
    <row r="234" spans="1:16">
      <c r="A234" s="74" t="s">
        <v>697</v>
      </c>
      <c r="B234" s="74" t="s">
        <v>698</v>
      </c>
      <c r="C234" s="76">
        <v>45940</v>
      </c>
      <c r="D234" s="74" t="s">
        <v>224</v>
      </c>
      <c r="G234" s="77">
        <v>3.5760700000000001</v>
      </c>
      <c r="H234" s="77">
        <v>6.9706000000000001</v>
      </c>
      <c r="K234" s="77">
        <v>-0.25980999999999999</v>
      </c>
      <c r="L234" s="77">
        <v>-0.26306000000000002</v>
      </c>
      <c r="O234" s="77">
        <v>26.372</v>
      </c>
      <c r="P234" s="77">
        <v>20.381900000000002</v>
      </c>
    </row>
    <row r="235" spans="1:16">
      <c r="A235" s="74" t="s">
        <v>721</v>
      </c>
      <c r="B235" s="74" t="s">
        <v>722</v>
      </c>
      <c r="C235" s="76">
        <v>45917</v>
      </c>
      <c r="D235" s="74" t="s">
        <v>224</v>
      </c>
      <c r="F235" s="77">
        <v>2.7875899999999998</v>
      </c>
      <c r="G235" s="77">
        <v>4.2282799999999998</v>
      </c>
      <c r="H235" s="77">
        <v>5.2564599999999997</v>
      </c>
      <c r="J235" s="77">
        <v>-0.27705999999999997</v>
      </c>
      <c r="K235" s="77">
        <v>-1.5147999999999999</v>
      </c>
      <c r="L235" s="77">
        <v>-1.1130500000000001</v>
      </c>
      <c r="N235" s="77">
        <v>36.845799999999997</v>
      </c>
      <c r="O235" s="77">
        <v>31.391500000000001</v>
      </c>
      <c r="P235" s="77">
        <v>22.5032</v>
      </c>
    </row>
    <row r="236" spans="1:16">
      <c r="A236" s="74" t="s">
        <v>830</v>
      </c>
      <c r="B236" s="74" t="s">
        <v>831</v>
      </c>
      <c r="C236" s="76">
        <v>44754</v>
      </c>
      <c r="D236" s="74" t="s">
        <v>224</v>
      </c>
      <c r="E236" s="77">
        <v>6.6985299999999999</v>
      </c>
      <c r="F236" s="77">
        <v>7.3399700000000001</v>
      </c>
      <c r="G236" s="77">
        <v>8.1318099999999998</v>
      </c>
      <c r="H236" s="77">
        <v>6.0521000000000003</v>
      </c>
      <c r="I236" s="77">
        <v>0.69435000000000002</v>
      </c>
      <c r="J236" s="77">
        <v>0.92013</v>
      </c>
      <c r="K236" s="77">
        <v>0.82145999999999997</v>
      </c>
      <c r="L236" s="77">
        <v>5.2089999999999997E-2</v>
      </c>
      <c r="M236" s="77">
        <v>26.033000000000001</v>
      </c>
      <c r="N236" s="77">
        <v>27.481300000000001</v>
      </c>
      <c r="O236" s="77">
        <v>20.803699999999999</v>
      </c>
      <c r="P236" s="77">
        <v>22.1769</v>
      </c>
    </row>
    <row r="237" spans="1:16">
      <c r="A237" s="74" t="s">
        <v>769</v>
      </c>
      <c r="B237" s="74" t="s">
        <v>770</v>
      </c>
      <c r="C237" s="76">
        <v>45611</v>
      </c>
      <c r="D237" s="74" t="s">
        <v>224</v>
      </c>
      <c r="G237" s="77">
        <v>3.29278</v>
      </c>
      <c r="H237" s="77">
        <v>3.5949200000000001</v>
      </c>
      <c r="K237" s="77">
        <v>-0.71187</v>
      </c>
      <c r="L237" s="77">
        <v>-0.93857000000000002</v>
      </c>
      <c r="O237" s="77">
        <v>9.6489999999999991</v>
      </c>
      <c r="P237" s="77">
        <v>10.854799999999999</v>
      </c>
    </row>
    <row r="238" spans="1:16">
      <c r="A238" s="74" t="s">
        <v>562</v>
      </c>
      <c r="B238" s="74" t="s">
        <v>563</v>
      </c>
      <c r="C238" s="76">
        <v>44907</v>
      </c>
      <c r="D238" s="74" t="s">
        <v>224</v>
      </c>
      <c r="E238" s="77">
        <v>11.066549999999999</v>
      </c>
      <c r="F238" s="77">
        <v>9.6207499999999992</v>
      </c>
      <c r="G238" s="77">
        <v>12.98218</v>
      </c>
      <c r="H238" s="77">
        <v>12.537850000000001</v>
      </c>
      <c r="I238" s="77">
        <v>-0.37041000000000002</v>
      </c>
      <c r="J238" s="77">
        <v>0.99367000000000005</v>
      </c>
      <c r="K238" s="77">
        <v>-1.9044700000000001</v>
      </c>
      <c r="L238" s="77">
        <v>-3.4961899999999999</v>
      </c>
      <c r="M238" s="77">
        <v>41.869</v>
      </c>
      <c r="N238" s="77">
        <v>45.3371</v>
      </c>
      <c r="O238" s="77">
        <v>46.9467</v>
      </c>
      <c r="P238" s="77">
        <v>49.875999999999998</v>
      </c>
    </row>
    <row r="239" spans="1:16">
      <c r="A239" s="74" t="s">
        <v>645</v>
      </c>
      <c r="B239" s="74" t="s">
        <v>646</v>
      </c>
      <c r="C239" s="76">
        <v>46001</v>
      </c>
      <c r="D239" s="74" t="s">
        <v>224</v>
      </c>
      <c r="H239" s="77">
        <v>4.6176690919999999</v>
      </c>
      <c r="L239" s="77">
        <v>-13.104939590000001</v>
      </c>
      <c r="P239" s="77">
        <v>-62.322400000000002</v>
      </c>
    </row>
    <row r="240" spans="1:16">
      <c r="A240" s="74" t="s">
        <v>672</v>
      </c>
      <c r="B240" s="74" t="s">
        <v>673</v>
      </c>
      <c r="C240" s="76">
        <v>45838</v>
      </c>
      <c r="D240" s="74" t="s">
        <v>224</v>
      </c>
      <c r="E240" s="77">
        <v>2.1824341904</v>
      </c>
      <c r="F240" s="77">
        <v>2.6083500000000002</v>
      </c>
      <c r="G240" s="77">
        <v>4.5582099999999999</v>
      </c>
      <c r="H240" s="77">
        <v>6.0061900000000001</v>
      </c>
      <c r="I240" s="77">
        <v>-2.7948554713</v>
      </c>
      <c r="J240" s="77">
        <v>-2.9165999999999999</v>
      </c>
      <c r="K240" s="77">
        <v>-4.2453200000000004</v>
      </c>
      <c r="L240" s="77">
        <v>-3.66012</v>
      </c>
      <c r="N240" s="77">
        <v>34.216299999999997</v>
      </c>
      <c r="O240" s="77">
        <v>31.816700000000001</v>
      </c>
      <c r="P240" s="77">
        <v>39.94</v>
      </c>
    </row>
    <row r="241" spans="1:16">
      <c r="A241" s="74" t="s">
        <v>777</v>
      </c>
      <c r="B241" s="74" t="s">
        <v>778</v>
      </c>
      <c r="C241" s="76">
        <v>45406</v>
      </c>
      <c r="D241" s="74" t="s">
        <v>224</v>
      </c>
      <c r="F241" s="77">
        <v>2.64534</v>
      </c>
      <c r="G241" s="77">
        <v>3.9791400000000001</v>
      </c>
      <c r="H241" s="77">
        <v>5.0019400000000003</v>
      </c>
      <c r="J241" s="77">
        <v>0.56145999999999996</v>
      </c>
      <c r="K241" s="77">
        <v>-2.7629600000000001</v>
      </c>
      <c r="L241" s="77">
        <v>-6.6980500000000003</v>
      </c>
      <c r="N241" s="77">
        <v>30.117899999999999</v>
      </c>
      <c r="O241" s="77">
        <v>37.494500000000002</v>
      </c>
      <c r="P241" s="77">
        <v>67.204099999999997</v>
      </c>
    </row>
    <row r="242" spans="1:16">
      <c r="A242" s="74" t="s">
        <v>793</v>
      </c>
      <c r="B242" s="74" t="s">
        <v>794</v>
      </c>
      <c r="C242" s="76">
        <v>46063</v>
      </c>
      <c r="D242" s="74" t="s">
        <v>224</v>
      </c>
      <c r="H242" s="77">
        <v>8.1841200000000001</v>
      </c>
      <c r="L242" s="77">
        <v>1.06938</v>
      </c>
      <c r="P242" s="77">
        <v>23.2319</v>
      </c>
    </row>
    <row r="243" spans="1:16">
      <c r="A243" s="74" t="s">
        <v>309</v>
      </c>
      <c r="B243" s="74" t="s">
        <v>310</v>
      </c>
      <c r="C243" s="76">
        <v>45105</v>
      </c>
      <c r="D243" s="74" t="s">
        <v>224</v>
      </c>
      <c r="E243" s="77">
        <v>32.508850000000002</v>
      </c>
      <c r="F243" s="77">
        <v>60.649070000000002</v>
      </c>
      <c r="G243" s="77">
        <v>100.93537999999999</v>
      </c>
      <c r="H243" s="77">
        <v>142.74809999999999</v>
      </c>
      <c r="I243" s="77">
        <v>-10.45548</v>
      </c>
      <c r="J243" s="77">
        <v>-5.7171099999999999</v>
      </c>
      <c r="K243" s="77">
        <v>-4.94041</v>
      </c>
      <c r="L243" s="77">
        <v>-14.88688</v>
      </c>
      <c r="M243" s="77">
        <v>7.0407999999999999</v>
      </c>
      <c r="N243" s="77">
        <v>10.0379</v>
      </c>
      <c r="O243" s="77">
        <v>9.0535999999999994</v>
      </c>
      <c r="P243" s="77">
        <v>10.050700000000001</v>
      </c>
    </row>
    <row r="244" spans="1:16">
      <c r="A244" s="74" t="s">
        <v>813</v>
      </c>
      <c r="B244" s="74" t="s">
        <v>814</v>
      </c>
      <c r="C244" s="76">
        <v>45120</v>
      </c>
      <c r="D244" s="74" t="s">
        <v>224</v>
      </c>
      <c r="E244" s="77">
        <v>0.86585000000000001</v>
      </c>
      <c r="F244" s="77">
        <v>4.5694400000000002</v>
      </c>
      <c r="G244" s="77">
        <v>3.6534499999999999</v>
      </c>
      <c r="H244" s="77">
        <v>3.44157</v>
      </c>
      <c r="I244" s="77">
        <v>0.23558999999999999</v>
      </c>
      <c r="J244" s="77">
        <v>0.78064</v>
      </c>
      <c r="K244" s="77">
        <v>0.43648999999999999</v>
      </c>
      <c r="L244" s="77">
        <v>0.60389000000000004</v>
      </c>
      <c r="M244" s="77">
        <v>65.384299999999996</v>
      </c>
      <c r="N244" s="77">
        <v>50.944800000000001</v>
      </c>
      <c r="O244" s="77">
        <v>62.2376</v>
      </c>
      <c r="P244" s="77">
        <v>64.745999999999995</v>
      </c>
    </row>
    <row r="245" spans="1:16">
      <c r="A245" s="74" t="s">
        <v>1012</v>
      </c>
      <c r="B245" s="74" t="s">
        <v>1013</v>
      </c>
      <c r="C245" s="76">
        <v>45054</v>
      </c>
      <c r="D245" s="74" t="s">
        <v>224</v>
      </c>
      <c r="J245" s="77">
        <v>-1.7404900000000001</v>
      </c>
      <c r="K245" s="77">
        <v>-5.3935700000000004</v>
      </c>
      <c r="L245" s="77">
        <v>-7.2518000000000002</v>
      </c>
    </row>
    <row r="246" spans="1:16">
      <c r="A246" s="74" t="s">
        <v>699</v>
      </c>
      <c r="B246" s="74" t="s">
        <v>700</v>
      </c>
      <c r="C246" s="76">
        <v>44757</v>
      </c>
      <c r="D246" s="74" t="s">
        <v>224</v>
      </c>
      <c r="E246" s="77">
        <v>1.8371999999999999</v>
      </c>
      <c r="F246" s="77">
        <v>2.21923</v>
      </c>
      <c r="G246" s="77">
        <v>3.8279899999999998</v>
      </c>
      <c r="H246" s="77">
        <v>5.4734999999999996</v>
      </c>
      <c r="I246" s="77">
        <v>0.46975</v>
      </c>
      <c r="J246" s="77">
        <v>0.45286999999999999</v>
      </c>
      <c r="K246" s="77">
        <v>0.2417</v>
      </c>
      <c r="L246" s="77">
        <v>-0.21765000000000001</v>
      </c>
      <c r="M246" s="77">
        <v>79.715900000000005</v>
      </c>
      <c r="N246" s="77">
        <v>74.252300000000005</v>
      </c>
      <c r="O246" s="77">
        <v>77.940100000000001</v>
      </c>
      <c r="P246" s="77">
        <v>71.8005</v>
      </c>
    </row>
    <row r="247" spans="1:16">
      <c r="A247" s="74" t="s">
        <v>444</v>
      </c>
      <c r="B247" s="74" t="s">
        <v>445</v>
      </c>
      <c r="C247" s="76">
        <v>44755</v>
      </c>
      <c r="D247" s="74" t="s">
        <v>224</v>
      </c>
      <c r="E247" s="77">
        <v>33.918120000000002</v>
      </c>
      <c r="F247" s="77">
        <v>33.058259999999997</v>
      </c>
      <c r="G247" s="77">
        <v>42.93094</v>
      </c>
      <c r="H247" s="77">
        <v>31.003720000000001</v>
      </c>
      <c r="I247" s="77">
        <v>8.2915100000000006</v>
      </c>
      <c r="J247" s="77">
        <v>-7.4522500000000003</v>
      </c>
      <c r="K247" s="77">
        <v>13.141310000000001</v>
      </c>
      <c r="L247" s="77">
        <v>9.7657100000000003</v>
      </c>
    </row>
    <row r="248" spans="1:16">
      <c r="A248" s="74" t="s">
        <v>1018</v>
      </c>
      <c r="B248" s="74" t="s">
        <v>1019</v>
      </c>
      <c r="C248" s="76">
        <v>45174</v>
      </c>
      <c r="D248" s="74" t="s">
        <v>224</v>
      </c>
      <c r="F248" s="77">
        <v>1.191E-2</v>
      </c>
      <c r="G248" s="77">
        <v>5.067E-2</v>
      </c>
      <c r="H248" s="77">
        <v>5.3800000000000002E-3</v>
      </c>
      <c r="J248" s="77">
        <v>-6.6093999999999999</v>
      </c>
      <c r="K248" s="77">
        <v>-7.3294899999999998</v>
      </c>
      <c r="L248" s="77">
        <v>-4.0289400000000004</v>
      </c>
    </row>
    <row r="249" spans="1:16">
      <c r="A249" s="74" t="s">
        <v>739</v>
      </c>
      <c r="B249" s="74" t="s">
        <v>740</v>
      </c>
      <c r="C249" s="76">
        <v>45573</v>
      </c>
      <c r="D249" s="74" t="s">
        <v>224</v>
      </c>
      <c r="G249" s="77">
        <v>4.66181</v>
      </c>
      <c r="H249" s="77">
        <v>5.4921499999999996</v>
      </c>
      <c r="K249" s="77">
        <v>-4.7961099999999997</v>
      </c>
      <c r="L249" s="77">
        <v>-4.1290699999999996</v>
      </c>
      <c r="O249" s="77">
        <v>35.250900000000001</v>
      </c>
      <c r="P249" s="77">
        <v>33.7575</v>
      </c>
    </row>
    <row r="250" spans="1:16">
      <c r="A250" s="74" t="s">
        <v>683</v>
      </c>
      <c r="B250" s="74" t="s">
        <v>684</v>
      </c>
      <c r="C250" s="76">
        <v>45482</v>
      </c>
      <c r="D250" s="74" t="s">
        <v>224</v>
      </c>
      <c r="F250" s="77">
        <v>2.9111500000000001</v>
      </c>
      <c r="G250" s="77">
        <v>4.5376300000000001</v>
      </c>
      <c r="H250" s="77">
        <v>5.2576499999999999</v>
      </c>
      <c r="J250" s="77">
        <v>-3.8879999999999999</v>
      </c>
      <c r="K250" s="77">
        <v>-4.4693800000000001</v>
      </c>
      <c r="L250" s="77">
        <v>-1.53501</v>
      </c>
      <c r="N250" s="77">
        <v>46.1357</v>
      </c>
      <c r="O250" s="77">
        <v>47.637900000000002</v>
      </c>
      <c r="P250" s="77">
        <v>40.757800000000003</v>
      </c>
    </row>
    <row r="251" spans="1:16">
      <c r="A251" s="74" t="s">
        <v>479</v>
      </c>
      <c r="B251" s="74" t="s">
        <v>480</v>
      </c>
      <c r="C251" s="76">
        <v>44755</v>
      </c>
      <c r="D251" s="74" t="s">
        <v>224</v>
      </c>
      <c r="E251" s="77">
        <v>16.304210000000001</v>
      </c>
      <c r="F251" s="77">
        <v>14.22038</v>
      </c>
      <c r="G251" s="77">
        <v>18.58737</v>
      </c>
      <c r="H251" s="77">
        <v>25.794589999999999</v>
      </c>
      <c r="I251" s="77">
        <v>0.94955999999999996</v>
      </c>
      <c r="J251" s="77">
        <v>1.4556</v>
      </c>
      <c r="K251" s="77">
        <v>1.1971400000000001</v>
      </c>
      <c r="L251" s="77">
        <v>1.04091</v>
      </c>
      <c r="M251" s="77">
        <v>13.994199999999999</v>
      </c>
      <c r="N251" s="77">
        <v>17.581399999999999</v>
      </c>
      <c r="O251" s="77">
        <v>15.3584</v>
      </c>
      <c r="P251" s="77">
        <v>4.4371999999999998</v>
      </c>
    </row>
    <row r="252" spans="1:16">
      <c r="A252" s="74" t="s">
        <v>320</v>
      </c>
      <c r="B252" s="74" t="s">
        <v>321</v>
      </c>
      <c r="C252" s="76">
        <v>44894</v>
      </c>
      <c r="D252" s="74" t="s">
        <v>224</v>
      </c>
      <c r="I252" s="77">
        <v>25.01595</v>
      </c>
      <c r="J252" s="77">
        <v>34.966059999999999</v>
      </c>
      <c r="K252" s="77">
        <v>57.817250000000001</v>
      </c>
      <c r="L252" s="77">
        <v>40.241729999999997</v>
      </c>
    </row>
    <row r="253" spans="1:16">
      <c r="A253" s="74" t="s">
        <v>773</v>
      </c>
      <c r="B253" s="74" t="s">
        <v>774</v>
      </c>
      <c r="C253" s="76">
        <v>45666</v>
      </c>
      <c r="D253" s="74" t="s">
        <v>224</v>
      </c>
      <c r="G253" s="77">
        <v>1.4052100000000001</v>
      </c>
      <c r="H253" s="77">
        <v>2.6723300000000001</v>
      </c>
      <c r="K253" s="77">
        <v>0.12753999999999999</v>
      </c>
      <c r="L253" s="77">
        <v>0.36735000000000001</v>
      </c>
      <c r="O253" s="77">
        <v>33.809199999999997</v>
      </c>
      <c r="P253" s="77">
        <v>37.4512</v>
      </c>
    </row>
    <row r="254" spans="1:16">
      <c r="A254" s="74" t="s">
        <v>803</v>
      </c>
      <c r="B254" s="74" t="s">
        <v>804</v>
      </c>
      <c r="C254" s="76">
        <v>45930</v>
      </c>
      <c r="D254" s="74" t="s">
        <v>224</v>
      </c>
      <c r="F254" s="77">
        <v>3.8215012940999999</v>
      </c>
      <c r="G254" s="77">
        <v>4.4999399999999996</v>
      </c>
      <c r="H254" s="77">
        <v>3.2370399999999999</v>
      </c>
      <c r="J254" s="77">
        <v>0.7884317354</v>
      </c>
      <c r="K254" s="77">
        <v>0.58852000000000004</v>
      </c>
      <c r="L254" s="77">
        <v>0.24540999999999999</v>
      </c>
      <c r="N254" s="77">
        <v>32.915399999999998</v>
      </c>
      <c r="O254" s="77">
        <v>22.5914</v>
      </c>
      <c r="P254" s="77">
        <v>19.810400000000001</v>
      </c>
    </row>
    <row r="255" spans="1:16">
      <c r="A255" s="74" t="s">
        <v>440</v>
      </c>
      <c r="B255" s="74" t="s">
        <v>441</v>
      </c>
      <c r="C255" s="76">
        <v>45785</v>
      </c>
      <c r="D255" s="74" t="s">
        <v>224</v>
      </c>
      <c r="G255" s="77">
        <v>16.404419999999998</v>
      </c>
      <c r="H255" s="77">
        <v>21.99005</v>
      </c>
      <c r="K255" s="77">
        <v>0.83399000000000001</v>
      </c>
      <c r="L255" s="77">
        <v>1.4946999999999999</v>
      </c>
      <c r="O255" s="77">
        <v>21.794899999999998</v>
      </c>
      <c r="P255" s="77">
        <v>26.661100000000001</v>
      </c>
    </row>
    <row r="256" spans="1:16">
      <c r="A256" s="74" t="s">
        <v>603</v>
      </c>
      <c r="B256" s="74" t="s">
        <v>604</v>
      </c>
      <c r="C256" s="76">
        <v>44874</v>
      </c>
      <c r="D256" s="74" t="s">
        <v>224</v>
      </c>
      <c r="E256" s="77">
        <v>3.91038</v>
      </c>
      <c r="F256" s="77">
        <v>3.0837699999999999</v>
      </c>
      <c r="G256" s="77">
        <v>3.5329999999999999</v>
      </c>
      <c r="H256" s="77">
        <v>4.9832900000000002</v>
      </c>
      <c r="I256" s="77">
        <v>0.66515999999999997</v>
      </c>
      <c r="J256" s="77">
        <v>0.26418999999999998</v>
      </c>
      <c r="K256" s="77">
        <v>0.56145999999999996</v>
      </c>
      <c r="L256" s="77">
        <v>0.67723999999999995</v>
      </c>
      <c r="M256" s="77">
        <v>33.0779</v>
      </c>
      <c r="N256" s="77">
        <v>24.204799999999999</v>
      </c>
      <c r="O256" s="77">
        <v>32.418900000000001</v>
      </c>
      <c r="P256" s="77">
        <v>36.046500000000002</v>
      </c>
    </row>
    <row r="257" spans="1:16">
      <c r="A257" s="74" t="s">
        <v>501</v>
      </c>
      <c r="B257" s="74" t="s">
        <v>502</v>
      </c>
      <c r="C257" s="76">
        <v>45119</v>
      </c>
      <c r="D257" s="74" t="s">
        <v>224</v>
      </c>
      <c r="E257" s="77">
        <v>6.6311900000000001</v>
      </c>
      <c r="F257" s="77">
        <v>11.067769999999999</v>
      </c>
      <c r="G257" s="77">
        <v>16.19538</v>
      </c>
      <c r="H257" s="77">
        <v>22.11551</v>
      </c>
      <c r="I257" s="77">
        <v>-7.28979</v>
      </c>
      <c r="J257" s="77">
        <v>-22.396090000000001</v>
      </c>
      <c r="K257" s="77">
        <v>-29.082370000000001</v>
      </c>
      <c r="L257" s="77">
        <v>-1.0455099999999999</v>
      </c>
      <c r="M257" s="77">
        <v>41.112699999999997</v>
      </c>
      <c r="N257" s="77">
        <v>45.124400000000001</v>
      </c>
      <c r="O257" s="77">
        <v>41.7791</v>
      </c>
      <c r="P257" s="77">
        <v>40.712600000000002</v>
      </c>
    </row>
    <row r="258" spans="1:16">
      <c r="A258" s="74" t="s">
        <v>511</v>
      </c>
      <c r="B258" s="74" t="s">
        <v>512</v>
      </c>
      <c r="C258" s="76">
        <v>45272</v>
      </c>
      <c r="D258" s="74" t="s">
        <v>224</v>
      </c>
      <c r="F258" s="77">
        <v>13.011570000000001</v>
      </c>
      <c r="G258" s="77">
        <v>15.06997</v>
      </c>
      <c r="H258" s="77">
        <v>17.29945</v>
      </c>
      <c r="J258" s="77">
        <v>1.22017</v>
      </c>
      <c r="K258" s="77">
        <v>1.67353</v>
      </c>
      <c r="L258" s="77">
        <v>1.9184000000000001</v>
      </c>
      <c r="N258" s="77">
        <v>42.708799999999997</v>
      </c>
      <c r="O258" s="77">
        <v>48.227200000000003</v>
      </c>
      <c r="P258" s="77">
        <v>50.767600000000002</v>
      </c>
    </row>
    <row r="259" spans="1:16">
      <c r="A259" s="74" t="s">
        <v>801</v>
      </c>
      <c r="B259" s="74" t="s">
        <v>802</v>
      </c>
      <c r="C259" s="76">
        <v>44742</v>
      </c>
      <c r="D259" s="74" t="s">
        <v>224</v>
      </c>
      <c r="E259" s="77">
        <v>3.3481299999999998</v>
      </c>
      <c r="F259" s="77">
        <v>3.5374400000000001</v>
      </c>
      <c r="G259" s="77">
        <v>4.0189700000000004</v>
      </c>
      <c r="H259" s="77">
        <v>3.8324400000000001</v>
      </c>
      <c r="I259" s="77">
        <v>0.59145000000000003</v>
      </c>
      <c r="J259" s="77">
        <v>0.70167000000000002</v>
      </c>
      <c r="K259" s="77">
        <v>0.17818000000000001</v>
      </c>
      <c r="L259" s="77">
        <v>-7.374E-2</v>
      </c>
      <c r="M259" s="77">
        <v>46.558199999999999</v>
      </c>
      <c r="N259" s="77">
        <v>49.594900000000003</v>
      </c>
      <c r="O259" s="77">
        <v>45.4602</v>
      </c>
      <c r="P259" s="77">
        <v>48.257199999999997</v>
      </c>
    </row>
    <row r="260" spans="1:16">
      <c r="A260" s="74" t="s">
        <v>678</v>
      </c>
      <c r="B260" s="74" t="s">
        <v>679</v>
      </c>
      <c r="C260" s="76">
        <v>45670</v>
      </c>
      <c r="D260" s="74" t="s">
        <v>224</v>
      </c>
      <c r="G260" s="77">
        <v>2.9967199999999998</v>
      </c>
      <c r="H260" s="77">
        <v>4.9878</v>
      </c>
      <c r="K260" s="77">
        <v>0.25080000000000002</v>
      </c>
      <c r="L260" s="77">
        <v>0.32956000000000002</v>
      </c>
      <c r="O260" s="77">
        <v>16.7196</v>
      </c>
      <c r="P260" s="77">
        <v>16.489000000000001</v>
      </c>
    </row>
    <row r="261" spans="1:16">
      <c r="A261" s="74" t="s">
        <v>838</v>
      </c>
      <c r="B261" s="74" t="s">
        <v>839</v>
      </c>
      <c r="C261" s="76">
        <v>46014</v>
      </c>
      <c r="D261" s="74" t="s">
        <v>224</v>
      </c>
      <c r="G261" s="77">
        <v>1.0092000000000001</v>
      </c>
      <c r="H261" s="77">
        <v>2.5261999999999998</v>
      </c>
      <c r="K261" s="77">
        <v>0.25742999999999999</v>
      </c>
      <c r="L261" s="77">
        <v>0.63161</v>
      </c>
      <c r="O261" s="77">
        <v>54.456000000000003</v>
      </c>
      <c r="P261" s="77">
        <v>55.562899999999999</v>
      </c>
    </row>
    <row r="262" spans="1:16">
      <c r="A262" s="74" t="s">
        <v>1002</v>
      </c>
      <c r="B262" s="74" t="s">
        <v>1003</v>
      </c>
      <c r="C262" s="76">
        <v>45804</v>
      </c>
      <c r="D262" s="74" t="s">
        <v>224</v>
      </c>
      <c r="L262" s="77">
        <v>-3.0641600000000002</v>
      </c>
    </row>
    <row r="263" spans="1:16">
      <c r="A263" s="74" t="s">
        <v>713</v>
      </c>
      <c r="B263" s="74" t="s">
        <v>714</v>
      </c>
      <c r="C263" s="76">
        <v>45300</v>
      </c>
      <c r="D263" s="74" t="s">
        <v>224</v>
      </c>
      <c r="F263" s="77">
        <v>4.3058699999999996</v>
      </c>
      <c r="G263" s="77">
        <v>4.7769700000000004</v>
      </c>
      <c r="H263" s="77">
        <v>5.4786700000000002</v>
      </c>
      <c r="J263" s="77">
        <v>1.1410499999999999</v>
      </c>
      <c r="K263" s="77">
        <v>0.83731</v>
      </c>
      <c r="L263" s="77">
        <v>0.95877000000000001</v>
      </c>
      <c r="N263" s="77">
        <v>39.238999999999997</v>
      </c>
      <c r="O263" s="77">
        <v>38.1614</v>
      </c>
      <c r="P263" s="77">
        <v>41.075499999999998</v>
      </c>
    </row>
    <row r="264" spans="1:16">
      <c r="A264" s="74" t="s">
        <v>743</v>
      </c>
      <c r="B264" s="74" t="s">
        <v>744</v>
      </c>
      <c r="C264" s="76">
        <v>45488</v>
      </c>
      <c r="D264" s="74" t="s">
        <v>224</v>
      </c>
      <c r="F264" s="77">
        <v>3.5208400000000002</v>
      </c>
      <c r="G264" s="77">
        <v>3.2677399999999999</v>
      </c>
      <c r="H264" s="77">
        <v>4.1386000000000003</v>
      </c>
      <c r="J264" s="77">
        <v>0.45056000000000002</v>
      </c>
      <c r="K264" s="77">
        <v>0.31830999999999998</v>
      </c>
      <c r="L264" s="77">
        <v>0.44145000000000001</v>
      </c>
      <c r="N264" s="77">
        <v>31.170999999999999</v>
      </c>
      <c r="O264" s="77">
        <v>28.974499999999999</v>
      </c>
      <c r="P264" s="77">
        <v>41.847200000000001</v>
      </c>
    </row>
    <row r="265" spans="1:16">
      <c r="A265" s="74" t="s">
        <v>693</v>
      </c>
      <c r="B265" s="74" t="s">
        <v>694</v>
      </c>
      <c r="C265" s="76">
        <v>46059</v>
      </c>
      <c r="D265" s="74" t="s">
        <v>224</v>
      </c>
      <c r="G265" s="77">
        <v>4.1723299999999997</v>
      </c>
      <c r="H265" s="77">
        <v>4.73184</v>
      </c>
      <c r="K265" s="77">
        <v>-2.5095100000000001</v>
      </c>
      <c r="L265" s="77">
        <v>-2.15496</v>
      </c>
      <c r="O265" s="77">
        <v>11.876300000000001</v>
      </c>
      <c r="P265" s="77">
        <v>9.2944999999999993</v>
      </c>
    </row>
    <row r="266" spans="1:16">
      <c r="A266" s="74" t="s">
        <v>485</v>
      </c>
      <c r="B266" s="74" t="s">
        <v>486</v>
      </c>
      <c r="C266" s="76">
        <v>45280</v>
      </c>
      <c r="D266" s="74" t="s">
        <v>224</v>
      </c>
      <c r="F266" s="77">
        <v>10.79233</v>
      </c>
      <c r="G266" s="77">
        <v>14.79594</v>
      </c>
      <c r="H266" s="77">
        <v>22.54533</v>
      </c>
      <c r="J266" s="77">
        <v>0.29092000000000001</v>
      </c>
      <c r="K266" s="77">
        <v>0.72468999999999995</v>
      </c>
      <c r="L266" s="77">
        <v>1.38229</v>
      </c>
      <c r="N266" s="77">
        <v>9.4106000000000005</v>
      </c>
      <c r="O266" s="77">
        <v>10.3497</v>
      </c>
      <c r="P266" s="77">
        <v>12.76</v>
      </c>
    </row>
    <row r="267" spans="1:16">
      <c r="A267" s="74" t="s">
        <v>905</v>
      </c>
      <c r="B267" s="74" t="s">
        <v>906</v>
      </c>
      <c r="C267" s="76">
        <v>46035</v>
      </c>
      <c r="D267" s="74" t="s">
        <v>224</v>
      </c>
      <c r="H267" s="77">
        <v>2.3673600000000001</v>
      </c>
      <c r="L267" s="77">
        <v>0.79112000000000005</v>
      </c>
      <c r="P267" s="77">
        <v>50.068399999999997</v>
      </c>
    </row>
    <row r="268" spans="1:16">
      <c r="A268" s="74" t="s">
        <v>1024</v>
      </c>
      <c r="B268" s="74" t="s">
        <v>1025</v>
      </c>
      <c r="C268" s="76">
        <v>45282</v>
      </c>
      <c r="D268" s="74" t="s">
        <v>224</v>
      </c>
      <c r="K268" s="77">
        <v>-2.2114500000000001</v>
      </c>
      <c r="L268" s="77">
        <v>-1.9023699999999999</v>
      </c>
    </row>
    <row r="269" spans="1:16">
      <c r="A269" s="74" t="s">
        <v>771</v>
      </c>
      <c r="B269" s="74" t="s">
        <v>772</v>
      </c>
      <c r="C269" s="76">
        <v>44943</v>
      </c>
      <c r="D269" s="74" t="s">
        <v>224</v>
      </c>
      <c r="E269" s="77">
        <v>10.523179128000001</v>
      </c>
      <c r="F269" s="77">
        <v>7.0821264599999996</v>
      </c>
      <c r="G269" s="77">
        <v>6.9300033579999996</v>
      </c>
      <c r="H269" s="77">
        <v>8.0455755660000001</v>
      </c>
      <c r="I269" s="77">
        <v>0.36018120599999998</v>
      </c>
      <c r="J269" s="77">
        <v>0.27313231399999999</v>
      </c>
      <c r="K269" s="77">
        <v>0.279765716</v>
      </c>
      <c r="L269" s="77">
        <v>0.52206641600000003</v>
      </c>
      <c r="M269" s="77">
        <v>22.714200000000002</v>
      </c>
      <c r="N269" s="77">
        <v>15.214700000000001</v>
      </c>
      <c r="O269" s="77">
        <v>21.003900000000002</v>
      </c>
      <c r="P269" s="77">
        <v>22.530999999999999</v>
      </c>
    </row>
    <row r="270" spans="1:16">
      <c r="A270" s="74" t="s">
        <v>828</v>
      </c>
      <c r="B270" s="74" t="s">
        <v>829</v>
      </c>
      <c r="C270" s="76">
        <v>45282</v>
      </c>
      <c r="D270" s="74" t="s">
        <v>224</v>
      </c>
      <c r="E270" s="77">
        <v>2.2920199999999999</v>
      </c>
      <c r="F270" s="77">
        <v>3.6099899999999998</v>
      </c>
      <c r="G270" s="77">
        <v>2.47872</v>
      </c>
      <c r="H270" s="77">
        <v>4.1841299999999997</v>
      </c>
      <c r="I270" s="77">
        <v>0.18928</v>
      </c>
      <c r="J270" s="77">
        <v>0.82403000000000004</v>
      </c>
      <c r="K270" s="77">
        <v>0.41624</v>
      </c>
      <c r="L270" s="77">
        <v>0.83213999999999999</v>
      </c>
      <c r="M270" s="77">
        <v>30.863199999999999</v>
      </c>
      <c r="N270" s="77">
        <v>54.012900000000002</v>
      </c>
      <c r="O270" s="77">
        <v>56.523099999999999</v>
      </c>
      <c r="P270" s="77">
        <v>52.242600000000003</v>
      </c>
    </row>
    <row r="271" spans="1:16">
      <c r="A271" s="74" t="s">
        <v>544</v>
      </c>
      <c r="B271" s="74" t="s">
        <v>545</v>
      </c>
      <c r="C271" s="76">
        <v>45117</v>
      </c>
      <c r="D271" s="74" t="s">
        <v>224</v>
      </c>
      <c r="E271" s="77">
        <v>13.00667</v>
      </c>
      <c r="F271" s="77">
        <v>13.763210000000001</v>
      </c>
      <c r="G271" s="77">
        <v>12.90635</v>
      </c>
      <c r="H271" s="77">
        <v>14.43732</v>
      </c>
      <c r="I271" s="77">
        <v>0.96628000000000003</v>
      </c>
      <c r="J271" s="77">
        <v>0.66830000000000001</v>
      </c>
      <c r="K271" s="77">
        <v>1.1069599999999999</v>
      </c>
      <c r="L271" s="77">
        <v>0.96431</v>
      </c>
      <c r="M271" s="77">
        <v>22.259</v>
      </c>
      <c r="N271" s="77">
        <v>21.171700000000001</v>
      </c>
      <c r="O271" s="77">
        <v>24.3032</v>
      </c>
      <c r="P271" s="77">
        <v>20.563400000000001</v>
      </c>
    </row>
    <row r="272" spans="1:16">
      <c r="A272" s="74" t="s">
        <v>633</v>
      </c>
      <c r="B272" s="74" t="s">
        <v>634</v>
      </c>
      <c r="C272" s="76">
        <v>45450</v>
      </c>
      <c r="D272" s="74" t="s">
        <v>224</v>
      </c>
      <c r="F272" s="77">
        <v>5.0147000000000004</v>
      </c>
      <c r="G272" s="77">
        <v>5.9201300000000003</v>
      </c>
      <c r="H272" s="77">
        <v>7.8444399999999996</v>
      </c>
      <c r="J272" s="77">
        <v>-1.0155700000000001</v>
      </c>
      <c r="K272" s="77">
        <v>-3.60731</v>
      </c>
      <c r="L272" s="77">
        <v>3.64E-3</v>
      </c>
      <c r="N272" s="77">
        <v>31.286999999999999</v>
      </c>
      <c r="O272" s="77">
        <v>29.591899999999999</v>
      </c>
      <c r="P272" s="77">
        <v>30.206099999999999</v>
      </c>
    </row>
    <row r="273" spans="1:16">
      <c r="A273" s="74" t="s">
        <v>377</v>
      </c>
      <c r="B273" s="74" t="s">
        <v>378</v>
      </c>
      <c r="C273" s="76">
        <v>45197</v>
      </c>
      <c r="D273" s="74" t="s">
        <v>224</v>
      </c>
      <c r="E273" s="77">
        <v>30.07742</v>
      </c>
      <c r="F273" s="77">
        <v>28.723929999999999</v>
      </c>
      <c r="G273" s="77">
        <v>57.35718</v>
      </c>
      <c r="H273" s="77">
        <v>88.172210000000007</v>
      </c>
      <c r="I273" s="77">
        <v>0.83147000000000004</v>
      </c>
      <c r="J273" s="77">
        <v>-13.01103</v>
      </c>
      <c r="K273" s="77">
        <v>6.1591100000000001</v>
      </c>
      <c r="L273" s="77">
        <v>5.1406700000000001</v>
      </c>
      <c r="M273" s="77">
        <v>87.327200000000005</v>
      </c>
      <c r="N273" s="77">
        <v>84.924499999999995</v>
      </c>
      <c r="O273" s="77">
        <v>82.611400000000003</v>
      </c>
      <c r="P273" s="77">
        <v>72.695099999999996</v>
      </c>
    </row>
    <row r="274" spans="1:16">
      <c r="A274" s="74" t="s">
        <v>676</v>
      </c>
      <c r="B274" s="74" t="s">
        <v>677</v>
      </c>
      <c r="C274" s="76">
        <v>45057</v>
      </c>
      <c r="D274" s="74" t="s">
        <v>224</v>
      </c>
      <c r="E274" s="77">
        <v>4.7585499999999996</v>
      </c>
      <c r="F274" s="77">
        <v>4.1357100000000004</v>
      </c>
      <c r="G274" s="77">
        <v>4.16289</v>
      </c>
      <c r="H274" s="77">
        <v>6.1810999999999998</v>
      </c>
      <c r="I274" s="77">
        <v>0.27287</v>
      </c>
      <c r="J274" s="77">
        <v>0.53874</v>
      </c>
      <c r="K274" s="77">
        <v>0.58664000000000005</v>
      </c>
      <c r="L274" s="77">
        <v>0.52702000000000004</v>
      </c>
      <c r="M274" s="77">
        <v>36.0931</v>
      </c>
      <c r="N274" s="77">
        <v>39.6464</v>
      </c>
      <c r="O274" s="77">
        <v>40.896799999999999</v>
      </c>
      <c r="P274" s="77">
        <v>28.080300000000001</v>
      </c>
    </row>
    <row r="275" spans="1:16">
      <c r="A275" s="74" t="s">
        <v>442</v>
      </c>
      <c r="B275" s="74" t="s">
        <v>443</v>
      </c>
      <c r="C275" s="76">
        <v>45107</v>
      </c>
      <c r="D275" s="74" t="s">
        <v>224</v>
      </c>
      <c r="E275" s="77">
        <v>17.29261</v>
      </c>
      <c r="F275" s="77">
        <v>27.417310000000001</v>
      </c>
      <c r="G275" s="77">
        <v>33.79515</v>
      </c>
      <c r="H275" s="77">
        <v>48.60613</v>
      </c>
      <c r="I275" s="77">
        <v>0.67906</v>
      </c>
      <c r="J275" s="77">
        <v>2.8412099999999998</v>
      </c>
      <c r="K275" s="77">
        <v>3.1554000000000002</v>
      </c>
      <c r="L275" s="77">
        <v>6.8079299999999998</v>
      </c>
      <c r="M275" s="77">
        <v>30.124600000000001</v>
      </c>
      <c r="N275" s="77">
        <v>40.728299999999997</v>
      </c>
      <c r="O275" s="77">
        <v>42.680399999999999</v>
      </c>
      <c r="P275" s="77">
        <v>39.010800000000003</v>
      </c>
    </row>
    <row r="276" spans="1:16">
      <c r="A276" s="74" t="s">
        <v>592</v>
      </c>
      <c r="B276" s="74" t="s">
        <v>593</v>
      </c>
      <c r="C276" s="76">
        <v>45428</v>
      </c>
      <c r="D276" s="74" t="s">
        <v>224</v>
      </c>
      <c r="E276" s="77">
        <v>2.6635800000000001</v>
      </c>
      <c r="F276" s="77">
        <v>5.2777099999999999</v>
      </c>
      <c r="G276" s="77">
        <v>8.7723099999999992</v>
      </c>
      <c r="H276" s="77">
        <v>11.427759999999999</v>
      </c>
      <c r="I276" s="77">
        <v>-0.35376000000000002</v>
      </c>
      <c r="J276" s="77">
        <v>-0.31553999999999999</v>
      </c>
      <c r="K276" s="77">
        <v>-2.7258900000000001</v>
      </c>
      <c r="L276" s="77">
        <v>-2.1645500000000002</v>
      </c>
      <c r="M276" s="77">
        <v>62.8474</v>
      </c>
      <c r="N276" s="77">
        <v>49.208799999999997</v>
      </c>
      <c r="O276" s="77">
        <v>54.467599999999997</v>
      </c>
      <c r="P276" s="77">
        <v>49.006799999999998</v>
      </c>
    </row>
    <row r="277" spans="1:16">
      <c r="A277" s="74" t="s">
        <v>927</v>
      </c>
      <c r="B277" s="74" t="s">
        <v>928</v>
      </c>
      <c r="C277" s="76">
        <v>45510</v>
      </c>
      <c r="D277" s="74" t="s">
        <v>224</v>
      </c>
      <c r="F277" s="77">
        <v>0.93252999999999997</v>
      </c>
      <c r="G277" s="77">
        <v>1.19974</v>
      </c>
      <c r="H277" s="77">
        <v>1.4839800000000001</v>
      </c>
      <c r="J277" s="77">
        <v>0.20222999999999999</v>
      </c>
      <c r="K277" s="77">
        <v>0.27046999999999999</v>
      </c>
      <c r="L277" s="77">
        <v>0.37775999999999998</v>
      </c>
      <c r="N277" s="77">
        <v>38.746200000000002</v>
      </c>
      <c r="O277" s="77">
        <v>40.049500000000002</v>
      </c>
      <c r="P277" s="77">
        <v>45.323399999999999</v>
      </c>
    </row>
    <row r="278" spans="1:16">
      <c r="A278" s="74" t="s">
        <v>960</v>
      </c>
      <c r="B278" s="74" t="s">
        <v>961</v>
      </c>
      <c r="C278" s="76">
        <v>44578</v>
      </c>
      <c r="D278" s="74" t="s">
        <v>224</v>
      </c>
      <c r="E278" s="77">
        <v>2.1771574588</v>
      </c>
      <c r="F278" s="77">
        <v>1.9653556459999999</v>
      </c>
      <c r="G278" s="77">
        <v>2.3712198720000002</v>
      </c>
      <c r="H278" s="77">
        <v>1.7205094815999999</v>
      </c>
      <c r="I278" s="77">
        <v>0.2159008956</v>
      </c>
      <c r="J278" s="77">
        <v>0.4590977872</v>
      </c>
      <c r="K278" s="77">
        <v>0.51462196800000004</v>
      </c>
      <c r="L278" s="77">
        <v>0.67491014849999997</v>
      </c>
    </row>
    <row r="279" spans="1:16">
      <c r="A279" s="74" t="s">
        <v>923</v>
      </c>
      <c r="B279" s="74" t="s">
        <v>924</v>
      </c>
      <c r="C279" s="76">
        <v>45818</v>
      </c>
      <c r="D279" s="74" t="s">
        <v>224</v>
      </c>
      <c r="G279" s="77">
        <v>1.6344799999999999</v>
      </c>
      <c r="H279" s="77">
        <v>1.35379</v>
      </c>
      <c r="K279" s="77">
        <v>0.33465</v>
      </c>
      <c r="L279" s="77">
        <v>-0.20036999999999999</v>
      </c>
      <c r="O279" s="77">
        <v>75.067899999999995</v>
      </c>
      <c r="P279" s="77">
        <v>72.981800000000007</v>
      </c>
    </row>
    <row r="280" spans="1:16">
      <c r="A280" s="74" t="s">
        <v>848</v>
      </c>
      <c r="B280" s="74" t="s">
        <v>849</v>
      </c>
      <c r="C280" s="76">
        <v>45377</v>
      </c>
      <c r="D280" s="74" t="s">
        <v>224</v>
      </c>
      <c r="G280" s="77">
        <v>0.59965520999999999</v>
      </c>
      <c r="H280" s="77">
        <v>1.4881465792999999</v>
      </c>
      <c r="K280" s="77">
        <v>2.1611252599999999E-2</v>
      </c>
      <c r="L280" s="77">
        <v>0.32507713830000001</v>
      </c>
    </row>
    <row r="281" spans="1:16">
      <c r="A281" s="74" t="s">
        <v>668</v>
      </c>
      <c r="B281" s="74" t="s">
        <v>669</v>
      </c>
      <c r="C281" s="76">
        <v>45029</v>
      </c>
      <c r="D281" s="74" t="s">
        <v>224</v>
      </c>
      <c r="E281" s="77">
        <v>3.8227799999999998</v>
      </c>
      <c r="F281" s="77">
        <v>4.5853700000000002</v>
      </c>
      <c r="G281" s="77">
        <v>5.5632700000000002</v>
      </c>
      <c r="H281" s="77">
        <v>6.7962699999999998</v>
      </c>
      <c r="I281" s="77">
        <v>-6.9105999999999996</v>
      </c>
      <c r="J281" s="77">
        <v>-12.67206</v>
      </c>
      <c r="K281" s="77">
        <v>-9.4014199999999999</v>
      </c>
      <c r="L281" s="77">
        <v>-19.087720000000001</v>
      </c>
      <c r="M281" s="77">
        <v>60.550400000000003</v>
      </c>
      <c r="N281" s="77">
        <v>59.830100000000002</v>
      </c>
      <c r="O281" s="77">
        <v>66.435199999999995</v>
      </c>
      <c r="P281" s="77">
        <v>58.930999999999997</v>
      </c>
    </row>
    <row r="282" spans="1:16">
      <c r="A282" s="74" t="s">
        <v>994</v>
      </c>
      <c r="B282" s="74" t="s">
        <v>995</v>
      </c>
      <c r="C282" s="76">
        <v>45371</v>
      </c>
      <c r="D282" s="74" t="s">
        <v>224</v>
      </c>
      <c r="K282" s="77">
        <v>-4.1103899999999998</v>
      </c>
      <c r="L282" s="77">
        <v>-2.9819100000000001</v>
      </c>
    </row>
    <row r="283" spans="1:16">
      <c r="A283" s="74" t="s">
        <v>649</v>
      </c>
      <c r="B283" s="74" t="s">
        <v>650</v>
      </c>
      <c r="C283" s="76">
        <v>45471</v>
      </c>
      <c r="D283" s="74" t="s">
        <v>224</v>
      </c>
      <c r="E283" s="77">
        <v>5.8064</v>
      </c>
      <c r="F283" s="77">
        <v>7.5415200000000002</v>
      </c>
      <c r="G283" s="77">
        <v>7.8058300000000003</v>
      </c>
      <c r="H283" s="77">
        <v>5.6907800000000002</v>
      </c>
      <c r="I283" s="77">
        <v>-7.5581899999999997</v>
      </c>
      <c r="J283" s="77">
        <v>-21.942979999999999</v>
      </c>
      <c r="K283" s="77">
        <v>17.31006</v>
      </c>
      <c r="L283" s="77">
        <v>-1.8763099999999999</v>
      </c>
      <c r="M283" s="77">
        <v>79.516599999999997</v>
      </c>
      <c r="N283" s="77">
        <v>82.691199999999995</v>
      </c>
      <c r="O283" s="77">
        <v>80.870800000000003</v>
      </c>
      <c r="P283" s="77">
        <v>75.132599999999996</v>
      </c>
    </row>
    <row r="284" spans="1:16">
      <c r="A284" s="74" t="s">
        <v>791</v>
      </c>
      <c r="B284" s="74" t="s">
        <v>792</v>
      </c>
      <c r="C284" s="76">
        <v>45784</v>
      </c>
      <c r="D284" s="74" t="s">
        <v>224</v>
      </c>
      <c r="G284" s="77">
        <v>2.00573538</v>
      </c>
      <c r="H284" s="77">
        <v>3.6010632400000002</v>
      </c>
      <c r="K284" s="77">
        <v>-0.97467075999999997</v>
      </c>
      <c r="L284" s="77">
        <v>-1.7810075299999999</v>
      </c>
      <c r="O284" s="77">
        <v>3.6520999999999999</v>
      </c>
      <c r="P284" s="77">
        <v>2.2694999999999999</v>
      </c>
    </row>
    <row r="285" spans="1:16">
      <c r="A285" s="74" t="s">
        <v>477</v>
      </c>
      <c r="B285" s="74" t="s">
        <v>478</v>
      </c>
      <c r="C285" s="76">
        <v>45233</v>
      </c>
      <c r="D285" s="74" t="s">
        <v>224</v>
      </c>
      <c r="E285" s="77">
        <v>27.274609999999999</v>
      </c>
      <c r="F285" s="77">
        <v>19.020099999999999</v>
      </c>
      <c r="G285" s="77">
        <v>26.762370000000001</v>
      </c>
      <c r="H285" s="77">
        <v>25.192240000000002</v>
      </c>
      <c r="I285" s="77">
        <v>0.45141999999999999</v>
      </c>
      <c r="J285" s="77">
        <v>-11.72461</v>
      </c>
      <c r="K285" s="77">
        <v>-1.85</v>
      </c>
      <c r="L285" s="77">
        <v>-2.8452899999999999</v>
      </c>
      <c r="M285" s="77">
        <v>48.733800000000002</v>
      </c>
      <c r="N285" s="77">
        <v>29.366900000000001</v>
      </c>
      <c r="O285" s="77">
        <v>41.144500000000001</v>
      </c>
      <c r="P285" s="77">
        <v>42.7408</v>
      </c>
    </row>
    <row r="286" spans="1:16">
      <c r="A286" s="74" t="s">
        <v>972</v>
      </c>
      <c r="B286" s="74" t="s">
        <v>973</v>
      </c>
      <c r="C286" s="76">
        <v>45596</v>
      </c>
      <c r="D286" s="74" t="s">
        <v>224</v>
      </c>
      <c r="H286" s="77">
        <v>0.32819999999999999</v>
      </c>
      <c r="L286" s="77">
        <v>-1.60511</v>
      </c>
      <c r="P286" s="77">
        <v>72.760499999999993</v>
      </c>
    </row>
    <row r="287" spans="1:16">
      <c r="A287" s="74" t="s">
        <v>459</v>
      </c>
      <c r="B287" s="74" t="s">
        <v>460</v>
      </c>
      <c r="C287" s="76">
        <v>44876</v>
      </c>
      <c r="D287" s="74" t="s">
        <v>224</v>
      </c>
      <c r="E287" s="77">
        <v>14.288539999999999</v>
      </c>
      <c r="F287" s="77">
        <v>18.981089999999998</v>
      </c>
      <c r="G287" s="77">
        <v>23.465430000000001</v>
      </c>
      <c r="H287" s="77">
        <v>30.663309999999999</v>
      </c>
      <c r="I287" s="77">
        <v>0.81108999999999998</v>
      </c>
      <c r="J287" s="77">
        <v>1.13961</v>
      </c>
      <c r="K287" s="77">
        <v>2.00509</v>
      </c>
      <c r="L287" s="77">
        <v>1.10694</v>
      </c>
      <c r="M287" s="77">
        <v>69.8416</v>
      </c>
      <c r="N287" s="77">
        <v>72.588499999999996</v>
      </c>
      <c r="O287" s="77">
        <v>75.239800000000002</v>
      </c>
      <c r="P287" s="77">
        <v>76.565600000000003</v>
      </c>
    </row>
    <row r="288" spans="1:16">
      <c r="A288" s="74" t="s">
        <v>899</v>
      </c>
      <c r="B288" s="74" t="s">
        <v>900</v>
      </c>
      <c r="C288" s="76">
        <v>45265</v>
      </c>
      <c r="D288" s="74" t="s">
        <v>224</v>
      </c>
      <c r="J288" s="77">
        <v>0.7661617248</v>
      </c>
      <c r="K288" s="77">
        <v>0.63022243200000005</v>
      </c>
      <c r="L288" s="77">
        <v>0.60621768549999999</v>
      </c>
    </row>
    <row r="289" spans="1:16">
      <c r="A289" s="74" t="s">
        <v>767</v>
      </c>
      <c r="B289" s="74" t="s">
        <v>768</v>
      </c>
      <c r="C289" s="76">
        <v>45282</v>
      </c>
      <c r="D289" s="74" t="s">
        <v>224</v>
      </c>
      <c r="E289" s="77">
        <v>3.7698299999999998</v>
      </c>
      <c r="F289" s="77">
        <v>4.0546499999999996</v>
      </c>
      <c r="G289" s="77">
        <v>5.5867699999999996</v>
      </c>
      <c r="H289" s="77">
        <v>4.6286899999999997</v>
      </c>
      <c r="I289" s="77">
        <v>0.81388000000000005</v>
      </c>
      <c r="J289" s="77">
        <v>1.22882</v>
      </c>
      <c r="K289" s="77">
        <v>1.31006</v>
      </c>
      <c r="L289" s="77">
        <v>0.72204999999999997</v>
      </c>
      <c r="M289" s="77">
        <v>58.694400000000002</v>
      </c>
      <c r="N289" s="77">
        <v>70.397000000000006</v>
      </c>
      <c r="O289" s="77">
        <v>65.948700000000002</v>
      </c>
      <c r="P289" s="77">
        <v>65.892700000000005</v>
      </c>
    </row>
    <row r="290" spans="1:16">
      <c r="A290" s="74" t="s">
        <v>986</v>
      </c>
      <c r="B290" s="74" t="s">
        <v>987</v>
      </c>
      <c r="C290" s="76">
        <v>44844</v>
      </c>
      <c r="D290" s="74" t="s">
        <v>224</v>
      </c>
      <c r="I290" s="77">
        <v>-0.27440999999999999</v>
      </c>
      <c r="J290" s="77">
        <v>-2.9944700000000002</v>
      </c>
      <c r="K290" s="77">
        <v>-5.0051699999999997</v>
      </c>
      <c r="L290" s="77">
        <v>-4.3931100000000001</v>
      </c>
    </row>
    <row r="291" spans="1:16">
      <c r="A291" s="74" t="s">
        <v>674</v>
      </c>
      <c r="B291" s="74" t="s">
        <v>675</v>
      </c>
      <c r="C291" s="76">
        <v>44797</v>
      </c>
      <c r="D291" s="74" t="s">
        <v>224</v>
      </c>
      <c r="E291" s="77">
        <v>4.3587800000000003</v>
      </c>
      <c r="F291" s="77">
        <v>4.3677000000000001</v>
      </c>
      <c r="G291" s="77">
        <v>4.6198100000000002</v>
      </c>
      <c r="H291" s="77">
        <v>5.2196499999999997</v>
      </c>
      <c r="I291" s="77">
        <v>0.42521999999999999</v>
      </c>
      <c r="J291" s="77">
        <v>0.47338999999999998</v>
      </c>
      <c r="K291" s="77">
        <v>0.55464999999999998</v>
      </c>
      <c r="L291" s="77">
        <v>0.64763000000000004</v>
      </c>
      <c r="M291" s="77">
        <v>20.285699999999999</v>
      </c>
      <c r="N291" s="77">
        <v>21.0793</v>
      </c>
      <c r="O291" s="77">
        <v>22.993400000000001</v>
      </c>
      <c r="P291" s="77">
        <v>23.248100000000001</v>
      </c>
    </row>
    <row r="292" spans="1:16">
      <c r="A292" s="74" t="s">
        <v>660</v>
      </c>
      <c r="B292" s="74" t="s">
        <v>661</v>
      </c>
      <c r="C292" s="76">
        <v>46090</v>
      </c>
      <c r="D292" s="74" t="s">
        <v>224</v>
      </c>
      <c r="G292" s="77">
        <v>5.0947300000000002</v>
      </c>
      <c r="H292" s="77">
        <v>6.4758699999999996</v>
      </c>
      <c r="K292" s="77">
        <v>0.19581000000000001</v>
      </c>
      <c r="L292" s="77">
        <v>0.23702999999999999</v>
      </c>
      <c r="O292" s="77">
        <v>22.8475</v>
      </c>
      <c r="P292" s="77">
        <v>19.680399999999999</v>
      </c>
    </row>
    <row r="293" spans="1:16">
      <c r="A293" s="74" t="s">
        <v>598</v>
      </c>
      <c r="B293" s="74" t="s">
        <v>599</v>
      </c>
      <c r="C293" s="76">
        <v>45440</v>
      </c>
      <c r="D293" s="74" t="s">
        <v>224</v>
      </c>
      <c r="H293" s="77">
        <v>7.0866499999999997</v>
      </c>
      <c r="J293" s="77">
        <v>1.6389999999999998E-2</v>
      </c>
      <c r="K293" s="77">
        <v>3.0460000000000001E-2</v>
      </c>
      <c r="L293" s="77">
        <v>0.36292000000000002</v>
      </c>
      <c r="P293" s="77">
        <v>15.0274</v>
      </c>
    </row>
    <row r="294" spans="1:16">
      <c r="A294" s="74" t="s">
        <v>737</v>
      </c>
      <c r="B294" s="74" t="s">
        <v>738</v>
      </c>
      <c r="C294" s="76">
        <v>45994</v>
      </c>
      <c r="D294" s="74" t="s">
        <v>224</v>
      </c>
      <c r="H294" s="77">
        <v>3.3015400000000001</v>
      </c>
      <c r="L294" s="77">
        <v>6.4810000000000006E-2</v>
      </c>
      <c r="P294" s="77">
        <v>25.847000000000001</v>
      </c>
    </row>
    <row r="295" spans="1:16">
      <c r="A295" s="74" t="s">
        <v>807</v>
      </c>
      <c r="B295" s="74" t="s">
        <v>808</v>
      </c>
      <c r="C295" s="76">
        <v>45847</v>
      </c>
      <c r="D295" s="74" t="s">
        <v>224</v>
      </c>
      <c r="G295" s="77">
        <v>3.8075000000000001</v>
      </c>
      <c r="H295" s="77">
        <v>4.0944399999999996</v>
      </c>
      <c r="K295" s="77">
        <v>0.1714</v>
      </c>
      <c r="L295" s="77">
        <v>0.43342000000000003</v>
      </c>
      <c r="O295" s="77">
        <v>27.288</v>
      </c>
      <c r="P295" s="77">
        <v>36.262300000000003</v>
      </c>
    </row>
    <row r="296" spans="1:16">
      <c r="A296" s="74" t="s">
        <v>939</v>
      </c>
      <c r="B296" s="74" t="s">
        <v>940</v>
      </c>
      <c r="C296" s="76">
        <v>44734</v>
      </c>
      <c r="D296" s="74" t="s">
        <v>224</v>
      </c>
      <c r="E296" s="77">
        <v>1.2370000000000001</v>
      </c>
      <c r="F296" s="77">
        <v>2.0322</v>
      </c>
      <c r="G296" s="77">
        <v>2.3718499999999998</v>
      </c>
      <c r="H296" s="77">
        <v>1.4572700000000001</v>
      </c>
      <c r="I296" s="77">
        <v>0.29691000000000001</v>
      </c>
      <c r="J296" s="77">
        <v>0.79096999999999995</v>
      </c>
      <c r="K296" s="77">
        <v>0.79015000000000002</v>
      </c>
      <c r="L296" s="77">
        <v>-0.17618</v>
      </c>
      <c r="M296" s="77">
        <v>63.440600000000003</v>
      </c>
      <c r="N296" s="77">
        <v>71.9619</v>
      </c>
      <c r="O296" s="77">
        <v>70.272599999999997</v>
      </c>
      <c r="P296" s="77">
        <v>56.079500000000003</v>
      </c>
    </row>
    <row r="297" spans="1:16">
      <c r="A297" s="74" t="s">
        <v>577</v>
      </c>
      <c r="B297" s="74" t="s">
        <v>578</v>
      </c>
      <c r="C297" s="76">
        <v>44750</v>
      </c>
      <c r="D297" s="74" t="s">
        <v>224</v>
      </c>
      <c r="E297" s="77">
        <v>6.0020100000000003</v>
      </c>
      <c r="F297" s="77">
        <v>7.9676200000000001</v>
      </c>
      <c r="G297" s="77">
        <v>9.9194099999999992</v>
      </c>
      <c r="H297" s="77">
        <v>10.43378</v>
      </c>
      <c r="I297" s="77">
        <v>0.14398</v>
      </c>
      <c r="J297" s="77">
        <v>0.27748</v>
      </c>
      <c r="K297" s="77">
        <v>0.14513000000000001</v>
      </c>
      <c r="L297" s="77">
        <v>-0.35676000000000002</v>
      </c>
      <c r="M297" s="77">
        <v>32.7714</v>
      </c>
      <c r="N297" s="77">
        <v>24.322600000000001</v>
      </c>
      <c r="O297" s="77">
        <v>23.428000000000001</v>
      </c>
      <c r="P297" s="77">
        <v>21.6266</v>
      </c>
    </row>
    <row r="298" spans="1:16">
      <c r="A298" s="74" t="s">
        <v>729</v>
      </c>
      <c r="B298" s="74" t="s">
        <v>730</v>
      </c>
      <c r="C298" s="76">
        <v>44925</v>
      </c>
      <c r="D298" s="74" t="s">
        <v>224</v>
      </c>
      <c r="G298" s="77">
        <v>1.58704</v>
      </c>
      <c r="H298" s="77">
        <v>5.1596000000000002</v>
      </c>
      <c r="J298" s="77">
        <v>-2.4053800000000001</v>
      </c>
      <c r="K298" s="77">
        <v>-2.2541699999999998</v>
      </c>
      <c r="L298" s="77">
        <v>-3.3174899999999998</v>
      </c>
      <c r="O298" s="77">
        <v>67.114900000000006</v>
      </c>
      <c r="P298" s="77">
        <v>68.654499999999999</v>
      </c>
    </row>
    <row r="299" spans="1:16">
      <c r="A299" s="74" t="s">
        <v>990</v>
      </c>
      <c r="B299" s="74" t="s">
        <v>991</v>
      </c>
      <c r="C299" s="76">
        <v>44925</v>
      </c>
      <c r="D299" s="74" t="s">
        <v>224</v>
      </c>
      <c r="F299" s="77">
        <v>9.0539999999999995E-2</v>
      </c>
      <c r="G299" s="77">
        <v>0.22425999999999999</v>
      </c>
      <c r="H299" s="77">
        <v>0.27149000000000001</v>
      </c>
      <c r="J299" s="77">
        <v>-1.3708499999999999</v>
      </c>
      <c r="K299" s="77">
        <v>-1.0187299999999999</v>
      </c>
      <c r="L299" s="77">
        <v>-1.12222</v>
      </c>
      <c r="N299" s="77">
        <v>51.248100000000001</v>
      </c>
      <c r="O299" s="77">
        <v>69.316900000000004</v>
      </c>
      <c r="P299" s="77">
        <v>71.317499999999995</v>
      </c>
    </row>
    <row r="300" spans="1:16">
      <c r="A300" s="74" t="s">
        <v>797</v>
      </c>
      <c r="B300" s="74" t="s">
        <v>798</v>
      </c>
      <c r="C300" s="76">
        <v>44651</v>
      </c>
      <c r="D300" s="74" t="s">
        <v>224</v>
      </c>
      <c r="E300" s="77">
        <v>1.80775</v>
      </c>
      <c r="F300" s="77">
        <v>2.2161</v>
      </c>
      <c r="G300" s="77">
        <v>3.5432700000000001</v>
      </c>
      <c r="H300" s="77">
        <v>4.37113</v>
      </c>
      <c r="I300" s="77">
        <v>0.27903</v>
      </c>
      <c r="J300" s="77">
        <v>0.39612000000000003</v>
      </c>
      <c r="K300" s="77">
        <v>0.32140000000000002</v>
      </c>
      <c r="L300" s="77">
        <v>3.1890000000000002E-2</v>
      </c>
      <c r="M300" s="77">
        <v>30.9252</v>
      </c>
      <c r="N300" s="77">
        <v>34.656399999999998</v>
      </c>
      <c r="O300" s="77">
        <v>32.672899999999998</v>
      </c>
      <c r="P300" s="77">
        <v>32.6858</v>
      </c>
    </row>
    <row r="301" spans="1:16">
      <c r="A301" s="74" t="s">
        <v>552</v>
      </c>
      <c r="B301" s="74" t="s">
        <v>553</v>
      </c>
      <c r="C301" s="76">
        <v>44680</v>
      </c>
      <c r="D301" s="74" t="s">
        <v>224</v>
      </c>
      <c r="E301" s="77">
        <v>5.5915400000000002</v>
      </c>
      <c r="F301" s="77">
        <v>7.6680200000000003</v>
      </c>
      <c r="G301" s="77">
        <v>11.934229999999999</v>
      </c>
      <c r="H301" s="77">
        <v>13.42459</v>
      </c>
      <c r="I301" s="77">
        <v>0.25667000000000001</v>
      </c>
      <c r="J301" s="77">
        <v>0.84714</v>
      </c>
      <c r="K301" s="77">
        <v>1.2871999999999999</v>
      </c>
      <c r="L301" s="77">
        <v>0.90722000000000003</v>
      </c>
      <c r="M301" s="77">
        <v>23.730499999999999</v>
      </c>
      <c r="N301" s="77">
        <v>28.1675</v>
      </c>
      <c r="O301" s="77">
        <v>25.8855</v>
      </c>
      <c r="P301" s="77">
        <v>20.531400000000001</v>
      </c>
    </row>
    <row r="302" spans="1:16">
      <c r="A302" s="74" t="s">
        <v>1014</v>
      </c>
      <c r="B302" s="74" t="s">
        <v>1015</v>
      </c>
      <c r="C302" s="76">
        <v>45831</v>
      </c>
      <c r="D302" s="74" t="s">
        <v>224</v>
      </c>
      <c r="F302" s="77">
        <v>0.65325999999999995</v>
      </c>
      <c r="H302" s="77">
        <v>1.24E-3</v>
      </c>
      <c r="I302" s="77">
        <v>-1.11026</v>
      </c>
      <c r="J302" s="77">
        <v>-0.85372000000000003</v>
      </c>
      <c r="L302" s="77">
        <v>-2.5194399999999999</v>
      </c>
    </row>
    <row r="303" spans="1:16">
      <c r="A303" s="74" t="s">
        <v>799</v>
      </c>
      <c r="B303" s="74" t="s">
        <v>800</v>
      </c>
      <c r="C303" s="76">
        <v>45818</v>
      </c>
      <c r="D303" s="74" t="s">
        <v>224</v>
      </c>
      <c r="G303" s="77">
        <v>6.6106699999999998</v>
      </c>
      <c r="H303" s="77">
        <v>7.6149899999999997</v>
      </c>
      <c r="K303" s="77">
        <v>0.1908</v>
      </c>
      <c r="L303" s="77">
        <v>1.22021</v>
      </c>
      <c r="O303" s="77">
        <v>11.0936</v>
      </c>
      <c r="P303" s="77">
        <v>25.588899999999999</v>
      </c>
    </row>
    <row r="304" spans="1:16">
      <c r="A304" s="74" t="s">
        <v>817</v>
      </c>
      <c r="B304" s="74" t="s">
        <v>818</v>
      </c>
      <c r="C304" s="76">
        <v>45667</v>
      </c>
      <c r="D304" s="74" t="s">
        <v>224</v>
      </c>
      <c r="E304" s="77">
        <v>1.77057</v>
      </c>
      <c r="F304" s="77">
        <v>2.4231400000000001</v>
      </c>
      <c r="G304" s="77">
        <v>3.37608</v>
      </c>
      <c r="H304" s="77">
        <v>3.6729699999999998</v>
      </c>
      <c r="I304" s="77">
        <v>0.48015000000000002</v>
      </c>
      <c r="J304" s="77">
        <v>0.83187</v>
      </c>
      <c r="K304" s="77">
        <v>1.1967000000000001</v>
      </c>
      <c r="L304" s="77">
        <v>0.87522</v>
      </c>
      <c r="M304" s="77">
        <v>70.401600000000002</v>
      </c>
      <c r="N304" s="77">
        <v>72.846800000000002</v>
      </c>
      <c r="O304" s="77">
        <v>73.042699999999996</v>
      </c>
      <c r="P304" s="77">
        <v>74.378500000000003</v>
      </c>
    </row>
    <row r="305" spans="1:16">
      <c r="A305" s="74" t="s">
        <v>917</v>
      </c>
      <c r="B305" s="74" t="s">
        <v>918</v>
      </c>
      <c r="C305" s="76">
        <v>44610</v>
      </c>
      <c r="D305" s="74" t="s">
        <v>224</v>
      </c>
      <c r="E305" s="77">
        <v>1.7722027178999999</v>
      </c>
      <c r="F305" s="77">
        <v>1.9953015119999999</v>
      </c>
      <c r="G305" s="77">
        <v>1.8795197358</v>
      </c>
      <c r="H305" s="77">
        <v>1.8266945937000001</v>
      </c>
      <c r="I305" s="77">
        <v>0.25767153809999999</v>
      </c>
      <c r="J305" s="77">
        <v>0.241098019</v>
      </c>
      <c r="K305" s="77">
        <v>0.30231243419999998</v>
      </c>
      <c r="L305" s="77">
        <v>0.1094133591</v>
      </c>
    </row>
    <row r="306" spans="1:16">
      <c r="A306" s="74" t="s">
        <v>731</v>
      </c>
      <c r="B306" s="74" t="s">
        <v>732</v>
      </c>
      <c r="C306" s="76">
        <v>45476</v>
      </c>
      <c r="D306" s="74" t="s">
        <v>224</v>
      </c>
      <c r="F306" s="77">
        <v>3.3654700000000002</v>
      </c>
      <c r="G306" s="77">
        <v>4.7911799999999998</v>
      </c>
      <c r="H306" s="77">
        <v>4.1309100000000001</v>
      </c>
      <c r="J306" s="77">
        <v>0.32306000000000001</v>
      </c>
      <c r="K306" s="77">
        <v>0.36173</v>
      </c>
      <c r="L306" s="77">
        <v>0.34472999999999998</v>
      </c>
      <c r="N306" s="77">
        <v>25.315300000000001</v>
      </c>
      <c r="O306" s="77">
        <v>19.032499999999999</v>
      </c>
      <c r="P306" s="77">
        <v>25.0884</v>
      </c>
    </row>
    <row r="307" spans="1:16">
      <c r="A307" s="74" t="s">
        <v>417</v>
      </c>
      <c r="B307" s="74" t="s">
        <v>418</v>
      </c>
      <c r="C307" s="76">
        <v>44925</v>
      </c>
      <c r="D307" s="74" t="s">
        <v>224</v>
      </c>
      <c r="E307" s="77">
        <v>33.003913865999998</v>
      </c>
      <c r="F307" s="77">
        <v>36.206343855</v>
      </c>
      <c r="G307" s="77">
        <v>44.329030717000002</v>
      </c>
      <c r="H307" s="77">
        <v>48.151015727999997</v>
      </c>
      <c r="I307" s="77">
        <v>4.713609054</v>
      </c>
      <c r="J307" s="77">
        <v>6.25346416</v>
      </c>
      <c r="K307" s="77">
        <v>6.6671970040000001</v>
      </c>
      <c r="L307" s="77">
        <v>1.629298524</v>
      </c>
      <c r="M307" s="77">
        <v>25.694900000000001</v>
      </c>
      <c r="N307" s="77">
        <v>27.07</v>
      </c>
      <c r="O307" s="77">
        <v>25.2987</v>
      </c>
      <c r="P307" s="77">
        <v>18.900600000000001</v>
      </c>
    </row>
    <row r="308" spans="1:16">
      <c r="A308" s="74" t="s">
        <v>836</v>
      </c>
      <c r="B308" s="74" t="s">
        <v>837</v>
      </c>
      <c r="C308" s="76">
        <v>45016</v>
      </c>
      <c r="D308" s="74" t="s">
        <v>224</v>
      </c>
      <c r="E308" s="77">
        <v>1.0269999999999999</v>
      </c>
      <c r="F308" s="77">
        <v>1.6672199999999999</v>
      </c>
      <c r="G308" s="77">
        <v>2.5674000000000001</v>
      </c>
      <c r="H308" s="77">
        <v>2.9978899999999999</v>
      </c>
      <c r="I308" s="77">
        <v>0.27140999999999998</v>
      </c>
      <c r="J308" s="77">
        <v>0.49271999999999999</v>
      </c>
      <c r="K308" s="77">
        <v>0.78417000000000003</v>
      </c>
      <c r="L308" s="77">
        <v>0.56508000000000003</v>
      </c>
      <c r="M308" s="77">
        <v>40.515099999999997</v>
      </c>
      <c r="N308" s="77">
        <v>42.068199999999997</v>
      </c>
      <c r="O308" s="77">
        <v>44.064799999999998</v>
      </c>
      <c r="P308" s="77">
        <v>40.109499999999997</v>
      </c>
    </row>
    <row r="309" spans="1:16">
      <c r="A309" s="74" t="s">
        <v>457</v>
      </c>
      <c r="B309" s="74" t="s">
        <v>458</v>
      </c>
      <c r="C309" s="76">
        <v>44935</v>
      </c>
      <c r="D309" s="74" t="s">
        <v>224</v>
      </c>
      <c r="E309" s="77">
        <v>11.603149999999999</v>
      </c>
      <c r="F309" s="77">
        <v>21.320740000000001</v>
      </c>
      <c r="G309" s="77">
        <v>34.285589999999999</v>
      </c>
      <c r="H309" s="77">
        <v>28.104289999999999</v>
      </c>
      <c r="I309" s="77">
        <v>1.5407</v>
      </c>
      <c r="J309" s="77">
        <v>-4.8447199999999997</v>
      </c>
      <c r="K309" s="77">
        <v>-20.459710000000001</v>
      </c>
      <c r="L309" s="77">
        <v>-20.873470000000001</v>
      </c>
      <c r="M309" s="77">
        <v>46.215200000000003</v>
      </c>
      <c r="N309" s="77">
        <v>22.979099999999999</v>
      </c>
      <c r="O309" s="77">
        <v>24.525400000000001</v>
      </c>
      <c r="P309" s="77">
        <v>48.594200000000001</v>
      </c>
    </row>
    <row r="310" spans="1:16">
      <c r="A310" s="74" t="s">
        <v>725</v>
      </c>
      <c r="B310" s="74" t="s">
        <v>726</v>
      </c>
      <c r="C310" s="76">
        <v>44750</v>
      </c>
      <c r="D310" s="74" t="s">
        <v>224</v>
      </c>
      <c r="E310" s="77">
        <v>3.2114500000000001</v>
      </c>
      <c r="F310" s="77">
        <v>4.0284399999999998</v>
      </c>
      <c r="G310" s="77">
        <v>5.82803</v>
      </c>
      <c r="H310" s="77">
        <v>6.2773399999999997</v>
      </c>
      <c r="I310" s="77">
        <v>0.28933999999999999</v>
      </c>
      <c r="J310" s="77">
        <v>0.45301999999999998</v>
      </c>
      <c r="K310" s="77">
        <v>0.7581</v>
      </c>
      <c r="L310" s="77">
        <v>0.76741999999999999</v>
      </c>
      <c r="M310" s="77">
        <v>17.444800000000001</v>
      </c>
      <c r="N310" s="77">
        <v>19.764700000000001</v>
      </c>
      <c r="O310" s="77">
        <v>25.368600000000001</v>
      </c>
      <c r="P310" s="77">
        <v>23.051200000000001</v>
      </c>
    </row>
    <row r="311" spans="1:16">
      <c r="A311" s="74" t="s">
        <v>531</v>
      </c>
      <c r="B311" s="74" t="s">
        <v>532</v>
      </c>
      <c r="C311" s="76">
        <v>45807</v>
      </c>
      <c r="D311" s="74" t="s">
        <v>224</v>
      </c>
      <c r="G311" s="77">
        <v>15.476470000000001</v>
      </c>
      <c r="H311" s="77">
        <v>8.0625800000000005</v>
      </c>
      <c r="K311" s="77">
        <v>-2.0420099999999999</v>
      </c>
      <c r="L311" s="77">
        <v>1.30881</v>
      </c>
      <c r="O311" s="77">
        <v>29.7621</v>
      </c>
      <c r="P311" s="77">
        <v>34.780200000000001</v>
      </c>
    </row>
    <row r="312" spans="1:16">
      <c r="A312" s="74" t="s">
        <v>605</v>
      </c>
      <c r="B312" s="74" t="s">
        <v>606</v>
      </c>
      <c r="C312" s="76">
        <v>45833</v>
      </c>
      <c r="D312" s="74" t="s">
        <v>224</v>
      </c>
      <c r="G312" s="77">
        <v>14.80358</v>
      </c>
      <c r="H312" s="77">
        <v>10.96965</v>
      </c>
      <c r="K312" s="77">
        <v>0.71801999999999999</v>
      </c>
      <c r="L312" s="77">
        <v>0.80261000000000005</v>
      </c>
      <c r="O312" s="77">
        <v>17.5306</v>
      </c>
      <c r="P312" s="77">
        <v>20.408100000000001</v>
      </c>
    </row>
    <row r="313" spans="1:16">
      <c r="A313" s="74" t="s">
        <v>588</v>
      </c>
      <c r="B313" s="74" t="s">
        <v>589</v>
      </c>
      <c r="C313" s="76">
        <v>45656</v>
      </c>
      <c r="D313" s="74" t="s">
        <v>224</v>
      </c>
      <c r="F313" s="77">
        <v>1.8656999999999999</v>
      </c>
      <c r="G313" s="77">
        <v>4.3130499999999996</v>
      </c>
      <c r="H313" s="77">
        <v>5.6906800000000004</v>
      </c>
      <c r="J313" s="77">
        <v>-0.65473999999999999</v>
      </c>
      <c r="K313" s="77">
        <v>-1.57223</v>
      </c>
      <c r="L313" s="77">
        <v>-2.5813100000000002</v>
      </c>
      <c r="N313" s="77">
        <v>60.329599999999999</v>
      </c>
      <c r="O313" s="77">
        <v>40.220500000000001</v>
      </c>
      <c r="P313" s="77">
        <v>43.192599999999999</v>
      </c>
    </row>
    <row r="314" spans="1:16">
      <c r="A314" s="74" t="s">
        <v>481</v>
      </c>
      <c r="B314" s="74" t="s">
        <v>482</v>
      </c>
      <c r="C314" s="76">
        <v>45482</v>
      </c>
      <c r="D314" s="74" t="s">
        <v>224</v>
      </c>
      <c r="E314" s="77">
        <v>3.02921</v>
      </c>
      <c r="F314" s="77">
        <v>11.601050000000001</v>
      </c>
      <c r="G314" s="77">
        <v>17.586729999999999</v>
      </c>
      <c r="H314" s="77">
        <v>22.043030000000002</v>
      </c>
      <c r="I314" s="77">
        <v>-1.3027200000000001</v>
      </c>
      <c r="J314" s="77">
        <v>-0.90024000000000004</v>
      </c>
      <c r="K314" s="77">
        <v>-3.0396399999999999</v>
      </c>
      <c r="L314" s="77">
        <v>-3.8330199999999999</v>
      </c>
      <c r="M314" s="77">
        <v>14.1684</v>
      </c>
      <c r="N314" s="77">
        <v>18.132200000000001</v>
      </c>
      <c r="O314" s="77">
        <v>12.4894</v>
      </c>
      <c r="P314" s="77">
        <v>17.265499999999999</v>
      </c>
    </row>
    <row r="315" spans="1:16">
      <c r="A315" s="74" t="s">
        <v>1028</v>
      </c>
      <c r="B315" s="74" t="s">
        <v>1029</v>
      </c>
      <c r="C315" s="76">
        <v>45194</v>
      </c>
      <c r="D315" s="74" t="s">
        <v>224</v>
      </c>
      <c r="J315" s="77">
        <v>-1.0784499999999999</v>
      </c>
      <c r="K315" s="77">
        <v>-1.4851799999999999</v>
      </c>
      <c r="L315" s="77">
        <v>-1.88866</v>
      </c>
    </row>
    <row r="316" spans="1:16">
      <c r="A316" s="74" t="s">
        <v>415</v>
      </c>
      <c r="B316" s="74" t="s">
        <v>416</v>
      </c>
      <c r="C316" s="76">
        <v>44918</v>
      </c>
      <c r="D316" s="74" t="s">
        <v>224</v>
      </c>
      <c r="E316" s="77">
        <v>10.39011</v>
      </c>
      <c r="F316" s="77">
        <v>26.996469999999999</v>
      </c>
      <c r="G316" s="77">
        <v>34.7393</v>
      </c>
      <c r="H316" s="77">
        <v>41.194780000000002</v>
      </c>
      <c r="I316" s="77">
        <v>-5.9459499999999998</v>
      </c>
      <c r="J316" s="77">
        <v>-10.427809999999999</v>
      </c>
      <c r="K316" s="77">
        <v>-37.40455</v>
      </c>
      <c r="L316" s="77">
        <v>-13.705719999999999</v>
      </c>
      <c r="M316" s="77">
        <v>7.8733000000000004</v>
      </c>
      <c r="N316" s="77">
        <v>6.9215999999999998</v>
      </c>
      <c r="O316" s="77">
        <v>8.1593</v>
      </c>
      <c r="P316" s="77">
        <v>8.1891999999999996</v>
      </c>
    </row>
    <row r="317" spans="1:16">
      <c r="A317" s="74" t="s">
        <v>846</v>
      </c>
      <c r="B317" s="74" t="s">
        <v>847</v>
      </c>
      <c r="C317" s="76">
        <v>45818</v>
      </c>
      <c r="D317" s="74" t="s">
        <v>224</v>
      </c>
      <c r="G317" s="77">
        <v>3.8029500000000001</v>
      </c>
      <c r="H317" s="77">
        <v>3.9327299999999998</v>
      </c>
      <c r="K317" s="77">
        <v>0.29276000000000002</v>
      </c>
      <c r="L317" s="77">
        <v>0.37447000000000003</v>
      </c>
      <c r="O317" s="77">
        <v>23.459199999999999</v>
      </c>
      <c r="P317" s="77">
        <v>22.849499999999999</v>
      </c>
    </row>
    <row r="318" spans="1:16">
      <c r="A318" s="74" t="s">
        <v>860</v>
      </c>
      <c r="B318" s="74" t="s">
        <v>861</v>
      </c>
      <c r="C318" s="76">
        <v>45574</v>
      </c>
      <c r="D318" s="74" t="s">
        <v>224</v>
      </c>
      <c r="H318" s="77">
        <v>4.2200986451000002</v>
      </c>
      <c r="L318" s="77">
        <v>0.47408400560000002</v>
      </c>
      <c r="P318" s="77">
        <v>17.990400000000001</v>
      </c>
    </row>
    <row r="319" spans="1:16">
      <c r="A319" s="74" t="s">
        <v>607</v>
      </c>
      <c r="B319" s="74" t="s">
        <v>608</v>
      </c>
      <c r="C319" s="76">
        <v>44840</v>
      </c>
      <c r="D319" s="74" t="s">
        <v>224</v>
      </c>
      <c r="E319" s="77">
        <v>9.5164799999999996</v>
      </c>
      <c r="F319" s="77">
        <v>16.3797</v>
      </c>
      <c r="G319" s="77">
        <v>15.70129</v>
      </c>
      <c r="H319" s="77">
        <v>12.64073</v>
      </c>
      <c r="I319" s="77">
        <v>1.1740600000000001</v>
      </c>
      <c r="J319" s="77">
        <v>3.7928700000000002</v>
      </c>
      <c r="K319" s="77">
        <v>-6.92774</v>
      </c>
      <c r="L319" s="77">
        <v>-3.1960099999999998</v>
      </c>
      <c r="M319" s="77">
        <v>77.007999999999996</v>
      </c>
      <c r="N319" s="77">
        <v>82.668700000000001</v>
      </c>
      <c r="O319" s="77">
        <v>82.458200000000005</v>
      </c>
      <c r="P319" s="77">
        <v>81.297399999999996</v>
      </c>
    </row>
    <row r="320" spans="1:16">
      <c r="A320" s="74" t="s">
        <v>901</v>
      </c>
      <c r="B320" s="74" t="s">
        <v>902</v>
      </c>
      <c r="C320" s="76">
        <v>45994</v>
      </c>
      <c r="D320" s="74" t="s">
        <v>224</v>
      </c>
      <c r="F320" s="77">
        <v>1.8916773580999999</v>
      </c>
      <c r="G320" s="77">
        <v>2.4856302271000001</v>
      </c>
      <c r="H320" s="77">
        <v>1.9036599999999999</v>
      </c>
      <c r="J320" s="77">
        <v>0.2353271116</v>
      </c>
      <c r="K320" s="77">
        <v>0.51063333089999996</v>
      </c>
      <c r="L320" s="77">
        <v>0.24423</v>
      </c>
      <c r="N320" s="77">
        <v>27.408100000000001</v>
      </c>
      <c r="O320" s="77">
        <v>28.4252</v>
      </c>
      <c r="P320" s="77">
        <v>30.234400000000001</v>
      </c>
    </row>
    <row r="321" spans="1:16">
      <c r="A321" s="74" t="s">
        <v>558</v>
      </c>
      <c r="B321" s="74" t="s">
        <v>559</v>
      </c>
      <c r="C321" s="76">
        <v>46021</v>
      </c>
      <c r="D321" s="74" t="s">
        <v>224</v>
      </c>
      <c r="F321" s="77">
        <v>5.7678946903000003</v>
      </c>
      <c r="G321" s="77">
        <v>10.328684912</v>
      </c>
      <c r="H321" s="77">
        <v>19.028420000000001</v>
      </c>
      <c r="J321" s="77">
        <v>1.93846882E-2</v>
      </c>
      <c r="K321" s="77">
        <v>3.9842375800000003E-2</v>
      </c>
      <c r="L321" s="77">
        <v>0.88907000000000003</v>
      </c>
      <c r="N321" s="77">
        <v>10.7644</v>
      </c>
      <c r="O321" s="77">
        <v>10.6067</v>
      </c>
      <c r="P321" s="77">
        <v>12.7494</v>
      </c>
    </row>
    <row r="322" spans="1:16">
      <c r="A322" s="74" t="s">
        <v>566</v>
      </c>
      <c r="B322" s="74" t="s">
        <v>567</v>
      </c>
      <c r="C322" s="76">
        <v>45240</v>
      </c>
      <c r="D322" s="74" t="s">
        <v>224</v>
      </c>
      <c r="E322" s="77">
        <v>8.8698057001000006</v>
      </c>
      <c r="F322" s="77">
        <v>9.8064300000000006</v>
      </c>
      <c r="G322" s="77">
        <v>11.721819999999999</v>
      </c>
      <c r="H322" s="77">
        <v>11.94209</v>
      </c>
      <c r="I322" s="77">
        <v>0.55086605560000002</v>
      </c>
      <c r="J322" s="77">
        <v>0.54210000000000003</v>
      </c>
      <c r="K322" s="77">
        <v>0.55178000000000005</v>
      </c>
      <c r="L322" s="77">
        <v>0.35400999999999999</v>
      </c>
      <c r="N322" s="77">
        <v>33.669699999999999</v>
      </c>
      <c r="O322" s="77">
        <v>31.9206</v>
      </c>
      <c r="P322" s="77">
        <v>30.284800000000001</v>
      </c>
    </row>
    <row r="323" spans="1:16">
      <c r="A323" s="74" t="s">
        <v>842</v>
      </c>
      <c r="B323" s="74" t="s">
        <v>843</v>
      </c>
      <c r="C323" s="76">
        <v>45125</v>
      </c>
      <c r="D323" s="74" t="s">
        <v>224</v>
      </c>
      <c r="E323" s="77">
        <v>1.8031600000000001</v>
      </c>
      <c r="F323" s="77">
        <v>2.3069500000000001</v>
      </c>
      <c r="G323" s="77">
        <v>2.9569399999999999</v>
      </c>
      <c r="H323" s="77">
        <v>3.1973500000000001</v>
      </c>
      <c r="I323" s="77">
        <v>0.20530000000000001</v>
      </c>
      <c r="J323" s="77">
        <v>0.36535000000000001</v>
      </c>
      <c r="K323" s="77">
        <v>0.38990999999999998</v>
      </c>
      <c r="L323" s="77">
        <v>0.50817000000000001</v>
      </c>
      <c r="M323" s="77">
        <v>32.716500000000003</v>
      </c>
      <c r="N323" s="77">
        <v>37.625900000000001</v>
      </c>
      <c r="O323" s="77">
        <v>37.574300000000001</v>
      </c>
      <c r="P323" s="77">
        <v>36.385800000000003</v>
      </c>
    </row>
    <row r="324" spans="1:16">
      <c r="A324" s="74" t="s">
        <v>911</v>
      </c>
      <c r="B324" s="74" t="s">
        <v>912</v>
      </c>
      <c r="C324" s="76">
        <v>44851</v>
      </c>
      <c r="D324" s="74" t="s">
        <v>224</v>
      </c>
      <c r="E324" s="77">
        <v>0.89371999999999996</v>
      </c>
      <c r="F324" s="77">
        <v>1.1304000000000001</v>
      </c>
      <c r="G324" s="77">
        <v>2.1954899999999999</v>
      </c>
      <c r="H324" s="77">
        <v>2.5659100000000001</v>
      </c>
      <c r="I324" s="77">
        <v>0.26416000000000001</v>
      </c>
      <c r="J324" s="77">
        <v>0.45778999999999997</v>
      </c>
      <c r="K324" s="77">
        <v>0.49985000000000002</v>
      </c>
      <c r="L324" s="77">
        <v>0.68503000000000003</v>
      </c>
      <c r="M324" s="77">
        <v>50.010100000000001</v>
      </c>
      <c r="N324" s="77">
        <v>67.121399999999994</v>
      </c>
      <c r="O324" s="77">
        <v>50.1965</v>
      </c>
      <c r="P324" s="77">
        <v>52.012</v>
      </c>
    </row>
    <row r="325" spans="1:16">
      <c r="A325" s="74" t="s">
        <v>590</v>
      </c>
      <c r="B325" s="74" t="s">
        <v>591</v>
      </c>
      <c r="C325" s="76">
        <v>45194</v>
      </c>
      <c r="D325" s="74" t="s">
        <v>224</v>
      </c>
      <c r="E325" s="77">
        <v>5.63009</v>
      </c>
      <c r="F325" s="77">
        <v>7.8152400000000002</v>
      </c>
      <c r="G325" s="77">
        <v>41.95393</v>
      </c>
      <c r="H325" s="77">
        <v>46.07929</v>
      </c>
      <c r="I325" s="77">
        <v>0.12706000000000001</v>
      </c>
      <c r="J325" s="77">
        <v>0.25520999999999999</v>
      </c>
      <c r="K325" s="77">
        <v>3.8408500000000001</v>
      </c>
      <c r="L325" s="77">
        <v>3.8094399999999999</v>
      </c>
      <c r="M325" s="77">
        <v>8.6858000000000004</v>
      </c>
      <c r="N325" s="77">
        <v>8.1616999999999997</v>
      </c>
      <c r="O325" s="77">
        <v>10.888999999999999</v>
      </c>
      <c r="P325" s="77">
        <v>11.8339</v>
      </c>
    </row>
    <row r="326" spans="1:16">
      <c r="A326" s="74" t="s">
        <v>822</v>
      </c>
      <c r="B326" s="74" t="s">
        <v>823</v>
      </c>
      <c r="C326" s="76">
        <v>44881</v>
      </c>
      <c r="D326" s="74" t="s">
        <v>224</v>
      </c>
      <c r="E326" s="77">
        <v>3.5423100000000001</v>
      </c>
      <c r="F326" s="77">
        <v>3.4794299999999998</v>
      </c>
      <c r="G326" s="77">
        <v>4.4089400000000003</v>
      </c>
      <c r="H326" s="77">
        <v>4.7553099999999997</v>
      </c>
      <c r="I326" s="77">
        <v>0.35222999999999999</v>
      </c>
      <c r="J326" s="77">
        <v>0.50080999999999998</v>
      </c>
      <c r="K326" s="77">
        <v>0.67505000000000004</v>
      </c>
      <c r="L326" s="77">
        <v>0.50800999999999996</v>
      </c>
      <c r="M326" s="77">
        <v>23.3565</v>
      </c>
      <c r="N326" s="77">
        <v>28.174399999999999</v>
      </c>
      <c r="O326" s="77">
        <v>22.05</v>
      </c>
      <c r="P326" s="77">
        <v>21.1692</v>
      </c>
    </row>
    <row r="327" spans="1:16">
      <c r="A327" s="74" t="s">
        <v>560</v>
      </c>
      <c r="B327" s="74" t="s">
        <v>561</v>
      </c>
      <c r="C327" s="76">
        <v>44792</v>
      </c>
      <c r="D327" s="74" t="s">
        <v>224</v>
      </c>
      <c r="E327" s="77">
        <v>8.4494326674819895</v>
      </c>
      <c r="F327" s="77">
        <v>9.1315640515582306</v>
      </c>
      <c r="G327" s="77">
        <v>10.209272857731699</v>
      </c>
      <c r="H327" s="77">
        <v>13.183597508083</v>
      </c>
      <c r="I327" s="77">
        <v>0.29993885038728102</v>
      </c>
      <c r="J327" s="77">
        <v>0.30399624795821001</v>
      </c>
      <c r="K327" s="77">
        <v>0.36010564401630502</v>
      </c>
      <c r="L327" s="77">
        <v>0.42247456825171498</v>
      </c>
      <c r="M327" s="77">
        <v>13.3057</v>
      </c>
      <c r="N327" s="77">
        <v>14.1212</v>
      </c>
      <c r="O327" s="77">
        <v>14.132300000000001</v>
      </c>
      <c r="P327" s="77">
        <v>13.353300000000001</v>
      </c>
    </row>
    <row r="328" spans="1:16">
      <c r="A328" s="74" t="s">
        <v>781</v>
      </c>
      <c r="B328" s="74" t="s">
        <v>782</v>
      </c>
      <c r="C328" s="76">
        <v>45443</v>
      </c>
      <c r="D328" s="74" t="s">
        <v>224</v>
      </c>
      <c r="F328" s="77">
        <v>4.5273199999999996</v>
      </c>
      <c r="G328" s="77">
        <v>6.7768699999999997</v>
      </c>
      <c r="H328" s="77">
        <v>4.67631</v>
      </c>
      <c r="J328" s="77">
        <v>0.18997</v>
      </c>
      <c r="K328" s="77">
        <v>0.47968</v>
      </c>
      <c r="L328" s="77">
        <v>0.45236999999999999</v>
      </c>
      <c r="N328" s="77">
        <v>64.590999999999994</v>
      </c>
      <c r="O328" s="77">
        <v>62.796999999999997</v>
      </c>
      <c r="P328" s="77">
        <v>60.907200000000003</v>
      </c>
    </row>
    <row r="329" spans="1:16">
      <c r="A329" s="74" t="s">
        <v>964</v>
      </c>
      <c r="B329" s="74" t="s">
        <v>965</v>
      </c>
      <c r="C329" s="76">
        <v>44750</v>
      </c>
      <c r="D329" s="74" t="s">
        <v>224</v>
      </c>
      <c r="E329" s="77">
        <v>8.8999999999999999E-3</v>
      </c>
      <c r="F329" s="77">
        <v>6.0970000000000003E-2</v>
      </c>
      <c r="G329" s="77">
        <v>0.81198999999999999</v>
      </c>
      <c r="H329" s="77">
        <v>0.83604000000000001</v>
      </c>
      <c r="I329" s="77">
        <v>-0.45128000000000001</v>
      </c>
      <c r="J329" s="77">
        <v>-1.4523999999999999</v>
      </c>
      <c r="K329" s="77">
        <v>-6.3364500000000001</v>
      </c>
      <c r="L329" s="77">
        <v>-13.459630000000001</v>
      </c>
      <c r="M329" s="77">
        <v>69.325800000000001</v>
      </c>
      <c r="N329" s="77">
        <v>86.271900000000002</v>
      </c>
      <c r="O329" s="77">
        <v>85.015799999999999</v>
      </c>
      <c r="P329" s="77">
        <v>83.517499999999998</v>
      </c>
    </row>
    <row r="330" spans="1:16">
      <c r="A330" s="74" t="s">
        <v>765</v>
      </c>
      <c r="B330" s="74" t="s">
        <v>766</v>
      </c>
      <c r="C330" s="76">
        <v>45988</v>
      </c>
      <c r="D330" s="74" t="s">
        <v>224</v>
      </c>
      <c r="E330" s="77">
        <v>3.7154099999999999</v>
      </c>
      <c r="F330" s="77">
        <v>1.9710000000000001</v>
      </c>
      <c r="G330" s="77">
        <v>3.5110999999999999</v>
      </c>
      <c r="H330" s="77">
        <v>4.7528499999999996</v>
      </c>
      <c r="I330" s="77">
        <v>0.62648000000000004</v>
      </c>
      <c r="J330" s="77">
        <v>0.22334000000000001</v>
      </c>
      <c r="K330" s="77">
        <v>0.54008999999999996</v>
      </c>
      <c r="L330" s="77">
        <v>-2.81E-3</v>
      </c>
      <c r="M330" s="77">
        <v>82.826899999999995</v>
      </c>
      <c r="N330" s="77">
        <v>76.874200000000002</v>
      </c>
      <c r="O330" s="77">
        <v>75.868799999999993</v>
      </c>
      <c r="P330" s="77">
        <v>65.804100000000005</v>
      </c>
    </row>
    <row r="331" spans="1:16">
      <c r="A331" s="74" t="s">
        <v>878</v>
      </c>
      <c r="B331" s="74" t="s">
        <v>879</v>
      </c>
      <c r="C331" s="76">
        <v>45210</v>
      </c>
      <c r="D331" s="74" t="s">
        <v>224</v>
      </c>
      <c r="E331" s="77">
        <v>1.72377</v>
      </c>
      <c r="F331" s="77">
        <v>2.0707399999999998</v>
      </c>
      <c r="G331" s="77">
        <v>2.01742</v>
      </c>
      <c r="H331" s="77">
        <v>2.43255</v>
      </c>
      <c r="I331" s="77">
        <v>0.42664000000000002</v>
      </c>
      <c r="J331" s="77">
        <v>0.39438000000000001</v>
      </c>
      <c r="K331" s="77">
        <v>0.45978000000000002</v>
      </c>
      <c r="L331" s="77">
        <v>0.48774000000000001</v>
      </c>
      <c r="M331" s="77">
        <v>42.489400000000003</v>
      </c>
      <c r="N331" s="77">
        <v>36.399099999999997</v>
      </c>
      <c r="O331" s="77">
        <v>49.012599999999999</v>
      </c>
      <c r="P331" s="77">
        <v>43.012900000000002</v>
      </c>
    </row>
    <row r="332" spans="1:16">
      <c r="A332" s="74" t="s">
        <v>884</v>
      </c>
      <c r="B332" s="74" t="s">
        <v>885</v>
      </c>
      <c r="C332" s="76">
        <v>44572</v>
      </c>
      <c r="D332" s="74" t="s">
        <v>224</v>
      </c>
      <c r="E332" s="77">
        <v>1.6731400000000001</v>
      </c>
      <c r="F332" s="77">
        <v>1.82759</v>
      </c>
      <c r="G332" s="77">
        <v>2.1366800000000001</v>
      </c>
      <c r="H332" s="77">
        <v>2.1775600000000002</v>
      </c>
      <c r="I332" s="77">
        <v>0.34633000000000003</v>
      </c>
      <c r="J332" s="77">
        <v>0.40516999999999997</v>
      </c>
      <c r="K332" s="77">
        <v>0.50136000000000003</v>
      </c>
      <c r="L332" s="77">
        <v>0.52437</v>
      </c>
      <c r="M332" s="77">
        <v>53.39</v>
      </c>
      <c r="N332" s="77">
        <v>54.508400000000002</v>
      </c>
      <c r="O332" s="77">
        <v>53.176900000000003</v>
      </c>
      <c r="P332" s="77">
        <v>53.645800000000001</v>
      </c>
    </row>
    <row r="333" spans="1:16">
      <c r="A333" s="74" t="s">
        <v>513</v>
      </c>
      <c r="B333" s="74" t="s">
        <v>514</v>
      </c>
      <c r="C333" s="76">
        <v>45015</v>
      </c>
      <c r="D333" s="74" t="s">
        <v>224</v>
      </c>
      <c r="E333" s="77">
        <v>18.219159999999999</v>
      </c>
      <c r="F333" s="77">
        <v>17.699000000000002</v>
      </c>
      <c r="G333" s="77">
        <v>18.233840000000001</v>
      </c>
      <c r="H333" s="77">
        <v>18.906600000000001</v>
      </c>
      <c r="I333" s="77">
        <v>0.49778</v>
      </c>
      <c r="J333" s="77">
        <v>0.48532999999999998</v>
      </c>
      <c r="K333" s="77">
        <v>0.60570000000000002</v>
      </c>
      <c r="L333" s="77">
        <v>0.64471000000000001</v>
      </c>
      <c r="M333" s="77">
        <v>10.0687</v>
      </c>
      <c r="N333" s="77">
        <v>10.685</v>
      </c>
      <c r="O333" s="77">
        <v>10.729900000000001</v>
      </c>
      <c r="P333" s="77">
        <v>10.9252</v>
      </c>
    </row>
    <row r="334" spans="1:16">
      <c r="A334" s="74" t="s">
        <v>536</v>
      </c>
      <c r="B334" s="74" t="s">
        <v>537</v>
      </c>
      <c r="C334" s="76">
        <v>44747</v>
      </c>
      <c r="D334" s="74" t="s">
        <v>224</v>
      </c>
      <c r="E334" s="77">
        <v>7.3800522180000003</v>
      </c>
      <c r="F334" s="77">
        <v>11.736598625999999</v>
      </c>
      <c r="G334" s="77">
        <v>19.259459532000001</v>
      </c>
      <c r="H334" s="77">
        <v>14.498347111999999</v>
      </c>
      <c r="I334" s="77">
        <v>-4.9166164739999996</v>
      </c>
      <c r="J334" s="77">
        <v>-4.3659410879999996</v>
      </c>
      <c r="K334" s="77">
        <v>-11.184507968</v>
      </c>
      <c r="L334" s="77">
        <v>-10.18050405</v>
      </c>
      <c r="M334" s="77">
        <v>26.265499999999999</v>
      </c>
      <c r="N334" s="77">
        <v>34.433500000000002</v>
      </c>
      <c r="O334" s="77">
        <v>42.3294</v>
      </c>
      <c r="P334" s="77">
        <v>42.956299999999999</v>
      </c>
    </row>
    <row r="335" spans="1:16">
      <c r="A335" s="74" t="s">
        <v>937</v>
      </c>
      <c r="B335" s="74" t="s">
        <v>938</v>
      </c>
      <c r="C335" s="76">
        <v>45016</v>
      </c>
      <c r="D335" s="74" t="s">
        <v>224</v>
      </c>
      <c r="E335" s="77">
        <v>0.66490162200000003</v>
      </c>
      <c r="F335" s="77">
        <v>0.762499814</v>
      </c>
      <c r="G335" s="77">
        <v>0.91465792199999996</v>
      </c>
      <c r="H335" s="77">
        <v>1.144214134</v>
      </c>
      <c r="I335" s="77">
        <v>0.36304144799999999</v>
      </c>
      <c r="J335" s="77">
        <v>0.38438185899999999</v>
      </c>
      <c r="K335" s="77">
        <v>0.36819667499999997</v>
      </c>
      <c r="L335" s="77">
        <v>0.38263512399999999</v>
      </c>
      <c r="M335" s="77">
        <v>89.749200000000002</v>
      </c>
      <c r="N335" s="77">
        <v>87.497900000000001</v>
      </c>
      <c r="O335" s="77">
        <v>84.825000000000003</v>
      </c>
      <c r="P335" s="77">
        <v>84.332599999999999</v>
      </c>
    </row>
    <row r="336" spans="1:16">
      <c r="A336" s="74" t="s">
        <v>519</v>
      </c>
      <c r="B336" s="74" t="s">
        <v>520</v>
      </c>
      <c r="C336" s="76">
        <v>45604</v>
      </c>
      <c r="D336" s="74" t="s">
        <v>224</v>
      </c>
      <c r="G336" s="77">
        <v>13.883800000000001</v>
      </c>
      <c r="H336" s="77">
        <v>14.10632</v>
      </c>
      <c r="K336" s="77">
        <v>0.85895999999999995</v>
      </c>
      <c r="L336" s="77">
        <v>0.40790999999999999</v>
      </c>
      <c r="O336" s="77">
        <v>16.442</v>
      </c>
      <c r="P336" s="77">
        <v>16.6723</v>
      </c>
    </row>
    <row r="337" spans="1:16">
      <c r="A337" s="74" t="s">
        <v>723</v>
      </c>
      <c r="B337" s="74" t="s">
        <v>724</v>
      </c>
      <c r="C337" s="76">
        <v>45359</v>
      </c>
      <c r="D337" s="74" t="s">
        <v>224</v>
      </c>
      <c r="E337" s="77">
        <v>4.2462600000000004</v>
      </c>
      <c r="F337" s="77">
        <v>3.7766700000000002</v>
      </c>
      <c r="G337" s="77">
        <v>4.7018000000000004</v>
      </c>
      <c r="H337" s="77">
        <v>4.9257</v>
      </c>
      <c r="I337" s="77">
        <v>0.49031999999999998</v>
      </c>
      <c r="J337" s="77">
        <v>0.49773000000000001</v>
      </c>
      <c r="K337" s="77">
        <v>0.57487999999999995</v>
      </c>
      <c r="L337" s="77">
        <v>0.67290000000000005</v>
      </c>
      <c r="M337" s="77">
        <v>17.749500000000001</v>
      </c>
      <c r="N337" s="77">
        <v>20.3505</v>
      </c>
      <c r="O337" s="77">
        <v>19.926600000000001</v>
      </c>
      <c r="P337" s="77">
        <v>20.921500000000002</v>
      </c>
    </row>
    <row r="338" spans="1:16">
      <c r="A338" s="74" t="s">
        <v>907</v>
      </c>
      <c r="B338" s="74" t="s">
        <v>908</v>
      </c>
      <c r="C338" s="76">
        <v>45124</v>
      </c>
      <c r="D338" s="74" t="s">
        <v>224</v>
      </c>
      <c r="E338" s="77">
        <v>2.3994452657999998</v>
      </c>
      <c r="F338" s="77">
        <v>1.7808176596</v>
      </c>
      <c r="G338" s="77">
        <v>2.0047470239999998</v>
      </c>
      <c r="H338" s="77">
        <v>2.1499043705999998</v>
      </c>
      <c r="I338" s="77">
        <v>0.23982717940000001</v>
      </c>
      <c r="J338" s="77">
        <v>0.34648635519999998</v>
      </c>
      <c r="K338" s="77">
        <v>0.27020862400000001</v>
      </c>
      <c r="L338" s="77">
        <v>0.3522252937</v>
      </c>
      <c r="M338" s="77">
        <v>76.360500000000002</v>
      </c>
      <c r="N338" s="77">
        <v>77.668999999999997</v>
      </c>
      <c r="O338" s="77">
        <v>78.020700000000005</v>
      </c>
      <c r="P338" s="77">
        <v>75.269000000000005</v>
      </c>
    </row>
    <row r="339" spans="1:16">
      <c r="A339" s="74" t="s">
        <v>805</v>
      </c>
      <c r="B339" s="74" t="s">
        <v>806</v>
      </c>
      <c r="C339" s="76">
        <v>44939</v>
      </c>
      <c r="D339" s="74" t="s">
        <v>224</v>
      </c>
      <c r="E339" s="77">
        <v>2.9739800000000001</v>
      </c>
      <c r="F339" s="77">
        <v>2.8288899999999999</v>
      </c>
      <c r="G339" s="77">
        <v>3.4199799999999998</v>
      </c>
      <c r="H339" s="77">
        <v>3.56847</v>
      </c>
      <c r="I339" s="77">
        <v>0.40944999999999998</v>
      </c>
      <c r="J339" s="77">
        <v>0.40938999999999998</v>
      </c>
      <c r="K339" s="77">
        <v>0.48292000000000002</v>
      </c>
      <c r="L339" s="77">
        <v>0.46697</v>
      </c>
      <c r="M339" s="77">
        <v>32.364400000000003</v>
      </c>
      <c r="N339" s="77">
        <v>32.022500000000001</v>
      </c>
      <c r="O339" s="77">
        <v>31.7195</v>
      </c>
      <c r="P339" s="77">
        <v>33.419400000000003</v>
      </c>
    </row>
    <row r="340" spans="1:16">
      <c r="A340" s="74" t="s">
        <v>711</v>
      </c>
      <c r="B340" s="74" t="s">
        <v>712</v>
      </c>
      <c r="C340" s="76">
        <v>44757</v>
      </c>
      <c r="D340" s="74" t="s">
        <v>224</v>
      </c>
      <c r="E340" s="77">
        <v>4.5034622875999997</v>
      </c>
      <c r="F340" s="77">
        <v>4.0003822511999996</v>
      </c>
      <c r="G340" s="77">
        <v>4.3684531519999998</v>
      </c>
      <c r="H340" s="77">
        <v>5.1884069391000001</v>
      </c>
      <c r="I340" s="77">
        <v>0.2259067582</v>
      </c>
      <c r="J340" s="77">
        <v>0.25129687119999999</v>
      </c>
      <c r="K340" s="77">
        <v>0.19624852800000001</v>
      </c>
      <c r="L340" s="77">
        <v>2.9049140399999999E-2</v>
      </c>
      <c r="M340" s="77">
        <v>17.038</v>
      </c>
      <c r="N340" s="77">
        <v>19.674199999999999</v>
      </c>
      <c r="O340" s="77">
        <v>20.982500000000002</v>
      </c>
      <c r="P340" s="77">
        <v>17.2773</v>
      </c>
    </row>
    <row r="341" spans="1:16">
      <c r="A341" s="74" t="s">
        <v>858</v>
      </c>
      <c r="B341" s="74" t="s">
        <v>859</v>
      </c>
      <c r="C341" s="76">
        <v>45405</v>
      </c>
      <c r="D341" s="74" t="s">
        <v>224</v>
      </c>
      <c r="F341" s="77">
        <v>0.92412000000000005</v>
      </c>
      <c r="G341" s="77">
        <v>2.7494399999999999</v>
      </c>
      <c r="H341" s="77">
        <v>2.8795999999999999</v>
      </c>
      <c r="J341" s="77">
        <v>7.3539999999999994E-2</v>
      </c>
      <c r="K341" s="77">
        <v>0.41414000000000001</v>
      </c>
      <c r="L341" s="77">
        <v>0.35089999999999999</v>
      </c>
      <c r="N341" s="77">
        <v>28.4465</v>
      </c>
      <c r="O341" s="77">
        <v>26.080200000000001</v>
      </c>
      <c r="P341" s="77">
        <v>25.210100000000001</v>
      </c>
    </row>
    <row r="342" spans="1:16">
      <c r="A342" s="74" t="s">
        <v>564</v>
      </c>
      <c r="B342" s="74" t="s">
        <v>565</v>
      </c>
      <c r="C342" s="76">
        <v>45747</v>
      </c>
      <c r="D342" s="74" t="s">
        <v>224</v>
      </c>
      <c r="G342" s="77">
        <v>14.32193</v>
      </c>
      <c r="H342" s="77">
        <v>13.286849999999999</v>
      </c>
      <c r="K342" s="77">
        <v>0.36055999999999999</v>
      </c>
      <c r="L342" s="77">
        <v>0.50029000000000001</v>
      </c>
      <c r="O342" s="77">
        <v>19.7379</v>
      </c>
      <c r="P342" s="77">
        <v>22.739599999999999</v>
      </c>
    </row>
    <row r="343" spans="1:16">
      <c r="A343" s="74" t="s">
        <v>703</v>
      </c>
      <c r="B343" s="74" t="s">
        <v>704</v>
      </c>
      <c r="C343" s="76">
        <v>44830</v>
      </c>
      <c r="D343" s="74" t="s">
        <v>224</v>
      </c>
      <c r="E343" s="77">
        <v>2.9178670419000001</v>
      </c>
      <c r="F343" s="77">
        <v>3.0324423820000002</v>
      </c>
      <c r="G343" s="77">
        <v>3.2745400365999999</v>
      </c>
      <c r="H343" s="77">
        <v>5.1216254711999998</v>
      </c>
      <c r="I343" s="77">
        <v>0.21498790770000001</v>
      </c>
      <c r="J343" s="77">
        <v>0.238557933</v>
      </c>
      <c r="K343" s="77">
        <v>0.20940179680000001</v>
      </c>
      <c r="L343" s="77">
        <v>0.38326710580000001</v>
      </c>
      <c r="M343" s="77">
        <v>19.267900000000001</v>
      </c>
      <c r="N343" s="77">
        <v>20.838799999999999</v>
      </c>
      <c r="O343" s="77">
        <v>22.263200000000001</v>
      </c>
      <c r="P343" s="77">
        <v>18.378900000000002</v>
      </c>
    </row>
    <row r="344" spans="1:16">
      <c r="A344" s="74" t="s">
        <v>755</v>
      </c>
      <c r="B344" s="74" t="s">
        <v>756</v>
      </c>
      <c r="C344" s="76">
        <v>45483</v>
      </c>
      <c r="D344" s="74" t="s">
        <v>224</v>
      </c>
      <c r="F344" s="77">
        <v>2.3608500000000001</v>
      </c>
      <c r="G344" s="77">
        <v>2.4804400000000002</v>
      </c>
      <c r="H344" s="77">
        <v>4.1907300000000003</v>
      </c>
      <c r="J344" s="77">
        <v>0.34104000000000001</v>
      </c>
      <c r="K344" s="77">
        <v>0.13422999999999999</v>
      </c>
      <c r="L344" s="77">
        <v>0.36532999999999999</v>
      </c>
      <c r="N344" s="77">
        <v>37.074800000000003</v>
      </c>
      <c r="O344" s="77">
        <v>28.582799999999999</v>
      </c>
      <c r="P344" s="77">
        <v>31.740500000000001</v>
      </c>
    </row>
    <row r="345" spans="1:16">
      <c r="A345" s="74" t="s">
        <v>868</v>
      </c>
      <c r="B345" s="74" t="s">
        <v>869</v>
      </c>
      <c r="C345" s="76">
        <v>45055</v>
      </c>
      <c r="D345" s="74" t="s">
        <v>224</v>
      </c>
      <c r="E345" s="77">
        <v>1.2890889504</v>
      </c>
      <c r="F345" s="77">
        <v>1.3700960592</v>
      </c>
      <c r="G345" s="77">
        <v>1.5515462927999999</v>
      </c>
      <c r="H345" s="77">
        <v>2.0564326335000001</v>
      </c>
      <c r="I345" s="77">
        <v>0.21404766780000001</v>
      </c>
      <c r="J345" s="77">
        <v>0.2515705104</v>
      </c>
      <c r="K345" s="77">
        <v>0.33710057040000002</v>
      </c>
      <c r="L345" s="77">
        <v>0.2460039554</v>
      </c>
      <c r="M345" s="77">
        <v>23.6693</v>
      </c>
      <c r="N345" s="77">
        <v>26.911899999999999</v>
      </c>
      <c r="O345" s="77">
        <v>29.255199999999999</v>
      </c>
      <c r="P345" s="77">
        <v>25.731400000000001</v>
      </c>
    </row>
    <row r="346" spans="1:16">
      <c r="A346" s="74" t="s">
        <v>903</v>
      </c>
      <c r="B346" s="74" t="s">
        <v>904</v>
      </c>
      <c r="C346" s="76">
        <v>44760</v>
      </c>
      <c r="D346" s="74" t="s">
        <v>224</v>
      </c>
      <c r="E346" s="77">
        <v>1.23736</v>
      </c>
      <c r="F346" s="77">
        <v>1.6874899999999999</v>
      </c>
      <c r="G346" s="77">
        <v>1.9836499999999999</v>
      </c>
      <c r="H346" s="77">
        <v>2.7359499999999999</v>
      </c>
      <c r="I346" s="77">
        <v>0.24549000000000001</v>
      </c>
      <c r="J346" s="77">
        <v>0.36884</v>
      </c>
      <c r="K346" s="77">
        <v>0.53325</v>
      </c>
      <c r="L346" s="77">
        <v>0.78981999999999997</v>
      </c>
      <c r="M346" s="77">
        <v>48.027299999999997</v>
      </c>
      <c r="N346" s="77">
        <v>49.331800000000001</v>
      </c>
      <c r="O346" s="77">
        <v>46.904899999999998</v>
      </c>
      <c r="P346" s="77">
        <v>49.670900000000003</v>
      </c>
    </row>
    <row r="347" spans="1:16">
      <c r="A347" s="74" t="s">
        <v>888</v>
      </c>
      <c r="B347" s="74" t="s">
        <v>889</v>
      </c>
      <c r="C347" s="76">
        <v>45240</v>
      </c>
      <c r="D347" s="74" t="s">
        <v>224</v>
      </c>
      <c r="E347" s="77">
        <v>0.77522000000000002</v>
      </c>
      <c r="F347" s="77">
        <v>1.03444</v>
      </c>
      <c r="G347" s="77">
        <v>1.57637</v>
      </c>
      <c r="H347" s="77">
        <v>2.0716700000000001</v>
      </c>
      <c r="I347" s="77">
        <v>0.18597</v>
      </c>
      <c r="J347" s="77">
        <v>0.24228</v>
      </c>
      <c r="K347" s="77">
        <v>0.18473999999999999</v>
      </c>
      <c r="L347" s="77">
        <v>0.45659</v>
      </c>
      <c r="M347" s="77">
        <v>42.918100000000003</v>
      </c>
      <c r="N347" s="77">
        <v>41.4572</v>
      </c>
      <c r="O347" s="77">
        <v>36.584699999999998</v>
      </c>
      <c r="P347" s="77">
        <v>49.855899999999998</v>
      </c>
    </row>
    <row r="348" spans="1:16">
      <c r="A348" s="74" t="s">
        <v>945</v>
      </c>
      <c r="B348" s="74" t="s">
        <v>946</v>
      </c>
      <c r="C348" s="76">
        <v>46013</v>
      </c>
      <c r="D348" s="74" t="s">
        <v>224</v>
      </c>
      <c r="E348" s="77">
        <v>0.96174373400000002</v>
      </c>
      <c r="F348" s="77">
        <v>0.4977392611</v>
      </c>
      <c r="G348" s="77">
        <v>0.58742670029999999</v>
      </c>
      <c r="H348" s="77">
        <v>0.63039000000000001</v>
      </c>
      <c r="I348" s="77">
        <v>0.209460331</v>
      </c>
      <c r="J348" s="77">
        <v>-2.5260594399999999E-2</v>
      </c>
      <c r="K348" s="77">
        <v>-9.2288956000000002E-3</v>
      </c>
      <c r="L348" s="77">
        <v>-2.5989999999999999E-2</v>
      </c>
      <c r="M348" s="77">
        <v>43.881999999999998</v>
      </c>
      <c r="N348" s="77">
        <v>22.340900000000001</v>
      </c>
      <c r="O348" s="77">
        <v>26.0749</v>
      </c>
      <c r="P348" s="77">
        <v>27.2498</v>
      </c>
    </row>
    <row r="349" spans="1:16">
      <c r="A349" s="74" t="s">
        <v>548</v>
      </c>
      <c r="B349" s="74" t="s">
        <v>549</v>
      </c>
      <c r="C349" s="76">
        <v>45300</v>
      </c>
      <c r="D349" s="74" t="s">
        <v>224</v>
      </c>
      <c r="E349" s="77">
        <v>10.807079999999999</v>
      </c>
      <c r="F349" s="77">
        <v>13.31204</v>
      </c>
      <c r="G349" s="77">
        <v>13.46219</v>
      </c>
      <c r="H349" s="77">
        <v>13.78055</v>
      </c>
      <c r="I349" s="77">
        <v>0.30048000000000002</v>
      </c>
      <c r="J349" s="77">
        <v>0.13558999999999999</v>
      </c>
      <c r="K349" s="77">
        <v>0.28076000000000001</v>
      </c>
      <c r="L349" s="77">
        <v>0.25324999999999998</v>
      </c>
      <c r="M349" s="77">
        <v>5.4531000000000001</v>
      </c>
      <c r="N349" s="77">
        <v>4.9908999999999999</v>
      </c>
      <c r="O349" s="77">
        <v>5.2925000000000004</v>
      </c>
      <c r="P349" s="77">
        <v>5.7272999999999996</v>
      </c>
    </row>
    <row r="350" spans="1:16">
      <c r="A350" s="74" t="s">
        <v>709</v>
      </c>
      <c r="B350" s="74" t="s">
        <v>710</v>
      </c>
      <c r="C350" s="76">
        <v>45429</v>
      </c>
      <c r="D350" s="74" t="s">
        <v>224</v>
      </c>
      <c r="F350" s="77">
        <v>2.7832499999999998</v>
      </c>
      <c r="G350" s="77">
        <v>4.3165300000000002</v>
      </c>
      <c r="H350" s="77">
        <v>5.2852300000000003</v>
      </c>
      <c r="J350" s="77">
        <v>0.34286</v>
      </c>
      <c r="K350" s="77">
        <v>0.40400000000000003</v>
      </c>
      <c r="L350" s="77">
        <v>0.53095000000000003</v>
      </c>
      <c r="N350" s="77">
        <v>29.393699999999999</v>
      </c>
      <c r="O350" s="77">
        <v>24.859300000000001</v>
      </c>
      <c r="P350" s="77">
        <v>22.997499999999999</v>
      </c>
    </row>
    <row r="351" spans="1:16">
      <c r="A351" s="74" t="s">
        <v>705</v>
      </c>
      <c r="B351" s="74" t="s">
        <v>706</v>
      </c>
      <c r="C351" s="76">
        <v>45743</v>
      </c>
      <c r="D351" s="74" t="s">
        <v>224</v>
      </c>
      <c r="G351" s="77">
        <v>2.63226</v>
      </c>
      <c r="H351" s="77">
        <v>4.08066</v>
      </c>
      <c r="K351" s="77">
        <v>0.10006</v>
      </c>
      <c r="L351" s="77">
        <v>0.41860000000000003</v>
      </c>
      <c r="O351" s="77">
        <v>21.5533</v>
      </c>
      <c r="P351" s="77">
        <v>27.256900000000002</v>
      </c>
    </row>
    <row r="352" spans="1:16">
      <c r="A352" s="74" t="s">
        <v>662</v>
      </c>
      <c r="B352" s="74" t="s">
        <v>663</v>
      </c>
      <c r="C352" s="76">
        <v>44943</v>
      </c>
      <c r="D352" s="74" t="s">
        <v>224</v>
      </c>
      <c r="E352" s="77">
        <v>3.9709599999999998</v>
      </c>
      <c r="F352" s="77">
        <v>4.8609499999999999</v>
      </c>
      <c r="G352" s="77">
        <v>6.0129799999999998</v>
      </c>
      <c r="H352" s="77">
        <v>6.9199900000000003</v>
      </c>
      <c r="I352" s="77">
        <v>0.27107999999999999</v>
      </c>
      <c r="J352" s="77">
        <v>0.48674000000000001</v>
      </c>
      <c r="K352" s="77">
        <v>0.443</v>
      </c>
      <c r="L352" s="77">
        <v>0.40167000000000003</v>
      </c>
      <c r="M352" s="77">
        <v>16.834</v>
      </c>
      <c r="N352" s="77">
        <v>21.159199999999998</v>
      </c>
      <c r="O352" s="77">
        <v>18.982600000000001</v>
      </c>
      <c r="P352" s="77">
        <v>17.651800000000001</v>
      </c>
    </row>
    <row r="353" spans="1:16">
      <c r="A353" s="74" t="s">
        <v>872</v>
      </c>
      <c r="B353" s="74" t="s">
        <v>873</v>
      </c>
      <c r="C353" s="76">
        <v>44946</v>
      </c>
      <c r="D353" s="74" t="s">
        <v>224</v>
      </c>
      <c r="E353" s="77">
        <v>4.9254199999999999</v>
      </c>
      <c r="F353" s="77">
        <v>5.0638199999999998</v>
      </c>
      <c r="G353" s="77">
        <v>3.7032699999999998</v>
      </c>
      <c r="H353" s="77">
        <v>4.0770900000000001</v>
      </c>
      <c r="I353" s="77">
        <v>1.1399999999999999</v>
      </c>
      <c r="J353" s="77">
        <v>1.2418800000000001</v>
      </c>
      <c r="K353" s="77">
        <v>0.64705999999999997</v>
      </c>
      <c r="L353" s="77">
        <v>0.67410000000000003</v>
      </c>
      <c r="M353" s="77">
        <v>52.646900000000002</v>
      </c>
      <c r="N353" s="77">
        <v>56.977499999999999</v>
      </c>
      <c r="O353" s="77">
        <v>48.1599</v>
      </c>
      <c r="P353" s="77">
        <v>47.783099999999997</v>
      </c>
    </row>
    <row r="354" spans="1:16">
      <c r="A354" s="74" t="s">
        <v>507</v>
      </c>
      <c r="B354" s="74" t="s">
        <v>508</v>
      </c>
      <c r="C354" s="76">
        <v>45282</v>
      </c>
      <c r="D354" s="74" t="s">
        <v>224</v>
      </c>
      <c r="F354" s="77">
        <v>15.12148</v>
      </c>
      <c r="G354" s="77">
        <v>13.536860000000001</v>
      </c>
      <c r="H354" s="77">
        <v>12.519830000000001</v>
      </c>
      <c r="J354" s="77">
        <v>0.52715000000000001</v>
      </c>
      <c r="K354" s="77">
        <v>0.36931999999999998</v>
      </c>
      <c r="L354" s="77">
        <v>0.25766</v>
      </c>
      <c r="N354" s="77">
        <v>8.1488999999999994</v>
      </c>
      <c r="O354" s="77">
        <v>7.3765999999999998</v>
      </c>
      <c r="P354" s="77">
        <v>8.3598999999999997</v>
      </c>
    </row>
    <row r="355" spans="1:16">
      <c r="A355" s="74" t="s">
        <v>913</v>
      </c>
      <c r="B355" s="74" t="s">
        <v>914</v>
      </c>
      <c r="C355" s="76">
        <v>44742</v>
      </c>
      <c r="D355" s="74" t="s">
        <v>224</v>
      </c>
      <c r="E355" s="77">
        <v>3.1280000000000001</v>
      </c>
      <c r="F355" s="77">
        <v>3.1834600000000002</v>
      </c>
      <c r="G355" s="77">
        <v>3.7031100000000001</v>
      </c>
      <c r="H355" s="77">
        <v>2.8896199999999999</v>
      </c>
      <c r="I355" s="77">
        <v>0.34297</v>
      </c>
      <c r="J355" s="77">
        <v>0.42170999999999997</v>
      </c>
      <c r="K355" s="77">
        <v>0.35687000000000002</v>
      </c>
      <c r="L355" s="77">
        <v>0.24951999999999999</v>
      </c>
      <c r="M355" s="77">
        <v>21.0198</v>
      </c>
      <c r="N355" s="77">
        <v>22.023199999999999</v>
      </c>
      <c r="O355" s="77">
        <v>22.086600000000001</v>
      </c>
      <c r="P355" s="77">
        <v>20.9162</v>
      </c>
    </row>
    <row r="356" spans="1:16">
      <c r="A356" s="74" t="s">
        <v>966</v>
      </c>
      <c r="B356" s="74" t="s">
        <v>967</v>
      </c>
      <c r="C356" s="76">
        <v>44909</v>
      </c>
      <c r="D356" s="74" t="s">
        <v>224</v>
      </c>
      <c r="E356" s="77">
        <v>0.83159000000000005</v>
      </c>
      <c r="F356" s="77">
        <v>0.84555999999999998</v>
      </c>
      <c r="G356" s="77">
        <v>1.05315</v>
      </c>
      <c r="H356" s="77">
        <v>1.2740800000000001</v>
      </c>
      <c r="I356" s="77">
        <v>0.15429000000000001</v>
      </c>
      <c r="J356" s="77">
        <v>0.14903</v>
      </c>
      <c r="K356" s="77">
        <v>0.32068999999999998</v>
      </c>
      <c r="L356" s="77">
        <v>0.28455999999999998</v>
      </c>
      <c r="M356" s="77">
        <v>54.439100000000003</v>
      </c>
      <c r="N356" s="77">
        <v>59.862099999999998</v>
      </c>
      <c r="O356" s="77">
        <v>63.552199999999999</v>
      </c>
      <c r="P356" s="77">
        <v>61.415300000000002</v>
      </c>
    </row>
    <row r="357" spans="1:16">
      <c r="A357" s="74" t="s">
        <v>397</v>
      </c>
      <c r="B357" s="74" t="s">
        <v>398</v>
      </c>
      <c r="C357" s="76">
        <v>44994</v>
      </c>
      <c r="D357" s="74" t="s">
        <v>224</v>
      </c>
      <c r="E357" s="77">
        <v>35.605420000000002</v>
      </c>
      <c r="F357" s="77">
        <v>46.645870000000002</v>
      </c>
      <c r="G357" s="77">
        <v>62.972499999999997</v>
      </c>
      <c r="H357" s="77">
        <v>62.044730000000001</v>
      </c>
      <c r="I357" s="77">
        <v>-3.5159999999999997E-2</v>
      </c>
      <c r="J357" s="77">
        <v>0.26069999999999999</v>
      </c>
      <c r="K357" s="77">
        <v>0.50744</v>
      </c>
      <c r="L357" s="77">
        <v>1.393E-2</v>
      </c>
      <c r="M357" s="77">
        <v>5.9493</v>
      </c>
      <c r="N357" s="77">
        <v>6.452</v>
      </c>
      <c r="O357" s="77">
        <v>6.3498000000000001</v>
      </c>
      <c r="P357" s="77">
        <v>5.5084</v>
      </c>
    </row>
    <row r="358" spans="1:16">
      <c r="A358" s="74" t="s">
        <v>643</v>
      </c>
      <c r="B358" s="74" t="s">
        <v>644</v>
      </c>
      <c r="C358" s="76">
        <v>45476</v>
      </c>
      <c r="D358" s="74" t="s">
        <v>224</v>
      </c>
      <c r="F358" s="77">
        <v>4.7703699999999998</v>
      </c>
      <c r="G358" s="77">
        <v>5.9366000000000003</v>
      </c>
      <c r="H358" s="77">
        <v>7.0681599999999998</v>
      </c>
      <c r="J358" s="77">
        <v>0.26632</v>
      </c>
      <c r="K358" s="77">
        <v>0.32186999999999999</v>
      </c>
      <c r="L358" s="77">
        <v>0.37501000000000001</v>
      </c>
      <c r="N358" s="77">
        <v>13.523899999999999</v>
      </c>
      <c r="O358" s="77">
        <v>14.5245</v>
      </c>
      <c r="P358" s="77">
        <v>14.289</v>
      </c>
    </row>
    <row r="359" spans="1:16">
      <c r="A359" s="74" t="s">
        <v>892</v>
      </c>
      <c r="B359" s="74" t="s">
        <v>893</v>
      </c>
      <c r="C359" s="76">
        <v>45645</v>
      </c>
      <c r="D359" s="74" t="s">
        <v>224</v>
      </c>
      <c r="G359" s="77">
        <v>1.542304288</v>
      </c>
      <c r="H359" s="77">
        <v>1.8582517156</v>
      </c>
      <c r="K359" s="77">
        <v>0.18952785599999999</v>
      </c>
      <c r="L359" s="77">
        <v>0.2498654844</v>
      </c>
      <c r="O359" s="77">
        <v>71.990799999999993</v>
      </c>
      <c r="P359" s="77">
        <v>71.906700000000001</v>
      </c>
    </row>
    <row r="360" spans="1:16">
      <c r="A360" s="74" t="s">
        <v>882</v>
      </c>
      <c r="B360" s="74" t="s">
        <v>883</v>
      </c>
      <c r="C360" s="76">
        <v>45303</v>
      </c>
      <c r="D360" s="74" t="s">
        <v>224</v>
      </c>
      <c r="E360" s="77">
        <v>1.8064</v>
      </c>
      <c r="F360" s="77">
        <v>1.9557</v>
      </c>
      <c r="G360" s="77">
        <v>2.0333600000000001</v>
      </c>
      <c r="H360" s="77">
        <v>2.2651300000000001</v>
      </c>
      <c r="I360" s="77">
        <v>0.26987</v>
      </c>
      <c r="J360" s="77">
        <v>0.29659999999999997</v>
      </c>
      <c r="K360" s="77">
        <v>0.25524000000000002</v>
      </c>
      <c r="L360" s="77">
        <v>0.24259</v>
      </c>
    </row>
    <row r="361" spans="1:16">
      <c r="A361" s="74" t="s">
        <v>852</v>
      </c>
      <c r="B361" s="74" t="s">
        <v>853</v>
      </c>
      <c r="C361" s="76">
        <v>45359</v>
      </c>
      <c r="D361" s="74" t="s">
        <v>224</v>
      </c>
      <c r="F361" s="77">
        <v>2.7293711888000001</v>
      </c>
      <c r="G361" s="77">
        <v>1.8704725760000001</v>
      </c>
      <c r="H361" s="77">
        <v>3.0048173567999998</v>
      </c>
      <c r="J361" s="77">
        <v>0.30893237839999999</v>
      </c>
      <c r="K361" s="77">
        <v>0.14173913599999999</v>
      </c>
      <c r="L361" s="77">
        <v>0.35074246549999999</v>
      </c>
      <c r="N361" s="77">
        <v>16.971699999999998</v>
      </c>
      <c r="O361" s="77">
        <v>15.4811</v>
      </c>
      <c r="P361" s="77">
        <v>19.8996</v>
      </c>
    </row>
    <row r="362" spans="1:16">
      <c r="A362" s="74" t="s">
        <v>787</v>
      </c>
      <c r="B362" s="74" t="s">
        <v>788</v>
      </c>
      <c r="C362" s="76">
        <v>44844</v>
      </c>
      <c r="D362" s="74" t="s">
        <v>224</v>
      </c>
      <c r="E362" s="77">
        <v>3.8422129680000001</v>
      </c>
      <c r="F362" s="77">
        <v>4.6886880980000001</v>
      </c>
      <c r="G362" s="77">
        <v>3.7219107141999999</v>
      </c>
      <c r="H362" s="77">
        <v>3.7017091631999999</v>
      </c>
      <c r="I362" s="77">
        <v>0.13458725099999999</v>
      </c>
      <c r="J362" s="77">
        <v>0.23582597</v>
      </c>
      <c r="K362" s="77">
        <v>0.38911242019999998</v>
      </c>
      <c r="L362" s="77">
        <v>0.25379746939999998</v>
      </c>
      <c r="M362" s="77">
        <v>7.0350000000000001</v>
      </c>
      <c r="N362" s="77">
        <v>8.9643999999999995</v>
      </c>
      <c r="O362" s="77">
        <v>12.2447</v>
      </c>
      <c r="P362" s="77">
        <v>12.6389</v>
      </c>
    </row>
    <row r="363" spans="1:16">
      <c r="A363" s="74" t="s">
        <v>834</v>
      </c>
      <c r="B363" s="74" t="s">
        <v>835</v>
      </c>
      <c r="C363" s="76">
        <v>44910</v>
      </c>
      <c r="D363" s="74" t="s">
        <v>224</v>
      </c>
      <c r="E363" s="77">
        <v>3.7404099999999998</v>
      </c>
      <c r="F363" s="77">
        <v>3.6215299999999999</v>
      </c>
      <c r="G363" s="77">
        <v>4.4035599999999997</v>
      </c>
      <c r="H363" s="77">
        <v>4.4032900000000001</v>
      </c>
      <c r="I363" s="77">
        <v>0.46095999999999998</v>
      </c>
      <c r="J363" s="77">
        <v>0.34705999999999998</v>
      </c>
      <c r="K363" s="77">
        <v>0.37663000000000002</v>
      </c>
      <c r="L363" s="77">
        <v>0.53983999999999999</v>
      </c>
      <c r="M363" s="77">
        <v>19.710899999999999</v>
      </c>
      <c r="N363" s="77">
        <v>21.422699999999999</v>
      </c>
      <c r="O363" s="77">
        <v>17.5242</v>
      </c>
      <c r="P363" s="77">
        <v>19.706199999999999</v>
      </c>
    </row>
    <row r="364" spans="1:16">
      <c r="A364" s="74" t="s">
        <v>717</v>
      </c>
      <c r="B364" s="74" t="s">
        <v>718</v>
      </c>
      <c r="C364" s="76">
        <v>45265</v>
      </c>
      <c r="D364" s="74" t="s">
        <v>224</v>
      </c>
      <c r="E364" s="77">
        <v>3.9012699999999998</v>
      </c>
      <c r="F364" s="77">
        <v>4.6566400000000003</v>
      </c>
      <c r="G364" s="77">
        <v>5.6354100000000003</v>
      </c>
      <c r="H364" s="77">
        <v>5.9420400000000004</v>
      </c>
      <c r="I364" s="77">
        <v>0.20269999999999999</v>
      </c>
      <c r="J364" s="77">
        <v>0.31312000000000001</v>
      </c>
      <c r="K364" s="77">
        <v>0.39921000000000001</v>
      </c>
      <c r="L364" s="77">
        <v>0.34388999999999997</v>
      </c>
      <c r="M364" s="77">
        <v>15.8149</v>
      </c>
      <c r="N364" s="77">
        <v>17.162199999999999</v>
      </c>
      <c r="O364" s="77">
        <v>15.836499999999999</v>
      </c>
      <c r="P364" s="77">
        <v>15.888299999999999</v>
      </c>
    </row>
    <row r="365" spans="1:16">
      <c r="A365" s="74" t="s">
        <v>670</v>
      </c>
      <c r="B365" s="74" t="s">
        <v>671</v>
      </c>
      <c r="C365" s="76">
        <v>44722</v>
      </c>
      <c r="D365" s="74" t="s">
        <v>224</v>
      </c>
      <c r="E365" s="77">
        <v>1.1616363738</v>
      </c>
      <c r="F365" s="77">
        <v>2.3751905610000001</v>
      </c>
      <c r="G365" s="77">
        <v>4.4205365022000001</v>
      </c>
      <c r="H365" s="77">
        <v>6.4074169453999996</v>
      </c>
      <c r="I365" s="77">
        <v>0.1052679888</v>
      </c>
      <c r="J365" s="77">
        <v>0.16742638800000001</v>
      </c>
      <c r="K365" s="77">
        <v>0.24284556939999999</v>
      </c>
      <c r="L365" s="77">
        <v>-1.8247725000000001E-3</v>
      </c>
      <c r="M365" s="77">
        <v>24.261199999999999</v>
      </c>
      <c r="N365" s="77">
        <v>20.487200000000001</v>
      </c>
      <c r="O365" s="77">
        <v>17.410499999999999</v>
      </c>
      <c r="P365" s="77">
        <v>15.5367</v>
      </c>
    </row>
    <row r="366" spans="1:16">
      <c r="A366" s="74" t="s">
        <v>573</v>
      </c>
      <c r="B366" s="74" t="s">
        <v>574</v>
      </c>
      <c r="C366" s="76">
        <v>45239</v>
      </c>
      <c r="D366" s="74" t="s">
        <v>224</v>
      </c>
      <c r="E366" s="77">
        <v>10.763120000000001</v>
      </c>
      <c r="F366" s="77">
        <v>7.4976099999999999</v>
      </c>
      <c r="G366" s="77">
        <v>11.712619999999999</v>
      </c>
      <c r="H366" s="77">
        <v>11.41526</v>
      </c>
      <c r="I366" s="77">
        <v>0.16861000000000001</v>
      </c>
      <c r="J366" s="77">
        <v>0.12341000000000001</v>
      </c>
      <c r="K366" s="77">
        <v>0.34111999999999998</v>
      </c>
      <c r="L366" s="77">
        <v>0.78913</v>
      </c>
      <c r="M366" s="77">
        <v>33.914999999999999</v>
      </c>
      <c r="N366" s="77">
        <v>40.492600000000003</v>
      </c>
      <c r="O366" s="77">
        <v>30.885999999999999</v>
      </c>
      <c r="P366" s="77">
        <v>32.802300000000002</v>
      </c>
    </row>
    <row r="367" spans="1:16">
      <c r="A367" s="74" t="s">
        <v>933</v>
      </c>
      <c r="B367" s="74" t="s">
        <v>934</v>
      </c>
      <c r="C367" s="76">
        <v>45379</v>
      </c>
      <c r="D367" s="74" t="s">
        <v>224</v>
      </c>
      <c r="E367" s="77">
        <v>1.1752</v>
      </c>
      <c r="F367" s="77">
        <v>1.2140500000000001</v>
      </c>
      <c r="G367" s="77">
        <v>1.5494600000000001</v>
      </c>
      <c r="H367" s="77">
        <v>1.26694</v>
      </c>
      <c r="I367" s="77">
        <v>0.39021</v>
      </c>
      <c r="J367" s="77">
        <v>0.43778</v>
      </c>
      <c r="K367" s="77">
        <v>0.47303000000000001</v>
      </c>
      <c r="L367" s="77">
        <v>0.31812000000000001</v>
      </c>
      <c r="M367" s="77">
        <v>50.414400000000001</v>
      </c>
      <c r="N367" s="77">
        <v>44.032800000000002</v>
      </c>
      <c r="O367" s="77">
        <v>42.448999999999998</v>
      </c>
      <c r="P367" s="77">
        <v>41.469200000000001</v>
      </c>
    </row>
    <row r="368" spans="1:16">
      <c r="A368" s="74" t="s">
        <v>935</v>
      </c>
      <c r="B368" s="74" t="s">
        <v>936</v>
      </c>
      <c r="C368" s="76">
        <v>44924</v>
      </c>
      <c r="D368" s="74" t="s">
        <v>224</v>
      </c>
      <c r="E368" s="77">
        <v>1.40825</v>
      </c>
      <c r="F368" s="77">
        <v>1.8443499999999999</v>
      </c>
      <c r="G368" s="77">
        <v>2.11076</v>
      </c>
      <c r="H368" s="77">
        <v>1.77112</v>
      </c>
      <c r="I368" s="77">
        <v>0.22323999999999999</v>
      </c>
      <c r="J368" s="77">
        <v>0.29043000000000002</v>
      </c>
      <c r="K368" s="77">
        <v>0.22935</v>
      </c>
      <c r="L368" s="77">
        <v>0.17943999999999999</v>
      </c>
      <c r="M368" s="77">
        <v>32.959299999999999</v>
      </c>
      <c r="N368" s="77">
        <v>33.3857</v>
      </c>
      <c r="O368" s="77">
        <v>35.863399999999999</v>
      </c>
      <c r="P368" s="77">
        <v>45.720199999999998</v>
      </c>
    </row>
    <row r="369" spans="1:16">
      <c r="A369" s="74" t="s">
        <v>988</v>
      </c>
      <c r="B369" s="74" t="s">
        <v>989</v>
      </c>
      <c r="C369" s="76">
        <v>45541</v>
      </c>
      <c r="D369" s="74" t="s">
        <v>898</v>
      </c>
      <c r="G369" s="77">
        <v>0.39781</v>
      </c>
      <c r="H369" s="77">
        <v>0.19966</v>
      </c>
      <c r="K369" s="77">
        <v>0.17737</v>
      </c>
      <c r="L369" s="77">
        <v>2.912E-2</v>
      </c>
      <c r="O369" s="77">
        <v>75.8553</v>
      </c>
      <c r="P369" s="77">
        <v>57.567900000000002</v>
      </c>
    </row>
    <row r="370" spans="1:16">
      <c r="A370" s="74" t="s">
        <v>472</v>
      </c>
      <c r="B370" s="74" t="s">
        <v>473</v>
      </c>
      <c r="C370" s="76">
        <v>45461</v>
      </c>
      <c r="D370" s="74" t="s">
        <v>224</v>
      </c>
      <c r="E370" s="77">
        <v>16.91479</v>
      </c>
      <c r="F370" s="77">
        <v>15.98631</v>
      </c>
      <c r="G370" s="77">
        <v>27.894770000000001</v>
      </c>
      <c r="H370" s="77">
        <v>31.338360000000002</v>
      </c>
      <c r="I370" s="77">
        <v>0.82616000000000001</v>
      </c>
      <c r="J370" s="77">
        <v>2.0697399999999999</v>
      </c>
      <c r="K370" s="77">
        <v>3.09137</v>
      </c>
      <c r="L370" s="77">
        <v>3.4047000000000001</v>
      </c>
      <c r="M370" s="77">
        <v>15.0669</v>
      </c>
      <c r="N370" s="77">
        <v>26.511399999999998</v>
      </c>
      <c r="O370" s="77">
        <v>22.911899999999999</v>
      </c>
      <c r="P370" s="77">
        <v>22.313800000000001</v>
      </c>
    </row>
    <row r="371" spans="1:16">
      <c r="A371" s="74" t="s">
        <v>811</v>
      </c>
      <c r="B371" s="74" t="s">
        <v>812</v>
      </c>
      <c r="C371" s="76">
        <v>44907</v>
      </c>
      <c r="D371" s="74" t="s">
        <v>224</v>
      </c>
      <c r="E371" s="77">
        <v>0.80884999999999996</v>
      </c>
      <c r="F371" s="77">
        <v>1.2742500000000001</v>
      </c>
      <c r="G371" s="77">
        <v>1.8955200000000001</v>
      </c>
      <c r="H371" s="77">
        <v>3.2396400000000001</v>
      </c>
      <c r="I371" s="77">
        <v>0.17351</v>
      </c>
      <c r="J371" s="77">
        <v>0.28553000000000001</v>
      </c>
      <c r="K371" s="77">
        <v>0.34379999999999999</v>
      </c>
      <c r="L371" s="77">
        <v>0.28504000000000002</v>
      </c>
      <c r="M371" s="77">
        <v>44.999699999999997</v>
      </c>
      <c r="N371" s="77">
        <v>40.322499999999998</v>
      </c>
      <c r="O371" s="77">
        <v>41.571199999999997</v>
      </c>
      <c r="P371" s="77">
        <v>29.494</v>
      </c>
    </row>
    <row r="372" spans="1:16">
      <c r="A372" s="74" t="s">
        <v>741</v>
      </c>
      <c r="B372" s="74" t="s">
        <v>742</v>
      </c>
      <c r="C372" s="76">
        <v>45450</v>
      </c>
      <c r="D372" s="74" t="s">
        <v>224</v>
      </c>
      <c r="F372" s="77">
        <v>4.1008899999999997</v>
      </c>
      <c r="G372" s="77">
        <v>4.33108</v>
      </c>
      <c r="H372" s="77">
        <v>4.5641100000000003</v>
      </c>
      <c r="J372" s="77">
        <v>0.31304999999999999</v>
      </c>
      <c r="K372" s="77">
        <v>0.49983</v>
      </c>
      <c r="L372" s="77">
        <v>0.44388</v>
      </c>
      <c r="N372" s="77">
        <v>52.186199999999999</v>
      </c>
      <c r="O372" s="77">
        <v>48.184699999999999</v>
      </c>
      <c r="P372" s="77">
        <v>52.2928</v>
      </c>
    </row>
    <row r="373" spans="1:16">
      <c r="A373" s="74" t="s">
        <v>715</v>
      </c>
      <c r="B373" s="74" t="s">
        <v>716</v>
      </c>
      <c r="C373" s="76">
        <v>44942</v>
      </c>
      <c r="D373" s="74" t="s">
        <v>224</v>
      </c>
      <c r="E373" s="77">
        <v>3.7863000000000002</v>
      </c>
      <c r="F373" s="77">
        <v>4.0474500000000004</v>
      </c>
      <c r="G373" s="77">
        <v>4.5985100000000001</v>
      </c>
      <c r="H373" s="77">
        <v>6.3788600000000004</v>
      </c>
      <c r="I373" s="77">
        <v>0.46627000000000002</v>
      </c>
      <c r="J373" s="77">
        <v>0.41498000000000002</v>
      </c>
      <c r="K373" s="77">
        <v>0.39985999999999999</v>
      </c>
      <c r="L373" s="77">
        <v>0.13525000000000001</v>
      </c>
      <c r="M373" s="77">
        <v>45.189500000000002</v>
      </c>
      <c r="N373" s="77">
        <v>44.569000000000003</v>
      </c>
      <c r="O373" s="77">
        <v>48.1736</v>
      </c>
      <c r="P373" s="77">
        <v>52.213700000000003</v>
      </c>
    </row>
    <row r="374" spans="1:16">
      <c r="A374" s="74" t="s">
        <v>962</v>
      </c>
      <c r="B374" s="74" t="s">
        <v>963</v>
      </c>
      <c r="C374" s="76">
        <v>46035</v>
      </c>
      <c r="D374" s="74" t="s">
        <v>898</v>
      </c>
    </row>
    <row r="375" spans="1:16">
      <c r="A375" s="74" t="s">
        <v>929</v>
      </c>
      <c r="B375" s="74" t="s">
        <v>930</v>
      </c>
      <c r="C375" s="76">
        <v>45446</v>
      </c>
      <c r="D375" s="74" t="s">
        <v>898</v>
      </c>
      <c r="F375" s="77">
        <v>1.3969456555999999</v>
      </c>
      <c r="G375" s="77">
        <v>1.6593028480000001</v>
      </c>
      <c r="H375" s="77">
        <v>2.3007508754999999</v>
      </c>
      <c r="J375" s="77">
        <v>0.104405442</v>
      </c>
      <c r="K375" s="77">
        <v>0.215813696</v>
      </c>
      <c r="L375" s="77">
        <v>0.1947149946</v>
      </c>
      <c r="N375" s="77">
        <v>35.124899999999997</v>
      </c>
      <c r="O375" s="77">
        <v>42.708500000000001</v>
      </c>
      <c r="P375" s="77">
        <v>39.554299999999998</v>
      </c>
    </row>
    <row r="376" spans="1:16">
      <c r="A376" s="74" t="s">
        <v>896</v>
      </c>
      <c r="B376" s="74" t="s">
        <v>897</v>
      </c>
      <c r="C376" s="76">
        <v>45475</v>
      </c>
      <c r="D376" s="74" t="s">
        <v>898</v>
      </c>
      <c r="G376" s="77">
        <v>0.90839777047799997</v>
      </c>
      <c r="H376" s="77">
        <v>2.0274213959999998</v>
      </c>
      <c r="K376" s="77">
        <v>-0.126275206827</v>
      </c>
      <c r="L376" s="77">
        <v>0.16544455199999999</v>
      </c>
      <c r="O376" s="77">
        <v>41.091900000000003</v>
      </c>
      <c r="P376" s="77">
        <v>41.0471</v>
      </c>
    </row>
    <row r="377" spans="1:16">
      <c r="A377" s="74" t="s">
        <v>1040</v>
      </c>
      <c r="B377" s="74" t="s">
        <v>1041</v>
      </c>
      <c r="C377" s="76">
        <v>45940</v>
      </c>
      <c r="D377" s="74" t="s">
        <v>898</v>
      </c>
    </row>
    <row r="378" spans="1:16">
      <c r="A378" s="74" t="s">
        <v>614</v>
      </c>
      <c r="B378" s="74" t="s">
        <v>615</v>
      </c>
      <c r="C378" s="76">
        <v>45726</v>
      </c>
      <c r="D378" s="74" t="s">
        <v>224</v>
      </c>
      <c r="F378" s="77">
        <v>13.497769999999999</v>
      </c>
      <c r="G378" s="77">
        <v>13.534319999999999</v>
      </c>
      <c r="H378" s="77">
        <v>9.0536300000000001</v>
      </c>
      <c r="J378" s="77">
        <v>-4.5597899999999996</v>
      </c>
      <c r="K378" s="77">
        <v>-2.6436600000000001</v>
      </c>
      <c r="L378" s="77">
        <v>-3.5890300000000002</v>
      </c>
      <c r="N378" s="77">
        <v>15.3581</v>
      </c>
      <c r="O378" s="77">
        <v>25.537199999999999</v>
      </c>
      <c r="P378" s="77">
        <v>25.445399999999999</v>
      </c>
    </row>
    <row r="379" spans="1:16">
      <c r="A379" s="74" t="s">
        <v>251</v>
      </c>
      <c r="B379" s="74" t="s">
        <v>252</v>
      </c>
      <c r="C379" s="76">
        <v>44630</v>
      </c>
      <c r="D379" s="74" t="s">
        <v>224</v>
      </c>
      <c r="E379" s="77">
        <v>78.249039999999994</v>
      </c>
      <c r="F379" s="77">
        <v>162.57933</v>
      </c>
      <c r="G379" s="77">
        <v>361.36423000000002</v>
      </c>
      <c r="H379" s="77">
        <v>492.68561</v>
      </c>
      <c r="I379" s="77">
        <v>-114.13101</v>
      </c>
      <c r="J379" s="77">
        <v>-56.107900000000001</v>
      </c>
      <c r="K379" s="77">
        <v>-105.72309</v>
      </c>
      <c r="L379" s="77">
        <v>-145.59444999999999</v>
      </c>
      <c r="M379" s="77">
        <v>-15.320600000000001</v>
      </c>
      <c r="N379" s="77">
        <v>11.523099999999999</v>
      </c>
      <c r="O379" s="77">
        <v>18.876899999999999</v>
      </c>
      <c r="P379" s="77">
        <v>10.4407</v>
      </c>
    </row>
    <row r="380" spans="1:16">
      <c r="A380" s="74" t="s">
        <v>515</v>
      </c>
      <c r="B380" s="74" t="s">
        <v>516</v>
      </c>
      <c r="C380" s="76">
        <v>44650</v>
      </c>
      <c r="D380" s="74" t="s">
        <v>224</v>
      </c>
      <c r="E380" s="77">
        <v>7.3777200000000001</v>
      </c>
      <c r="F380" s="77">
        <v>11.439909999999999</v>
      </c>
      <c r="G380" s="77">
        <v>16.981529999999999</v>
      </c>
      <c r="H380" s="77">
        <v>17.29598</v>
      </c>
      <c r="I380" s="77">
        <v>3.5331399999999999</v>
      </c>
      <c r="J380" s="77">
        <v>4.6898600000000004</v>
      </c>
      <c r="K380" s="77">
        <v>5.7860699999999996</v>
      </c>
      <c r="L380" s="77">
        <v>3.2865600000000001</v>
      </c>
      <c r="M380" s="77">
        <v>72.414000000000001</v>
      </c>
      <c r="N380" s="77">
        <v>65.529799999999994</v>
      </c>
      <c r="O380" s="77">
        <v>59.7729</v>
      </c>
      <c r="P380" s="77">
        <v>52.621499999999997</v>
      </c>
    </row>
    <row r="381" spans="1:16">
      <c r="A381" s="74" t="s">
        <v>238</v>
      </c>
      <c r="B381" s="74" t="s">
        <v>239</v>
      </c>
      <c r="C381" s="76">
        <v>44692</v>
      </c>
      <c r="D381" s="74" t="s">
        <v>224</v>
      </c>
      <c r="E381" s="77">
        <v>460.14906000000002</v>
      </c>
      <c r="F381" s="77">
        <v>704.80978000000005</v>
      </c>
      <c r="G381" s="77">
        <v>807.52439000000004</v>
      </c>
      <c r="H381" s="77">
        <v>606.68778999999995</v>
      </c>
      <c r="I381" s="77">
        <v>-21.835460000000001</v>
      </c>
      <c r="J381" s="77">
        <v>27.775919999999999</v>
      </c>
      <c r="K381" s="77">
        <v>-5.2412900000000002</v>
      </c>
      <c r="L381" s="77">
        <v>-13.86074</v>
      </c>
      <c r="M381" s="77">
        <v>24.4878</v>
      </c>
      <c r="N381" s="77">
        <v>23.921099999999999</v>
      </c>
      <c r="O381" s="77">
        <v>19.59</v>
      </c>
      <c r="P381" s="77">
        <v>22.714700000000001</v>
      </c>
    </row>
    <row r="382" spans="1:16">
      <c r="A382" s="74" t="s">
        <v>270</v>
      </c>
      <c r="B382" s="74" t="s">
        <v>271</v>
      </c>
      <c r="C382" s="76">
        <v>44825</v>
      </c>
      <c r="D382" s="74" t="s">
        <v>224</v>
      </c>
      <c r="E382" s="77">
        <v>254.34</v>
      </c>
      <c r="F382" s="77">
        <v>291.52999999999997</v>
      </c>
      <c r="G382" s="77">
        <v>312.44</v>
      </c>
      <c r="H382" s="77">
        <v>283.39</v>
      </c>
      <c r="I382" s="77">
        <v>39.82</v>
      </c>
      <c r="J382" s="77">
        <v>41.55</v>
      </c>
      <c r="K382" s="77">
        <v>30.29</v>
      </c>
      <c r="L382" s="77">
        <v>36.770000000000003</v>
      </c>
      <c r="M382" s="77">
        <v>34.1</v>
      </c>
      <c r="N382" s="77">
        <v>31.907499999999999</v>
      </c>
      <c r="O382" s="77">
        <v>30.098600000000001</v>
      </c>
      <c r="P382" s="77">
        <v>30.9573</v>
      </c>
    </row>
    <row r="383" spans="1:16">
      <c r="A383" s="74" t="s">
        <v>385</v>
      </c>
      <c r="B383" s="74" t="s">
        <v>386</v>
      </c>
      <c r="C383" s="76">
        <v>44917</v>
      </c>
      <c r="D383" s="74" t="s">
        <v>224</v>
      </c>
      <c r="E383" s="77">
        <v>9.9871999999999996</v>
      </c>
      <c r="F383" s="77">
        <v>19.44359</v>
      </c>
      <c r="G383" s="77">
        <v>42.591279999999998</v>
      </c>
      <c r="H383" s="77">
        <v>45.110619999999997</v>
      </c>
      <c r="I383" s="77">
        <v>-5.0205500000000001</v>
      </c>
      <c r="J383" s="77">
        <v>-9.4189500000000006</v>
      </c>
      <c r="K383" s="77">
        <v>-10.710739999999999</v>
      </c>
      <c r="L383" s="77">
        <v>1.0724499999999999</v>
      </c>
      <c r="M383" s="77">
        <v>86.201099999999997</v>
      </c>
      <c r="N383" s="77">
        <v>87.645700000000005</v>
      </c>
      <c r="O383" s="77">
        <v>86.977400000000003</v>
      </c>
      <c r="P383" s="77">
        <v>83.266400000000004</v>
      </c>
    </row>
    <row r="384" spans="1:16">
      <c r="A384" s="74" t="s">
        <v>367</v>
      </c>
      <c r="B384" s="74" t="s">
        <v>368</v>
      </c>
      <c r="C384" s="76">
        <v>44925</v>
      </c>
      <c r="D384" s="74" t="s">
        <v>224</v>
      </c>
      <c r="E384" s="77">
        <v>39.56353</v>
      </c>
      <c r="F384" s="77">
        <v>65.773070000000004</v>
      </c>
      <c r="G384" s="77">
        <v>90.607839999999996</v>
      </c>
      <c r="H384" s="77">
        <v>81.801069999999996</v>
      </c>
      <c r="I384" s="77">
        <v>-11.11199</v>
      </c>
      <c r="J384" s="77">
        <v>-9.6225900000000006</v>
      </c>
      <c r="K384" s="77">
        <v>-15.887119999999999</v>
      </c>
      <c r="L384" s="77">
        <v>-26.58184</v>
      </c>
      <c r="M384" s="77">
        <v>0.19489999999999999</v>
      </c>
      <c r="N384" s="77">
        <v>5.4275000000000002</v>
      </c>
      <c r="O384" s="77">
        <v>3.8769999999999998</v>
      </c>
      <c r="P384" s="77">
        <v>5.2510000000000003</v>
      </c>
    </row>
    <row r="385" spans="1:16">
      <c r="A385" s="74" t="s">
        <v>403</v>
      </c>
      <c r="B385" s="74" t="s">
        <v>404</v>
      </c>
      <c r="C385" s="76">
        <v>44925</v>
      </c>
      <c r="D385" s="74" t="s">
        <v>224</v>
      </c>
      <c r="E385" s="77">
        <v>16.262847678</v>
      </c>
      <c r="F385" s="77">
        <v>14.446846339</v>
      </c>
      <c r="G385" s="77">
        <v>19.915965361000001</v>
      </c>
      <c r="H385" s="77">
        <v>38.87813835</v>
      </c>
      <c r="I385" s="77">
        <v>-2.3034714780000001</v>
      </c>
      <c r="J385" s="77">
        <v>-3.5077862400000002</v>
      </c>
      <c r="K385" s="77">
        <v>-9.6114952640000002</v>
      </c>
      <c r="L385" s="77">
        <v>-2.872758208</v>
      </c>
    </row>
    <row r="386" spans="1:16">
      <c r="A386" s="74" t="s">
        <v>685</v>
      </c>
      <c r="B386" s="74" t="s">
        <v>686</v>
      </c>
      <c r="C386" s="76">
        <v>45008</v>
      </c>
      <c r="D386" s="74" t="s">
        <v>224</v>
      </c>
      <c r="E386" s="77">
        <v>3.6234999999999999</v>
      </c>
      <c r="F386" s="77">
        <v>4.81778</v>
      </c>
      <c r="G386" s="77">
        <v>5.9080300000000001</v>
      </c>
      <c r="H386" s="77">
        <v>7.7555500000000004</v>
      </c>
      <c r="I386" s="77">
        <v>1.0361400000000001</v>
      </c>
      <c r="J386" s="77">
        <v>1.2893699999999999</v>
      </c>
      <c r="K386" s="77">
        <v>1.60503</v>
      </c>
      <c r="L386" s="77">
        <v>2.4365999999999999</v>
      </c>
      <c r="M386" s="77">
        <v>70.577299999999994</v>
      </c>
      <c r="N386" s="77">
        <v>72.444599999999994</v>
      </c>
      <c r="O386" s="77">
        <v>72.668199999999999</v>
      </c>
      <c r="P386" s="77">
        <v>75.687899999999999</v>
      </c>
    </row>
    <row r="387" spans="1:16">
      <c r="A387" s="74" t="s">
        <v>288</v>
      </c>
      <c r="B387" s="74" t="s">
        <v>289</v>
      </c>
      <c r="C387" s="76">
        <v>45030</v>
      </c>
      <c r="D387" s="74" t="s">
        <v>224</v>
      </c>
      <c r="I387" s="77">
        <v>133.32431</v>
      </c>
      <c r="J387" s="77">
        <v>123.54114</v>
      </c>
      <c r="K387" s="77">
        <v>168.0438</v>
      </c>
      <c r="L387" s="77">
        <v>86.993690000000001</v>
      </c>
    </row>
    <row r="388" spans="1:16">
      <c r="A388" s="74" t="s">
        <v>379</v>
      </c>
      <c r="B388" s="74" t="s">
        <v>380</v>
      </c>
      <c r="C388" s="76">
        <v>45876</v>
      </c>
      <c r="D388" s="74" t="s">
        <v>224</v>
      </c>
      <c r="G388" s="77">
        <v>10.581490000000001</v>
      </c>
      <c r="H388" s="77">
        <v>38.135660000000001</v>
      </c>
      <c r="K388" s="77">
        <v>-17.511220000000002</v>
      </c>
      <c r="L388" s="77">
        <v>-12.09205</v>
      </c>
      <c r="O388" s="77">
        <v>54.934800000000003</v>
      </c>
      <c r="P388" s="77">
        <v>76.626199999999997</v>
      </c>
    </row>
    <row r="389" spans="1:16">
      <c r="A389" s="74" t="s">
        <v>333</v>
      </c>
      <c r="B389" s="74" t="s">
        <v>334</v>
      </c>
      <c r="C389" s="76">
        <v>46100</v>
      </c>
      <c r="D389" s="74" t="s">
        <v>224</v>
      </c>
      <c r="H389" s="77">
        <v>60.517539999999997</v>
      </c>
      <c r="L389" s="77">
        <v>-15.38115</v>
      </c>
      <c r="P389" s="77">
        <v>6.6638999999999999</v>
      </c>
    </row>
    <row r="390" spans="1:16">
      <c r="A390" s="74" t="s">
        <v>265</v>
      </c>
      <c r="B390" s="74" t="s">
        <v>266</v>
      </c>
      <c r="C390" s="76">
        <v>44648</v>
      </c>
      <c r="D390" s="74" t="s">
        <v>224</v>
      </c>
      <c r="E390" s="77">
        <v>314.39214600000003</v>
      </c>
      <c r="F390" s="77">
        <v>293.56515690999998</v>
      </c>
      <c r="G390" s="77">
        <v>324.64083378999999</v>
      </c>
      <c r="H390" s="77">
        <v>304.70382362999999</v>
      </c>
      <c r="I390" s="77">
        <v>63.42304317</v>
      </c>
      <c r="J390" s="77">
        <v>56.305988120000002</v>
      </c>
      <c r="K390" s="77">
        <v>53.635256920000003</v>
      </c>
      <c r="L390" s="77">
        <v>26.988685100000001</v>
      </c>
      <c r="M390" s="77">
        <v>40.7577</v>
      </c>
      <c r="N390" s="77">
        <v>40.5916</v>
      </c>
      <c r="O390" s="77">
        <v>34.104100000000003</v>
      </c>
      <c r="P390" s="77">
        <v>26.217199999999998</v>
      </c>
    </row>
    <row r="392" spans="1:16">
      <c r="A392" s="78" t="s">
        <v>1042</v>
      </c>
    </row>
  </sheetData>
  <phoneticPr fontId="2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60"/>
  <sheetViews>
    <sheetView zoomScaleNormal="100" workbookViewId="0">
      <pane xSplit="1" ySplit="2" topLeftCell="B141" activePane="bottomRight" state="frozen"/>
      <selection pane="topRight" activeCell="B1" sqref="B1"/>
      <selection pane="bottomLeft" activeCell="A3" sqref="A3"/>
      <selection pane="bottomRight" activeCell="D186" sqref="D186"/>
    </sheetView>
  </sheetViews>
  <sheetFormatPr defaultColWidth="8.6640625" defaultRowHeight="14.25"/>
  <cols>
    <col min="1" max="2" width="14" customWidth="1"/>
    <col min="3" max="3" width="14" style="40" customWidth="1"/>
    <col min="4" max="4" width="18" style="65" customWidth="1"/>
    <col min="5" max="5" width="16" style="50" customWidth="1"/>
    <col min="6" max="7" width="18" style="65" customWidth="1"/>
    <col min="8" max="8" width="12" style="65" customWidth="1"/>
    <col min="9" max="9" width="12" style="50" customWidth="1"/>
    <col min="10" max="10" width="12" style="65" customWidth="1"/>
    <col min="11" max="11" width="24" style="65" customWidth="1"/>
    <col min="12" max="12" width="8.6640625" style="50"/>
  </cols>
  <sheetData>
    <row r="1" spans="1:14" ht="37.5" customHeight="1">
      <c r="A1" s="55" t="s">
        <v>27</v>
      </c>
      <c r="B1" s="55" t="s">
        <v>2190</v>
      </c>
      <c r="C1" s="56" t="s">
        <v>123</v>
      </c>
      <c r="D1" s="66" t="s">
        <v>3459</v>
      </c>
      <c r="E1" s="59" t="s">
        <v>3460</v>
      </c>
      <c r="F1" s="66" t="s">
        <v>3461</v>
      </c>
      <c r="G1" s="66" t="s">
        <v>3462</v>
      </c>
      <c r="H1" s="66" t="s">
        <v>3463</v>
      </c>
      <c r="I1" s="59" t="s">
        <v>3464</v>
      </c>
      <c r="J1" s="66" t="s">
        <v>3465</v>
      </c>
      <c r="K1" s="66" t="s">
        <v>3466</v>
      </c>
      <c r="L1" s="59" t="s">
        <v>3467</v>
      </c>
      <c r="M1" s="55" t="s">
        <v>3468</v>
      </c>
      <c r="N1" s="55" t="s">
        <v>3469</v>
      </c>
    </row>
    <row r="2" spans="1:14" ht="30" customHeight="1">
      <c r="A2" t="s">
        <v>2191</v>
      </c>
      <c r="B2" t="s">
        <v>3120</v>
      </c>
      <c r="C2" s="40" t="s">
        <v>3470</v>
      </c>
      <c r="D2" s="65" t="s">
        <v>3121</v>
      </c>
      <c r="E2" s="50" t="s">
        <v>3471</v>
      </c>
      <c r="F2" s="65" t="s">
        <v>3472</v>
      </c>
      <c r="G2" s="65" t="s">
        <v>3473</v>
      </c>
      <c r="H2" s="65" t="s">
        <v>3474</v>
      </c>
      <c r="I2" s="50" t="s">
        <v>3475</v>
      </c>
      <c r="J2" s="65" t="s">
        <v>3476</v>
      </c>
      <c r="K2" s="65" t="s">
        <v>3477</v>
      </c>
      <c r="L2" s="50" t="s">
        <v>3478</v>
      </c>
      <c r="M2" t="s">
        <v>3479</v>
      </c>
      <c r="N2" t="s">
        <v>3122</v>
      </c>
    </row>
    <row r="3" spans="1:14">
      <c r="A3" t="s">
        <v>248</v>
      </c>
      <c r="B3" t="s">
        <v>249</v>
      </c>
      <c r="C3" s="40">
        <v>46148</v>
      </c>
      <c r="D3" s="65">
        <v>3781.7</v>
      </c>
      <c r="E3" s="50">
        <v>24.382300000000001</v>
      </c>
      <c r="F3" s="65">
        <v>66444.468999999997</v>
      </c>
      <c r="G3" s="65">
        <v>15510</v>
      </c>
      <c r="H3" s="65">
        <v>11728.3</v>
      </c>
      <c r="I3" s="50">
        <v>75.617699999999999</v>
      </c>
      <c r="J3" s="65">
        <v>15510</v>
      </c>
      <c r="K3" s="65">
        <v>15510</v>
      </c>
      <c r="L3" s="50">
        <v>100</v>
      </c>
      <c r="M3" t="s">
        <v>2300</v>
      </c>
      <c r="N3" t="s">
        <v>2333</v>
      </c>
    </row>
    <row r="4" spans="1:14">
      <c r="A4" t="s">
        <v>970</v>
      </c>
      <c r="B4" t="s">
        <v>971</v>
      </c>
      <c r="C4" s="40">
        <v>46148</v>
      </c>
      <c r="D4" s="65">
        <v>9200</v>
      </c>
      <c r="E4" s="50">
        <v>6.7732999999999999</v>
      </c>
      <c r="F4" s="65">
        <v>34500</v>
      </c>
      <c r="G4" s="65">
        <v>135827.79999999999</v>
      </c>
      <c r="H4" s="65">
        <v>99081</v>
      </c>
      <c r="I4" s="50">
        <v>72.945999999999998</v>
      </c>
      <c r="J4" s="65">
        <v>135827.79999999999</v>
      </c>
      <c r="K4" s="65">
        <v>108281</v>
      </c>
      <c r="L4" s="50">
        <v>79.719300000000004</v>
      </c>
      <c r="M4" t="s">
        <v>2292</v>
      </c>
      <c r="N4" t="s">
        <v>2326</v>
      </c>
    </row>
    <row r="5" spans="1:14">
      <c r="A5" t="s">
        <v>3123</v>
      </c>
      <c r="B5" t="s">
        <v>3124</v>
      </c>
      <c r="C5" s="40">
        <v>46148</v>
      </c>
      <c r="D5" s="65">
        <v>7900</v>
      </c>
      <c r="E5" s="50">
        <v>5.7023999999999999</v>
      </c>
      <c r="F5" s="65">
        <v>8295</v>
      </c>
      <c r="G5" s="65">
        <v>138537.50399999999</v>
      </c>
      <c r="H5" s="65">
        <v>125957.504</v>
      </c>
      <c r="I5" s="50">
        <v>90.919399999999996</v>
      </c>
      <c r="J5" s="65">
        <v>138537.50399999999</v>
      </c>
      <c r="K5" s="65">
        <v>133857.50399999999</v>
      </c>
      <c r="L5" s="50">
        <v>96.621899999999997</v>
      </c>
      <c r="M5" t="s">
        <v>2315</v>
      </c>
      <c r="N5" t="s">
        <v>2338</v>
      </c>
    </row>
    <row r="6" spans="1:14">
      <c r="A6" t="s">
        <v>775</v>
      </c>
      <c r="B6" t="s">
        <v>776</v>
      </c>
      <c r="C6" s="40">
        <v>46148</v>
      </c>
      <c r="D6" s="65">
        <v>670.7</v>
      </c>
      <c r="E6" s="50">
        <v>1.5469999999999999</v>
      </c>
      <c r="F6" s="65">
        <v>52750.555</v>
      </c>
      <c r="G6" s="65">
        <v>43354.155299999999</v>
      </c>
      <c r="H6" s="65">
        <v>34574.578300000001</v>
      </c>
      <c r="I6" s="50">
        <v>79.749200000000002</v>
      </c>
      <c r="J6" s="65">
        <v>43354.155299999999</v>
      </c>
      <c r="K6" s="65">
        <v>35245.278299999998</v>
      </c>
      <c r="L6" s="50">
        <v>81.296199999999999</v>
      </c>
      <c r="M6" t="s">
        <v>2298</v>
      </c>
      <c r="N6" t="s">
        <v>2327</v>
      </c>
    </row>
    <row r="7" spans="1:14">
      <c r="A7" t="s">
        <v>259</v>
      </c>
      <c r="B7" t="s">
        <v>260</v>
      </c>
      <c r="C7" s="40">
        <v>46147</v>
      </c>
      <c r="D7" s="65">
        <v>4882.87</v>
      </c>
      <c r="E7" s="50">
        <v>44.954099999999997</v>
      </c>
      <c r="F7" s="65">
        <v>342289.18699999998</v>
      </c>
      <c r="G7" s="65">
        <v>10861.9</v>
      </c>
      <c r="H7" s="65">
        <v>5979.03</v>
      </c>
      <c r="I7" s="50">
        <v>55.045900000000003</v>
      </c>
      <c r="J7" s="65">
        <v>10861.9</v>
      </c>
      <c r="K7" s="65">
        <v>10861.9</v>
      </c>
      <c r="L7" s="50">
        <v>100</v>
      </c>
      <c r="M7" t="s">
        <v>2300</v>
      </c>
      <c r="N7" t="s">
        <v>2333</v>
      </c>
    </row>
    <row r="8" spans="1:14">
      <c r="A8" t="s">
        <v>3125</v>
      </c>
      <c r="B8" t="s">
        <v>3126</v>
      </c>
      <c r="C8" s="40">
        <v>46146</v>
      </c>
      <c r="D8" s="65">
        <v>10469.799999999999</v>
      </c>
      <c r="E8" s="50">
        <v>11.603899999999999</v>
      </c>
      <c r="F8" s="65">
        <v>135060.42000000001</v>
      </c>
      <c r="G8" s="65">
        <v>90226.860199999996</v>
      </c>
      <c r="H8" s="65">
        <v>79757.060200000007</v>
      </c>
      <c r="I8" s="50">
        <v>88.396100000000004</v>
      </c>
      <c r="J8" s="65">
        <v>90226.860199999996</v>
      </c>
      <c r="K8" s="65">
        <v>90226.860199999996</v>
      </c>
      <c r="L8" s="50">
        <v>100</v>
      </c>
      <c r="M8" t="s">
        <v>2310</v>
      </c>
      <c r="N8" t="s">
        <v>2343</v>
      </c>
    </row>
    <row r="9" spans="1:14">
      <c r="A9" t="s">
        <v>411</v>
      </c>
      <c r="B9" t="s">
        <v>412</v>
      </c>
      <c r="C9" s="40">
        <v>46142</v>
      </c>
      <c r="D9" s="65">
        <v>3100</v>
      </c>
      <c r="E9" s="50">
        <v>4.9965000000000002</v>
      </c>
      <c r="F9" s="65">
        <v>120156</v>
      </c>
      <c r="G9" s="65">
        <v>62043.519999999997</v>
      </c>
      <c r="H9" s="65">
        <v>58943.519999999997</v>
      </c>
      <c r="I9" s="50">
        <v>95.003500000000003</v>
      </c>
      <c r="J9" s="65">
        <v>62043.519999999997</v>
      </c>
      <c r="K9" s="65">
        <v>62043.519999999997</v>
      </c>
      <c r="L9" s="50">
        <v>100</v>
      </c>
      <c r="M9" t="s">
        <v>2307</v>
      </c>
      <c r="N9" t="s">
        <v>2341</v>
      </c>
    </row>
    <row r="10" spans="1:14">
      <c r="A10" t="s">
        <v>450</v>
      </c>
      <c r="B10" t="s">
        <v>451</v>
      </c>
      <c r="C10" s="40">
        <v>46140</v>
      </c>
      <c r="D10" s="65">
        <v>3276.2750000000001</v>
      </c>
      <c r="E10" s="50">
        <v>42.514800000000001</v>
      </c>
      <c r="F10" s="65">
        <v>364321.78</v>
      </c>
      <c r="G10" s="65">
        <v>7706.2</v>
      </c>
      <c r="H10" s="65">
        <v>4429.9250000000002</v>
      </c>
      <c r="I10" s="50">
        <v>57.485199999999999</v>
      </c>
      <c r="J10" s="65">
        <v>7706.2</v>
      </c>
      <c r="K10" s="65">
        <v>7706.2</v>
      </c>
      <c r="L10" s="50">
        <v>100</v>
      </c>
      <c r="M10" t="s">
        <v>2294</v>
      </c>
      <c r="N10" t="s">
        <v>2329</v>
      </c>
    </row>
    <row r="11" spans="1:14">
      <c r="A11" t="s">
        <v>240</v>
      </c>
      <c r="B11" t="s">
        <v>241</v>
      </c>
      <c r="C11" s="40">
        <v>46140</v>
      </c>
      <c r="D11" s="65">
        <v>27734.22</v>
      </c>
      <c r="E11" s="50">
        <v>38.486899999999999</v>
      </c>
      <c r="F11" s="65">
        <v>596840.41440000001</v>
      </c>
      <c r="G11" s="65">
        <v>72061.440000000002</v>
      </c>
      <c r="H11" s="65">
        <v>44327.22</v>
      </c>
      <c r="I11" s="50">
        <v>61.513100000000001</v>
      </c>
      <c r="J11" s="65">
        <v>72061.440000000002</v>
      </c>
      <c r="K11" s="65">
        <v>72061.440000000002</v>
      </c>
      <c r="L11" s="50">
        <v>100</v>
      </c>
      <c r="M11" t="s">
        <v>2297</v>
      </c>
      <c r="N11" t="s">
        <v>2332</v>
      </c>
    </row>
    <row r="12" spans="1:14">
      <c r="A12" t="s">
        <v>3127</v>
      </c>
      <c r="B12" t="s">
        <v>3128</v>
      </c>
      <c r="C12" s="40">
        <v>46135</v>
      </c>
      <c r="D12" s="65">
        <v>2265.6</v>
      </c>
      <c r="E12" s="50">
        <v>4.9396000000000004</v>
      </c>
      <c r="F12" s="65">
        <v>2899.9679999999998</v>
      </c>
      <c r="G12" s="65">
        <v>45866.469599999997</v>
      </c>
      <c r="H12" s="65">
        <v>42506.2696</v>
      </c>
      <c r="I12" s="50">
        <v>92.674000000000007</v>
      </c>
      <c r="J12" s="65">
        <v>45866.469599999997</v>
      </c>
      <c r="K12" s="65">
        <v>44771.869599999998</v>
      </c>
      <c r="L12" s="50">
        <v>97.613500000000002</v>
      </c>
      <c r="M12" t="s">
        <v>2318</v>
      </c>
      <c r="N12" t="s">
        <v>2345</v>
      </c>
    </row>
    <row r="13" spans="1:14">
      <c r="A13" t="s">
        <v>3129</v>
      </c>
      <c r="B13" t="s">
        <v>3130</v>
      </c>
      <c r="C13" s="40">
        <v>46135</v>
      </c>
      <c r="D13" s="65">
        <v>2000</v>
      </c>
      <c r="E13" s="50">
        <v>1.0710999999999999</v>
      </c>
      <c r="F13" s="65">
        <v>610</v>
      </c>
      <c r="G13" s="65">
        <v>186732.43479999999</v>
      </c>
      <c r="H13" s="65">
        <v>184732.43479999999</v>
      </c>
      <c r="I13" s="50">
        <v>98.928899999999999</v>
      </c>
      <c r="J13" s="65">
        <v>186732.43479999999</v>
      </c>
      <c r="K13" s="65">
        <v>186732.43479999999</v>
      </c>
      <c r="L13" s="50">
        <v>100</v>
      </c>
      <c r="M13" t="s">
        <v>2306</v>
      </c>
      <c r="N13" t="s">
        <v>2324</v>
      </c>
    </row>
    <row r="14" spans="1:14">
      <c r="A14" t="s">
        <v>3131</v>
      </c>
      <c r="B14" t="s">
        <v>3132</v>
      </c>
      <c r="C14" s="40">
        <v>46134</v>
      </c>
      <c r="D14" s="65">
        <v>5500</v>
      </c>
      <c r="E14" s="50">
        <v>1.8113999999999999</v>
      </c>
      <c r="F14" s="65">
        <v>2557.5</v>
      </c>
      <c r="G14" s="65">
        <v>303633.75589999999</v>
      </c>
      <c r="H14" s="65">
        <v>298133.75589999999</v>
      </c>
      <c r="I14" s="50">
        <v>98.188599999999994</v>
      </c>
      <c r="J14" s="65">
        <v>303633.75589999999</v>
      </c>
      <c r="K14" s="65">
        <v>303633.75589999999</v>
      </c>
      <c r="L14" s="50">
        <v>100</v>
      </c>
      <c r="M14" t="s">
        <v>2315</v>
      </c>
      <c r="N14" t="s">
        <v>2341</v>
      </c>
    </row>
    <row r="15" spans="1:14">
      <c r="A15" t="s">
        <v>394</v>
      </c>
      <c r="B15" t="s">
        <v>395</v>
      </c>
      <c r="C15" s="40">
        <v>46134</v>
      </c>
      <c r="D15" s="65">
        <v>5813.2</v>
      </c>
      <c r="E15" s="50">
        <v>43.035200000000003</v>
      </c>
      <c r="F15" s="65">
        <v>81094.14</v>
      </c>
      <c r="G15" s="65">
        <v>13508.02</v>
      </c>
      <c r="H15" s="65">
        <v>7694.82</v>
      </c>
      <c r="I15" s="50">
        <v>56.964799999999997</v>
      </c>
      <c r="J15" s="65">
        <v>13508.02</v>
      </c>
      <c r="K15" s="65">
        <v>13508.02</v>
      </c>
      <c r="L15" s="50">
        <v>100</v>
      </c>
      <c r="M15" t="s">
        <v>2297</v>
      </c>
      <c r="N15" t="s">
        <v>2329</v>
      </c>
    </row>
    <row r="16" spans="1:14">
      <c r="A16" t="s">
        <v>3133</v>
      </c>
      <c r="B16" t="s">
        <v>3134</v>
      </c>
      <c r="C16" s="40">
        <v>46134</v>
      </c>
      <c r="D16" s="65">
        <v>105.1662</v>
      </c>
      <c r="E16" s="50">
        <v>0.95850000000000002</v>
      </c>
      <c r="F16" s="65">
        <v>790.84982400000001</v>
      </c>
      <c r="G16" s="65">
        <v>10972.1538</v>
      </c>
      <c r="H16" s="65">
        <v>10766.6176</v>
      </c>
      <c r="I16" s="50">
        <v>98.1267</v>
      </c>
      <c r="J16" s="65">
        <v>10972.1538</v>
      </c>
      <c r="K16" s="65">
        <v>10871.783799999999</v>
      </c>
      <c r="L16" s="50">
        <v>99.0852</v>
      </c>
      <c r="M16" t="s">
        <v>2296</v>
      </c>
      <c r="N16" t="s">
        <v>2328</v>
      </c>
    </row>
    <row r="17" spans="1:14">
      <c r="A17" t="s">
        <v>689</v>
      </c>
      <c r="B17" t="s">
        <v>690</v>
      </c>
      <c r="C17" s="40">
        <v>46133</v>
      </c>
      <c r="D17" s="65">
        <v>21312.400000000001</v>
      </c>
      <c r="E17" s="50">
        <v>48.8521</v>
      </c>
      <c r="F17" s="65">
        <v>395771.26799999998</v>
      </c>
      <c r="G17" s="65">
        <v>43626.35</v>
      </c>
      <c r="H17" s="65">
        <v>5539.33</v>
      </c>
      <c r="I17" s="50">
        <v>12.6972</v>
      </c>
      <c r="J17" s="65">
        <v>43626.35</v>
      </c>
      <c r="K17" s="65">
        <v>26851.73</v>
      </c>
      <c r="L17" s="50">
        <v>61.549300000000002</v>
      </c>
      <c r="M17" t="s">
        <v>2298</v>
      </c>
      <c r="N17" t="s">
        <v>2327</v>
      </c>
    </row>
    <row r="18" spans="1:14">
      <c r="A18" t="s">
        <v>862</v>
      </c>
      <c r="B18" t="s">
        <v>863</v>
      </c>
      <c r="C18" s="40">
        <v>46132</v>
      </c>
      <c r="D18" s="65">
        <v>198.17</v>
      </c>
      <c r="E18" s="50">
        <v>2.5177999999999998</v>
      </c>
      <c r="F18" s="65">
        <v>37652.300000000003</v>
      </c>
      <c r="G18" s="65">
        <v>7870.7269999999999</v>
      </c>
      <c r="H18" s="65">
        <v>951.83</v>
      </c>
      <c r="I18" s="50">
        <v>12.093299999999999</v>
      </c>
      <c r="J18" s="65">
        <v>7870.7269999999999</v>
      </c>
      <c r="K18" s="65">
        <v>1150</v>
      </c>
      <c r="L18" s="50">
        <v>14.6111</v>
      </c>
      <c r="M18" t="s">
        <v>2296</v>
      </c>
      <c r="N18" t="s">
        <v>2328</v>
      </c>
    </row>
    <row r="19" spans="1:14">
      <c r="A19" t="s">
        <v>3135</v>
      </c>
      <c r="B19" t="s">
        <v>3136</v>
      </c>
      <c r="C19" s="40">
        <v>46129</v>
      </c>
      <c r="D19" s="65">
        <v>923.50630000000001</v>
      </c>
      <c r="E19" s="50">
        <v>1.9045000000000001</v>
      </c>
      <c r="F19" s="65">
        <v>591.04403200000002</v>
      </c>
      <c r="G19" s="65">
        <v>48491.073900000003</v>
      </c>
      <c r="H19" s="65">
        <v>47567.567600000002</v>
      </c>
      <c r="I19" s="50">
        <v>98.095500000000001</v>
      </c>
      <c r="J19" s="65">
        <v>48491.073900000003</v>
      </c>
      <c r="K19" s="65">
        <v>48491.073900000003</v>
      </c>
      <c r="L19" s="50">
        <v>100</v>
      </c>
      <c r="M19" t="s">
        <v>2308</v>
      </c>
      <c r="N19" t="s">
        <v>2344</v>
      </c>
    </row>
    <row r="20" spans="1:14">
      <c r="A20" t="s">
        <v>1026</v>
      </c>
      <c r="B20" t="s">
        <v>1027</v>
      </c>
      <c r="C20" s="40">
        <v>46127</v>
      </c>
      <c r="D20" s="65">
        <v>660.3</v>
      </c>
      <c r="E20" s="50">
        <v>1.2747999999999999</v>
      </c>
      <c r="F20" s="65">
        <v>23784.006000000001</v>
      </c>
      <c r="G20" s="65">
        <v>51794.779000000002</v>
      </c>
      <c r="H20" s="65">
        <v>6073.05</v>
      </c>
      <c r="I20" s="50">
        <v>11.725199999999999</v>
      </c>
      <c r="J20" s="65">
        <v>51794.779000000002</v>
      </c>
      <c r="K20" s="65">
        <v>6733.35</v>
      </c>
      <c r="L20" s="50">
        <v>13.0001</v>
      </c>
      <c r="M20" t="s">
        <v>2296</v>
      </c>
      <c r="N20" t="s">
        <v>2328</v>
      </c>
    </row>
    <row r="21" spans="1:14">
      <c r="A21" t="s">
        <v>432</v>
      </c>
      <c r="B21" t="s">
        <v>433</v>
      </c>
      <c r="C21" s="40">
        <v>46126</v>
      </c>
      <c r="D21" s="65">
        <v>131784.9039</v>
      </c>
      <c r="E21" s="50">
        <v>51.590899999999998</v>
      </c>
      <c r="F21" s="65">
        <v>1034511.495615</v>
      </c>
      <c r="G21" s="65">
        <v>255442.1103</v>
      </c>
      <c r="H21" s="65">
        <v>-8144.4808000000003</v>
      </c>
      <c r="I21" s="50">
        <v>-3.1884000000000001</v>
      </c>
      <c r="J21" s="65">
        <v>255442.1103</v>
      </c>
      <c r="K21" s="65">
        <v>123640.4231</v>
      </c>
      <c r="L21" s="50">
        <v>48.402500000000003</v>
      </c>
      <c r="M21" t="s">
        <v>2297</v>
      </c>
      <c r="N21" t="s">
        <v>2335</v>
      </c>
    </row>
    <row r="22" spans="1:14">
      <c r="A22" t="s">
        <v>3137</v>
      </c>
      <c r="B22" t="s">
        <v>3138</v>
      </c>
      <c r="C22" s="40">
        <v>46126</v>
      </c>
      <c r="D22" s="65">
        <v>2897</v>
      </c>
      <c r="E22" s="50">
        <v>2.8126000000000002</v>
      </c>
      <c r="F22" s="65">
        <v>1825.11</v>
      </c>
      <c r="G22" s="65">
        <v>103002</v>
      </c>
      <c r="H22" s="65">
        <v>100105</v>
      </c>
      <c r="I22" s="50">
        <v>97.187399999999997</v>
      </c>
      <c r="J22" s="65">
        <v>103002</v>
      </c>
      <c r="K22" s="65">
        <v>103002</v>
      </c>
      <c r="L22" s="50">
        <v>100</v>
      </c>
      <c r="M22" t="s">
        <v>2305</v>
      </c>
      <c r="N22" t="s">
        <v>2339</v>
      </c>
    </row>
    <row r="23" spans="1:14">
      <c r="A23" t="s">
        <v>309</v>
      </c>
      <c r="B23" t="s">
        <v>310</v>
      </c>
      <c r="C23" s="40">
        <v>46123</v>
      </c>
      <c r="D23" s="65">
        <v>138.6617</v>
      </c>
      <c r="E23" s="50">
        <v>0.20150000000000001</v>
      </c>
      <c r="F23" s="65">
        <v>745.99994600000002</v>
      </c>
      <c r="G23" s="65">
        <v>68807.094800000006</v>
      </c>
      <c r="H23" s="65">
        <v>68143.285900000003</v>
      </c>
      <c r="I23" s="50">
        <v>99.035300000000007</v>
      </c>
      <c r="J23" s="65">
        <v>68807.094800000006</v>
      </c>
      <c r="K23" s="65">
        <v>68281.9476</v>
      </c>
      <c r="L23" s="50">
        <v>99.236800000000002</v>
      </c>
      <c r="M23" t="s">
        <v>2296</v>
      </c>
      <c r="N23" t="s">
        <v>2326</v>
      </c>
    </row>
    <row r="24" spans="1:14">
      <c r="A24" t="s">
        <v>1040</v>
      </c>
      <c r="B24" t="s">
        <v>1041</v>
      </c>
      <c r="C24" s="40">
        <v>46122</v>
      </c>
      <c r="D24" s="65">
        <v>4200</v>
      </c>
      <c r="E24" s="50">
        <v>10.5</v>
      </c>
      <c r="F24" s="65">
        <v>945</v>
      </c>
      <c r="G24" s="65">
        <v>40000</v>
      </c>
      <c r="H24" s="65">
        <v>10000</v>
      </c>
      <c r="I24" s="50">
        <v>25</v>
      </c>
      <c r="J24" s="65">
        <v>40000</v>
      </c>
      <c r="K24" s="65">
        <v>14200</v>
      </c>
      <c r="L24" s="50">
        <v>35.5</v>
      </c>
      <c r="M24" t="s">
        <v>2305</v>
      </c>
      <c r="N24" t="s">
        <v>2340</v>
      </c>
    </row>
    <row r="25" spans="1:14">
      <c r="A25" t="s">
        <v>3139</v>
      </c>
      <c r="B25" t="s">
        <v>3140</v>
      </c>
      <c r="C25" s="40">
        <v>46120</v>
      </c>
      <c r="D25" s="65">
        <v>7627.1761999999999</v>
      </c>
      <c r="E25" s="50">
        <v>8.5145</v>
      </c>
      <c r="F25" s="65">
        <v>109221.163184</v>
      </c>
      <c r="G25" s="65">
        <v>89578.752200000003</v>
      </c>
      <c r="H25" s="65">
        <v>81951.576000000001</v>
      </c>
      <c r="I25" s="50">
        <v>91.485500000000002</v>
      </c>
      <c r="J25" s="65">
        <v>89578.752200000003</v>
      </c>
      <c r="K25" s="65">
        <v>89578.752200000003</v>
      </c>
      <c r="L25" s="50">
        <v>100</v>
      </c>
      <c r="M25" t="s">
        <v>2296</v>
      </c>
      <c r="N25" t="s">
        <v>2328</v>
      </c>
    </row>
    <row r="26" spans="1:14">
      <c r="A26" t="s">
        <v>481</v>
      </c>
      <c r="B26" t="s">
        <v>482</v>
      </c>
      <c r="C26" s="40">
        <v>46114</v>
      </c>
      <c r="D26" s="65">
        <v>4518.1000000000004</v>
      </c>
      <c r="E26" s="50">
        <v>3.2610999999999999</v>
      </c>
      <c r="F26" s="65">
        <v>5918.7110000000002</v>
      </c>
      <c r="G26" s="65">
        <v>138544.84570000001</v>
      </c>
      <c r="H26" s="65">
        <v>134026.7457</v>
      </c>
      <c r="I26" s="50">
        <v>96.738900000000001</v>
      </c>
      <c r="J26" s="65">
        <v>138544.84570000001</v>
      </c>
      <c r="K26" s="65">
        <v>138544.84570000001</v>
      </c>
      <c r="L26" s="50">
        <v>100</v>
      </c>
      <c r="M26" t="s">
        <v>2296</v>
      </c>
      <c r="N26" t="s">
        <v>2347</v>
      </c>
    </row>
    <row r="27" spans="1:14">
      <c r="A27" t="s">
        <v>564</v>
      </c>
      <c r="B27" t="s">
        <v>565</v>
      </c>
      <c r="C27" s="40">
        <v>46112</v>
      </c>
      <c r="D27" s="65">
        <v>16068.491</v>
      </c>
      <c r="E27" s="50">
        <v>68.191000000000003</v>
      </c>
      <c r="F27" s="65">
        <v>78414.236080000002</v>
      </c>
      <c r="G27" s="65">
        <v>23563.9565</v>
      </c>
      <c r="H27" s="65">
        <v>7495.4655000000002</v>
      </c>
      <c r="I27" s="50">
        <v>31.809000000000001</v>
      </c>
      <c r="J27" s="65">
        <v>23563.9565</v>
      </c>
      <c r="K27" s="65">
        <v>23563.9565</v>
      </c>
      <c r="L27" s="50">
        <v>100</v>
      </c>
      <c r="M27" t="s">
        <v>2312</v>
      </c>
      <c r="N27" t="s">
        <v>2347</v>
      </c>
    </row>
    <row r="28" spans="1:14">
      <c r="A28" t="s">
        <v>550</v>
      </c>
      <c r="B28" t="s">
        <v>551</v>
      </c>
      <c r="C28" s="40">
        <v>46112</v>
      </c>
      <c r="D28" s="65">
        <v>38.049999999999997</v>
      </c>
      <c r="E28" s="50">
        <v>0.25369999999999998</v>
      </c>
      <c r="F28" s="65">
        <v>4585.0249999999996</v>
      </c>
      <c r="G28" s="65">
        <v>14999.124900000001</v>
      </c>
      <c r="H28" s="65">
        <v>589.03800000000001</v>
      </c>
      <c r="I28" s="50">
        <v>3.9270999999999998</v>
      </c>
      <c r="J28" s="65">
        <v>14999.124900000001</v>
      </c>
      <c r="K28" s="65">
        <v>627.08799999999997</v>
      </c>
      <c r="L28" s="50">
        <v>4.1807999999999996</v>
      </c>
      <c r="M28" t="s">
        <v>2300</v>
      </c>
      <c r="N28" t="s">
        <v>2329</v>
      </c>
    </row>
    <row r="29" spans="1:14">
      <c r="A29" t="s">
        <v>3123</v>
      </c>
      <c r="B29" t="s">
        <v>3124</v>
      </c>
      <c r="C29" s="40">
        <v>46112</v>
      </c>
      <c r="D29" s="65">
        <v>2170</v>
      </c>
      <c r="E29" s="50">
        <v>1.5664</v>
      </c>
      <c r="F29" s="65">
        <v>2235.1</v>
      </c>
      <c r="G29" s="65">
        <v>138537.50399999999</v>
      </c>
      <c r="H29" s="65">
        <v>123787.504</v>
      </c>
      <c r="I29" s="50">
        <v>89.353099999999998</v>
      </c>
      <c r="J29" s="65">
        <v>138537.50399999999</v>
      </c>
      <c r="K29" s="65">
        <v>125957.504</v>
      </c>
      <c r="L29" s="50">
        <v>90.919399999999996</v>
      </c>
      <c r="M29" t="s">
        <v>2315</v>
      </c>
      <c r="N29" t="s">
        <v>2338</v>
      </c>
    </row>
    <row r="30" spans="1:14">
      <c r="A30" t="s">
        <v>318</v>
      </c>
      <c r="B30" t="s">
        <v>319</v>
      </c>
      <c r="C30" s="40">
        <v>46111</v>
      </c>
      <c r="D30" s="65">
        <v>17416.14</v>
      </c>
      <c r="E30" s="50">
        <v>6.5073999999999996</v>
      </c>
      <c r="F30" s="65">
        <v>3100072.92</v>
      </c>
      <c r="G30" s="65">
        <v>267633.93</v>
      </c>
      <c r="H30" s="65">
        <v>22717.79</v>
      </c>
      <c r="I30" s="50">
        <v>8.4884000000000004</v>
      </c>
      <c r="J30" s="65">
        <v>267633.93</v>
      </c>
      <c r="K30" s="65">
        <v>40133.93</v>
      </c>
      <c r="L30" s="50">
        <v>14.995799999999999</v>
      </c>
      <c r="M30" t="s">
        <v>2315</v>
      </c>
      <c r="N30" t="s">
        <v>2341</v>
      </c>
    </row>
    <row r="31" spans="1:14">
      <c r="A31" t="s">
        <v>3141</v>
      </c>
      <c r="B31" t="s">
        <v>3142</v>
      </c>
      <c r="C31" s="40">
        <v>46110</v>
      </c>
      <c r="D31" s="65">
        <v>1500</v>
      </c>
      <c r="E31" s="50">
        <v>2.9125999999999999</v>
      </c>
      <c r="F31" s="65">
        <v>1335</v>
      </c>
      <c r="G31" s="65">
        <v>51500</v>
      </c>
      <c r="H31" s="65">
        <v>50000</v>
      </c>
      <c r="I31" s="50">
        <v>97.087400000000002</v>
      </c>
      <c r="J31" s="65">
        <v>51500</v>
      </c>
      <c r="K31" s="65">
        <v>51500</v>
      </c>
      <c r="L31" s="50">
        <v>100</v>
      </c>
      <c r="M31" t="s">
        <v>2305</v>
      </c>
      <c r="N31" t="s">
        <v>2339</v>
      </c>
    </row>
    <row r="32" spans="1:14">
      <c r="A32" t="s">
        <v>705</v>
      </c>
      <c r="B32" t="s">
        <v>706</v>
      </c>
      <c r="C32" s="40">
        <v>46108</v>
      </c>
      <c r="D32" s="65">
        <v>67500</v>
      </c>
      <c r="E32" s="50">
        <v>67.5</v>
      </c>
      <c r="F32" s="65">
        <v>68175</v>
      </c>
      <c r="G32" s="65">
        <v>100000</v>
      </c>
      <c r="H32" s="65">
        <v>32500</v>
      </c>
      <c r="I32" s="50">
        <v>32.5</v>
      </c>
      <c r="J32" s="65">
        <v>100000</v>
      </c>
      <c r="K32" s="65">
        <v>100000</v>
      </c>
      <c r="L32" s="50">
        <v>100</v>
      </c>
      <c r="M32" t="s">
        <v>2312</v>
      </c>
      <c r="N32" t="s">
        <v>2342</v>
      </c>
    </row>
    <row r="33" spans="1:14">
      <c r="A33" t="s">
        <v>229</v>
      </c>
      <c r="B33" t="s">
        <v>230</v>
      </c>
      <c r="C33" s="40">
        <v>46106</v>
      </c>
      <c r="D33" s="65">
        <v>14869.85</v>
      </c>
      <c r="E33" s="50">
        <v>2.56</v>
      </c>
      <c r="F33" s="65">
        <v>411894.84499999997</v>
      </c>
      <c r="G33" s="65">
        <v>580860.45330000005</v>
      </c>
      <c r="H33" s="65">
        <v>20614.991600000001</v>
      </c>
      <c r="I33" s="50">
        <v>3.5489999999999999</v>
      </c>
      <c r="J33" s="65">
        <v>580860.45330000005</v>
      </c>
      <c r="K33" s="65">
        <v>35484.8416</v>
      </c>
      <c r="L33" s="50">
        <v>6.109</v>
      </c>
      <c r="M33" t="s">
        <v>2300</v>
      </c>
      <c r="N33" t="s">
        <v>2333</v>
      </c>
    </row>
    <row r="34" spans="1:14">
      <c r="A34" t="s">
        <v>411</v>
      </c>
      <c r="B34" t="s">
        <v>412</v>
      </c>
      <c r="C34" s="40">
        <v>46106</v>
      </c>
      <c r="D34" s="65">
        <v>50000</v>
      </c>
      <c r="E34" s="50">
        <v>80.5886</v>
      </c>
      <c r="F34" s="65">
        <v>2885000</v>
      </c>
      <c r="G34" s="65">
        <v>62043.519999999997</v>
      </c>
      <c r="H34" s="65">
        <v>8943.52</v>
      </c>
      <c r="I34" s="50">
        <v>14.414899999999999</v>
      </c>
      <c r="J34" s="65">
        <v>62043.519999999997</v>
      </c>
      <c r="K34" s="65">
        <v>58943.519999999997</v>
      </c>
      <c r="L34" s="50">
        <v>95.003500000000003</v>
      </c>
      <c r="M34" t="s">
        <v>2307</v>
      </c>
      <c r="N34" t="s">
        <v>2341</v>
      </c>
    </row>
    <row r="35" spans="1:14">
      <c r="A35" t="s">
        <v>622</v>
      </c>
      <c r="B35" t="s">
        <v>623</v>
      </c>
      <c r="C35" s="40">
        <v>46105</v>
      </c>
      <c r="D35" s="65">
        <v>33231.556900000003</v>
      </c>
      <c r="E35" s="50">
        <v>25.204699999999999</v>
      </c>
      <c r="F35" s="65">
        <v>104679.40423499999</v>
      </c>
      <c r="G35" s="65">
        <v>131846.68229999999</v>
      </c>
      <c r="H35" s="65">
        <v>15492.3982</v>
      </c>
      <c r="I35" s="50">
        <v>11.750299999999999</v>
      </c>
      <c r="J35" s="65">
        <v>131846.68229999999</v>
      </c>
      <c r="K35" s="65">
        <v>48723.955099999999</v>
      </c>
      <c r="L35" s="50">
        <v>36.954999999999998</v>
      </c>
      <c r="M35" t="s">
        <v>2292</v>
      </c>
      <c r="N35" t="s">
        <v>2326</v>
      </c>
    </row>
    <row r="36" spans="1:14">
      <c r="A36" t="s">
        <v>647</v>
      </c>
      <c r="B36" t="s">
        <v>648</v>
      </c>
      <c r="C36" s="40">
        <v>46104</v>
      </c>
      <c r="D36" s="65">
        <v>7683.7340000000004</v>
      </c>
      <c r="E36" s="50">
        <v>84.668000000000006</v>
      </c>
      <c r="F36" s="65">
        <v>568596.31599999999</v>
      </c>
      <c r="G36" s="65">
        <v>9075.1378000000004</v>
      </c>
      <c r="H36" s="65">
        <v>933.84</v>
      </c>
      <c r="I36" s="50">
        <v>10.290100000000001</v>
      </c>
      <c r="J36" s="65">
        <v>9075.1378000000004</v>
      </c>
      <c r="K36" s="65">
        <v>8617.5740000000005</v>
      </c>
      <c r="L36" s="50">
        <v>94.958100000000002</v>
      </c>
      <c r="M36" t="s">
        <v>2299</v>
      </c>
      <c r="N36" t="s">
        <v>2342</v>
      </c>
    </row>
    <row r="37" spans="1:14">
      <c r="A37" t="s">
        <v>1036</v>
      </c>
      <c r="B37" t="s">
        <v>1037</v>
      </c>
      <c r="C37" s="40">
        <v>46102</v>
      </c>
      <c r="D37" s="65">
        <v>7031.4423999999999</v>
      </c>
      <c r="E37" s="50">
        <v>61.718899999999998</v>
      </c>
      <c r="F37" s="65">
        <v>182958.13124799999</v>
      </c>
      <c r="G37" s="65">
        <v>11392.686400000001</v>
      </c>
      <c r="H37" s="65">
        <v>4361.2439999999997</v>
      </c>
      <c r="I37" s="50">
        <v>38.281100000000002</v>
      </c>
      <c r="J37" s="65">
        <v>11392.686400000001</v>
      </c>
      <c r="K37" s="65">
        <v>11392.686400000001</v>
      </c>
      <c r="L37" s="50">
        <v>100</v>
      </c>
      <c r="M37" t="s">
        <v>2296</v>
      </c>
      <c r="N37" t="s">
        <v>2328</v>
      </c>
    </row>
    <row r="38" spans="1:14">
      <c r="A38" t="s">
        <v>3131</v>
      </c>
      <c r="B38" t="s">
        <v>3132</v>
      </c>
      <c r="C38" s="40">
        <v>46100</v>
      </c>
      <c r="D38" s="65">
        <v>2700</v>
      </c>
      <c r="E38" s="50">
        <v>0.88919999999999999</v>
      </c>
      <c r="F38" s="65">
        <v>1282.5</v>
      </c>
      <c r="G38" s="65">
        <v>303633.75589999999</v>
      </c>
      <c r="H38" s="65">
        <v>295433.75589999999</v>
      </c>
      <c r="I38" s="50">
        <v>97.299400000000006</v>
      </c>
      <c r="J38" s="65">
        <v>303633.75589999999</v>
      </c>
      <c r="K38" s="65">
        <v>298133.75589999999</v>
      </c>
      <c r="L38" s="50">
        <v>98.188599999999994</v>
      </c>
      <c r="M38" t="s">
        <v>2315</v>
      </c>
      <c r="N38" t="s">
        <v>2341</v>
      </c>
    </row>
    <row r="39" spans="1:14">
      <c r="A39" t="s">
        <v>968</v>
      </c>
      <c r="B39" t="s">
        <v>969</v>
      </c>
      <c r="C39" s="40">
        <v>46100</v>
      </c>
      <c r="D39" s="65">
        <v>3823.4</v>
      </c>
      <c r="E39" s="50">
        <v>10.3233</v>
      </c>
      <c r="F39" s="65">
        <v>99408.4</v>
      </c>
      <c r="G39" s="65">
        <v>37036.663</v>
      </c>
      <c r="H39" s="65">
        <v>6439.2</v>
      </c>
      <c r="I39" s="50">
        <v>17.385999999999999</v>
      </c>
      <c r="J39" s="65">
        <v>37036.663</v>
      </c>
      <c r="K39" s="65">
        <v>10262.6</v>
      </c>
      <c r="L39" s="50">
        <v>27.709299999999999</v>
      </c>
      <c r="M39" t="s">
        <v>2296</v>
      </c>
      <c r="N39" t="s">
        <v>2328</v>
      </c>
    </row>
    <row r="40" spans="1:14">
      <c r="A40" t="s">
        <v>517</v>
      </c>
      <c r="B40" t="s">
        <v>518</v>
      </c>
      <c r="C40" s="40">
        <v>46097</v>
      </c>
      <c r="D40" s="65">
        <v>542.12400000000002</v>
      </c>
      <c r="E40" s="50">
        <v>3.4499</v>
      </c>
      <c r="F40" s="65">
        <v>104521.50719999999</v>
      </c>
      <c r="G40" s="65">
        <v>15714.221100000001</v>
      </c>
      <c r="H40" s="65">
        <v>9755.8217999999997</v>
      </c>
      <c r="I40" s="50">
        <v>62.082799999999999</v>
      </c>
      <c r="J40" s="65">
        <v>15714.221100000001</v>
      </c>
      <c r="K40" s="65">
        <v>10297.9458</v>
      </c>
      <c r="L40" s="50">
        <v>65.532700000000006</v>
      </c>
      <c r="M40" t="s">
        <v>2298</v>
      </c>
      <c r="N40" t="s">
        <v>2329</v>
      </c>
    </row>
    <row r="41" spans="1:14">
      <c r="A41" t="s">
        <v>614</v>
      </c>
      <c r="B41" t="s">
        <v>615</v>
      </c>
      <c r="C41" s="40">
        <v>46091</v>
      </c>
      <c r="D41" s="65">
        <v>7425.0587999999998</v>
      </c>
      <c r="E41" s="50">
        <v>6.9321999999999999</v>
      </c>
      <c r="F41" s="65">
        <v>10098.079968</v>
      </c>
      <c r="G41" s="65">
        <v>107109.23609999999</v>
      </c>
      <c r="H41" s="65">
        <v>80589.591100000005</v>
      </c>
      <c r="I41" s="50">
        <v>75.240600000000001</v>
      </c>
      <c r="J41" s="65">
        <v>107109.23609999999</v>
      </c>
      <c r="K41" s="65">
        <v>88014.649900000004</v>
      </c>
      <c r="L41" s="50">
        <v>82.172799999999995</v>
      </c>
      <c r="M41" t="s">
        <v>2307</v>
      </c>
      <c r="N41" t="s">
        <v>2327</v>
      </c>
    </row>
    <row r="42" spans="1:14">
      <c r="A42" t="s">
        <v>870</v>
      </c>
      <c r="B42" t="s">
        <v>871</v>
      </c>
      <c r="C42" s="40">
        <v>46090</v>
      </c>
      <c r="D42" s="65">
        <v>201.38</v>
      </c>
      <c r="E42" s="50">
        <v>6.1417000000000002</v>
      </c>
      <c r="F42" s="65">
        <v>5920.5720000000001</v>
      </c>
      <c r="G42" s="65">
        <v>3278.8841000000002</v>
      </c>
      <c r="H42" s="65">
        <v>702.72</v>
      </c>
      <c r="I42" s="50">
        <v>21.431699999999999</v>
      </c>
      <c r="J42" s="65">
        <v>3278.8841000000002</v>
      </c>
      <c r="K42" s="65">
        <v>904.1</v>
      </c>
      <c r="L42" s="50">
        <v>27.573399999999999</v>
      </c>
      <c r="M42" t="s">
        <v>2299</v>
      </c>
      <c r="N42" t="s">
        <v>2330</v>
      </c>
    </row>
    <row r="43" spans="1:14">
      <c r="A43" t="s">
        <v>295</v>
      </c>
      <c r="B43" t="s">
        <v>296</v>
      </c>
      <c r="C43" s="40">
        <v>46084</v>
      </c>
      <c r="D43" s="65">
        <v>13126.425800000001</v>
      </c>
      <c r="E43" s="50">
        <v>34.5779</v>
      </c>
      <c r="F43" s="65">
        <v>4376350.3617200004</v>
      </c>
      <c r="G43" s="65">
        <v>37961.879999999997</v>
      </c>
      <c r="H43" s="65">
        <v>1961.88</v>
      </c>
      <c r="I43" s="50">
        <v>5.1680000000000001</v>
      </c>
      <c r="J43" s="65">
        <v>37961.879999999997</v>
      </c>
      <c r="K43" s="65">
        <v>15088.3058</v>
      </c>
      <c r="L43" s="50">
        <v>39.745899999999999</v>
      </c>
      <c r="M43" t="s">
        <v>2304</v>
      </c>
      <c r="N43" t="s">
        <v>2345</v>
      </c>
    </row>
    <row r="44" spans="1:14">
      <c r="A44" t="s">
        <v>277</v>
      </c>
      <c r="B44" t="s">
        <v>278</v>
      </c>
      <c r="C44" s="40">
        <v>46083</v>
      </c>
      <c r="D44" s="65">
        <v>5592.14</v>
      </c>
      <c r="E44" s="50">
        <v>3.5209999999999999</v>
      </c>
      <c r="F44" s="65">
        <v>64085.924400000004</v>
      </c>
      <c r="G44" s="65">
        <v>158823.51999999999</v>
      </c>
      <c r="H44" s="65">
        <v>23139.255000000001</v>
      </c>
      <c r="I44" s="50">
        <v>14.5692</v>
      </c>
      <c r="J44" s="65">
        <v>158823.51999999999</v>
      </c>
      <c r="K44" s="65">
        <v>28731.395</v>
      </c>
      <c r="L44" s="50">
        <v>18.0901</v>
      </c>
      <c r="M44" t="s">
        <v>2299</v>
      </c>
      <c r="N44" t="s">
        <v>2346</v>
      </c>
    </row>
    <row r="45" spans="1:14">
      <c r="A45" t="s">
        <v>1038</v>
      </c>
      <c r="B45" t="s">
        <v>1039</v>
      </c>
      <c r="C45" s="40">
        <v>46081</v>
      </c>
      <c r="D45" s="65">
        <v>5490.44</v>
      </c>
      <c r="E45" s="50">
        <v>12.048400000000001</v>
      </c>
      <c r="F45" s="65">
        <v>537239.554</v>
      </c>
      <c r="G45" s="65">
        <v>45570</v>
      </c>
      <c r="H45" s="65">
        <v>12079.56</v>
      </c>
      <c r="I45" s="50">
        <v>26.5077</v>
      </c>
      <c r="J45" s="65">
        <v>45570</v>
      </c>
      <c r="K45" s="65">
        <v>17570</v>
      </c>
      <c r="L45" s="50">
        <v>38.556100000000001</v>
      </c>
      <c r="M45" t="s">
        <v>2307</v>
      </c>
      <c r="N45" t="s">
        <v>2341</v>
      </c>
    </row>
    <row r="46" spans="1:14">
      <c r="A46" t="s">
        <v>931</v>
      </c>
      <c r="B46" t="s">
        <v>932</v>
      </c>
      <c r="C46" s="40">
        <v>46077</v>
      </c>
      <c r="D46" s="65">
        <v>16341.9038</v>
      </c>
      <c r="E46" s="50">
        <v>54.796300000000002</v>
      </c>
      <c r="F46" s="65">
        <v>294154.2684</v>
      </c>
      <c r="G46" s="65">
        <v>29823.033100000001</v>
      </c>
      <c r="H46" s="65">
        <v>4922.16</v>
      </c>
      <c r="I46" s="50">
        <v>16.5046</v>
      </c>
      <c r="J46" s="65">
        <v>29823.033100000001</v>
      </c>
      <c r="K46" s="65">
        <v>21264.0638</v>
      </c>
      <c r="L46" s="50">
        <v>71.300799999999995</v>
      </c>
      <c r="M46" t="s">
        <v>2296</v>
      </c>
      <c r="N46" t="s">
        <v>2328</v>
      </c>
    </row>
    <row r="47" spans="1:14">
      <c r="A47" t="s">
        <v>3143</v>
      </c>
      <c r="B47" t="s">
        <v>3144</v>
      </c>
      <c r="C47" s="40">
        <v>46076</v>
      </c>
      <c r="D47" s="65">
        <v>40000</v>
      </c>
      <c r="E47" s="50">
        <v>4.0084999999999997</v>
      </c>
      <c r="F47" s="65">
        <v>1492000</v>
      </c>
      <c r="G47" s="65">
        <v>997870.58409999998</v>
      </c>
      <c r="H47" s="65">
        <v>957870.58409999998</v>
      </c>
      <c r="I47" s="50">
        <v>95.991500000000002</v>
      </c>
      <c r="J47" s="65">
        <v>997870.58409999998</v>
      </c>
      <c r="K47" s="65">
        <v>997870.58409999998</v>
      </c>
      <c r="L47" s="50">
        <v>100</v>
      </c>
      <c r="M47" t="s">
        <v>2307</v>
      </c>
      <c r="N47" t="s">
        <v>2341</v>
      </c>
    </row>
    <row r="48" spans="1:14">
      <c r="A48" t="s">
        <v>585</v>
      </c>
      <c r="B48" t="s">
        <v>586</v>
      </c>
      <c r="C48" s="40">
        <v>46073</v>
      </c>
      <c r="D48" s="65">
        <v>1729.52</v>
      </c>
      <c r="E48" s="50">
        <v>31.498799999999999</v>
      </c>
      <c r="F48" s="65">
        <v>98582.64</v>
      </c>
      <c r="G48" s="65">
        <v>5490.75</v>
      </c>
      <c r="H48" s="65">
        <v>3761.23</v>
      </c>
      <c r="I48" s="50">
        <v>68.501199999999997</v>
      </c>
      <c r="J48" s="65">
        <v>5490.75</v>
      </c>
      <c r="K48" s="65">
        <v>5490.75</v>
      </c>
      <c r="L48" s="50">
        <v>100</v>
      </c>
      <c r="M48" t="s">
        <v>2295</v>
      </c>
      <c r="N48" t="s">
        <v>2331</v>
      </c>
    </row>
    <row r="49" spans="1:14">
      <c r="A49" t="s">
        <v>3145</v>
      </c>
      <c r="B49" t="s">
        <v>3146</v>
      </c>
      <c r="C49" s="40">
        <v>46072</v>
      </c>
      <c r="D49" s="65">
        <v>7000</v>
      </c>
      <c r="E49" s="50">
        <v>9.3332999999999995</v>
      </c>
      <c r="F49" s="65">
        <v>10640</v>
      </c>
      <c r="G49" s="65">
        <v>75000</v>
      </c>
      <c r="H49" s="65">
        <v>68000</v>
      </c>
      <c r="I49" s="50">
        <v>90.666700000000006</v>
      </c>
      <c r="J49" s="65">
        <v>75000</v>
      </c>
      <c r="K49" s="65">
        <v>75000</v>
      </c>
      <c r="L49" s="50">
        <v>100</v>
      </c>
      <c r="M49" t="s">
        <v>2298</v>
      </c>
      <c r="N49" t="s">
        <v>2327</v>
      </c>
    </row>
    <row r="50" spans="1:14">
      <c r="A50" t="s">
        <v>3131</v>
      </c>
      <c r="B50" t="s">
        <v>3132</v>
      </c>
      <c r="C50" s="40">
        <v>46070</v>
      </c>
      <c r="D50" s="65">
        <v>24133.200000000001</v>
      </c>
      <c r="E50" s="50">
        <v>7.9481000000000002</v>
      </c>
      <c r="F50" s="65">
        <v>14962.584000000001</v>
      </c>
      <c r="G50" s="65">
        <v>303633.75589999999</v>
      </c>
      <c r="H50" s="65">
        <v>271300.55589999998</v>
      </c>
      <c r="I50" s="50">
        <v>89.351200000000006</v>
      </c>
      <c r="J50" s="65">
        <v>303633.75589999999</v>
      </c>
      <c r="K50" s="65">
        <v>295433.75589999999</v>
      </c>
      <c r="L50" s="50">
        <v>97.299400000000006</v>
      </c>
      <c r="M50" t="s">
        <v>2315</v>
      </c>
      <c r="N50" t="s">
        <v>2341</v>
      </c>
    </row>
    <row r="51" spans="1:14">
      <c r="A51" t="s">
        <v>596</v>
      </c>
      <c r="B51" t="s">
        <v>597</v>
      </c>
      <c r="C51" s="40">
        <v>46066</v>
      </c>
      <c r="D51" s="65">
        <v>6597.52</v>
      </c>
      <c r="E51" s="50">
        <v>25.627199999999998</v>
      </c>
      <c r="F51" s="65">
        <v>36088.434399999998</v>
      </c>
      <c r="G51" s="65">
        <v>25744.254000000001</v>
      </c>
      <c r="H51" s="65">
        <v>19146.734</v>
      </c>
      <c r="I51" s="50">
        <v>74.372799999999998</v>
      </c>
      <c r="J51" s="65">
        <v>25744.254000000001</v>
      </c>
      <c r="K51" s="65">
        <v>25744.254000000001</v>
      </c>
      <c r="L51" s="50">
        <v>100</v>
      </c>
      <c r="M51" t="s">
        <v>2298</v>
      </c>
      <c r="N51" t="s">
        <v>2327</v>
      </c>
    </row>
    <row r="52" spans="1:14">
      <c r="A52" t="s">
        <v>360</v>
      </c>
      <c r="B52" t="s">
        <v>361</v>
      </c>
      <c r="C52" s="40">
        <v>46065</v>
      </c>
      <c r="D52" s="65">
        <v>172826.08720000001</v>
      </c>
      <c r="E52" s="50">
        <v>72.671400000000006</v>
      </c>
      <c r="F52" s="65">
        <v>5005043.4853119999</v>
      </c>
      <c r="G52" s="65">
        <v>237818.58600000001</v>
      </c>
      <c r="H52" s="65">
        <v>64992.498800000001</v>
      </c>
      <c r="I52" s="50">
        <v>27.328600000000002</v>
      </c>
      <c r="J52" s="65">
        <v>237818.58600000001</v>
      </c>
      <c r="K52" s="65">
        <v>237818.58600000001</v>
      </c>
      <c r="L52" s="50">
        <v>100</v>
      </c>
      <c r="M52" t="s">
        <v>2304</v>
      </c>
      <c r="N52" t="s">
        <v>2345</v>
      </c>
    </row>
    <row r="53" spans="1:14">
      <c r="A53" t="s">
        <v>980</v>
      </c>
      <c r="B53" t="s">
        <v>981</v>
      </c>
      <c r="C53" s="40">
        <v>46064</v>
      </c>
      <c r="D53" s="65">
        <v>783.06</v>
      </c>
      <c r="E53" s="50">
        <v>1.9903</v>
      </c>
      <c r="F53" s="65">
        <v>38792.792399999998</v>
      </c>
      <c r="G53" s="65">
        <v>39344.26</v>
      </c>
      <c r="H53" s="65">
        <v>2561.1999999999998</v>
      </c>
      <c r="I53" s="50">
        <v>6.5096999999999996</v>
      </c>
      <c r="J53" s="65">
        <v>39344.26</v>
      </c>
      <c r="K53" s="65">
        <v>3344.26</v>
      </c>
      <c r="L53" s="50">
        <v>8.5</v>
      </c>
      <c r="M53" t="s">
        <v>2296</v>
      </c>
      <c r="N53" t="s">
        <v>2328</v>
      </c>
    </row>
    <row r="54" spans="1:14">
      <c r="A54" t="s">
        <v>3147</v>
      </c>
      <c r="B54" t="s">
        <v>3148</v>
      </c>
      <c r="C54" s="40">
        <v>46060</v>
      </c>
      <c r="D54" s="65">
        <v>25768</v>
      </c>
      <c r="E54" s="50">
        <v>13.42</v>
      </c>
      <c r="F54" s="65">
        <v>39167.360000000001</v>
      </c>
      <c r="G54" s="65">
        <v>192012.51990000001</v>
      </c>
      <c r="H54" s="65">
        <v>166244.51990000001</v>
      </c>
      <c r="I54" s="50">
        <v>86.58</v>
      </c>
      <c r="J54" s="65">
        <v>192012.51990000001</v>
      </c>
      <c r="K54" s="65">
        <v>192012.51990000001</v>
      </c>
      <c r="L54" s="50">
        <v>100</v>
      </c>
      <c r="M54" t="s">
        <v>2297</v>
      </c>
      <c r="N54" t="s">
        <v>2333</v>
      </c>
    </row>
    <row r="55" spans="1:14">
      <c r="A55" t="s">
        <v>791</v>
      </c>
      <c r="B55" t="s">
        <v>792</v>
      </c>
      <c r="C55" s="40">
        <v>46060</v>
      </c>
      <c r="D55" s="65">
        <v>350.62</v>
      </c>
      <c r="E55" s="50">
        <v>0.89980000000000004</v>
      </c>
      <c r="F55" s="65">
        <v>7096.5487999999996</v>
      </c>
      <c r="G55" s="65">
        <v>38965.176200000002</v>
      </c>
      <c r="H55" s="65">
        <v>1949.38</v>
      </c>
      <c r="I55" s="50">
        <v>5.0029000000000003</v>
      </c>
      <c r="J55" s="65">
        <v>38965.176200000002</v>
      </c>
      <c r="K55" s="65">
        <v>2300</v>
      </c>
      <c r="L55" s="50">
        <v>5.9027000000000003</v>
      </c>
      <c r="M55" t="s">
        <v>2297</v>
      </c>
      <c r="N55" t="s">
        <v>2335</v>
      </c>
    </row>
    <row r="56" spans="1:14">
      <c r="A56" t="s">
        <v>1004</v>
      </c>
      <c r="B56" t="s">
        <v>1005</v>
      </c>
      <c r="C56" s="40">
        <v>46047</v>
      </c>
      <c r="D56" s="65">
        <v>1547.45</v>
      </c>
      <c r="E56" s="50">
        <v>7.7804000000000002</v>
      </c>
      <c r="F56" s="65">
        <v>86734.572499999995</v>
      </c>
      <c r="G56" s="65">
        <v>19889.18</v>
      </c>
      <c r="H56" s="65">
        <v>2691.73</v>
      </c>
      <c r="I56" s="50">
        <v>13.5336</v>
      </c>
      <c r="J56" s="65">
        <v>19889.18</v>
      </c>
      <c r="K56" s="65">
        <v>4239.18</v>
      </c>
      <c r="L56" s="50">
        <v>21.314</v>
      </c>
      <c r="M56" t="s">
        <v>2296</v>
      </c>
      <c r="N56" t="s">
        <v>2328</v>
      </c>
    </row>
    <row r="57" spans="1:14">
      <c r="A57" t="s">
        <v>624</v>
      </c>
      <c r="B57" t="s">
        <v>625</v>
      </c>
      <c r="C57" s="40">
        <v>46046</v>
      </c>
      <c r="D57" s="65">
        <v>1308.2560000000001</v>
      </c>
      <c r="E57" s="50">
        <v>2.5988000000000002</v>
      </c>
      <c r="F57" s="65">
        <v>188388.864</v>
      </c>
      <c r="G57" s="65">
        <v>50340.137300000002</v>
      </c>
      <c r="H57" s="65">
        <v>34907.848599999998</v>
      </c>
      <c r="I57" s="50">
        <v>69.343999999999994</v>
      </c>
      <c r="J57" s="65">
        <v>50340.137300000002</v>
      </c>
      <c r="K57" s="65">
        <v>36216.104599999999</v>
      </c>
      <c r="L57" s="50">
        <v>71.942800000000005</v>
      </c>
      <c r="M57" t="s">
        <v>2298</v>
      </c>
      <c r="N57" t="s">
        <v>2327</v>
      </c>
    </row>
    <row r="58" spans="1:14">
      <c r="A58" t="s">
        <v>432</v>
      </c>
      <c r="B58" t="s">
        <v>433</v>
      </c>
      <c r="C58" s="40">
        <v>46044</v>
      </c>
      <c r="D58" s="65">
        <v>4592.1000000000004</v>
      </c>
      <c r="E58" s="50">
        <v>1.7977000000000001</v>
      </c>
      <c r="F58" s="65">
        <v>41512.584000000003</v>
      </c>
      <c r="G58" s="65">
        <v>255442.1103</v>
      </c>
      <c r="H58" s="65">
        <v>12152.37</v>
      </c>
      <c r="I58" s="50">
        <v>4.7573999999999996</v>
      </c>
      <c r="J58" s="65">
        <v>255442.1103</v>
      </c>
      <c r="K58" s="65">
        <v>16744.47</v>
      </c>
      <c r="L58" s="50">
        <v>6.5551000000000004</v>
      </c>
      <c r="M58" t="s">
        <v>2297</v>
      </c>
      <c r="N58" t="s">
        <v>2335</v>
      </c>
    </row>
    <row r="59" spans="1:14">
      <c r="A59" t="s">
        <v>3149</v>
      </c>
      <c r="B59" t="s">
        <v>3150</v>
      </c>
      <c r="C59" s="40">
        <v>46043</v>
      </c>
      <c r="D59" s="65">
        <v>47725</v>
      </c>
      <c r="E59" s="50">
        <v>6.5766999999999998</v>
      </c>
      <c r="F59" s="65">
        <v>11644.9</v>
      </c>
      <c r="G59" s="65">
        <v>725670.81290000002</v>
      </c>
      <c r="H59" s="65">
        <v>677945.81290000002</v>
      </c>
      <c r="I59" s="50">
        <v>93.423299999999998</v>
      </c>
      <c r="J59" s="65">
        <v>725670.81290000002</v>
      </c>
      <c r="K59" s="65">
        <v>725670.81290000002</v>
      </c>
      <c r="L59" s="50">
        <v>100</v>
      </c>
      <c r="M59" t="s">
        <v>2311</v>
      </c>
      <c r="N59" t="s">
        <v>2338</v>
      </c>
    </row>
    <row r="60" spans="1:14">
      <c r="A60" t="s">
        <v>624</v>
      </c>
      <c r="B60" t="s">
        <v>625</v>
      </c>
      <c r="C60" s="40">
        <v>46038</v>
      </c>
      <c r="D60" s="65">
        <v>1990.33</v>
      </c>
      <c r="E60" s="50">
        <v>3.9538000000000002</v>
      </c>
      <c r="F60" s="65">
        <v>265111.95600000001</v>
      </c>
      <c r="G60" s="65">
        <v>50340.137300000002</v>
      </c>
      <c r="H60" s="65">
        <v>32917.518600000003</v>
      </c>
      <c r="I60" s="50">
        <v>65.390199999999993</v>
      </c>
      <c r="J60" s="65">
        <v>50340.137300000002</v>
      </c>
      <c r="K60" s="65">
        <v>34907.848599999998</v>
      </c>
      <c r="L60" s="50">
        <v>69.343999999999994</v>
      </c>
      <c r="M60" t="s">
        <v>2298</v>
      </c>
      <c r="N60" t="s">
        <v>2327</v>
      </c>
    </row>
    <row r="61" spans="1:14">
      <c r="A61" t="s">
        <v>1018</v>
      </c>
      <c r="B61" t="s">
        <v>1019</v>
      </c>
      <c r="C61" s="40">
        <v>46038</v>
      </c>
      <c r="D61" s="65">
        <v>4570.1099999999997</v>
      </c>
      <c r="E61" s="50">
        <v>10.590999999999999</v>
      </c>
      <c r="F61" s="65">
        <v>28471.7853</v>
      </c>
      <c r="G61" s="65">
        <v>43150.769500000002</v>
      </c>
      <c r="H61" s="65">
        <v>37477.620499999997</v>
      </c>
      <c r="I61" s="50">
        <v>86.852699999999999</v>
      </c>
      <c r="J61" s="65">
        <v>43150.769500000002</v>
      </c>
      <c r="K61" s="65">
        <v>42047.730499999998</v>
      </c>
      <c r="L61" s="50">
        <v>97.443799999999996</v>
      </c>
      <c r="M61" t="s">
        <v>2296</v>
      </c>
      <c r="N61" t="s">
        <v>2328</v>
      </c>
    </row>
    <row r="62" spans="1:14">
      <c r="A62" t="s">
        <v>735</v>
      </c>
      <c r="B62" t="s">
        <v>736</v>
      </c>
      <c r="C62" s="40">
        <v>46037</v>
      </c>
      <c r="D62" s="65">
        <v>2070</v>
      </c>
      <c r="E62" s="50">
        <v>2.262</v>
      </c>
      <c r="F62" s="65">
        <v>143244</v>
      </c>
      <c r="G62" s="65">
        <v>91510.065300000002</v>
      </c>
      <c r="H62" s="65">
        <v>50484.118699999999</v>
      </c>
      <c r="I62" s="50">
        <v>55.1678</v>
      </c>
      <c r="J62" s="65">
        <v>91510.065300000002</v>
      </c>
      <c r="K62" s="65">
        <v>52554.118699999999</v>
      </c>
      <c r="L62" s="50">
        <v>57.429900000000004</v>
      </c>
      <c r="M62" t="s">
        <v>2295</v>
      </c>
      <c r="N62" t="s">
        <v>2331</v>
      </c>
    </row>
    <row r="63" spans="1:14">
      <c r="A63" t="s">
        <v>678</v>
      </c>
      <c r="B63" t="s">
        <v>679</v>
      </c>
      <c r="C63" s="40">
        <v>46035</v>
      </c>
      <c r="D63" s="65">
        <v>71404.92</v>
      </c>
      <c r="E63" s="50">
        <v>74.380099999999999</v>
      </c>
      <c r="F63" s="65">
        <v>79973.510399999999</v>
      </c>
      <c r="G63" s="65">
        <v>96000</v>
      </c>
      <c r="H63" s="65">
        <v>24595.08</v>
      </c>
      <c r="I63" s="50">
        <v>25.619900000000001</v>
      </c>
      <c r="J63" s="65">
        <v>96000</v>
      </c>
      <c r="K63" s="65">
        <v>96000</v>
      </c>
      <c r="L63" s="50">
        <v>100</v>
      </c>
      <c r="M63" t="s">
        <v>2300</v>
      </c>
      <c r="N63" t="s">
        <v>2333</v>
      </c>
    </row>
    <row r="64" spans="1:14">
      <c r="A64" t="s">
        <v>817</v>
      </c>
      <c r="B64" t="s">
        <v>818</v>
      </c>
      <c r="C64" s="40">
        <v>46032</v>
      </c>
      <c r="D64" s="65">
        <v>75000</v>
      </c>
      <c r="E64" s="50">
        <v>75</v>
      </c>
      <c r="F64" s="65">
        <v>45000</v>
      </c>
      <c r="G64" s="65">
        <v>100000</v>
      </c>
      <c r="H64" s="65">
        <v>25000</v>
      </c>
      <c r="I64" s="50">
        <v>25</v>
      </c>
      <c r="J64" s="65">
        <v>100000</v>
      </c>
      <c r="K64" s="65">
        <v>100000</v>
      </c>
      <c r="L64" s="50">
        <v>100</v>
      </c>
      <c r="M64" t="s">
        <v>2292</v>
      </c>
      <c r="N64" t="s">
        <v>2326</v>
      </c>
    </row>
    <row r="65" spans="1:14">
      <c r="A65" t="s">
        <v>641</v>
      </c>
      <c r="B65" t="s">
        <v>642</v>
      </c>
      <c r="C65" s="40">
        <v>46032</v>
      </c>
      <c r="D65" s="65">
        <v>11944.5306</v>
      </c>
      <c r="E65" s="50">
        <v>47.921700000000001</v>
      </c>
      <c r="F65" s="65">
        <v>811630.85427000001</v>
      </c>
      <c r="G65" s="65">
        <v>24925.094499999999</v>
      </c>
      <c r="H65" s="65">
        <v>12980.563899999999</v>
      </c>
      <c r="I65" s="50">
        <v>52.078299999999999</v>
      </c>
      <c r="J65" s="65">
        <v>24925.094499999999</v>
      </c>
      <c r="K65" s="65">
        <v>24925.094499999999</v>
      </c>
      <c r="L65" s="50">
        <v>100</v>
      </c>
      <c r="M65" t="s">
        <v>2299</v>
      </c>
      <c r="N65" t="s">
        <v>2330</v>
      </c>
    </row>
    <row r="66" spans="1:14">
      <c r="A66" t="s">
        <v>499</v>
      </c>
      <c r="B66" t="s">
        <v>500</v>
      </c>
      <c r="C66" s="40">
        <v>46031</v>
      </c>
      <c r="D66" s="65">
        <v>4266.22</v>
      </c>
      <c r="E66" s="50">
        <v>3.1901999999999999</v>
      </c>
      <c r="F66" s="65">
        <v>107082.122</v>
      </c>
      <c r="G66" s="65">
        <v>133728.6998</v>
      </c>
      <c r="H66" s="65">
        <v>13541.34</v>
      </c>
      <c r="I66" s="50">
        <v>10.125999999999999</v>
      </c>
      <c r="J66" s="65">
        <v>133728.6998</v>
      </c>
      <c r="K66" s="65">
        <v>17807.560000000001</v>
      </c>
      <c r="L66" s="50">
        <v>13.3162</v>
      </c>
      <c r="M66" t="s">
        <v>2298</v>
      </c>
      <c r="N66" t="s">
        <v>2327</v>
      </c>
    </row>
    <row r="67" spans="1:14">
      <c r="A67" t="s">
        <v>253</v>
      </c>
      <c r="B67" t="s">
        <v>254</v>
      </c>
      <c r="C67" s="40">
        <v>46031</v>
      </c>
      <c r="D67" s="65">
        <v>8247.18</v>
      </c>
      <c r="E67" s="50">
        <v>27.345199999999998</v>
      </c>
      <c r="F67" s="65">
        <v>237518.78400000001</v>
      </c>
      <c r="G67" s="65">
        <v>30159.52</v>
      </c>
      <c r="H67" s="65">
        <v>21912.34</v>
      </c>
      <c r="I67" s="50">
        <v>72.654799999999994</v>
      </c>
      <c r="J67" s="65">
        <v>30159.52</v>
      </c>
      <c r="K67" s="65">
        <v>30159.52</v>
      </c>
      <c r="L67" s="50">
        <v>100</v>
      </c>
      <c r="M67" t="s">
        <v>2297</v>
      </c>
      <c r="N67" t="s">
        <v>2329</v>
      </c>
    </row>
    <row r="68" spans="1:14">
      <c r="A68" t="s">
        <v>635</v>
      </c>
      <c r="B68" t="s">
        <v>636</v>
      </c>
      <c r="C68" s="40">
        <v>46031</v>
      </c>
      <c r="D68" s="65">
        <v>955.65</v>
      </c>
      <c r="E68" s="50">
        <v>31.394500000000001</v>
      </c>
      <c r="F68" s="65">
        <v>13063.735500000001</v>
      </c>
      <c r="G68" s="65">
        <v>3044</v>
      </c>
      <c r="H68" s="65">
        <v>2088.35</v>
      </c>
      <c r="I68" s="50">
        <v>68.605500000000006</v>
      </c>
      <c r="J68" s="65">
        <v>3044</v>
      </c>
      <c r="K68" s="65">
        <v>3044</v>
      </c>
      <c r="L68" s="50">
        <v>100</v>
      </c>
      <c r="M68" t="s">
        <v>2316</v>
      </c>
      <c r="N68" t="s">
        <v>2327</v>
      </c>
    </row>
    <row r="69" spans="1:14">
      <c r="A69" t="s">
        <v>483</v>
      </c>
      <c r="B69" t="s">
        <v>484</v>
      </c>
      <c r="C69" s="40">
        <v>46031</v>
      </c>
      <c r="D69" s="65">
        <v>5768.68</v>
      </c>
      <c r="E69" s="50">
        <v>9.9478000000000009</v>
      </c>
      <c r="F69" s="65">
        <v>9691.3824000000004</v>
      </c>
      <c r="G69" s="65">
        <v>57989.4</v>
      </c>
      <c r="H69" s="65">
        <v>12768.4</v>
      </c>
      <c r="I69" s="50">
        <v>22.0185</v>
      </c>
      <c r="J69" s="65">
        <v>57989.4</v>
      </c>
      <c r="K69" s="65">
        <v>18537.080000000002</v>
      </c>
      <c r="L69" s="50">
        <v>31.9663</v>
      </c>
      <c r="M69" t="s">
        <v>2303</v>
      </c>
      <c r="N69" t="s">
        <v>2348</v>
      </c>
    </row>
    <row r="70" spans="1:14">
      <c r="A70" t="s">
        <v>819</v>
      </c>
      <c r="B70" t="s">
        <v>820</v>
      </c>
      <c r="C70" s="40">
        <v>46031</v>
      </c>
      <c r="D70" s="65">
        <v>729.57</v>
      </c>
      <c r="E70" s="50">
        <v>33.845300000000002</v>
      </c>
      <c r="F70" s="65">
        <v>94844.1</v>
      </c>
      <c r="G70" s="65">
        <v>2155.6</v>
      </c>
      <c r="H70" s="65">
        <v>1426.03</v>
      </c>
      <c r="I70" s="50">
        <v>66.154700000000005</v>
      </c>
      <c r="J70" s="65">
        <v>2155.6</v>
      </c>
      <c r="K70" s="65">
        <v>2155.6</v>
      </c>
      <c r="L70" s="50">
        <v>100</v>
      </c>
      <c r="M70" t="s">
        <v>2295</v>
      </c>
      <c r="N70" t="s">
        <v>2331</v>
      </c>
    </row>
    <row r="71" spans="1:14">
      <c r="A71" t="s">
        <v>970</v>
      </c>
      <c r="B71" t="s">
        <v>971</v>
      </c>
      <c r="C71" s="40">
        <v>46030</v>
      </c>
      <c r="D71" s="65">
        <v>108516.6</v>
      </c>
      <c r="E71" s="50">
        <v>85.697299999999998</v>
      </c>
      <c r="F71" s="65">
        <v>812789.33400000003</v>
      </c>
      <c r="G71" s="65">
        <v>126627.8</v>
      </c>
      <c r="H71" s="65">
        <v>18111.2</v>
      </c>
      <c r="I71" s="50">
        <v>14.3027</v>
      </c>
      <c r="J71" s="65">
        <v>126627.8</v>
      </c>
      <c r="K71" s="65">
        <v>126627.8</v>
      </c>
      <c r="L71" s="50">
        <v>100</v>
      </c>
      <c r="M71" t="s">
        <v>2292</v>
      </c>
      <c r="N71" t="s">
        <v>2326</v>
      </c>
    </row>
    <row r="72" spans="1:14">
      <c r="A72" t="s">
        <v>299</v>
      </c>
      <c r="B72" t="s">
        <v>300</v>
      </c>
      <c r="C72" s="40">
        <v>46029</v>
      </c>
      <c r="D72" s="65">
        <v>36525.764000000003</v>
      </c>
      <c r="E72" s="50">
        <v>28.6251</v>
      </c>
      <c r="F72" s="65">
        <v>1406241.9140000001</v>
      </c>
      <c r="G72" s="65">
        <v>127600.52770000001</v>
      </c>
      <c r="H72" s="65">
        <v>6618.1382999999996</v>
      </c>
      <c r="I72" s="50">
        <v>5.1866000000000003</v>
      </c>
      <c r="J72" s="65">
        <v>127600.52770000001</v>
      </c>
      <c r="K72" s="65">
        <v>43143.902300000002</v>
      </c>
      <c r="L72" s="50">
        <v>33.811700000000002</v>
      </c>
      <c r="M72" t="s">
        <v>2317</v>
      </c>
      <c r="N72" t="s">
        <v>2343</v>
      </c>
    </row>
    <row r="73" spans="1:14">
      <c r="A73" t="s">
        <v>624</v>
      </c>
      <c r="B73" t="s">
        <v>625</v>
      </c>
      <c r="C73" s="40">
        <v>46027</v>
      </c>
      <c r="D73" s="65">
        <v>1176.1657</v>
      </c>
      <c r="E73" s="50">
        <v>2.3363999999999998</v>
      </c>
      <c r="F73" s="65">
        <v>150431.59302999999</v>
      </c>
      <c r="G73" s="65">
        <v>50340.137300000002</v>
      </c>
      <c r="H73" s="65">
        <v>31741.352900000002</v>
      </c>
      <c r="I73" s="50">
        <v>63.053800000000003</v>
      </c>
      <c r="J73" s="65">
        <v>50340.137300000002</v>
      </c>
      <c r="K73" s="65">
        <v>32917.518600000003</v>
      </c>
      <c r="L73" s="50">
        <v>65.390199999999993</v>
      </c>
      <c r="M73" t="s">
        <v>2298</v>
      </c>
      <c r="N73" t="s">
        <v>2327</v>
      </c>
    </row>
    <row r="74" spans="1:14">
      <c r="A74" t="s">
        <v>322</v>
      </c>
      <c r="B74" t="s">
        <v>323</v>
      </c>
      <c r="C74" s="40">
        <v>46026</v>
      </c>
      <c r="D74" s="65">
        <v>1177.3800000000001</v>
      </c>
      <c r="E74" s="50">
        <v>29.438400000000001</v>
      </c>
      <c r="F74" s="65">
        <v>79237.673999999999</v>
      </c>
      <c r="G74" s="65">
        <v>3999.47</v>
      </c>
      <c r="H74" s="65">
        <v>2822.09</v>
      </c>
      <c r="I74" s="50">
        <v>70.561599999999999</v>
      </c>
      <c r="J74" s="65">
        <v>3999.47</v>
      </c>
      <c r="K74" s="65">
        <v>3999.47</v>
      </c>
      <c r="L74" s="50">
        <v>100</v>
      </c>
      <c r="M74" t="s">
        <v>2304</v>
      </c>
      <c r="N74" t="s">
        <v>2336</v>
      </c>
    </row>
    <row r="75" spans="1:14">
      <c r="A75" t="s">
        <v>1010</v>
      </c>
      <c r="B75" t="s">
        <v>1011</v>
      </c>
      <c r="C75" s="40">
        <v>46025</v>
      </c>
      <c r="D75" s="65">
        <v>59053.7788</v>
      </c>
      <c r="E75" s="50">
        <v>69.465100000000007</v>
      </c>
      <c r="F75" s="65">
        <v>266332.542388</v>
      </c>
      <c r="G75" s="65">
        <v>84456.589200000002</v>
      </c>
      <c r="H75" s="65">
        <v>7713.4479000000001</v>
      </c>
      <c r="I75" s="50">
        <v>9.1329999999999991</v>
      </c>
      <c r="J75" s="65">
        <v>85012.208100000003</v>
      </c>
      <c r="K75" s="65">
        <v>66767.226699999999</v>
      </c>
      <c r="L75" s="50">
        <v>78.538399999999996</v>
      </c>
      <c r="M75" t="s">
        <v>2296</v>
      </c>
      <c r="N75" t="s">
        <v>2328</v>
      </c>
    </row>
    <row r="76" spans="1:14">
      <c r="A76" t="s">
        <v>3151</v>
      </c>
      <c r="B76" t="s">
        <v>3152</v>
      </c>
      <c r="C76" s="40">
        <v>46024</v>
      </c>
      <c r="D76" s="65">
        <v>25521.3</v>
      </c>
      <c r="E76" s="50">
        <v>12.3299</v>
      </c>
      <c r="F76" s="65">
        <v>58188.563999999998</v>
      </c>
      <c r="G76" s="65">
        <v>206986.4877</v>
      </c>
      <c r="H76" s="65">
        <v>181465.18770000001</v>
      </c>
      <c r="I76" s="50">
        <v>87.670100000000005</v>
      </c>
      <c r="J76" s="65">
        <v>206986.4877</v>
      </c>
      <c r="K76" s="65">
        <v>206986.4877</v>
      </c>
      <c r="L76" s="50">
        <v>100</v>
      </c>
      <c r="M76" t="s">
        <v>2310</v>
      </c>
      <c r="N76" t="s">
        <v>2343</v>
      </c>
    </row>
    <row r="77" spans="1:14">
      <c r="A77" t="s">
        <v>3125</v>
      </c>
      <c r="B77" t="s">
        <v>3126</v>
      </c>
      <c r="C77" s="40">
        <v>46022</v>
      </c>
      <c r="D77" s="65">
        <v>4751.8</v>
      </c>
      <c r="E77" s="50">
        <v>5.9802</v>
      </c>
      <c r="F77" s="65">
        <v>80780.600000000006</v>
      </c>
      <c r="G77" s="65">
        <v>79459.535199999998</v>
      </c>
      <c r="H77" s="65">
        <v>74707.735199999996</v>
      </c>
      <c r="I77" s="50">
        <v>94.019800000000004</v>
      </c>
      <c r="J77" s="65">
        <v>79459.535199999998</v>
      </c>
      <c r="K77" s="65">
        <v>79459.535199999998</v>
      </c>
      <c r="L77" s="50">
        <v>100</v>
      </c>
      <c r="M77" t="s">
        <v>2310</v>
      </c>
      <c r="N77" t="s">
        <v>2343</v>
      </c>
    </row>
    <row r="78" spans="1:14">
      <c r="A78" t="s">
        <v>749</v>
      </c>
      <c r="B78" t="s">
        <v>750</v>
      </c>
      <c r="C78" s="40">
        <v>46021</v>
      </c>
      <c r="D78" s="65">
        <v>1750.3167000000001</v>
      </c>
      <c r="E78" s="50">
        <v>14.48</v>
      </c>
      <c r="F78" s="65">
        <v>131623.81584</v>
      </c>
      <c r="G78" s="65">
        <v>12087.8233</v>
      </c>
      <c r="H78" s="65">
        <v>703.55499999999995</v>
      </c>
      <c r="I78" s="50">
        <v>5.8204000000000002</v>
      </c>
      <c r="J78" s="65">
        <v>12087.8233</v>
      </c>
      <c r="K78" s="65">
        <v>2453.8717000000001</v>
      </c>
      <c r="L78" s="50">
        <v>20.3004</v>
      </c>
      <c r="M78" t="s">
        <v>2292</v>
      </c>
      <c r="N78" t="s">
        <v>2327</v>
      </c>
    </row>
    <row r="79" spans="1:14">
      <c r="A79" t="s">
        <v>727</v>
      </c>
      <c r="B79" t="s">
        <v>728</v>
      </c>
      <c r="C79" s="40">
        <v>46021</v>
      </c>
      <c r="D79" s="65">
        <v>4380.5</v>
      </c>
      <c r="E79" s="50">
        <v>16.4269</v>
      </c>
      <c r="F79" s="65">
        <v>70526.05</v>
      </c>
      <c r="G79" s="65">
        <v>26666.68</v>
      </c>
      <c r="H79" s="65">
        <v>4817.18</v>
      </c>
      <c r="I79" s="50">
        <v>18.064399999999999</v>
      </c>
      <c r="J79" s="65">
        <v>26666.68</v>
      </c>
      <c r="K79" s="65">
        <v>9197.68</v>
      </c>
      <c r="L79" s="50">
        <v>34.491300000000003</v>
      </c>
      <c r="M79" t="s">
        <v>2304</v>
      </c>
      <c r="N79" t="s">
        <v>2336</v>
      </c>
    </row>
    <row r="80" spans="1:14">
      <c r="A80" t="s">
        <v>735</v>
      </c>
      <c r="B80" t="s">
        <v>736</v>
      </c>
      <c r="C80" s="40">
        <v>46021</v>
      </c>
      <c r="D80" s="65">
        <v>44422.878700000001</v>
      </c>
      <c r="E80" s="50">
        <v>48.5443</v>
      </c>
      <c r="F80" s="65">
        <v>3471647.9704049998</v>
      </c>
      <c r="G80" s="65">
        <v>91510.065300000002</v>
      </c>
      <c r="H80" s="65">
        <v>6061.24</v>
      </c>
      <c r="I80" s="50">
        <v>6.6235999999999997</v>
      </c>
      <c r="J80" s="65">
        <v>91510.065300000002</v>
      </c>
      <c r="K80" s="65">
        <v>50484.118699999999</v>
      </c>
      <c r="L80" s="50">
        <v>55.1678</v>
      </c>
      <c r="M80" t="s">
        <v>2295</v>
      </c>
      <c r="N80" t="s">
        <v>2331</v>
      </c>
    </row>
    <row r="81" spans="1:14">
      <c r="A81" t="s">
        <v>850</v>
      </c>
      <c r="B81" t="s">
        <v>851</v>
      </c>
      <c r="C81" s="40">
        <v>46021</v>
      </c>
      <c r="D81" s="65">
        <v>1447.8575000000001</v>
      </c>
      <c r="E81" s="50">
        <v>10.210599999999999</v>
      </c>
      <c r="F81" s="65">
        <v>43609.467900000003</v>
      </c>
      <c r="G81" s="65">
        <v>14180</v>
      </c>
      <c r="H81" s="65">
        <v>1423.5</v>
      </c>
      <c r="I81" s="50">
        <v>10.0388</v>
      </c>
      <c r="J81" s="65">
        <v>14180</v>
      </c>
      <c r="K81" s="65">
        <v>2871.3575000000001</v>
      </c>
      <c r="L81" s="50">
        <v>20.249300000000002</v>
      </c>
      <c r="M81" t="s">
        <v>2296</v>
      </c>
      <c r="N81" t="s">
        <v>2326</v>
      </c>
    </row>
    <row r="82" spans="1:14">
      <c r="A82" t="s">
        <v>374</v>
      </c>
      <c r="B82" t="s">
        <v>375</v>
      </c>
      <c r="C82" s="40">
        <v>46020</v>
      </c>
      <c r="D82" s="65">
        <v>2689.52</v>
      </c>
      <c r="E82" s="50">
        <v>11.456300000000001</v>
      </c>
      <c r="F82" s="65">
        <v>50374.709600000002</v>
      </c>
      <c r="G82" s="65">
        <v>23476.371599999999</v>
      </c>
      <c r="H82" s="65">
        <v>20786.851600000002</v>
      </c>
      <c r="I82" s="50">
        <v>88.543700000000001</v>
      </c>
      <c r="J82" s="65">
        <v>23476.371599999999</v>
      </c>
      <c r="K82" s="65">
        <v>23476.371599999999</v>
      </c>
      <c r="L82" s="50">
        <v>100</v>
      </c>
      <c r="M82" t="s">
        <v>2307</v>
      </c>
      <c r="N82" t="s">
        <v>2341</v>
      </c>
    </row>
    <row r="83" spans="1:14">
      <c r="A83" t="s">
        <v>3153</v>
      </c>
      <c r="B83" t="s">
        <v>3154</v>
      </c>
      <c r="C83" s="40">
        <v>46020</v>
      </c>
      <c r="D83" s="65">
        <v>375000</v>
      </c>
      <c r="E83" s="50">
        <v>24.8842</v>
      </c>
      <c r="F83" s="65">
        <v>91125</v>
      </c>
      <c r="G83" s="65">
        <v>1506979.1329999999</v>
      </c>
      <c r="H83" s="65">
        <v>4380</v>
      </c>
      <c r="I83" s="50">
        <v>0.29060000000000002</v>
      </c>
      <c r="J83" s="65">
        <v>1506979.1329999999</v>
      </c>
      <c r="K83" s="65">
        <v>379380</v>
      </c>
      <c r="L83" s="50">
        <v>25.174900000000001</v>
      </c>
      <c r="M83" t="s">
        <v>2320</v>
      </c>
      <c r="N83" t="s">
        <v>2319</v>
      </c>
    </row>
    <row r="84" spans="1:14">
      <c r="A84" t="s">
        <v>624</v>
      </c>
      <c r="B84" t="s">
        <v>625</v>
      </c>
      <c r="C84" s="40">
        <v>46020</v>
      </c>
      <c r="D84" s="65">
        <v>7040</v>
      </c>
      <c r="E84" s="50">
        <v>13.9849</v>
      </c>
      <c r="F84" s="65">
        <v>841280</v>
      </c>
      <c r="G84" s="65">
        <v>50340.137300000002</v>
      </c>
      <c r="H84" s="65">
        <v>24701.352900000002</v>
      </c>
      <c r="I84" s="50">
        <v>49.068899999999999</v>
      </c>
      <c r="J84" s="65">
        <v>50340.137300000002</v>
      </c>
      <c r="K84" s="65">
        <v>31741.352900000002</v>
      </c>
      <c r="L84" s="50">
        <v>63.053800000000003</v>
      </c>
      <c r="M84" t="s">
        <v>2298</v>
      </c>
      <c r="N84" t="s">
        <v>2327</v>
      </c>
    </row>
    <row r="85" spans="1:14">
      <c r="A85" t="s">
        <v>3155</v>
      </c>
      <c r="B85" t="s">
        <v>3156</v>
      </c>
      <c r="C85" s="40">
        <v>46018</v>
      </c>
      <c r="D85" s="65">
        <v>28824.1</v>
      </c>
      <c r="E85" s="50">
        <v>7.2786</v>
      </c>
      <c r="F85" s="65">
        <v>51595.139000000003</v>
      </c>
      <c r="G85" s="65">
        <v>396013.5208</v>
      </c>
      <c r="H85" s="65">
        <v>367189.42080000002</v>
      </c>
      <c r="I85" s="50">
        <v>92.721400000000003</v>
      </c>
      <c r="J85" s="65">
        <v>396013.5208</v>
      </c>
      <c r="K85" s="65">
        <v>396013.5208</v>
      </c>
      <c r="L85" s="50">
        <v>100</v>
      </c>
      <c r="M85" t="s">
        <v>2298</v>
      </c>
      <c r="N85" t="s">
        <v>2327</v>
      </c>
    </row>
    <row r="86" spans="1:14">
      <c r="A86" t="s">
        <v>785</v>
      </c>
      <c r="B86" t="s">
        <v>786</v>
      </c>
      <c r="C86" s="40">
        <v>46018</v>
      </c>
      <c r="D86" s="65">
        <v>22658.420900000001</v>
      </c>
      <c r="E86" s="50">
        <v>53.851300000000002</v>
      </c>
      <c r="F86" s="65">
        <v>283003.67704099999</v>
      </c>
      <c r="G86" s="65">
        <v>42075.92</v>
      </c>
      <c r="H86" s="65">
        <v>6075.92</v>
      </c>
      <c r="I86" s="50">
        <v>14.4404</v>
      </c>
      <c r="J86" s="65">
        <v>42075.92</v>
      </c>
      <c r="K86" s="65">
        <v>28734.340899999999</v>
      </c>
      <c r="L86" s="50">
        <v>68.291700000000006</v>
      </c>
      <c r="M86" t="s">
        <v>2298</v>
      </c>
      <c r="N86" t="s">
        <v>2327</v>
      </c>
    </row>
    <row r="87" spans="1:14">
      <c r="A87" t="s">
        <v>745</v>
      </c>
      <c r="B87" t="s">
        <v>746</v>
      </c>
      <c r="C87" s="40">
        <v>46017</v>
      </c>
      <c r="D87" s="65">
        <v>33687.1</v>
      </c>
      <c r="E87" s="50">
        <v>54.142200000000003</v>
      </c>
      <c r="F87" s="65">
        <v>137443.36799999999</v>
      </c>
      <c r="G87" s="65">
        <v>62219.65</v>
      </c>
      <c r="H87" s="65">
        <v>7285.95</v>
      </c>
      <c r="I87" s="50">
        <v>11.71</v>
      </c>
      <c r="J87" s="65">
        <v>62219.65</v>
      </c>
      <c r="K87" s="65">
        <v>40973.050000000003</v>
      </c>
      <c r="L87" s="50">
        <v>65.8523</v>
      </c>
      <c r="M87" t="s">
        <v>2318</v>
      </c>
      <c r="N87" t="s">
        <v>2342</v>
      </c>
    </row>
    <row r="88" spans="1:14">
      <c r="A88" t="s">
        <v>399</v>
      </c>
      <c r="B88" t="s">
        <v>400</v>
      </c>
      <c r="C88" s="40">
        <v>46017</v>
      </c>
      <c r="D88" s="65">
        <v>2389.17</v>
      </c>
      <c r="E88" s="50">
        <v>5.4222999999999999</v>
      </c>
      <c r="F88" s="65">
        <v>65702.175000000003</v>
      </c>
      <c r="G88" s="65">
        <v>44061.602800000001</v>
      </c>
      <c r="H88" s="65">
        <v>3801.18</v>
      </c>
      <c r="I88" s="50">
        <v>8.6270000000000007</v>
      </c>
      <c r="J88" s="65">
        <v>44061.602800000001</v>
      </c>
      <c r="K88" s="65">
        <v>6190.35</v>
      </c>
      <c r="L88" s="50">
        <v>14.049300000000001</v>
      </c>
      <c r="M88" t="s">
        <v>2311</v>
      </c>
      <c r="N88" t="s">
        <v>2338</v>
      </c>
    </row>
    <row r="89" spans="1:14">
      <c r="A89" t="s">
        <v>344</v>
      </c>
      <c r="B89" t="s">
        <v>345</v>
      </c>
      <c r="C89" s="40">
        <v>46016</v>
      </c>
      <c r="D89" s="65">
        <v>10329.64</v>
      </c>
      <c r="E89" s="50">
        <v>18.965900000000001</v>
      </c>
      <c r="F89" s="65">
        <v>301625.48800000001</v>
      </c>
      <c r="G89" s="65">
        <v>54464.283100000001</v>
      </c>
      <c r="H89" s="65">
        <v>2200.0430999999999</v>
      </c>
      <c r="I89" s="50">
        <v>4.0393999999999997</v>
      </c>
      <c r="J89" s="65">
        <v>54464.283100000001</v>
      </c>
      <c r="K89" s="65">
        <v>12529.6831</v>
      </c>
      <c r="L89" s="50">
        <v>23.005299999999998</v>
      </c>
      <c r="M89" t="s">
        <v>2309</v>
      </c>
      <c r="N89" t="s">
        <v>2327</v>
      </c>
    </row>
    <row r="90" spans="1:14">
      <c r="A90" t="s">
        <v>622</v>
      </c>
      <c r="B90" t="s">
        <v>623</v>
      </c>
      <c r="C90" s="40">
        <v>46015</v>
      </c>
      <c r="D90" s="65">
        <v>3531.78</v>
      </c>
      <c r="E90" s="50">
        <v>2.6787000000000001</v>
      </c>
      <c r="F90" s="65">
        <v>14692.2048</v>
      </c>
      <c r="G90" s="65">
        <v>131846.68229999999</v>
      </c>
      <c r="H90" s="65">
        <v>11960.618200000001</v>
      </c>
      <c r="I90" s="50">
        <v>9.0716000000000001</v>
      </c>
      <c r="J90" s="65">
        <v>131846.68229999999</v>
      </c>
      <c r="K90" s="65">
        <v>15492.3982</v>
      </c>
      <c r="L90" s="50">
        <v>11.750299999999999</v>
      </c>
      <c r="M90" t="s">
        <v>2292</v>
      </c>
      <c r="N90" t="s">
        <v>2326</v>
      </c>
    </row>
    <row r="91" spans="1:14">
      <c r="A91" t="s">
        <v>3157</v>
      </c>
      <c r="B91" t="s">
        <v>3158</v>
      </c>
      <c r="C91" s="40">
        <v>46015</v>
      </c>
      <c r="D91" s="65">
        <v>2304</v>
      </c>
      <c r="E91" s="50">
        <v>9.0908999999999995</v>
      </c>
      <c r="F91" s="65">
        <v>668.16</v>
      </c>
      <c r="G91" s="65">
        <v>25344</v>
      </c>
      <c r="H91" s="65">
        <v>23040</v>
      </c>
      <c r="I91" s="50">
        <v>90.909099999999995</v>
      </c>
      <c r="J91" s="65">
        <v>25344</v>
      </c>
      <c r="K91" s="65">
        <v>25344</v>
      </c>
      <c r="L91" s="50">
        <v>100</v>
      </c>
      <c r="M91" t="s">
        <v>2305</v>
      </c>
      <c r="N91" t="s">
        <v>2339</v>
      </c>
    </row>
    <row r="92" spans="1:14">
      <c r="A92" t="s">
        <v>282</v>
      </c>
      <c r="B92" t="s">
        <v>283</v>
      </c>
      <c r="C92" s="40">
        <v>46014</v>
      </c>
      <c r="D92" s="65">
        <v>19568.400000000001</v>
      </c>
      <c r="E92" s="50">
        <v>41.063800000000001</v>
      </c>
      <c r="F92" s="65">
        <v>647714.04</v>
      </c>
      <c r="G92" s="65">
        <v>47653.64</v>
      </c>
      <c r="H92" s="65">
        <v>28085.24</v>
      </c>
      <c r="I92" s="50">
        <v>58.936199999999999</v>
      </c>
      <c r="J92" s="65">
        <v>47653.64</v>
      </c>
      <c r="K92" s="65">
        <v>47653.64</v>
      </c>
      <c r="L92" s="50">
        <v>100</v>
      </c>
      <c r="M92" t="s">
        <v>2297</v>
      </c>
      <c r="N92" t="s">
        <v>2332</v>
      </c>
    </row>
    <row r="93" spans="1:14">
      <c r="A93" t="s">
        <v>1014</v>
      </c>
      <c r="B93" t="s">
        <v>1015</v>
      </c>
      <c r="C93" s="40">
        <v>46014</v>
      </c>
      <c r="D93" s="65">
        <v>977.4</v>
      </c>
      <c r="E93" s="50">
        <v>2.4626000000000001</v>
      </c>
      <c r="F93" s="65">
        <v>135076.68</v>
      </c>
      <c r="G93" s="65">
        <v>39689.763299999999</v>
      </c>
      <c r="H93" s="65">
        <v>550.70000000000005</v>
      </c>
      <c r="I93" s="50">
        <v>1.3875</v>
      </c>
      <c r="J93" s="65">
        <v>39689.763299999999</v>
      </c>
      <c r="K93" s="65">
        <v>1528.1</v>
      </c>
      <c r="L93" s="50">
        <v>3.8500999999999999</v>
      </c>
      <c r="M93" t="s">
        <v>2296</v>
      </c>
      <c r="N93" t="s">
        <v>2328</v>
      </c>
    </row>
    <row r="94" spans="1:14">
      <c r="A94" t="s">
        <v>876</v>
      </c>
      <c r="B94" t="s">
        <v>877</v>
      </c>
      <c r="C94" s="40">
        <v>46014</v>
      </c>
      <c r="D94" s="65">
        <v>31384.314699999999</v>
      </c>
      <c r="E94" s="50">
        <v>71.3352</v>
      </c>
      <c r="F94" s="65">
        <v>907006.69483000005</v>
      </c>
      <c r="G94" s="65">
        <v>43995.54</v>
      </c>
      <c r="H94" s="65">
        <v>7995.54</v>
      </c>
      <c r="I94" s="50">
        <v>18.173500000000001</v>
      </c>
      <c r="J94" s="65">
        <v>43995.54</v>
      </c>
      <c r="K94" s="65">
        <v>39379.854700000004</v>
      </c>
      <c r="L94" s="50">
        <v>89.508700000000005</v>
      </c>
      <c r="M94" t="s">
        <v>2298</v>
      </c>
      <c r="N94" t="s">
        <v>2329</v>
      </c>
    </row>
    <row r="95" spans="1:14">
      <c r="A95" t="s">
        <v>3159</v>
      </c>
      <c r="B95" t="s">
        <v>3160</v>
      </c>
      <c r="C95" s="40">
        <v>46012</v>
      </c>
      <c r="D95" s="65">
        <v>4500</v>
      </c>
      <c r="E95" s="50">
        <v>29.241900000000001</v>
      </c>
      <c r="F95" s="65">
        <v>22320</v>
      </c>
      <c r="G95" s="65">
        <v>15388.8529</v>
      </c>
      <c r="H95" s="65">
        <v>10888.8529</v>
      </c>
      <c r="I95" s="50">
        <v>70.758099999999999</v>
      </c>
      <c r="J95" s="65">
        <v>15388.8529</v>
      </c>
      <c r="K95" s="65">
        <v>15388.8529</v>
      </c>
      <c r="L95" s="50">
        <v>100</v>
      </c>
      <c r="M95" t="s">
        <v>2299</v>
      </c>
      <c r="N95" t="s">
        <v>2340</v>
      </c>
    </row>
    <row r="96" spans="1:14">
      <c r="A96" t="s">
        <v>422</v>
      </c>
      <c r="B96" t="s">
        <v>423</v>
      </c>
      <c r="C96" s="40">
        <v>46012</v>
      </c>
      <c r="D96" s="65">
        <v>7533.8</v>
      </c>
      <c r="E96" s="50">
        <v>6.4035000000000002</v>
      </c>
      <c r="F96" s="65">
        <v>67954.876000000004</v>
      </c>
      <c r="G96" s="65">
        <v>117651.88</v>
      </c>
      <c r="H96" s="65">
        <v>10118.08</v>
      </c>
      <c r="I96" s="50">
        <v>8.6</v>
      </c>
      <c r="J96" s="65">
        <v>117651.88</v>
      </c>
      <c r="K96" s="65">
        <v>17651.88</v>
      </c>
      <c r="L96" s="50">
        <v>15.003500000000001</v>
      </c>
      <c r="M96" t="s">
        <v>2309</v>
      </c>
      <c r="N96" t="s">
        <v>2345</v>
      </c>
    </row>
    <row r="97" spans="1:14">
      <c r="A97" t="s">
        <v>892</v>
      </c>
      <c r="B97" t="s">
        <v>893</v>
      </c>
      <c r="C97" s="40">
        <v>46010</v>
      </c>
      <c r="D97" s="65">
        <v>10000</v>
      </c>
      <c r="E97" s="50">
        <v>74.999899999999997</v>
      </c>
      <c r="F97" s="65">
        <v>12000</v>
      </c>
      <c r="G97" s="65">
        <v>13333.36</v>
      </c>
      <c r="H97" s="65">
        <v>3333.36</v>
      </c>
      <c r="I97" s="50">
        <v>25.0001</v>
      </c>
      <c r="J97" s="65">
        <v>13333.36</v>
      </c>
      <c r="K97" s="65">
        <v>13333.36</v>
      </c>
      <c r="L97" s="50">
        <v>100</v>
      </c>
      <c r="M97" t="s">
        <v>2292</v>
      </c>
      <c r="N97" t="s">
        <v>2342</v>
      </c>
    </row>
    <row r="98" spans="1:14">
      <c r="A98" t="s">
        <v>279</v>
      </c>
      <c r="B98" t="s">
        <v>280</v>
      </c>
      <c r="C98" s="40">
        <v>46010</v>
      </c>
      <c r="D98" s="65">
        <v>12857.96</v>
      </c>
      <c r="E98" s="50">
        <v>44.151400000000002</v>
      </c>
      <c r="F98" s="65">
        <v>429455.864</v>
      </c>
      <c r="G98" s="65">
        <v>29122.44</v>
      </c>
      <c r="H98" s="65">
        <v>16264.48</v>
      </c>
      <c r="I98" s="50">
        <v>55.848599999999998</v>
      </c>
      <c r="J98" s="65">
        <v>29122.44</v>
      </c>
      <c r="K98" s="65">
        <v>29122.44</v>
      </c>
      <c r="L98" s="50">
        <v>100</v>
      </c>
      <c r="M98" t="s">
        <v>2304</v>
      </c>
      <c r="N98" t="s">
        <v>2336</v>
      </c>
    </row>
    <row r="99" spans="1:14">
      <c r="A99" t="s">
        <v>3131</v>
      </c>
      <c r="B99" t="s">
        <v>3132</v>
      </c>
      <c r="C99" s="40">
        <v>46008</v>
      </c>
      <c r="D99" s="65">
        <v>13666.8</v>
      </c>
      <c r="E99" s="50">
        <v>4.6260000000000003</v>
      </c>
      <c r="F99" s="65">
        <v>9976.7639999999992</v>
      </c>
      <c r="G99" s="65">
        <v>295433.75589999999</v>
      </c>
      <c r="H99" s="65">
        <v>257633.75589999999</v>
      </c>
      <c r="I99" s="50">
        <v>87.205299999999994</v>
      </c>
      <c r="J99" s="65">
        <v>295433.75589999999</v>
      </c>
      <c r="K99" s="65">
        <v>271300.55589999998</v>
      </c>
      <c r="L99" s="50">
        <v>91.831299999999999</v>
      </c>
      <c r="M99" t="s">
        <v>2315</v>
      </c>
      <c r="N99" t="s">
        <v>2341</v>
      </c>
    </row>
    <row r="100" spans="1:14">
      <c r="A100" t="s">
        <v>463</v>
      </c>
      <c r="B100" t="s">
        <v>464</v>
      </c>
      <c r="C100" s="40">
        <v>46001</v>
      </c>
      <c r="D100" s="65">
        <v>17165.54</v>
      </c>
      <c r="E100" s="50">
        <v>35.0184</v>
      </c>
      <c r="F100" s="65">
        <v>1470228.5009999999</v>
      </c>
      <c r="G100" s="65">
        <v>49018.69</v>
      </c>
      <c r="H100" s="65">
        <v>9018.69</v>
      </c>
      <c r="I100" s="50">
        <v>18.398499999999999</v>
      </c>
      <c r="J100" s="65">
        <v>49018.69</v>
      </c>
      <c r="K100" s="65">
        <v>26184.23</v>
      </c>
      <c r="L100" s="50">
        <v>53.416800000000002</v>
      </c>
      <c r="M100" t="s">
        <v>2292</v>
      </c>
      <c r="N100" t="s">
        <v>2342</v>
      </c>
    </row>
    <row r="101" spans="1:14">
      <c r="A101" t="s">
        <v>923</v>
      </c>
      <c r="B101" t="s">
        <v>924</v>
      </c>
      <c r="C101" s="40">
        <v>46001</v>
      </c>
      <c r="D101" s="65">
        <v>7891.6468000000004</v>
      </c>
      <c r="E101" s="50">
        <v>51.1526</v>
      </c>
      <c r="F101" s="65">
        <v>23911.689804000001</v>
      </c>
      <c r="G101" s="65">
        <v>15427.653700000001</v>
      </c>
      <c r="H101" s="65">
        <v>2485.6</v>
      </c>
      <c r="I101" s="50">
        <v>16.1113</v>
      </c>
      <c r="J101" s="65">
        <v>15427.653700000001</v>
      </c>
      <c r="K101" s="65">
        <v>10377.246800000001</v>
      </c>
      <c r="L101" s="50">
        <v>67.263900000000007</v>
      </c>
      <c r="M101" t="s">
        <v>2308</v>
      </c>
      <c r="N101" t="s">
        <v>2340</v>
      </c>
    </row>
    <row r="102" spans="1:14">
      <c r="A102" t="s">
        <v>799</v>
      </c>
      <c r="B102" t="s">
        <v>800</v>
      </c>
      <c r="C102" s="40">
        <v>46001</v>
      </c>
      <c r="D102" s="65">
        <v>314.27999999999997</v>
      </c>
      <c r="E102" s="50">
        <v>3.2658999999999998</v>
      </c>
      <c r="F102" s="65">
        <v>2690.2368000000001</v>
      </c>
      <c r="G102" s="65">
        <v>9623.1234000000004</v>
      </c>
      <c r="H102" s="65">
        <v>1073.431</v>
      </c>
      <c r="I102" s="50">
        <v>11.1547</v>
      </c>
      <c r="J102" s="65">
        <v>9623.1234000000004</v>
      </c>
      <c r="K102" s="65">
        <v>1387.711</v>
      </c>
      <c r="L102" s="50">
        <v>14.4206</v>
      </c>
      <c r="M102" t="s">
        <v>2304</v>
      </c>
      <c r="N102" t="s">
        <v>2337</v>
      </c>
    </row>
    <row r="103" spans="1:14">
      <c r="A103" t="s">
        <v>846</v>
      </c>
      <c r="B103" t="s">
        <v>847</v>
      </c>
      <c r="C103" s="40">
        <v>46001</v>
      </c>
      <c r="D103" s="65">
        <v>803</v>
      </c>
      <c r="E103" s="50">
        <v>8.4764999999999997</v>
      </c>
      <c r="F103" s="65">
        <v>10206.129999999999</v>
      </c>
      <c r="G103" s="65">
        <v>9473.2999999999993</v>
      </c>
      <c r="H103" s="65">
        <v>1394.0731000000001</v>
      </c>
      <c r="I103" s="50">
        <v>14.7158</v>
      </c>
      <c r="J103" s="65">
        <v>9473.2999999999993</v>
      </c>
      <c r="K103" s="65">
        <v>2197.0731000000001</v>
      </c>
      <c r="L103" s="50">
        <v>23.192299999999999</v>
      </c>
      <c r="M103" t="s">
        <v>2294</v>
      </c>
      <c r="N103" t="s">
        <v>2334</v>
      </c>
    </row>
    <row r="104" spans="1:14">
      <c r="A104" t="s">
        <v>3161</v>
      </c>
      <c r="B104" t="s">
        <v>3162</v>
      </c>
      <c r="C104" s="40">
        <v>46000</v>
      </c>
      <c r="D104" s="65">
        <v>267.10000000000002</v>
      </c>
      <c r="E104" s="50">
        <v>0.25069999999999998</v>
      </c>
      <c r="F104" s="65">
        <v>2817.9050000000002</v>
      </c>
      <c r="G104" s="65">
        <v>106532.57919999999</v>
      </c>
      <c r="H104" s="65">
        <v>106265.4792</v>
      </c>
      <c r="I104" s="50">
        <v>99.749300000000005</v>
      </c>
      <c r="J104" s="65">
        <v>106532.57919999999</v>
      </c>
      <c r="K104" s="65">
        <v>106532.57919999999</v>
      </c>
      <c r="L104" s="50">
        <v>100</v>
      </c>
      <c r="M104" t="s">
        <v>2310</v>
      </c>
      <c r="N104" t="s">
        <v>2327</v>
      </c>
    </row>
    <row r="105" spans="1:14">
      <c r="A105" t="s">
        <v>637</v>
      </c>
      <c r="B105" t="s">
        <v>638</v>
      </c>
      <c r="C105" s="40">
        <v>45997</v>
      </c>
      <c r="D105" s="65">
        <v>716.16840000000002</v>
      </c>
      <c r="E105" s="50">
        <v>8.0742999999999991</v>
      </c>
      <c r="F105" s="65">
        <v>83720.085959999997</v>
      </c>
      <c r="G105" s="65">
        <v>8869.7641000000003</v>
      </c>
      <c r="H105" s="65">
        <v>5045.1850999999997</v>
      </c>
      <c r="I105" s="50">
        <v>56.880699999999997</v>
      </c>
      <c r="J105" s="65">
        <v>8869.7641000000003</v>
      </c>
      <c r="K105" s="65">
        <v>5761.3535000000002</v>
      </c>
      <c r="L105" s="50">
        <v>64.954999999999998</v>
      </c>
      <c r="M105" t="s">
        <v>2297</v>
      </c>
      <c r="N105" t="s">
        <v>2333</v>
      </c>
    </row>
    <row r="106" spans="1:14">
      <c r="A106" t="s">
        <v>538</v>
      </c>
      <c r="B106" t="s">
        <v>539</v>
      </c>
      <c r="C106" s="40">
        <v>45997</v>
      </c>
      <c r="D106" s="65">
        <v>50245.213499999998</v>
      </c>
      <c r="E106" s="50">
        <v>53.6006</v>
      </c>
      <c r="F106" s="65">
        <v>324584.07921</v>
      </c>
      <c r="G106" s="65">
        <v>93740.098599999998</v>
      </c>
      <c r="H106" s="65">
        <v>43494.8851</v>
      </c>
      <c r="I106" s="50">
        <v>46.3994</v>
      </c>
      <c r="J106" s="65">
        <v>93740.098599999998</v>
      </c>
      <c r="K106" s="65">
        <v>93740.098599999998</v>
      </c>
      <c r="L106" s="50">
        <v>100</v>
      </c>
      <c r="M106" t="s">
        <v>2298</v>
      </c>
      <c r="N106" t="s">
        <v>2327</v>
      </c>
    </row>
    <row r="107" spans="1:14">
      <c r="A107" t="s">
        <v>3163</v>
      </c>
      <c r="B107" t="s">
        <v>3164</v>
      </c>
      <c r="C107" s="40">
        <v>45997</v>
      </c>
      <c r="D107" s="65">
        <v>9407.9254999999994</v>
      </c>
      <c r="E107" s="50">
        <v>4.9261999999999997</v>
      </c>
      <c r="F107" s="65">
        <v>733347.79272499995</v>
      </c>
      <c r="G107" s="65">
        <v>190977.14129999999</v>
      </c>
      <c r="H107" s="65">
        <v>146698.39009999999</v>
      </c>
      <c r="I107" s="50">
        <v>76.814599999999999</v>
      </c>
      <c r="J107" s="65">
        <v>190977.14129999999</v>
      </c>
      <c r="K107" s="65">
        <v>156106.3156</v>
      </c>
      <c r="L107" s="50">
        <v>81.740799999999993</v>
      </c>
      <c r="M107" t="s">
        <v>2300</v>
      </c>
      <c r="N107" t="s">
        <v>2333</v>
      </c>
    </row>
    <row r="108" spans="1:14">
      <c r="A108" t="s">
        <v>3165</v>
      </c>
      <c r="B108" t="s">
        <v>3166</v>
      </c>
      <c r="C108" s="40">
        <v>45992</v>
      </c>
      <c r="D108" s="65">
        <v>57595.207799999996</v>
      </c>
      <c r="E108" s="50">
        <v>57.655299999999997</v>
      </c>
      <c r="F108" s="65">
        <v>837434.32141199999</v>
      </c>
      <c r="G108" s="65">
        <v>99895.853000000003</v>
      </c>
      <c r="H108" s="65">
        <v>42300.645199999999</v>
      </c>
      <c r="I108" s="50">
        <v>42.344700000000003</v>
      </c>
      <c r="J108" s="65">
        <v>99895.853000000003</v>
      </c>
      <c r="K108" s="65">
        <v>99895.853000000003</v>
      </c>
      <c r="L108" s="50">
        <v>100</v>
      </c>
      <c r="M108" t="s">
        <v>2296</v>
      </c>
      <c r="N108" t="s">
        <v>2328</v>
      </c>
    </row>
    <row r="109" spans="1:14">
      <c r="A109" t="s">
        <v>531</v>
      </c>
      <c r="B109" t="s">
        <v>532</v>
      </c>
      <c r="C109" s="40">
        <v>45991</v>
      </c>
      <c r="D109" s="65">
        <v>11449.5</v>
      </c>
      <c r="E109" s="50">
        <v>50.576799999999999</v>
      </c>
      <c r="F109" s="65">
        <v>44538.555</v>
      </c>
      <c r="G109" s="65">
        <v>22637.86</v>
      </c>
      <c r="H109" s="65">
        <v>3291.88</v>
      </c>
      <c r="I109" s="50">
        <v>14.541499999999999</v>
      </c>
      <c r="J109" s="65">
        <v>22637.86</v>
      </c>
      <c r="K109" s="65">
        <v>14741.38</v>
      </c>
      <c r="L109" s="50">
        <v>65.118300000000005</v>
      </c>
      <c r="M109" t="s">
        <v>2317</v>
      </c>
      <c r="N109" t="s">
        <v>2343</v>
      </c>
    </row>
    <row r="110" spans="1:14">
      <c r="A110" t="s">
        <v>297</v>
      </c>
      <c r="B110" t="s">
        <v>298</v>
      </c>
      <c r="C110" s="40">
        <v>45990</v>
      </c>
      <c r="D110" s="65">
        <v>2430.6666</v>
      </c>
      <c r="E110" s="50">
        <v>8.9027999999999992</v>
      </c>
      <c r="F110" s="65">
        <v>36605.838995999999</v>
      </c>
      <c r="G110" s="65">
        <v>27302.346600000001</v>
      </c>
      <c r="H110" s="65">
        <v>20871.68</v>
      </c>
      <c r="I110" s="50">
        <v>76.4465</v>
      </c>
      <c r="J110" s="65">
        <v>27302.346600000001</v>
      </c>
      <c r="K110" s="65">
        <v>23302.346600000001</v>
      </c>
      <c r="L110" s="50">
        <v>85.349199999999996</v>
      </c>
      <c r="M110" t="s">
        <v>2311</v>
      </c>
      <c r="N110" t="s">
        <v>2350</v>
      </c>
    </row>
    <row r="111" spans="1:14">
      <c r="A111" t="s">
        <v>575</v>
      </c>
      <c r="B111" t="s">
        <v>576</v>
      </c>
      <c r="C111" s="40">
        <v>45989</v>
      </c>
      <c r="D111" s="65">
        <v>6546.6584999999995</v>
      </c>
      <c r="E111" s="50">
        <v>26.677600000000002</v>
      </c>
      <c r="F111" s="65">
        <v>51194.869469999998</v>
      </c>
      <c r="G111" s="65">
        <v>24539.88</v>
      </c>
      <c r="H111" s="65">
        <v>4363.0200000000004</v>
      </c>
      <c r="I111" s="50">
        <v>17.779299999999999</v>
      </c>
      <c r="J111" s="65">
        <v>24539.88</v>
      </c>
      <c r="K111" s="65">
        <v>10909.6785</v>
      </c>
      <c r="L111" s="50">
        <v>44.456899999999997</v>
      </c>
      <c r="M111" t="s">
        <v>2296</v>
      </c>
      <c r="N111" t="s">
        <v>2328</v>
      </c>
    </row>
    <row r="112" spans="1:14">
      <c r="A112" t="s">
        <v>371</v>
      </c>
      <c r="B112" t="s">
        <v>372</v>
      </c>
      <c r="C112" s="40">
        <v>45988</v>
      </c>
      <c r="D112" s="65">
        <v>2024</v>
      </c>
      <c r="E112" s="50">
        <v>29.804200000000002</v>
      </c>
      <c r="F112" s="65">
        <v>24692.799999999999</v>
      </c>
      <c r="G112" s="65">
        <v>6791</v>
      </c>
      <c r="H112" s="65">
        <v>4767</v>
      </c>
      <c r="I112" s="50">
        <v>70.195800000000006</v>
      </c>
      <c r="J112" s="65">
        <v>6791</v>
      </c>
      <c r="K112" s="65">
        <v>6791</v>
      </c>
      <c r="L112" s="50">
        <v>100</v>
      </c>
      <c r="M112" t="s">
        <v>2311</v>
      </c>
      <c r="N112" t="s">
        <v>2338</v>
      </c>
    </row>
    <row r="113" spans="1:14">
      <c r="A113" t="s">
        <v>309</v>
      </c>
      <c r="B113" t="s">
        <v>310</v>
      </c>
      <c r="C113" s="40">
        <v>45987</v>
      </c>
      <c r="D113" s="65">
        <v>3167.8555000000001</v>
      </c>
      <c r="E113" s="50">
        <v>4.6505999999999998</v>
      </c>
      <c r="F113" s="65">
        <v>21509.738845</v>
      </c>
      <c r="G113" s="65">
        <v>68117.685800000007</v>
      </c>
      <c r="H113" s="65">
        <v>64612.613899999997</v>
      </c>
      <c r="I113" s="50">
        <v>94.854399999999998</v>
      </c>
      <c r="J113" s="65">
        <v>68117.685800000007</v>
      </c>
      <c r="K113" s="65">
        <v>67780.469400000002</v>
      </c>
      <c r="L113" s="50">
        <v>99.504999999999995</v>
      </c>
      <c r="M113" t="s">
        <v>2296</v>
      </c>
      <c r="N113" t="s">
        <v>2326</v>
      </c>
    </row>
    <row r="114" spans="1:14">
      <c r="A114" t="s">
        <v>285</v>
      </c>
      <c r="B114" t="s">
        <v>286</v>
      </c>
      <c r="C114" s="40">
        <v>45984</v>
      </c>
      <c r="D114" s="65">
        <v>9377.34</v>
      </c>
      <c r="E114" s="50">
        <v>36.3185</v>
      </c>
      <c r="F114" s="65">
        <v>618435.57299999997</v>
      </c>
      <c r="G114" s="65">
        <v>25819.759999999998</v>
      </c>
      <c r="H114" s="65">
        <v>16442.419999999998</v>
      </c>
      <c r="I114" s="50">
        <v>63.6815</v>
      </c>
      <c r="J114" s="65">
        <v>25819.759999999998</v>
      </c>
      <c r="K114" s="65">
        <v>25819.759999999998</v>
      </c>
      <c r="L114" s="50">
        <v>100</v>
      </c>
      <c r="M114" t="s">
        <v>2296</v>
      </c>
      <c r="N114" t="s">
        <v>2328</v>
      </c>
    </row>
    <row r="115" spans="1:14">
      <c r="A115" t="s">
        <v>3167</v>
      </c>
      <c r="B115" t="s">
        <v>3168</v>
      </c>
      <c r="C115" s="40">
        <v>45983</v>
      </c>
      <c r="D115" s="65">
        <v>9400</v>
      </c>
      <c r="E115" s="50">
        <v>10.5145</v>
      </c>
      <c r="F115" s="65">
        <v>2585</v>
      </c>
      <c r="G115" s="65">
        <v>89400</v>
      </c>
      <c r="H115" s="65">
        <v>80000</v>
      </c>
      <c r="I115" s="50">
        <v>89.485500000000002</v>
      </c>
      <c r="J115" s="65">
        <v>89400</v>
      </c>
      <c r="K115" s="65">
        <v>89400</v>
      </c>
      <c r="L115" s="50">
        <v>100</v>
      </c>
      <c r="M115" t="s">
        <v>2296</v>
      </c>
      <c r="N115" t="s">
        <v>2326</v>
      </c>
    </row>
    <row r="116" spans="1:14">
      <c r="A116" t="s">
        <v>221</v>
      </c>
      <c r="B116" t="s">
        <v>1045</v>
      </c>
      <c r="C116" s="40">
        <v>45981</v>
      </c>
      <c r="D116" s="65">
        <v>7745.54</v>
      </c>
      <c r="E116" s="50">
        <v>49.677900000000001</v>
      </c>
      <c r="F116" s="65">
        <v>3741095.82</v>
      </c>
      <c r="G116" s="65">
        <v>15591.53</v>
      </c>
      <c r="H116" s="65">
        <v>7845.99</v>
      </c>
      <c r="I116" s="50">
        <v>50.322099999999999</v>
      </c>
      <c r="J116" s="65">
        <v>15591.53</v>
      </c>
      <c r="K116" s="65">
        <v>15591.53</v>
      </c>
      <c r="L116" s="50">
        <v>100</v>
      </c>
      <c r="M116" t="s">
        <v>2297</v>
      </c>
      <c r="N116" t="s">
        <v>2335</v>
      </c>
    </row>
    <row r="117" spans="1:14">
      <c r="A117" t="s">
        <v>383</v>
      </c>
      <c r="B117" t="s">
        <v>384</v>
      </c>
      <c r="C117" s="40">
        <v>45980</v>
      </c>
      <c r="D117" s="65">
        <v>88142.0916</v>
      </c>
      <c r="E117" s="50">
        <v>32.082500000000003</v>
      </c>
      <c r="F117" s="65">
        <v>347279.84090399998</v>
      </c>
      <c r="G117" s="65">
        <v>274736.03999999998</v>
      </c>
      <c r="H117" s="65">
        <v>186593.94839999999</v>
      </c>
      <c r="I117" s="50">
        <v>67.917500000000004</v>
      </c>
      <c r="J117" s="65">
        <v>274736.03999999998</v>
      </c>
      <c r="K117" s="65">
        <v>274736.03999999998</v>
      </c>
      <c r="L117" s="50">
        <v>100</v>
      </c>
      <c r="M117" t="s">
        <v>2304</v>
      </c>
      <c r="N117" t="s">
        <v>2347</v>
      </c>
    </row>
    <row r="118" spans="1:14">
      <c r="A118" t="s">
        <v>436</v>
      </c>
      <c r="B118" t="s">
        <v>437</v>
      </c>
      <c r="C118" s="40">
        <v>45977</v>
      </c>
      <c r="D118" s="65">
        <v>8418.2000000000007</v>
      </c>
      <c r="E118" s="50">
        <v>12.5</v>
      </c>
      <c r="F118" s="65">
        <v>49330.652000000002</v>
      </c>
      <c r="G118" s="65">
        <v>67345.48</v>
      </c>
      <c r="H118" s="65">
        <v>22367.279999999999</v>
      </c>
      <c r="I118" s="50">
        <v>33.212699999999998</v>
      </c>
      <c r="J118" s="65">
        <v>67345.48</v>
      </c>
      <c r="K118" s="65">
        <v>30785.48</v>
      </c>
      <c r="L118" s="50">
        <v>45.712800000000001</v>
      </c>
      <c r="M118" t="s">
        <v>2309</v>
      </c>
      <c r="N118" t="s">
        <v>2345</v>
      </c>
    </row>
    <row r="119" spans="1:14">
      <c r="A119" t="s">
        <v>769</v>
      </c>
      <c r="B119" t="s">
        <v>770</v>
      </c>
      <c r="C119" s="40">
        <v>45976</v>
      </c>
      <c r="D119" s="65">
        <v>2268.3350999999998</v>
      </c>
      <c r="E119" s="50">
        <v>20.230899999999998</v>
      </c>
      <c r="F119" s="65">
        <v>104071.21438799999</v>
      </c>
      <c r="G119" s="65">
        <v>11313.4077</v>
      </c>
      <c r="H119" s="65">
        <v>6421.6274999999996</v>
      </c>
      <c r="I119" s="50">
        <v>56.761200000000002</v>
      </c>
      <c r="J119" s="65">
        <v>11212.2469</v>
      </c>
      <c r="K119" s="65">
        <v>8689.9626000000007</v>
      </c>
      <c r="L119" s="50">
        <v>77.504199999999997</v>
      </c>
      <c r="M119" t="s">
        <v>2297</v>
      </c>
      <c r="N119" t="s">
        <v>2332</v>
      </c>
    </row>
    <row r="120" spans="1:14">
      <c r="A120" t="s">
        <v>3151</v>
      </c>
      <c r="B120" t="s">
        <v>3152</v>
      </c>
      <c r="C120" s="40">
        <v>45973</v>
      </c>
      <c r="D120" s="65">
        <v>20145.599999999999</v>
      </c>
      <c r="E120" s="50">
        <v>9.7327999999999992</v>
      </c>
      <c r="F120" s="65">
        <v>48953.807999999997</v>
      </c>
      <c r="G120" s="65">
        <v>206986.4877</v>
      </c>
      <c r="H120" s="65">
        <v>161319.5877</v>
      </c>
      <c r="I120" s="50">
        <v>77.937299999999993</v>
      </c>
      <c r="J120" s="65">
        <v>206986.4877</v>
      </c>
      <c r="K120" s="65">
        <v>181465.18770000001</v>
      </c>
      <c r="L120" s="50">
        <v>87.670100000000005</v>
      </c>
      <c r="M120" t="s">
        <v>2310</v>
      </c>
      <c r="N120" t="s">
        <v>2343</v>
      </c>
    </row>
    <row r="121" spans="1:14">
      <c r="A121" t="s">
        <v>355</v>
      </c>
      <c r="B121" t="s">
        <v>356</v>
      </c>
      <c r="C121" s="40">
        <v>45969</v>
      </c>
      <c r="D121" s="65">
        <v>19779.931799999998</v>
      </c>
      <c r="E121" s="50">
        <v>47.638800000000003</v>
      </c>
      <c r="F121" s="65">
        <v>133712.338968</v>
      </c>
      <c r="G121" s="65">
        <v>41520.5916</v>
      </c>
      <c r="H121" s="65">
        <v>21698.835800000001</v>
      </c>
      <c r="I121" s="50">
        <v>52.260399999999997</v>
      </c>
      <c r="J121" s="65">
        <v>41520.5916</v>
      </c>
      <c r="K121" s="65">
        <v>41478.767599999999</v>
      </c>
      <c r="L121" s="50">
        <v>99.899299999999997</v>
      </c>
      <c r="M121" t="s">
        <v>2311</v>
      </c>
      <c r="N121" t="s">
        <v>2338</v>
      </c>
    </row>
    <row r="122" spans="1:14">
      <c r="A122" t="s">
        <v>440</v>
      </c>
      <c r="B122" t="s">
        <v>441</v>
      </c>
      <c r="C122" s="40">
        <v>45969</v>
      </c>
      <c r="D122" s="65">
        <v>62.613</v>
      </c>
      <c r="E122" s="50">
        <v>0.59519999999999995</v>
      </c>
      <c r="F122" s="65">
        <v>5178.0950999999995</v>
      </c>
      <c r="G122" s="65">
        <v>10520.302</v>
      </c>
      <c r="H122" s="65">
        <v>214.68899999999999</v>
      </c>
      <c r="I122" s="50">
        <v>2.0407000000000002</v>
      </c>
      <c r="J122" s="65">
        <v>10520.302</v>
      </c>
      <c r="K122" s="65">
        <v>277.30200000000002</v>
      </c>
      <c r="L122" s="50">
        <v>2.6358999999999999</v>
      </c>
      <c r="M122" t="s">
        <v>2304</v>
      </c>
      <c r="N122" t="s">
        <v>2345</v>
      </c>
    </row>
    <row r="123" spans="1:14">
      <c r="A123" t="s">
        <v>301</v>
      </c>
      <c r="B123" t="s">
        <v>302</v>
      </c>
      <c r="C123" s="40">
        <v>45969</v>
      </c>
      <c r="D123" s="65">
        <v>2208.71</v>
      </c>
      <c r="E123" s="50">
        <v>34.82</v>
      </c>
      <c r="F123" s="65">
        <v>42031.751300000004</v>
      </c>
      <c r="G123" s="65">
        <v>6343.23</v>
      </c>
      <c r="H123" s="65">
        <v>4134.5200000000004</v>
      </c>
      <c r="I123" s="50">
        <v>65.180000000000007</v>
      </c>
      <c r="J123" s="65">
        <v>6343.23</v>
      </c>
      <c r="K123" s="65">
        <v>6343.23</v>
      </c>
      <c r="L123" s="50">
        <v>100</v>
      </c>
      <c r="M123" t="s">
        <v>2297</v>
      </c>
      <c r="N123" t="s">
        <v>2335</v>
      </c>
    </row>
    <row r="124" spans="1:14">
      <c r="A124" t="s">
        <v>519</v>
      </c>
      <c r="B124" t="s">
        <v>520</v>
      </c>
      <c r="C124" s="40">
        <v>45969</v>
      </c>
      <c r="D124" s="65">
        <v>21550.6643</v>
      </c>
      <c r="E124" s="50">
        <v>40.120600000000003</v>
      </c>
      <c r="F124" s="65">
        <v>66591.552687000003</v>
      </c>
      <c r="G124" s="65">
        <v>53714.670899999997</v>
      </c>
      <c r="H124" s="65">
        <v>3864</v>
      </c>
      <c r="I124" s="50">
        <v>7.1936</v>
      </c>
      <c r="J124" s="65">
        <v>53714.670899999997</v>
      </c>
      <c r="K124" s="65">
        <v>25414.6643</v>
      </c>
      <c r="L124" s="50">
        <v>47.3142</v>
      </c>
      <c r="M124" t="s">
        <v>2297</v>
      </c>
      <c r="N124" t="s">
        <v>2331</v>
      </c>
    </row>
    <row r="125" spans="1:14">
      <c r="A125" t="s">
        <v>3125</v>
      </c>
      <c r="B125" t="s">
        <v>3126</v>
      </c>
      <c r="C125" s="40">
        <v>45966</v>
      </c>
      <c r="D125" s="65">
        <v>10119.4</v>
      </c>
      <c r="E125" s="50">
        <v>12.735300000000001</v>
      </c>
      <c r="F125" s="65">
        <v>162011.59400000001</v>
      </c>
      <c r="G125" s="65">
        <v>79459.535199999998</v>
      </c>
      <c r="H125" s="65">
        <v>64588.335200000001</v>
      </c>
      <c r="I125" s="50">
        <v>81.284599999999998</v>
      </c>
      <c r="J125" s="65">
        <v>79459.535199999998</v>
      </c>
      <c r="K125" s="65">
        <v>74707.735199999996</v>
      </c>
      <c r="L125" s="50">
        <v>94.019800000000004</v>
      </c>
      <c r="M125" t="s">
        <v>2310</v>
      </c>
      <c r="N125" t="s">
        <v>2343</v>
      </c>
    </row>
    <row r="126" spans="1:14">
      <c r="A126" t="s">
        <v>3169</v>
      </c>
      <c r="B126" t="s">
        <v>3170</v>
      </c>
      <c r="C126" s="40">
        <v>45964</v>
      </c>
      <c r="D126" s="65">
        <v>6460</v>
      </c>
      <c r="E126" s="50">
        <v>2.8837000000000002</v>
      </c>
      <c r="F126" s="65">
        <v>103812.2</v>
      </c>
      <c r="G126" s="65">
        <v>224015.41320000001</v>
      </c>
      <c r="H126" s="65">
        <v>217555.41320000001</v>
      </c>
      <c r="I126" s="50">
        <v>97.116299999999995</v>
      </c>
      <c r="J126" s="65">
        <v>224015.41320000001</v>
      </c>
      <c r="K126" s="65">
        <v>224015.41320000001</v>
      </c>
      <c r="L126" s="50">
        <v>100</v>
      </c>
      <c r="M126" t="s">
        <v>2306</v>
      </c>
      <c r="N126" t="s">
        <v>2324</v>
      </c>
    </row>
    <row r="127" spans="1:14">
      <c r="A127" t="s">
        <v>381</v>
      </c>
      <c r="B127" t="s">
        <v>382</v>
      </c>
      <c r="C127" s="40">
        <v>45962</v>
      </c>
      <c r="D127" s="65">
        <v>123780.484</v>
      </c>
      <c r="E127" s="50">
        <v>74.341200000000001</v>
      </c>
      <c r="F127" s="65">
        <v>1080603.6253200001</v>
      </c>
      <c r="G127" s="65">
        <v>166503.1</v>
      </c>
      <c r="H127" s="65">
        <v>42722.616000000002</v>
      </c>
      <c r="I127" s="50">
        <v>25.658799999999999</v>
      </c>
      <c r="J127" s="65">
        <v>166503.1</v>
      </c>
      <c r="K127" s="65">
        <v>166503.1</v>
      </c>
      <c r="L127" s="50">
        <v>100</v>
      </c>
      <c r="M127" t="s">
        <v>2321</v>
      </c>
      <c r="N127" t="s">
        <v>2351</v>
      </c>
    </row>
    <row r="128" spans="1:14">
      <c r="A128" t="s">
        <v>972</v>
      </c>
      <c r="B128" t="s">
        <v>973</v>
      </c>
      <c r="C128" s="40">
        <v>45961</v>
      </c>
      <c r="D128" s="65">
        <v>20213.2857</v>
      </c>
      <c r="E128" s="50">
        <v>55.441400000000002</v>
      </c>
      <c r="F128" s="65">
        <v>67714.507094999994</v>
      </c>
      <c r="G128" s="65">
        <v>36458.800000000003</v>
      </c>
      <c r="H128" s="65">
        <v>1458.8</v>
      </c>
      <c r="I128" s="50">
        <v>4.0011999999999999</v>
      </c>
      <c r="J128" s="65">
        <v>36458.800000000003</v>
      </c>
      <c r="K128" s="65">
        <v>21672.0857</v>
      </c>
      <c r="L128" s="50">
        <v>59.442700000000002</v>
      </c>
      <c r="M128" t="s">
        <v>2296</v>
      </c>
      <c r="N128" t="s">
        <v>2328</v>
      </c>
    </row>
    <row r="129" spans="1:14">
      <c r="A129" t="s">
        <v>3171</v>
      </c>
      <c r="B129" t="s">
        <v>3172</v>
      </c>
      <c r="C129" s="40">
        <v>45961</v>
      </c>
      <c r="D129" s="65">
        <v>300</v>
      </c>
      <c r="E129" s="50">
        <v>1.9480999999999999</v>
      </c>
      <c r="F129" s="65">
        <v>471</v>
      </c>
      <c r="G129" s="65">
        <v>15400</v>
      </c>
      <c r="H129" s="65">
        <v>15100</v>
      </c>
      <c r="I129" s="50">
        <v>98.051900000000003</v>
      </c>
      <c r="J129" s="65">
        <v>15400</v>
      </c>
      <c r="K129" s="65">
        <v>15400</v>
      </c>
      <c r="L129" s="50">
        <v>100</v>
      </c>
      <c r="M129" t="s">
        <v>2308</v>
      </c>
      <c r="N129" t="s">
        <v>2344</v>
      </c>
    </row>
    <row r="130" spans="1:14">
      <c r="A130" t="s">
        <v>1032</v>
      </c>
      <c r="B130" t="s">
        <v>1033</v>
      </c>
      <c r="C130" s="40">
        <v>45960</v>
      </c>
      <c r="D130" s="65">
        <v>34167.659500000002</v>
      </c>
      <c r="E130" s="50">
        <v>74.569100000000006</v>
      </c>
      <c r="F130" s="65">
        <v>372085.81195499998</v>
      </c>
      <c r="G130" s="65">
        <v>45820.124199999998</v>
      </c>
      <c r="H130" s="65">
        <v>11652.4647</v>
      </c>
      <c r="I130" s="50">
        <v>25.430900000000001</v>
      </c>
      <c r="J130" s="65">
        <v>45820.124199999998</v>
      </c>
      <c r="K130" s="65">
        <v>45820.124199999998</v>
      </c>
      <c r="L130" s="50">
        <v>100</v>
      </c>
      <c r="M130" t="s">
        <v>2311</v>
      </c>
      <c r="N130" t="s">
        <v>2338</v>
      </c>
    </row>
    <row r="131" spans="1:14">
      <c r="A131" t="s">
        <v>3173</v>
      </c>
      <c r="B131" t="s">
        <v>3174</v>
      </c>
      <c r="C131" s="40">
        <v>45959</v>
      </c>
      <c r="D131" s="65">
        <v>40000</v>
      </c>
      <c r="E131" s="50">
        <v>6.5654000000000003</v>
      </c>
      <c r="F131" s="65">
        <v>7360</v>
      </c>
      <c r="G131" s="65">
        <v>609251.53899999999</v>
      </c>
      <c r="H131" s="65">
        <v>569251.53899999999</v>
      </c>
      <c r="I131" s="50">
        <v>93.434600000000003</v>
      </c>
      <c r="J131" s="65">
        <v>609251.53899999999</v>
      </c>
      <c r="K131" s="65">
        <v>609251.53899999999</v>
      </c>
      <c r="L131" s="50">
        <v>100</v>
      </c>
      <c r="M131" t="s">
        <v>2306</v>
      </c>
      <c r="N131" t="s">
        <v>2324</v>
      </c>
    </row>
    <row r="132" spans="1:14">
      <c r="A132" t="s">
        <v>542</v>
      </c>
      <c r="B132" t="s">
        <v>543</v>
      </c>
      <c r="C132" s="40">
        <v>45954</v>
      </c>
      <c r="D132" s="65">
        <v>43428.122100000001</v>
      </c>
      <c r="E132" s="50">
        <v>2.964</v>
      </c>
      <c r="F132" s="65">
        <v>385641.72424800001</v>
      </c>
      <c r="G132" s="65">
        <v>1465188.4985</v>
      </c>
      <c r="H132" s="65">
        <v>1209321.4494</v>
      </c>
      <c r="I132" s="50">
        <v>82.536900000000003</v>
      </c>
      <c r="J132" s="65">
        <v>1465188.4985</v>
      </c>
      <c r="K132" s="65">
        <v>1252749.5715000001</v>
      </c>
      <c r="L132" s="50">
        <v>85.500900000000001</v>
      </c>
      <c r="M132" t="s">
        <v>2298</v>
      </c>
      <c r="N132" t="s">
        <v>2329</v>
      </c>
    </row>
    <row r="133" spans="1:14">
      <c r="A133" t="s">
        <v>3175</v>
      </c>
      <c r="B133" t="s">
        <v>3176</v>
      </c>
      <c r="C133" s="40">
        <v>45954</v>
      </c>
      <c r="D133" s="65">
        <v>2157.4648999999999</v>
      </c>
      <c r="E133" s="50">
        <v>16.666699999999999</v>
      </c>
      <c r="F133" s="65">
        <v>435.8079098</v>
      </c>
      <c r="G133" s="65">
        <v>12944.789699999999</v>
      </c>
      <c r="H133" s="65">
        <v>10787.3248</v>
      </c>
      <c r="I133" s="50">
        <v>83.333299999999994</v>
      </c>
      <c r="J133" s="65">
        <v>12944.789699999999</v>
      </c>
      <c r="K133" s="65">
        <v>12944.789699999999</v>
      </c>
      <c r="L133" s="50">
        <v>100</v>
      </c>
      <c r="M133" t="s">
        <v>2308</v>
      </c>
      <c r="N133" t="s">
        <v>2344</v>
      </c>
    </row>
    <row r="134" spans="1:14">
      <c r="A134" t="s">
        <v>538</v>
      </c>
      <c r="B134" t="s">
        <v>539</v>
      </c>
      <c r="C134" s="40">
        <v>45953</v>
      </c>
      <c r="D134" s="65">
        <v>3540</v>
      </c>
      <c r="E134" s="50">
        <v>3.7772999999999999</v>
      </c>
      <c r="F134" s="65">
        <v>31612.2</v>
      </c>
      <c r="G134" s="65">
        <v>93717.098599999998</v>
      </c>
      <c r="H134" s="65">
        <v>39931.8851</v>
      </c>
      <c r="I134" s="50">
        <v>42.609000000000002</v>
      </c>
      <c r="J134" s="65">
        <v>93717.098599999998</v>
      </c>
      <c r="K134" s="65">
        <v>43471.8851</v>
      </c>
      <c r="L134" s="50">
        <v>46.386299999999999</v>
      </c>
      <c r="M134" t="s">
        <v>2298</v>
      </c>
      <c r="N134" t="s">
        <v>2327</v>
      </c>
    </row>
    <row r="135" spans="1:14">
      <c r="A135" t="s">
        <v>3177</v>
      </c>
      <c r="B135" t="s">
        <v>3178</v>
      </c>
      <c r="C135" s="40">
        <v>45953</v>
      </c>
      <c r="D135" s="65">
        <v>2200</v>
      </c>
      <c r="E135" s="50">
        <v>5.8930999999999996</v>
      </c>
      <c r="F135" s="65">
        <v>144100</v>
      </c>
      <c r="G135" s="65">
        <v>37331.972199999997</v>
      </c>
      <c r="H135" s="65">
        <v>35131.972199999997</v>
      </c>
      <c r="I135" s="50">
        <v>94.106899999999996</v>
      </c>
      <c r="J135" s="65">
        <v>37331.972199999997</v>
      </c>
      <c r="K135" s="65">
        <v>37331.972199999997</v>
      </c>
      <c r="L135" s="50">
        <v>100</v>
      </c>
      <c r="M135" t="s">
        <v>2296</v>
      </c>
      <c r="N135" t="s">
        <v>2328</v>
      </c>
    </row>
    <row r="136" spans="1:14">
      <c r="A136" t="s">
        <v>331</v>
      </c>
      <c r="B136" t="s">
        <v>332</v>
      </c>
      <c r="C136" s="40">
        <v>45953</v>
      </c>
      <c r="D136" s="65">
        <v>200000</v>
      </c>
      <c r="E136" s="50">
        <v>83.396000000000001</v>
      </c>
      <c r="F136" s="65">
        <v>2176000</v>
      </c>
      <c r="G136" s="65">
        <v>239819.66</v>
      </c>
      <c r="H136" s="65">
        <v>39819.660000000003</v>
      </c>
      <c r="I136" s="50">
        <v>16.603999999999999</v>
      </c>
      <c r="J136" s="65">
        <v>239819.66</v>
      </c>
      <c r="K136" s="65">
        <v>239819.66</v>
      </c>
      <c r="L136" s="50">
        <v>100</v>
      </c>
      <c r="M136" t="s">
        <v>2304</v>
      </c>
      <c r="N136" t="s">
        <v>2336</v>
      </c>
    </row>
    <row r="137" spans="1:14">
      <c r="A137" t="s">
        <v>568</v>
      </c>
      <c r="B137" t="s">
        <v>569</v>
      </c>
      <c r="C137" s="40">
        <v>45946</v>
      </c>
      <c r="D137" s="65">
        <v>139898.0214</v>
      </c>
      <c r="E137" s="50">
        <v>70.066599999999994</v>
      </c>
      <c r="F137" s="65">
        <v>144094.962042</v>
      </c>
      <c r="G137" s="65">
        <v>199664.4474</v>
      </c>
      <c r="H137" s="65">
        <v>9585</v>
      </c>
      <c r="I137" s="50">
        <v>4.8006000000000002</v>
      </c>
      <c r="J137" s="65">
        <v>199664.4474</v>
      </c>
      <c r="K137" s="65">
        <v>149483.0214</v>
      </c>
      <c r="L137" s="50">
        <v>74.867099999999994</v>
      </c>
      <c r="M137" t="s">
        <v>2298</v>
      </c>
      <c r="N137" t="s">
        <v>2340</v>
      </c>
    </row>
    <row r="138" spans="1:14">
      <c r="A138" t="s">
        <v>3179</v>
      </c>
      <c r="B138" t="s">
        <v>3180</v>
      </c>
      <c r="C138" s="40">
        <v>45946</v>
      </c>
      <c r="D138" s="65">
        <v>1500</v>
      </c>
      <c r="E138" s="50">
        <v>14.5647</v>
      </c>
      <c r="F138" s="65">
        <v>8430</v>
      </c>
      <c r="G138" s="65">
        <v>10298.9049</v>
      </c>
      <c r="H138" s="65">
        <v>8798.9048999999995</v>
      </c>
      <c r="I138" s="50">
        <v>85.435299999999998</v>
      </c>
      <c r="J138" s="65">
        <v>10298.9049</v>
      </c>
      <c r="K138" s="65">
        <v>10298.9049</v>
      </c>
      <c r="L138" s="50">
        <v>100</v>
      </c>
      <c r="M138" t="s">
        <v>2297</v>
      </c>
      <c r="N138" t="s">
        <v>2329</v>
      </c>
    </row>
    <row r="139" spans="1:14">
      <c r="A139" t="s">
        <v>3181</v>
      </c>
      <c r="B139" t="s">
        <v>3182</v>
      </c>
      <c r="C139" s="40">
        <v>45945</v>
      </c>
      <c r="D139" s="65">
        <v>13915.966399999999</v>
      </c>
      <c r="E139" s="50">
        <v>16.639299999999999</v>
      </c>
      <c r="F139" s="65">
        <v>107709.57993599999</v>
      </c>
      <c r="G139" s="65">
        <v>83633.191399999996</v>
      </c>
      <c r="H139" s="65">
        <v>69717.225000000006</v>
      </c>
      <c r="I139" s="50">
        <v>83.360699999999994</v>
      </c>
      <c r="J139" s="65">
        <v>83633.191399999996</v>
      </c>
      <c r="K139" s="65">
        <v>83633.191399999996</v>
      </c>
      <c r="L139" s="50">
        <v>100</v>
      </c>
      <c r="M139" t="s">
        <v>2296</v>
      </c>
      <c r="N139" t="s">
        <v>2328</v>
      </c>
    </row>
    <row r="140" spans="1:14">
      <c r="A140" t="s">
        <v>525</v>
      </c>
      <c r="B140" t="s">
        <v>526</v>
      </c>
      <c r="C140" s="40">
        <v>45945</v>
      </c>
      <c r="D140" s="65">
        <v>7344.5964000000004</v>
      </c>
      <c r="E140" s="50">
        <v>83.426900000000003</v>
      </c>
      <c r="F140" s="65">
        <v>2306203.2696000002</v>
      </c>
      <c r="G140" s="65">
        <v>8803.6263999999992</v>
      </c>
      <c r="H140" s="65">
        <v>1459.03</v>
      </c>
      <c r="I140" s="50">
        <v>16.5731</v>
      </c>
      <c r="J140" s="65">
        <v>8803.6263999999992</v>
      </c>
      <c r="K140" s="65">
        <v>8803.6263999999992</v>
      </c>
      <c r="L140" s="50">
        <v>100</v>
      </c>
      <c r="M140" t="s">
        <v>2296</v>
      </c>
      <c r="N140" t="s">
        <v>2328</v>
      </c>
    </row>
    <row r="141" spans="1:14">
      <c r="A141" t="s">
        <v>432</v>
      </c>
      <c r="B141" t="s">
        <v>433</v>
      </c>
      <c r="C141" s="40">
        <v>45944</v>
      </c>
      <c r="D141" s="65">
        <v>7509.15</v>
      </c>
      <c r="E141" s="50">
        <v>2.9935</v>
      </c>
      <c r="F141" s="65">
        <v>89058.519</v>
      </c>
      <c r="G141" s="65">
        <v>250850.01029999999</v>
      </c>
      <c r="H141" s="65">
        <v>4643.22</v>
      </c>
      <c r="I141" s="50">
        <v>1.851</v>
      </c>
      <c r="J141" s="65">
        <v>250850.01029999999</v>
      </c>
      <c r="K141" s="65">
        <v>12152.37</v>
      </c>
      <c r="L141" s="50">
        <v>4.8445</v>
      </c>
      <c r="M141" t="s">
        <v>2297</v>
      </c>
      <c r="N141" t="s">
        <v>2335</v>
      </c>
    </row>
    <row r="142" spans="1:14">
      <c r="A142" t="s">
        <v>860</v>
      </c>
      <c r="B142" t="s">
        <v>861</v>
      </c>
      <c r="C142" s="40">
        <v>45939</v>
      </c>
      <c r="D142" s="65">
        <v>77739</v>
      </c>
      <c r="E142" s="50">
        <v>77.739000000000004</v>
      </c>
      <c r="F142" s="65">
        <v>94841.58</v>
      </c>
      <c r="G142" s="65">
        <v>100000</v>
      </c>
      <c r="H142" s="65">
        <v>22261</v>
      </c>
      <c r="I142" s="50">
        <v>22.260999999999999</v>
      </c>
      <c r="J142" s="65">
        <v>100000</v>
      </c>
      <c r="K142" s="65">
        <v>100000</v>
      </c>
      <c r="L142" s="50">
        <v>100</v>
      </c>
      <c r="M142" t="s">
        <v>2305</v>
      </c>
      <c r="N142" t="s">
        <v>2339</v>
      </c>
    </row>
    <row r="143" spans="1:14">
      <c r="A143" t="s">
        <v>739</v>
      </c>
      <c r="B143" t="s">
        <v>740</v>
      </c>
      <c r="C143" s="40">
        <v>45938</v>
      </c>
      <c r="D143" s="65">
        <v>17481.353299999999</v>
      </c>
      <c r="E143" s="50">
        <v>31.0075</v>
      </c>
      <c r="F143" s="65">
        <v>84609.749972000005</v>
      </c>
      <c r="G143" s="65">
        <v>56377.9</v>
      </c>
      <c r="H143" s="65">
        <v>2577.9</v>
      </c>
      <c r="I143" s="50">
        <v>4.5724999999999998</v>
      </c>
      <c r="J143" s="65">
        <v>56377.9</v>
      </c>
      <c r="K143" s="65">
        <v>20059.2533</v>
      </c>
      <c r="L143" s="50">
        <v>35.58</v>
      </c>
      <c r="M143" t="s">
        <v>2298</v>
      </c>
      <c r="N143" t="s">
        <v>2328</v>
      </c>
    </row>
    <row r="144" spans="1:14">
      <c r="A144" t="s">
        <v>540</v>
      </c>
      <c r="B144" t="s">
        <v>541</v>
      </c>
      <c r="C144" s="40">
        <v>45933</v>
      </c>
      <c r="D144" s="65">
        <v>40160.199999999997</v>
      </c>
      <c r="E144" s="50">
        <v>72.360399999999998</v>
      </c>
      <c r="F144" s="65">
        <v>185138.522</v>
      </c>
      <c r="G144" s="65">
        <v>55500.26</v>
      </c>
      <c r="H144" s="65">
        <v>15340.06</v>
      </c>
      <c r="I144" s="50">
        <v>27.639600000000002</v>
      </c>
      <c r="J144" s="65">
        <v>55500.26</v>
      </c>
      <c r="K144" s="65">
        <v>55500.26</v>
      </c>
      <c r="L144" s="50">
        <v>100</v>
      </c>
      <c r="M144" t="s">
        <v>2299</v>
      </c>
      <c r="N144" t="s">
        <v>2342</v>
      </c>
    </row>
    <row r="145" spans="1:14">
      <c r="A145" t="s">
        <v>564</v>
      </c>
      <c r="B145" t="s">
        <v>565</v>
      </c>
      <c r="C145" s="40">
        <v>45931</v>
      </c>
      <c r="D145" s="65">
        <v>1544.4</v>
      </c>
      <c r="E145" s="50">
        <v>7.2084999999999999</v>
      </c>
      <c r="F145" s="65">
        <v>9250.9560000000001</v>
      </c>
      <c r="G145" s="65">
        <v>21424.690999999999</v>
      </c>
      <c r="H145" s="65">
        <v>3811.8</v>
      </c>
      <c r="I145" s="50">
        <v>17.791599999999999</v>
      </c>
      <c r="J145" s="65">
        <v>21424.690999999999</v>
      </c>
      <c r="K145" s="65">
        <v>5356.2</v>
      </c>
      <c r="L145" s="50">
        <v>25.0001</v>
      </c>
      <c r="M145" t="s">
        <v>2312</v>
      </c>
      <c r="N145" t="s">
        <v>2347</v>
      </c>
    </row>
    <row r="146" spans="1:14">
      <c r="A146" t="s">
        <v>727</v>
      </c>
      <c r="B146" t="s">
        <v>728</v>
      </c>
      <c r="C146" s="40">
        <v>45930</v>
      </c>
      <c r="D146" s="65">
        <v>765.5</v>
      </c>
      <c r="E146" s="50">
        <v>2.8706</v>
      </c>
      <c r="F146" s="65">
        <v>22551.63</v>
      </c>
      <c r="G146" s="65">
        <v>26666.68</v>
      </c>
      <c r="H146" s="65">
        <v>4051.68</v>
      </c>
      <c r="I146" s="50">
        <v>15.1938</v>
      </c>
      <c r="J146" s="65">
        <v>26666.68</v>
      </c>
      <c r="K146" s="65">
        <v>4817.18</v>
      </c>
      <c r="L146" s="50">
        <v>18.064399999999999</v>
      </c>
      <c r="M146" t="s">
        <v>2304</v>
      </c>
      <c r="N146" t="s">
        <v>2336</v>
      </c>
    </row>
    <row r="147" spans="1:14">
      <c r="A147" t="s">
        <v>705</v>
      </c>
      <c r="B147" t="s">
        <v>706</v>
      </c>
      <c r="C147" s="40">
        <v>45927</v>
      </c>
      <c r="D147" s="65">
        <v>7500</v>
      </c>
      <c r="E147" s="50">
        <v>7.5</v>
      </c>
      <c r="F147" s="65">
        <v>5850</v>
      </c>
      <c r="G147" s="65">
        <v>100000</v>
      </c>
      <c r="H147" s="65">
        <v>25000</v>
      </c>
      <c r="I147" s="50">
        <v>25</v>
      </c>
      <c r="J147" s="65">
        <v>100000</v>
      </c>
      <c r="K147" s="65">
        <v>32500</v>
      </c>
      <c r="L147" s="50">
        <v>32.5</v>
      </c>
      <c r="M147" t="s">
        <v>2312</v>
      </c>
      <c r="N147" t="s">
        <v>2342</v>
      </c>
    </row>
    <row r="148" spans="1:14">
      <c r="A148" t="s">
        <v>3183</v>
      </c>
      <c r="B148" t="s">
        <v>3184</v>
      </c>
      <c r="C148" s="40">
        <v>45927</v>
      </c>
      <c r="D148" s="65">
        <v>81500</v>
      </c>
      <c r="E148" s="50">
        <v>5.7046999999999999</v>
      </c>
      <c r="F148" s="65">
        <v>53790</v>
      </c>
      <c r="G148" s="65">
        <v>1428634.4631000001</v>
      </c>
      <c r="H148" s="65">
        <v>1347134.4631000001</v>
      </c>
      <c r="I148" s="50">
        <v>94.295299999999997</v>
      </c>
      <c r="J148" s="65">
        <v>1428634.4631000001</v>
      </c>
      <c r="K148" s="65">
        <v>1428634.4631000001</v>
      </c>
      <c r="L148" s="50">
        <v>100</v>
      </c>
      <c r="M148" t="s">
        <v>2303</v>
      </c>
      <c r="N148" t="s">
        <v>2337</v>
      </c>
    </row>
    <row r="149" spans="1:14">
      <c r="A149" t="s">
        <v>785</v>
      </c>
      <c r="B149" t="s">
        <v>786</v>
      </c>
      <c r="C149" s="40">
        <v>45927</v>
      </c>
      <c r="D149" s="65">
        <v>3109.28</v>
      </c>
      <c r="E149" s="50">
        <v>7.6443000000000003</v>
      </c>
      <c r="F149" s="65">
        <v>85940.499200000006</v>
      </c>
      <c r="G149" s="65">
        <v>40674.639999999999</v>
      </c>
      <c r="H149" s="65">
        <v>1565.36</v>
      </c>
      <c r="I149" s="50">
        <v>3.8485</v>
      </c>
      <c r="J149" s="65">
        <v>40674.639999999999</v>
      </c>
      <c r="K149" s="65">
        <v>4674.6400000000003</v>
      </c>
      <c r="L149" s="50">
        <v>11.492800000000001</v>
      </c>
      <c r="M149" t="s">
        <v>2298</v>
      </c>
      <c r="N149" t="s">
        <v>2327</v>
      </c>
    </row>
    <row r="150" spans="1:14">
      <c r="A150" t="s">
        <v>411</v>
      </c>
      <c r="B150" t="s">
        <v>412</v>
      </c>
      <c r="C150" s="40">
        <v>45925</v>
      </c>
      <c r="D150" s="65">
        <v>3513.63</v>
      </c>
      <c r="E150" s="50">
        <v>5.9610000000000003</v>
      </c>
      <c r="F150" s="65">
        <v>139561.3836</v>
      </c>
      <c r="G150" s="65">
        <v>58943.519999999997</v>
      </c>
      <c r="H150" s="65">
        <v>5429.89</v>
      </c>
      <c r="I150" s="50">
        <v>9.2119999999999997</v>
      </c>
      <c r="J150" s="65">
        <v>58943.519999999997</v>
      </c>
      <c r="K150" s="65">
        <v>8943.52</v>
      </c>
      <c r="L150" s="50">
        <v>15.173</v>
      </c>
      <c r="M150" t="s">
        <v>2307</v>
      </c>
      <c r="N150" t="s">
        <v>2341</v>
      </c>
    </row>
    <row r="151" spans="1:14">
      <c r="A151" t="s">
        <v>1036</v>
      </c>
      <c r="B151" t="s">
        <v>1037</v>
      </c>
      <c r="C151" s="40">
        <v>45921</v>
      </c>
      <c r="D151" s="65">
        <v>1436.0604000000001</v>
      </c>
      <c r="E151" s="50">
        <v>12.6051</v>
      </c>
      <c r="F151" s="65">
        <v>63071.772768000003</v>
      </c>
      <c r="G151" s="65">
        <v>11392.686400000001</v>
      </c>
      <c r="H151" s="65">
        <v>2925.1835999999998</v>
      </c>
      <c r="I151" s="50">
        <v>25.675999999999998</v>
      </c>
      <c r="J151" s="65">
        <v>11392.686400000001</v>
      </c>
      <c r="K151" s="65">
        <v>4361.2439999999997</v>
      </c>
      <c r="L151" s="50">
        <v>38.281100000000002</v>
      </c>
      <c r="M151" t="s">
        <v>2296</v>
      </c>
      <c r="N151" t="s">
        <v>2328</v>
      </c>
    </row>
    <row r="152" spans="1:14">
      <c r="A152" t="s">
        <v>1036</v>
      </c>
      <c r="B152" t="s">
        <v>1037</v>
      </c>
      <c r="C152" s="40">
        <v>45918</v>
      </c>
      <c r="D152" s="65">
        <v>2526.9135999999999</v>
      </c>
      <c r="E152" s="50">
        <v>22.180099999999999</v>
      </c>
      <c r="F152" s="65">
        <v>112296.04038400001</v>
      </c>
      <c r="G152" s="65">
        <v>11392.686400000001</v>
      </c>
      <c r="H152" s="65">
        <v>398.27</v>
      </c>
      <c r="I152" s="50">
        <v>3.4958</v>
      </c>
      <c r="J152" s="65">
        <v>11392.686400000001</v>
      </c>
      <c r="K152" s="65">
        <v>2925.1835999999998</v>
      </c>
      <c r="L152" s="50">
        <v>25.675999999999998</v>
      </c>
      <c r="M152" t="s">
        <v>2296</v>
      </c>
      <c r="N152" t="s">
        <v>2328</v>
      </c>
    </row>
    <row r="153" spans="1:14">
      <c r="A153" t="s">
        <v>3185</v>
      </c>
      <c r="B153" t="s">
        <v>3186</v>
      </c>
      <c r="C153" s="40">
        <v>45913</v>
      </c>
      <c r="D153" s="65">
        <v>2067.3000000000002</v>
      </c>
      <c r="E153" s="50">
        <v>4.4157000000000002</v>
      </c>
      <c r="F153" s="65">
        <v>4630.7520000000004</v>
      </c>
      <c r="G153" s="65">
        <v>46817.26</v>
      </c>
      <c r="H153" s="65">
        <v>44749.96</v>
      </c>
      <c r="I153" s="50">
        <v>95.584299999999999</v>
      </c>
      <c r="J153" s="65">
        <v>46817.26</v>
      </c>
      <c r="K153" s="65">
        <v>46817.26</v>
      </c>
      <c r="L153" s="50">
        <v>100</v>
      </c>
      <c r="M153" t="s">
        <v>2296</v>
      </c>
      <c r="N153" t="s">
        <v>2328</v>
      </c>
    </row>
    <row r="154" spans="1:14">
      <c r="A154" t="s">
        <v>364</v>
      </c>
      <c r="B154" t="s">
        <v>365</v>
      </c>
      <c r="C154" s="40">
        <v>45910</v>
      </c>
      <c r="D154" s="65">
        <v>5429.08</v>
      </c>
      <c r="E154" s="50">
        <v>22.956</v>
      </c>
      <c r="F154" s="65">
        <v>181222.69039999999</v>
      </c>
      <c r="G154" s="65">
        <v>23649.98</v>
      </c>
      <c r="H154" s="65">
        <v>18220.900000000001</v>
      </c>
      <c r="I154" s="50">
        <v>77.043999999999997</v>
      </c>
      <c r="J154" s="65">
        <v>23649.98</v>
      </c>
      <c r="K154" s="65">
        <v>23649.98</v>
      </c>
      <c r="L154" s="50">
        <v>100</v>
      </c>
      <c r="M154" t="s">
        <v>2315</v>
      </c>
      <c r="N154" t="s">
        <v>2341</v>
      </c>
    </row>
    <row r="155" spans="1:14">
      <c r="A155" t="s">
        <v>614</v>
      </c>
      <c r="B155" t="s">
        <v>615</v>
      </c>
      <c r="C155" s="40">
        <v>45907</v>
      </c>
      <c r="D155" s="65">
        <v>73658.935500000007</v>
      </c>
      <c r="E155" s="50">
        <v>68.769900000000007</v>
      </c>
      <c r="F155" s="65">
        <v>192249.82165500001</v>
      </c>
      <c r="G155" s="65">
        <v>107109.23609999999</v>
      </c>
      <c r="H155" s="65">
        <v>6921.6556</v>
      </c>
      <c r="I155" s="50">
        <v>6.4622000000000002</v>
      </c>
      <c r="J155" s="65">
        <v>107109.23609999999</v>
      </c>
      <c r="K155" s="65">
        <v>80580.591100000005</v>
      </c>
      <c r="L155" s="50">
        <v>75.232200000000006</v>
      </c>
      <c r="M155" t="s">
        <v>2307</v>
      </c>
      <c r="N155" t="s">
        <v>2327</v>
      </c>
    </row>
    <row r="156" spans="1:14">
      <c r="A156" t="s">
        <v>741</v>
      </c>
      <c r="B156" t="s">
        <v>742</v>
      </c>
      <c r="C156" s="40">
        <v>45905</v>
      </c>
      <c r="D156" s="65">
        <v>6578.7</v>
      </c>
      <c r="E156" s="50">
        <v>14.552899999999999</v>
      </c>
      <c r="F156" s="65">
        <v>30459.381000000001</v>
      </c>
      <c r="G156" s="65">
        <v>45205.424400000004</v>
      </c>
      <c r="H156" s="65">
        <v>38626.724399999999</v>
      </c>
      <c r="I156" s="50">
        <v>85.447100000000006</v>
      </c>
      <c r="J156" s="65">
        <v>45205.424400000004</v>
      </c>
      <c r="K156" s="65">
        <v>45205.424400000004</v>
      </c>
      <c r="L156" s="50">
        <v>100</v>
      </c>
      <c r="M156" t="s">
        <v>2308</v>
      </c>
      <c r="N156" t="s">
        <v>2344</v>
      </c>
    </row>
    <row r="157" spans="1:14">
      <c r="A157" t="s">
        <v>295</v>
      </c>
      <c r="B157" t="s">
        <v>296</v>
      </c>
      <c r="C157" s="40">
        <v>45903</v>
      </c>
      <c r="D157" s="65">
        <v>769.26</v>
      </c>
      <c r="E157" s="50">
        <v>2.0264000000000002</v>
      </c>
      <c r="F157" s="65">
        <v>314627.34000000003</v>
      </c>
      <c r="G157" s="65">
        <v>37961.879999999997</v>
      </c>
      <c r="H157" s="65">
        <v>1192.6199999999999</v>
      </c>
      <c r="I157" s="50">
        <v>3.1415999999999999</v>
      </c>
      <c r="J157" s="65">
        <v>37961.879999999997</v>
      </c>
      <c r="K157" s="65">
        <v>1961.88</v>
      </c>
      <c r="L157" s="50">
        <v>5.1680000000000001</v>
      </c>
      <c r="M157" t="s">
        <v>2304</v>
      </c>
      <c r="N157" t="s">
        <v>2345</v>
      </c>
    </row>
    <row r="158" spans="1:14">
      <c r="A158" t="s">
        <v>1034</v>
      </c>
      <c r="B158" t="s">
        <v>1035</v>
      </c>
      <c r="C158" s="40">
        <v>45889</v>
      </c>
      <c r="D158" s="65">
        <v>14470.6173</v>
      </c>
      <c r="E158" s="50">
        <v>38.073999999999998</v>
      </c>
      <c r="F158" s="65">
        <v>221689.857036</v>
      </c>
      <c r="G158" s="65">
        <v>38006.5818</v>
      </c>
      <c r="H158" s="65">
        <v>23075.164499999999</v>
      </c>
      <c r="I158" s="50">
        <v>60.7136</v>
      </c>
      <c r="J158" s="65">
        <v>38006.5818</v>
      </c>
      <c r="K158" s="65">
        <v>37545.781799999997</v>
      </c>
      <c r="L158" s="50">
        <v>98.787599999999998</v>
      </c>
      <c r="M158" t="s">
        <v>2296</v>
      </c>
      <c r="N158" t="s">
        <v>2328</v>
      </c>
    </row>
    <row r="159" spans="1:14">
      <c r="A159" t="s">
        <v>3163</v>
      </c>
      <c r="B159" t="s">
        <v>3164</v>
      </c>
      <c r="C159" s="40">
        <v>45882</v>
      </c>
      <c r="D159" s="65">
        <v>463.6447</v>
      </c>
      <c r="E159" s="50">
        <v>0.2432</v>
      </c>
      <c r="F159" s="65">
        <v>36998.84706</v>
      </c>
      <c r="G159" s="65">
        <v>190650.29689999999</v>
      </c>
      <c r="H159" s="65">
        <v>145907.90100000001</v>
      </c>
      <c r="I159" s="50">
        <v>76.531700000000001</v>
      </c>
      <c r="J159" s="65">
        <v>190650.29689999999</v>
      </c>
      <c r="K159" s="65">
        <v>146371.54569999999</v>
      </c>
      <c r="L159" s="50">
        <v>76.774900000000002</v>
      </c>
      <c r="M159" t="s">
        <v>2300</v>
      </c>
      <c r="N159" t="s">
        <v>2333</v>
      </c>
    </row>
    <row r="160" spans="1:14">
      <c r="A160" t="s">
        <v>405</v>
      </c>
      <c r="B160" t="s">
        <v>406</v>
      </c>
      <c r="C160" s="40">
        <v>45882</v>
      </c>
      <c r="D160" s="65">
        <v>8000</v>
      </c>
      <c r="E160" s="50">
        <v>3.2906</v>
      </c>
      <c r="F160" s="65">
        <v>101600</v>
      </c>
      <c r="G160" s="65">
        <v>243114.55780000001</v>
      </c>
      <c r="H160" s="65">
        <v>235114.55780000001</v>
      </c>
      <c r="I160" s="50">
        <v>96.709400000000002</v>
      </c>
      <c r="J160" s="65">
        <v>243114.55780000001</v>
      </c>
      <c r="K160" s="65">
        <v>243114.55780000001</v>
      </c>
      <c r="L160" s="50">
        <v>100</v>
      </c>
      <c r="M160" t="s">
        <v>2304</v>
      </c>
      <c r="N160" t="s">
        <v>2336</v>
      </c>
    </row>
    <row r="161" spans="1:14">
      <c r="A161" t="s">
        <v>360</v>
      </c>
      <c r="B161" t="s">
        <v>361</v>
      </c>
      <c r="C161" s="40">
        <v>45881</v>
      </c>
      <c r="D161" s="65">
        <v>50129.538800000002</v>
      </c>
      <c r="E161" s="50">
        <v>21.078900000000001</v>
      </c>
      <c r="F161" s="65">
        <v>1167015.6632640001</v>
      </c>
      <c r="G161" s="65">
        <v>237818.58600000001</v>
      </c>
      <c r="H161" s="65">
        <v>14862.96</v>
      </c>
      <c r="I161" s="50">
        <v>6.2496999999999998</v>
      </c>
      <c r="J161" s="65">
        <v>237818.58600000001</v>
      </c>
      <c r="K161" s="65">
        <v>64992.498800000001</v>
      </c>
      <c r="L161" s="50">
        <v>27.328600000000002</v>
      </c>
      <c r="M161" t="s">
        <v>2304</v>
      </c>
      <c r="N161" t="s">
        <v>2345</v>
      </c>
    </row>
    <row r="162" spans="1:14">
      <c r="A162" t="s">
        <v>3187</v>
      </c>
      <c r="B162" t="s">
        <v>3188</v>
      </c>
      <c r="C162" s="40">
        <v>45879</v>
      </c>
      <c r="D162" s="65">
        <v>36885.245900000002</v>
      </c>
      <c r="E162" s="50">
        <v>7.9425999999999997</v>
      </c>
      <c r="F162" s="65">
        <v>134999.99999400001</v>
      </c>
      <c r="G162" s="65">
        <v>464399.73080000002</v>
      </c>
      <c r="H162" s="65">
        <v>427514.48489999998</v>
      </c>
      <c r="I162" s="50">
        <v>92.057400000000001</v>
      </c>
      <c r="J162" s="65">
        <v>464399.73080000002</v>
      </c>
      <c r="K162" s="65">
        <v>464399.73080000002</v>
      </c>
      <c r="L162" s="50">
        <v>100</v>
      </c>
      <c r="M162" t="s">
        <v>2309</v>
      </c>
      <c r="N162" t="s">
        <v>2351</v>
      </c>
    </row>
    <row r="163" spans="1:14">
      <c r="A163" t="s">
        <v>866</v>
      </c>
      <c r="B163" t="s">
        <v>867</v>
      </c>
      <c r="C163" s="40">
        <v>45877</v>
      </c>
      <c r="D163" s="65">
        <v>5658.7308000000003</v>
      </c>
      <c r="E163" s="50">
        <v>8.9215</v>
      </c>
      <c r="F163" s="65">
        <v>99650.249387999997</v>
      </c>
      <c r="G163" s="65">
        <v>63428.319100000001</v>
      </c>
      <c r="H163" s="65">
        <v>53359.588300000003</v>
      </c>
      <c r="I163" s="50">
        <v>84.125799999999998</v>
      </c>
      <c r="J163" s="65">
        <v>63428.319100000001</v>
      </c>
      <c r="K163" s="65">
        <v>59018.319100000001</v>
      </c>
      <c r="L163" s="50">
        <v>93.047300000000007</v>
      </c>
      <c r="M163" t="s">
        <v>2298</v>
      </c>
      <c r="N163" t="s">
        <v>2327</v>
      </c>
    </row>
    <row r="164" spans="1:14">
      <c r="A164" t="s">
        <v>3189</v>
      </c>
      <c r="B164" t="s">
        <v>3190</v>
      </c>
      <c r="C164" s="40">
        <v>45869</v>
      </c>
      <c r="D164" s="65">
        <v>16020.588599999999</v>
      </c>
      <c r="E164" s="50">
        <v>11.375</v>
      </c>
      <c r="F164" s="65">
        <v>4806.1765800000003</v>
      </c>
      <c r="G164" s="65">
        <v>140840.58859999999</v>
      </c>
      <c r="H164" s="65">
        <v>124820</v>
      </c>
      <c r="I164" s="50">
        <v>88.625</v>
      </c>
      <c r="J164" s="65">
        <v>140840.58859999999</v>
      </c>
      <c r="K164" s="65">
        <v>140840.58859999999</v>
      </c>
      <c r="L164" s="50">
        <v>100</v>
      </c>
      <c r="M164" t="s">
        <v>2304</v>
      </c>
      <c r="N164" t="s">
        <v>2336</v>
      </c>
    </row>
    <row r="165" spans="1:14">
      <c r="A165" t="s">
        <v>438</v>
      </c>
      <c r="B165" t="s">
        <v>439</v>
      </c>
      <c r="C165" s="40">
        <v>45865</v>
      </c>
      <c r="D165" s="65">
        <v>3500</v>
      </c>
      <c r="E165" s="50">
        <v>3.2683</v>
      </c>
      <c r="F165" s="65">
        <v>201250</v>
      </c>
      <c r="G165" s="65">
        <v>107090.4</v>
      </c>
      <c r="H165" s="65">
        <v>103590.39999999999</v>
      </c>
      <c r="I165" s="50">
        <v>96.731700000000004</v>
      </c>
      <c r="J165" s="65">
        <v>107090.4</v>
      </c>
      <c r="K165" s="65">
        <v>107090.4</v>
      </c>
      <c r="L165" s="50">
        <v>100</v>
      </c>
      <c r="M165" t="s">
        <v>2292</v>
      </c>
      <c r="N165" t="s">
        <v>2342</v>
      </c>
    </row>
    <row r="166" spans="1:14">
      <c r="A166" t="s">
        <v>919</v>
      </c>
      <c r="B166" t="s">
        <v>920</v>
      </c>
      <c r="C166" s="40">
        <v>45854</v>
      </c>
      <c r="D166" s="65">
        <v>1143.2</v>
      </c>
      <c r="E166" s="50">
        <v>8.5739999999999998</v>
      </c>
      <c r="F166" s="65">
        <v>14518.64</v>
      </c>
      <c r="G166" s="65">
        <v>13333.34</v>
      </c>
      <c r="H166" s="65">
        <v>2190.14</v>
      </c>
      <c r="I166" s="50">
        <v>16.425999999999998</v>
      </c>
      <c r="J166" s="65">
        <v>13333.34</v>
      </c>
      <c r="K166" s="65">
        <v>3333.34</v>
      </c>
      <c r="L166" s="50">
        <v>25</v>
      </c>
      <c r="M166" t="s">
        <v>2298</v>
      </c>
      <c r="N166" t="s">
        <v>2329</v>
      </c>
    </row>
    <row r="167" spans="1:14">
      <c r="A167" t="s">
        <v>743</v>
      </c>
      <c r="B167" t="s">
        <v>744</v>
      </c>
      <c r="C167" s="40">
        <v>45853</v>
      </c>
      <c r="D167" s="65">
        <v>26631.45</v>
      </c>
      <c r="E167" s="50">
        <v>72.644400000000005</v>
      </c>
      <c r="F167" s="65">
        <v>480431.35800000001</v>
      </c>
      <c r="G167" s="65">
        <v>36660</v>
      </c>
      <c r="H167" s="65">
        <v>10028.549999999999</v>
      </c>
      <c r="I167" s="50">
        <v>27.355599999999999</v>
      </c>
      <c r="J167" s="65">
        <v>36660</v>
      </c>
      <c r="K167" s="65">
        <v>36660</v>
      </c>
      <c r="L167" s="50">
        <v>100</v>
      </c>
      <c r="M167" t="s">
        <v>2298</v>
      </c>
      <c r="N167" t="s">
        <v>2327</v>
      </c>
    </row>
    <row r="168" spans="1:14">
      <c r="A168" t="s">
        <v>362</v>
      </c>
      <c r="B168" t="s">
        <v>363</v>
      </c>
      <c r="C168" s="40">
        <v>45850</v>
      </c>
      <c r="D168" s="65">
        <v>31096.3318</v>
      </c>
      <c r="E168" s="50">
        <v>84.965299999999999</v>
      </c>
      <c r="F168" s="65">
        <v>1492623.9264</v>
      </c>
      <c r="G168" s="65">
        <v>36598.881800000003</v>
      </c>
      <c r="H168" s="65">
        <v>5502.55</v>
      </c>
      <c r="I168" s="50">
        <v>15.034700000000001</v>
      </c>
      <c r="J168" s="65">
        <v>36598.881800000003</v>
      </c>
      <c r="K168" s="65">
        <v>36598.881800000003</v>
      </c>
      <c r="L168" s="50">
        <v>100</v>
      </c>
      <c r="M168" t="s">
        <v>2297</v>
      </c>
      <c r="N168" t="s">
        <v>2352</v>
      </c>
    </row>
    <row r="169" spans="1:14">
      <c r="A169" t="s">
        <v>755</v>
      </c>
      <c r="B169" t="s">
        <v>756</v>
      </c>
      <c r="C169" s="40">
        <v>45848</v>
      </c>
      <c r="D169" s="65">
        <v>33953.900600000001</v>
      </c>
      <c r="E169" s="50">
        <v>67.907799999999995</v>
      </c>
      <c r="F169" s="65">
        <v>33953.900600000001</v>
      </c>
      <c r="G169" s="65">
        <v>50000</v>
      </c>
      <c r="H169" s="65">
        <v>16046.099399999999</v>
      </c>
      <c r="I169" s="50">
        <v>32.092199999999998</v>
      </c>
      <c r="J169" s="65">
        <v>50000</v>
      </c>
      <c r="K169" s="65">
        <v>50000</v>
      </c>
      <c r="L169" s="50">
        <v>100</v>
      </c>
      <c r="M169" t="s">
        <v>2323</v>
      </c>
      <c r="N169" t="s">
        <v>2353</v>
      </c>
    </row>
    <row r="170" spans="1:14">
      <c r="A170" t="s">
        <v>481</v>
      </c>
      <c r="B170" t="s">
        <v>482</v>
      </c>
      <c r="C170" s="40">
        <v>45848</v>
      </c>
      <c r="D170" s="65">
        <v>63010.548199999997</v>
      </c>
      <c r="E170" s="50">
        <v>47.013399999999997</v>
      </c>
      <c r="F170" s="65">
        <v>238809.977678</v>
      </c>
      <c r="G170" s="65">
        <v>134026.7457</v>
      </c>
      <c r="H170" s="65">
        <v>71016.197499999995</v>
      </c>
      <c r="I170" s="50">
        <v>52.986600000000003</v>
      </c>
      <c r="J170" s="65">
        <v>134026.7457</v>
      </c>
      <c r="K170" s="65">
        <v>134026.7457</v>
      </c>
      <c r="L170" s="50">
        <v>100</v>
      </c>
      <c r="M170" t="s">
        <v>2296</v>
      </c>
      <c r="N170" t="s">
        <v>2347</v>
      </c>
    </row>
    <row r="171" spans="1:14">
      <c r="A171" t="s">
        <v>492</v>
      </c>
      <c r="B171" t="s">
        <v>493</v>
      </c>
      <c r="C171" s="40">
        <v>45848</v>
      </c>
      <c r="D171" s="65">
        <v>2351.7289999999998</v>
      </c>
      <c r="E171" s="50">
        <v>11.521699999999999</v>
      </c>
      <c r="F171" s="65">
        <v>23470.255420000001</v>
      </c>
      <c r="G171" s="65">
        <v>20411.385200000001</v>
      </c>
      <c r="H171" s="65">
        <v>18059.656200000001</v>
      </c>
      <c r="I171" s="50">
        <v>88.478300000000004</v>
      </c>
      <c r="J171" s="65">
        <v>20411.385200000001</v>
      </c>
      <c r="K171" s="65">
        <v>20411.385200000001</v>
      </c>
      <c r="L171" s="50">
        <v>100</v>
      </c>
      <c r="M171" t="s">
        <v>2309</v>
      </c>
      <c r="N171" t="s">
        <v>2351</v>
      </c>
    </row>
    <row r="172" spans="1:14">
      <c r="A172" t="s">
        <v>641</v>
      </c>
      <c r="B172" t="s">
        <v>642</v>
      </c>
      <c r="C172" s="40">
        <v>45848</v>
      </c>
      <c r="D172" s="65">
        <v>10434.2839</v>
      </c>
      <c r="E172" s="50">
        <v>41.8626</v>
      </c>
      <c r="F172" s="65">
        <v>1519231.73584</v>
      </c>
      <c r="G172" s="65">
        <v>24925.094499999999</v>
      </c>
      <c r="H172" s="65">
        <v>2546.2800000000002</v>
      </c>
      <c r="I172" s="50">
        <v>10.2157</v>
      </c>
      <c r="J172" s="65">
        <v>24925.094499999999</v>
      </c>
      <c r="K172" s="65">
        <v>12980.563899999999</v>
      </c>
      <c r="L172" s="50">
        <v>52.078299999999999</v>
      </c>
      <c r="M172" t="s">
        <v>2299</v>
      </c>
      <c r="N172" t="s">
        <v>2330</v>
      </c>
    </row>
    <row r="173" spans="1:14">
      <c r="A173" t="s">
        <v>651</v>
      </c>
      <c r="B173" t="s">
        <v>652</v>
      </c>
      <c r="C173" s="40">
        <v>45848</v>
      </c>
      <c r="D173" s="65">
        <v>862.59130000000005</v>
      </c>
      <c r="E173" s="50">
        <v>24.2818</v>
      </c>
      <c r="F173" s="65">
        <v>59260.02231</v>
      </c>
      <c r="G173" s="65">
        <v>3552.4209999999998</v>
      </c>
      <c r="H173" s="65">
        <v>1990.1047000000001</v>
      </c>
      <c r="I173" s="50">
        <v>56.021099999999997</v>
      </c>
      <c r="J173" s="65">
        <v>3552.4209999999998</v>
      </c>
      <c r="K173" s="65">
        <v>2852.6959999999999</v>
      </c>
      <c r="L173" s="50">
        <v>80.302899999999994</v>
      </c>
      <c r="M173" t="s">
        <v>2298</v>
      </c>
      <c r="N173" t="s">
        <v>2327</v>
      </c>
    </row>
    <row r="174" spans="1:14">
      <c r="A174" t="s">
        <v>483</v>
      </c>
      <c r="B174" t="s">
        <v>484</v>
      </c>
      <c r="C174" s="40">
        <v>45847</v>
      </c>
      <c r="D174" s="65">
        <v>10137</v>
      </c>
      <c r="E174" s="50">
        <v>17.480799999999999</v>
      </c>
      <c r="F174" s="65">
        <v>16726.05</v>
      </c>
      <c r="G174" s="65">
        <v>57989.4</v>
      </c>
      <c r="H174" s="65">
        <v>2631.4</v>
      </c>
      <c r="I174" s="50">
        <v>4.5377000000000001</v>
      </c>
      <c r="J174" s="65">
        <v>57989.4</v>
      </c>
      <c r="K174" s="65">
        <v>12768.4</v>
      </c>
      <c r="L174" s="50">
        <v>22.0185</v>
      </c>
      <c r="M174" t="s">
        <v>2303</v>
      </c>
      <c r="N174" t="s">
        <v>2348</v>
      </c>
    </row>
    <row r="175" spans="1:14">
      <c r="A175" t="s">
        <v>683</v>
      </c>
      <c r="B175" t="s">
        <v>684</v>
      </c>
      <c r="C175" s="40">
        <v>45847</v>
      </c>
      <c r="D175" s="65">
        <v>8158.0047999999997</v>
      </c>
      <c r="E175" s="50">
        <v>36.112299999999998</v>
      </c>
      <c r="F175" s="65">
        <v>186002.50943999999</v>
      </c>
      <c r="G175" s="65">
        <v>22590.6754</v>
      </c>
      <c r="H175" s="65">
        <v>926.2</v>
      </c>
      <c r="I175" s="50">
        <v>4.0998999999999999</v>
      </c>
      <c r="J175" s="65">
        <v>22590.6754</v>
      </c>
      <c r="K175" s="65">
        <v>9084.2047999999995</v>
      </c>
      <c r="L175" s="50">
        <v>40.212200000000003</v>
      </c>
      <c r="M175" t="s">
        <v>2298</v>
      </c>
      <c r="N175" t="s">
        <v>2340</v>
      </c>
    </row>
    <row r="176" spans="1:14">
      <c r="A176" t="s">
        <v>773</v>
      </c>
      <c r="B176" t="s">
        <v>774</v>
      </c>
      <c r="C176" s="40">
        <v>45847</v>
      </c>
      <c r="D176" s="65">
        <v>244.3</v>
      </c>
      <c r="E176" s="50">
        <v>24.43</v>
      </c>
      <c r="F176" s="65">
        <v>5802.125</v>
      </c>
      <c r="G176" s="65">
        <v>1000</v>
      </c>
      <c r="H176" s="65">
        <v>755.7</v>
      </c>
      <c r="I176" s="50">
        <v>75.569999999999993</v>
      </c>
      <c r="J176" s="65">
        <v>1000</v>
      </c>
      <c r="K176" s="65">
        <v>1000</v>
      </c>
      <c r="L176" s="50">
        <v>100</v>
      </c>
      <c r="M176" t="s">
        <v>2297</v>
      </c>
      <c r="N176" t="s">
        <v>2349</v>
      </c>
    </row>
    <row r="177" spans="1:14">
      <c r="A177" t="s">
        <v>860</v>
      </c>
      <c r="B177" t="s">
        <v>861</v>
      </c>
      <c r="C177" s="40">
        <v>45847</v>
      </c>
      <c r="D177" s="65">
        <v>2054.5</v>
      </c>
      <c r="E177" s="50">
        <v>2.0545</v>
      </c>
      <c r="F177" s="65">
        <v>1890.14</v>
      </c>
      <c r="G177" s="65">
        <v>100000</v>
      </c>
      <c r="H177" s="65">
        <v>20206.5</v>
      </c>
      <c r="I177" s="50">
        <v>20.206499999999998</v>
      </c>
      <c r="J177" s="65">
        <v>100000</v>
      </c>
      <c r="K177" s="65">
        <v>22261</v>
      </c>
      <c r="L177" s="50">
        <v>22.260999999999999</v>
      </c>
      <c r="M177" t="s">
        <v>2305</v>
      </c>
      <c r="N177" t="s">
        <v>2339</v>
      </c>
    </row>
    <row r="178" spans="1:14">
      <c r="A178" t="s">
        <v>970</v>
      </c>
      <c r="B178" t="s">
        <v>971</v>
      </c>
      <c r="C178" s="40">
        <v>45846</v>
      </c>
      <c r="D178" s="65">
        <v>11640.6</v>
      </c>
      <c r="E178" s="50">
        <v>9.1928000000000001</v>
      </c>
      <c r="F178" s="65">
        <v>66467.826000000001</v>
      </c>
      <c r="G178" s="65">
        <v>126627.8</v>
      </c>
      <c r="H178" s="65">
        <v>6470.6</v>
      </c>
      <c r="I178" s="50">
        <v>5.1098999999999997</v>
      </c>
      <c r="J178" s="65">
        <v>126627.8</v>
      </c>
      <c r="K178" s="65">
        <v>18111.2</v>
      </c>
      <c r="L178" s="50">
        <v>14.3027</v>
      </c>
      <c r="M178" t="s">
        <v>2292</v>
      </c>
      <c r="N178" t="s">
        <v>2326</v>
      </c>
    </row>
    <row r="179" spans="1:14">
      <c r="A179" t="s">
        <v>731</v>
      </c>
      <c r="B179" t="s">
        <v>732</v>
      </c>
      <c r="C179" s="40">
        <v>45841</v>
      </c>
      <c r="D179" s="65">
        <v>35944.453000000001</v>
      </c>
      <c r="E179" s="50">
        <v>56.163200000000003</v>
      </c>
      <c r="F179" s="65">
        <v>13658.89214</v>
      </c>
      <c r="G179" s="65">
        <v>64000</v>
      </c>
      <c r="H179" s="65">
        <v>28055.546999999999</v>
      </c>
      <c r="I179" s="50">
        <v>43.836799999999997</v>
      </c>
      <c r="J179" s="65">
        <v>64000</v>
      </c>
      <c r="K179" s="65">
        <v>64000</v>
      </c>
      <c r="L179" s="50">
        <v>100</v>
      </c>
      <c r="M179" t="s">
        <v>2316</v>
      </c>
      <c r="N179" t="s">
        <v>2354</v>
      </c>
    </row>
    <row r="180" spans="1:14">
      <c r="A180" t="s">
        <v>643</v>
      </c>
      <c r="B180" t="s">
        <v>644</v>
      </c>
      <c r="C180" s="40">
        <v>45841</v>
      </c>
      <c r="D180" s="65">
        <v>585.48</v>
      </c>
      <c r="E180" s="50">
        <v>8.7821999999999996</v>
      </c>
      <c r="F180" s="65">
        <v>3624.1212</v>
      </c>
      <c r="G180" s="65">
        <v>6666.68</v>
      </c>
      <c r="H180" s="65">
        <v>1081.2</v>
      </c>
      <c r="I180" s="50">
        <v>16.218</v>
      </c>
      <c r="J180" s="65">
        <v>6666.68</v>
      </c>
      <c r="K180" s="65">
        <v>1666.68</v>
      </c>
      <c r="L180" s="50">
        <v>25.0001</v>
      </c>
      <c r="M180" t="s">
        <v>2306</v>
      </c>
      <c r="N180" t="s">
        <v>2324</v>
      </c>
    </row>
    <row r="181" spans="1:14">
      <c r="A181" t="s">
        <v>896</v>
      </c>
      <c r="B181" t="s">
        <v>897</v>
      </c>
      <c r="C181" s="40">
        <v>45840</v>
      </c>
      <c r="D181" s="65">
        <v>8339.5813999999991</v>
      </c>
      <c r="E181" s="50">
        <v>55.597200000000001</v>
      </c>
      <c r="F181" s="65">
        <v>7505.6232600000003</v>
      </c>
      <c r="G181" s="65">
        <v>15000</v>
      </c>
      <c r="H181" s="65">
        <v>6660.4186</v>
      </c>
      <c r="I181" s="50">
        <v>44.402799999999999</v>
      </c>
      <c r="J181" s="65">
        <v>15000</v>
      </c>
      <c r="K181" s="65">
        <v>15000</v>
      </c>
      <c r="L181" s="50">
        <v>100</v>
      </c>
      <c r="M181" t="s">
        <v>2295</v>
      </c>
      <c r="N181" t="s">
        <v>2332</v>
      </c>
    </row>
    <row r="182" spans="1:14">
      <c r="A182" t="s">
        <v>588</v>
      </c>
      <c r="B182" t="s">
        <v>589</v>
      </c>
      <c r="C182" s="40">
        <v>45839</v>
      </c>
      <c r="D182" s="65">
        <v>56959.646500000003</v>
      </c>
      <c r="E182" s="50">
        <v>64.896100000000004</v>
      </c>
      <c r="F182" s="65">
        <v>981984.30565999995</v>
      </c>
      <c r="G182" s="65">
        <v>87770.48</v>
      </c>
      <c r="H182" s="65">
        <v>1219.3</v>
      </c>
      <c r="I182" s="50">
        <v>1.3892</v>
      </c>
      <c r="J182" s="65">
        <v>87770.48</v>
      </c>
      <c r="K182" s="65">
        <v>58178.946499999998</v>
      </c>
      <c r="L182" s="50">
        <v>66.285300000000007</v>
      </c>
      <c r="M182" t="s">
        <v>2292</v>
      </c>
      <c r="N182" t="s">
        <v>2326</v>
      </c>
    </row>
    <row r="183" spans="1:14">
      <c r="A183" t="s">
        <v>749</v>
      </c>
      <c r="B183" t="s">
        <v>750</v>
      </c>
      <c r="C183" s="40">
        <v>45838</v>
      </c>
      <c r="D183" s="65">
        <v>334.2</v>
      </c>
      <c r="E183" s="50">
        <v>2.7648000000000001</v>
      </c>
      <c r="F183" s="65">
        <v>34923.9</v>
      </c>
      <c r="G183" s="65">
        <v>12087.8233</v>
      </c>
      <c r="H183" s="65">
        <v>369.35500000000002</v>
      </c>
      <c r="I183" s="50">
        <v>3.0556000000000001</v>
      </c>
      <c r="J183" s="65">
        <v>12087.8233</v>
      </c>
      <c r="K183" s="65">
        <v>703.55499999999995</v>
      </c>
      <c r="L183" s="50">
        <v>5.8204000000000002</v>
      </c>
      <c r="M183" t="s">
        <v>2292</v>
      </c>
      <c r="N183" t="s">
        <v>2327</v>
      </c>
    </row>
    <row r="184" spans="1:14">
      <c r="A184" t="s">
        <v>735</v>
      </c>
      <c r="B184" t="s">
        <v>736</v>
      </c>
      <c r="C184" s="40">
        <v>45838</v>
      </c>
      <c r="D184" s="65">
        <v>2512.13</v>
      </c>
      <c r="E184" s="50">
        <v>2.8519999999999999</v>
      </c>
      <c r="F184" s="65">
        <v>93576.842499999999</v>
      </c>
      <c r="G184" s="65">
        <v>88081.665299999993</v>
      </c>
      <c r="H184" s="65">
        <v>2190.71</v>
      </c>
      <c r="I184" s="50">
        <v>2.4870999999999999</v>
      </c>
      <c r="J184" s="65">
        <v>88081.665299999993</v>
      </c>
      <c r="K184" s="65">
        <v>4702.84</v>
      </c>
      <c r="L184" s="50">
        <v>5.3391999999999999</v>
      </c>
      <c r="M184" t="s">
        <v>2295</v>
      </c>
      <c r="N184" t="s">
        <v>2331</v>
      </c>
    </row>
    <row r="185" spans="1:14">
      <c r="A185" t="s">
        <v>3191</v>
      </c>
      <c r="B185" t="s">
        <v>3192</v>
      </c>
      <c r="C185" s="40">
        <v>45837</v>
      </c>
      <c r="D185" s="65">
        <v>80000</v>
      </c>
      <c r="E185" s="50">
        <v>3.0830000000000002</v>
      </c>
      <c r="F185" s="65">
        <v>4716000</v>
      </c>
      <c r="G185" s="65">
        <v>2594916.9682</v>
      </c>
      <c r="H185" s="65">
        <v>2063288.7873</v>
      </c>
      <c r="I185" s="50">
        <v>79.512699999999995</v>
      </c>
      <c r="J185" s="65">
        <v>2594916.9682</v>
      </c>
      <c r="K185" s="65">
        <v>2143288.7873</v>
      </c>
      <c r="L185" s="50">
        <v>82.595699999999994</v>
      </c>
      <c r="M185" t="s">
        <v>2294</v>
      </c>
      <c r="N185" t="s">
        <v>2329</v>
      </c>
    </row>
    <row r="186" spans="1:14">
      <c r="A186" t="s">
        <v>785</v>
      </c>
      <c r="B186" t="s">
        <v>786</v>
      </c>
      <c r="C186" s="40">
        <v>45836</v>
      </c>
      <c r="D186" s="65">
        <v>68.58</v>
      </c>
      <c r="E186" s="50">
        <v>0.17150000000000001</v>
      </c>
      <c r="F186" s="65">
        <v>1831.086</v>
      </c>
      <c r="G186" s="65">
        <v>39994.639999999999</v>
      </c>
      <c r="H186" s="65">
        <v>816.78</v>
      </c>
      <c r="I186" s="50">
        <v>2.0421999999999998</v>
      </c>
      <c r="J186" s="65">
        <v>39994.639999999999</v>
      </c>
      <c r="K186" s="65">
        <v>885.36</v>
      </c>
      <c r="L186" s="50">
        <v>2.2136999999999998</v>
      </c>
      <c r="M186" t="s">
        <v>2298</v>
      </c>
      <c r="N186" t="s">
        <v>2327</v>
      </c>
    </row>
    <row r="187" spans="1:14">
      <c r="A187" t="s">
        <v>649</v>
      </c>
      <c r="B187" t="s">
        <v>650</v>
      </c>
      <c r="C187" s="40">
        <v>45836</v>
      </c>
      <c r="D187" s="65">
        <v>65987.328899999993</v>
      </c>
      <c r="E187" s="50">
        <v>64.798900000000003</v>
      </c>
      <c r="F187" s="65">
        <v>73245.935079000003</v>
      </c>
      <c r="G187" s="65">
        <v>101834.0365</v>
      </c>
      <c r="H187" s="65">
        <v>35846.707600000002</v>
      </c>
      <c r="I187" s="50">
        <v>35.201099999999997</v>
      </c>
      <c r="J187" s="65">
        <v>101834.0365</v>
      </c>
      <c r="K187" s="65">
        <v>101834.0365</v>
      </c>
      <c r="L187" s="50">
        <v>100</v>
      </c>
      <c r="M187" t="s">
        <v>2309</v>
      </c>
      <c r="N187" t="s">
        <v>2351</v>
      </c>
    </row>
    <row r="188" spans="1:14">
      <c r="A188" t="s">
        <v>446</v>
      </c>
      <c r="B188" t="s">
        <v>447</v>
      </c>
      <c r="C188" s="40">
        <v>45836</v>
      </c>
      <c r="D188" s="65">
        <v>6905.0659999999998</v>
      </c>
      <c r="E188" s="50">
        <v>39.988399999999999</v>
      </c>
      <c r="F188" s="65">
        <v>6055742.8820000002</v>
      </c>
      <c r="G188" s="65">
        <v>17267.669999999998</v>
      </c>
      <c r="H188" s="65">
        <v>7042.31</v>
      </c>
      <c r="I188" s="50">
        <v>40.783200000000001</v>
      </c>
      <c r="J188" s="65">
        <v>17267.669999999998</v>
      </c>
      <c r="K188" s="65">
        <v>13947.376</v>
      </c>
      <c r="L188" s="50">
        <v>80.771600000000007</v>
      </c>
      <c r="M188" t="s">
        <v>2314</v>
      </c>
      <c r="N188" t="s">
        <v>2350</v>
      </c>
    </row>
    <row r="189" spans="1:14">
      <c r="A189" t="s">
        <v>809</v>
      </c>
      <c r="B189" t="s">
        <v>810</v>
      </c>
      <c r="C189" s="40">
        <v>45836</v>
      </c>
      <c r="D189" s="65">
        <v>4530</v>
      </c>
      <c r="E189" s="50">
        <v>90.386300000000006</v>
      </c>
      <c r="F189" s="65">
        <v>294450</v>
      </c>
      <c r="G189" s="65">
        <v>5011.82</v>
      </c>
      <c r="H189" s="65">
        <v>481.82</v>
      </c>
      <c r="I189" s="50">
        <v>9.6136999999999997</v>
      </c>
      <c r="J189" s="65">
        <v>5011.82</v>
      </c>
      <c r="K189" s="65">
        <v>5011.82</v>
      </c>
      <c r="L189" s="50">
        <v>100</v>
      </c>
      <c r="M189" t="s">
        <v>2298</v>
      </c>
      <c r="N189" t="s">
        <v>2327</v>
      </c>
    </row>
    <row r="190" spans="1:14">
      <c r="A190" t="s">
        <v>3171</v>
      </c>
      <c r="B190" t="s">
        <v>3172</v>
      </c>
      <c r="C190" s="40">
        <v>45832</v>
      </c>
      <c r="D190" s="65">
        <v>400</v>
      </c>
      <c r="E190" s="50">
        <v>2.7027000000000001</v>
      </c>
      <c r="F190" s="65">
        <v>752</v>
      </c>
      <c r="G190" s="65">
        <v>14800</v>
      </c>
      <c r="H190" s="65">
        <v>14100</v>
      </c>
      <c r="I190" s="50">
        <v>95.270300000000006</v>
      </c>
      <c r="J190" s="65">
        <v>14800</v>
      </c>
      <c r="K190" s="65">
        <v>14500</v>
      </c>
      <c r="L190" s="50">
        <v>97.972999999999999</v>
      </c>
      <c r="M190" t="s">
        <v>2308</v>
      </c>
      <c r="N190" t="s">
        <v>2344</v>
      </c>
    </row>
    <row r="191" spans="1:14">
      <c r="A191" t="s">
        <v>3193</v>
      </c>
      <c r="B191" t="s">
        <v>3194</v>
      </c>
      <c r="C191" s="40">
        <v>45831</v>
      </c>
      <c r="D191" s="65">
        <v>63000</v>
      </c>
      <c r="E191" s="50">
        <v>4.7973999999999997</v>
      </c>
      <c r="F191" s="65">
        <v>40320</v>
      </c>
      <c r="G191" s="65">
        <v>1313208.2050999999</v>
      </c>
      <c r="H191" s="65">
        <v>1250208.2050999999</v>
      </c>
      <c r="I191" s="50">
        <v>95.202600000000004</v>
      </c>
      <c r="J191" s="65">
        <v>1313208.2050999999</v>
      </c>
      <c r="K191" s="65">
        <v>1313208.2050999999</v>
      </c>
      <c r="L191" s="50">
        <v>100</v>
      </c>
      <c r="M191" t="s">
        <v>2307</v>
      </c>
      <c r="N191" t="s">
        <v>2341</v>
      </c>
    </row>
    <row r="192" spans="1:14">
      <c r="A192" t="s">
        <v>876</v>
      </c>
      <c r="B192" t="s">
        <v>877</v>
      </c>
      <c r="C192" s="40">
        <v>45831</v>
      </c>
      <c r="D192" s="65">
        <v>476.56</v>
      </c>
      <c r="E192" s="50">
        <v>1.179</v>
      </c>
      <c r="F192" s="65">
        <v>25972.52</v>
      </c>
      <c r="G192" s="65">
        <v>40419.54</v>
      </c>
      <c r="H192" s="65">
        <v>3942.98</v>
      </c>
      <c r="I192" s="50">
        <v>9.7551000000000005</v>
      </c>
      <c r="J192" s="65">
        <v>40419.54</v>
      </c>
      <c r="K192" s="65">
        <v>4419.54</v>
      </c>
      <c r="L192" s="50">
        <v>10.934200000000001</v>
      </c>
      <c r="M192" t="s">
        <v>2298</v>
      </c>
      <c r="N192" t="s">
        <v>2329</v>
      </c>
    </row>
    <row r="193" spans="1:14">
      <c r="A193" t="s">
        <v>3177</v>
      </c>
      <c r="B193" t="s">
        <v>3178</v>
      </c>
      <c r="C193" s="40">
        <v>45828</v>
      </c>
      <c r="D193" s="65">
        <v>2430.7321999999999</v>
      </c>
      <c r="E193" s="50">
        <v>6.9752999999999998</v>
      </c>
      <c r="F193" s="65">
        <v>175620.40145</v>
      </c>
      <c r="G193" s="65">
        <v>34847.751100000001</v>
      </c>
      <c r="H193" s="65">
        <v>32417.018899999999</v>
      </c>
      <c r="I193" s="50">
        <v>93.024699999999996</v>
      </c>
      <c r="J193" s="65">
        <v>34847.751100000001</v>
      </c>
      <c r="K193" s="65">
        <v>34847.751100000001</v>
      </c>
      <c r="L193" s="50">
        <v>100</v>
      </c>
      <c r="M193" t="s">
        <v>2296</v>
      </c>
      <c r="N193" t="s">
        <v>2328</v>
      </c>
    </row>
    <row r="194" spans="1:14">
      <c r="A194" t="s">
        <v>892</v>
      </c>
      <c r="B194" t="s">
        <v>893</v>
      </c>
      <c r="C194" s="40">
        <v>45827</v>
      </c>
      <c r="D194" s="65">
        <v>746.56</v>
      </c>
      <c r="E194" s="50">
        <v>5.5991999999999997</v>
      </c>
      <c r="F194" s="65">
        <v>1276.6176</v>
      </c>
      <c r="G194" s="65">
        <v>13333.36</v>
      </c>
      <c r="H194" s="65">
        <v>2586.8000000000002</v>
      </c>
      <c r="I194" s="50">
        <v>19.401</v>
      </c>
      <c r="J194" s="65">
        <v>13333.36</v>
      </c>
      <c r="K194" s="65">
        <v>3333.36</v>
      </c>
      <c r="L194" s="50">
        <v>25.0001</v>
      </c>
      <c r="M194" t="s">
        <v>2292</v>
      </c>
      <c r="N194" t="s">
        <v>2342</v>
      </c>
    </row>
    <row r="195" spans="1:14">
      <c r="A195" t="s">
        <v>3195</v>
      </c>
      <c r="B195" t="s">
        <v>3196</v>
      </c>
      <c r="C195" s="40">
        <v>45826</v>
      </c>
      <c r="D195" s="65">
        <v>6250</v>
      </c>
      <c r="E195" s="50">
        <v>1.2089000000000001</v>
      </c>
      <c r="F195" s="65">
        <v>8500</v>
      </c>
      <c r="G195" s="65">
        <v>517000</v>
      </c>
      <c r="H195" s="65">
        <v>510750</v>
      </c>
      <c r="I195" s="50">
        <v>98.7911</v>
      </c>
      <c r="J195" s="65">
        <v>517000</v>
      </c>
      <c r="K195" s="65">
        <v>517000</v>
      </c>
      <c r="L195" s="50">
        <v>100</v>
      </c>
      <c r="M195" t="s">
        <v>2292</v>
      </c>
      <c r="N195" t="s">
        <v>2340</v>
      </c>
    </row>
    <row r="196" spans="1:14">
      <c r="A196" t="s">
        <v>472</v>
      </c>
      <c r="B196" t="s">
        <v>473</v>
      </c>
      <c r="C196" s="40">
        <v>45826</v>
      </c>
      <c r="D196" s="65">
        <v>5015.0842000000002</v>
      </c>
      <c r="E196" s="50">
        <v>53.752200000000002</v>
      </c>
      <c r="F196" s="65">
        <v>34303.175927999997</v>
      </c>
      <c r="G196" s="65">
        <v>9330</v>
      </c>
      <c r="H196" s="65">
        <v>4314.9157999999998</v>
      </c>
      <c r="I196" s="50">
        <v>46.247799999999998</v>
      </c>
      <c r="J196" s="65">
        <v>9330</v>
      </c>
      <c r="K196" s="65">
        <v>9330</v>
      </c>
      <c r="L196" s="50">
        <v>100</v>
      </c>
      <c r="M196" t="s">
        <v>2303</v>
      </c>
      <c r="N196" t="s">
        <v>2337</v>
      </c>
    </row>
    <row r="197" spans="1:14">
      <c r="A197" t="s">
        <v>691</v>
      </c>
      <c r="B197" t="s">
        <v>692</v>
      </c>
      <c r="C197" s="40">
        <v>45822</v>
      </c>
      <c r="D197" s="65">
        <v>34500</v>
      </c>
      <c r="E197" s="50">
        <v>75</v>
      </c>
      <c r="F197" s="65">
        <v>135930</v>
      </c>
      <c r="G197" s="65">
        <v>46000</v>
      </c>
      <c r="H197" s="65">
        <v>11500</v>
      </c>
      <c r="I197" s="50">
        <v>25</v>
      </c>
      <c r="J197" s="65">
        <v>46000</v>
      </c>
      <c r="K197" s="65">
        <v>46000</v>
      </c>
      <c r="L197" s="50">
        <v>100</v>
      </c>
      <c r="M197" t="s">
        <v>2298</v>
      </c>
      <c r="N197" t="s">
        <v>2340</v>
      </c>
    </row>
    <row r="198" spans="1:14">
      <c r="A198" t="s">
        <v>463</v>
      </c>
      <c r="B198" t="s">
        <v>464</v>
      </c>
      <c r="C198" s="40">
        <v>45818</v>
      </c>
      <c r="D198" s="65">
        <v>2611.6</v>
      </c>
      <c r="E198" s="50">
        <v>5.3277999999999999</v>
      </c>
      <c r="F198" s="65">
        <v>285447.88</v>
      </c>
      <c r="G198" s="65">
        <v>49018.69</v>
      </c>
      <c r="H198" s="65">
        <v>6407.09</v>
      </c>
      <c r="I198" s="50">
        <v>13.0707</v>
      </c>
      <c r="J198" s="65">
        <v>49018.69</v>
      </c>
      <c r="K198" s="65">
        <v>9018.69</v>
      </c>
      <c r="L198" s="50">
        <v>18.398499999999999</v>
      </c>
      <c r="M198" t="s">
        <v>2292</v>
      </c>
      <c r="N198" t="s">
        <v>2342</v>
      </c>
    </row>
    <row r="199" spans="1:14">
      <c r="A199" t="s">
        <v>633</v>
      </c>
      <c r="B199" t="s">
        <v>634</v>
      </c>
      <c r="C199" s="40">
        <v>45815</v>
      </c>
      <c r="D199" s="65">
        <v>18217.039199999999</v>
      </c>
      <c r="E199" s="50">
        <v>49.764899999999997</v>
      </c>
      <c r="F199" s="65">
        <v>300581.14679999999</v>
      </c>
      <c r="G199" s="65">
        <v>36606.183199999999</v>
      </c>
      <c r="H199" s="65">
        <v>7695.7682000000004</v>
      </c>
      <c r="I199" s="50">
        <v>21.023099999999999</v>
      </c>
      <c r="J199" s="65">
        <v>36606.183199999999</v>
      </c>
      <c r="K199" s="65">
        <v>25912.807400000002</v>
      </c>
      <c r="L199" s="50">
        <v>70.7881</v>
      </c>
      <c r="M199" t="s">
        <v>2292</v>
      </c>
      <c r="N199" t="s">
        <v>2326</v>
      </c>
    </row>
    <row r="200" spans="1:14">
      <c r="A200" t="s">
        <v>538</v>
      </c>
      <c r="B200" t="s">
        <v>539</v>
      </c>
      <c r="C200" s="40">
        <v>45814</v>
      </c>
      <c r="D200" s="65">
        <v>1006.5</v>
      </c>
      <c r="E200" s="50">
        <v>1.1188</v>
      </c>
      <c r="F200" s="65">
        <v>9914.0249999999996</v>
      </c>
      <c r="G200" s="65">
        <v>89963.273300000001</v>
      </c>
      <c r="H200" s="65">
        <v>38711.559800000003</v>
      </c>
      <c r="I200" s="50">
        <v>43.0304</v>
      </c>
      <c r="J200" s="65">
        <v>89963.273300000001</v>
      </c>
      <c r="K200" s="65">
        <v>39718.059800000003</v>
      </c>
      <c r="L200" s="50">
        <v>44.1492</v>
      </c>
      <c r="M200" t="s">
        <v>2298</v>
      </c>
      <c r="N200" t="s">
        <v>2327</v>
      </c>
    </row>
    <row r="201" spans="1:14">
      <c r="A201" t="s">
        <v>637</v>
      </c>
      <c r="B201" t="s">
        <v>638</v>
      </c>
      <c r="C201" s="40">
        <v>45814</v>
      </c>
      <c r="D201" s="65">
        <v>218.12799999999999</v>
      </c>
      <c r="E201" s="50">
        <v>2.5316000000000001</v>
      </c>
      <c r="F201" s="65">
        <v>46897.52</v>
      </c>
      <c r="G201" s="65">
        <v>8616.2471000000005</v>
      </c>
      <c r="H201" s="65">
        <v>3133.7354</v>
      </c>
      <c r="I201" s="50">
        <v>36.370100000000001</v>
      </c>
      <c r="J201" s="65">
        <v>8616.2471000000005</v>
      </c>
      <c r="K201" s="65">
        <v>3351.8634000000002</v>
      </c>
      <c r="L201" s="50">
        <v>38.901699999999998</v>
      </c>
      <c r="M201" t="s">
        <v>2297</v>
      </c>
      <c r="N201" t="s">
        <v>2333</v>
      </c>
    </row>
    <row r="202" spans="1:14">
      <c r="A202" t="s">
        <v>929</v>
      </c>
      <c r="B202" t="s">
        <v>930</v>
      </c>
      <c r="C202" s="40">
        <v>45811</v>
      </c>
      <c r="D202" s="65">
        <v>35062.5</v>
      </c>
      <c r="E202" s="50">
        <v>68.414599999999993</v>
      </c>
      <c r="F202" s="65">
        <v>7187.8125</v>
      </c>
      <c r="G202" s="65">
        <v>51250</v>
      </c>
      <c r="H202" s="65">
        <v>16187.5</v>
      </c>
      <c r="I202" s="50">
        <v>31.5854</v>
      </c>
      <c r="J202" s="65">
        <v>51250</v>
      </c>
      <c r="K202" s="65">
        <v>51250</v>
      </c>
      <c r="L202" s="50">
        <v>100</v>
      </c>
      <c r="M202" t="s">
        <v>2295</v>
      </c>
      <c r="N202" t="s">
        <v>2331</v>
      </c>
    </row>
    <row r="203" spans="1:14">
      <c r="A203" t="s">
        <v>3133</v>
      </c>
      <c r="B203" t="s">
        <v>3134</v>
      </c>
      <c r="C203" s="40">
        <v>45810</v>
      </c>
      <c r="D203" s="65">
        <v>1752.7696000000001</v>
      </c>
      <c r="E203" s="50">
        <v>16.666699999999999</v>
      </c>
      <c r="F203" s="65">
        <v>6292.4428639999996</v>
      </c>
      <c r="G203" s="65">
        <v>10516.6176</v>
      </c>
      <c r="H203" s="65">
        <v>8763.848</v>
      </c>
      <c r="I203" s="50">
        <v>83.333299999999994</v>
      </c>
      <c r="J203" s="65">
        <v>10516.6176</v>
      </c>
      <c r="K203" s="65">
        <v>10516.6176</v>
      </c>
      <c r="L203" s="50">
        <v>100</v>
      </c>
      <c r="M203" t="s">
        <v>2296</v>
      </c>
      <c r="N203" t="s">
        <v>2328</v>
      </c>
    </row>
    <row r="204" spans="1:14">
      <c r="A204" t="s">
        <v>3197</v>
      </c>
      <c r="B204" t="s">
        <v>3198</v>
      </c>
      <c r="C204" s="40">
        <v>45808</v>
      </c>
      <c r="D204" s="65">
        <v>562.5</v>
      </c>
      <c r="E204" s="50">
        <v>0.87490000000000001</v>
      </c>
      <c r="F204" s="65">
        <v>1226.25</v>
      </c>
      <c r="G204" s="65">
        <v>64290</v>
      </c>
      <c r="H204" s="65">
        <v>63727.5</v>
      </c>
      <c r="I204" s="50">
        <v>99.125100000000003</v>
      </c>
      <c r="J204" s="65">
        <v>64290</v>
      </c>
      <c r="K204" s="65">
        <v>64290</v>
      </c>
      <c r="L204" s="50">
        <v>100</v>
      </c>
      <c r="M204" t="s">
        <v>2306</v>
      </c>
      <c r="N204" t="s">
        <v>2324</v>
      </c>
    </row>
    <row r="205" spans="1:14">
      <c r="A205" t="s">
        <v>297</v>
      </c>
      <c r="B205" t="s">
        <v>298</v>
      </c>
      <c r="C205" s="40">
        <v>45806</v>
      </c>
      <c r="D205" s="65">
        <v>1748</v>
      </c>
      <c r="E205" s="50">
        <v>6.4024000000000001</v>
      </c>
      <c r="F205" s="65">
        <v>28667.200000000001</v>
      </c>
      <c r="G205" s="65">
        <v>27302.346600000001</v>
      </c>
      <c r="H205" s="65">
        <v>19123.68</v>
      </c>
      <c r="I205" s="50">
        <v>70.0441</v>
      </c>
      <c r="J205" s="65">
        <v>27302.346600000001</v>
      </c>
      <c r="K205" s="65">
        <v>20871.68</v>
      </c>
      <c r="L205" s="50">
        <v>76.4465</v>
      </c>
      <c r="M205" t="s">
        <v>2311</v>
      </c>
      <c r="N205" t="s">
        <v>2350</v>
      </c>
    </row>
    <row r="206" spans="1:14">
      <c r="A206" t="s">
        <v>3199</v>
      </c>
      <c r="B206" t="s">
        <v>3200</v>
      </c>
      <c r="C206" s="40">
        <v>45806</v>
      </c>
      <c r="D206" s="65">
        <v>122000</v>
      </c>
      <c r="E206" s="50">
        <v>44.567599999999999</v>
      </c>
      <c r="F206" s="65">
        <v>17934</v>
      </c>
      <c r="G206" s="65">
        <v>273741.7279</v>
      </c>
      <c r="H206" s="65">
        <v>151741.7279</v>
      </c>
      <c r="I206" s="50">
        <v>55.432400000000001</v>
      </c>
      <c r="J206" s="65">
        <v>273741.7279</v>
      </c>
      <c r="K206" s="65">
        <v>273741.7279</v>
      </c>
      <c r="L206" s="50">
        <v>100</v>
      </c>
      <c r="M206" t="s">
        <v>2311</v>
      </c>
      <c r="N206" t="s">
        <v>2324</v>
      </c>
    </row>
    <row r="207" spans="1:14">
      <c r="A207" t="s">
        <v>598</v>
      </c>
      <c r="B207" t="s">
        <v>599</v>
      </c>
      <c r="C207" s="40">
        <v>45805</v>
      </c>
      <c r="D207" s="65">
        <v>32995.5</v>
      </c>
      <c r="E207" s="50">
        <v>74.493600000000001</v>
      </c>
      <c r="F207" s="65">
        <v>92387.4</v>
      </c>
      <c r="G207" s="65">
        <v>44293.05</v>
      </c>
      <c r="H207" s="65">
        <v>11297.55</v>
      </c>
      <c r="I207" s="50">
        <v>25.506399999999999</v>
      </c>
      <c r="J207" s="65">
        <v>44293.05</v>
      </c>
      <c r="K207" s="65">
        <v>44293.05</v>
      </c>
      <c r="L207" s="50">
        <v>100</v>
      </c>
      <c r="M207" t="s">
        <v>2301</v>
      </c>
      <c r="N207" t="s">
        <v>2351</v>
      </c>
    </row>
    <row r="208" spans="1:14">
      <c r="A208" t="s">
        <v>575</v>
      </c>
      <c r="B208" t="s">
        <v>576</v>
      </c>
      <c r="C208" s="40">
        <v>45805</v>
      </c>
      <c r="D208" s="65">
        <v>2254.34</v>
      </c>
      <c r="E208" s="50">
        <v>9.1864000000000008</v>
      </c>
      <c r="F208" s="65">
        <v>13593.6702</v>
      </c>
      <c r="G208" s="65">
        <v>24539.88</v>
      </c>
      <c r="H208" s="65">
        <v>2108.6799999999998</v>
      </c>
      <c r="I208" s="50">
        <v>8.5929000000000002</v>
      </c>
      <c r="J208" s="65">
        <v>24539.88</v>
      </c>
      <c r="K208" s="65">
        <v>4363.0200000000004</v>
      </c>
      <c r="L208" s="50">
        <v>17.779299999999999</v>
      </c>
      <c r="M208" t="s">
        <v>2296</v>
      </c>
      <c r="N208" t="s">
        <v>2328</v>
      </c>
    </row>
    <row r="209" spans="1:14">
      <c r="A209" t="s">
        <v>226</v>
      </c>
      <c r="B209" t="s">
        <v>227</v>
      </c>
      <c r="C209" s="40">
        <v>45804</v>
      </c>
      <c r="D209" s="65">
        <v>4640.76</v>
      </c>
      <c r="E209" s="50">
        <v>27.2986</v>
      </c>
      <c r="F209" s="65">
        <v>183310.02</v>
      </c>
      <c r="G209" s="65">
        <v>17000</v>
      </c>
      <c r="H209" s="65">
        <v>12359.24</v>
      </c>
      <c r="I209" s="50">
        <v>72.701400000000007</v>
      </c>
      <c r="J209" s="65">
        <v>17000</v>
      </c>
      <c r="K209" s="65">
        <v>17000</v>
      </c>
      <c r="L209" s="50">
        <v>100</v>
      </c>
      <c r="M209" t="s">
        <v>2321</v>
      </c>
      <c r="N209" t="s">
        <v>2351</v>
      </c>
    </row>
    <row r="210" spans="1:14">
      <c r="A210" t="s">
        <v>631</v>
      </c>
      <c r="B210" t="s">
        <v>632</v>
      </c>
      <c r="C210" s="40">
        <v>45804</v>
      </c>
      <c r="D210" s="65">
        <v>10316.1396</v>
      </c>
      <c r="E210" s="50">
        <v>39.268799999999999</v>
      </c>
      <c r="F210" s="65">
        <v>922262.88023999997</v>
      </c>
      <c r="G210" s="65">
        <v>26270.544600000001</v>
      </c>
      <c r="H210" s="65">
        <v>15954.405000000001</v>
      </c>
      <c r="I210" s="50">
        <v>60.731200000000001</v>
      </c>
      <c r="J210" s="65">
        <v>26270.544600000001</v>
      </c>
      <c r="K210" s="65">
        <v>26270.544600000001</v>
      </c>
      <c r="L210" s="50">
        <v>100</v>
      </c>
      <c r="M210" t="s">
        <v>2308</v>
      </c>
      <c r="N210" t="s">
        <v>2344</v>
      </c>
    </row>
    <row r="211" spans="1:14">
      <c r="A211" t="s">
        <v>781</v>
      </c>
      <c r="B211" t="s">
        <v>782</v>
      </c>
      <c r="C211" s="40">
        <v>45803</v>
      </c>
      <c r="D211" s="65">
        <v>10000</v>
      </c>
      <c r="E211" s="50">
        <v>12.0097</v>
      </c>
      <c r="F211" s="65">
        <v>38400</v>
      </c>
      <c r="G211" s="65">
        <v>83266.242800000007</v>
      </c>
      <c r="H211" s="65">
        <v>73266.242800000007</v>
      </c>
      <c r="I211" s="50">
        <v>87.990300000000005</v>
      </c>
      <c r="J211" s="65">
        <v>83266.242800000007</v>
      </c>
      <c r="K211" s="65">
        <v>83266.242800000007</v>
      </c>
      <c r="L211" s="50">
        <v>100</v>
      </c>
      <c r="M211" t="s">
        <v>2318</v>
      </c>
      <c r="N211" t="s">
        <v>2338</v>
      </c>
    </row>
    <row r="212" spans="1:14">
      <c r="A212" t="s">
        <v>1020</v>
      </c>
      <c r="B212" t="s">
        <v>1021</v>
      </c>
      <c r="C212" s="40">
        <v>45801</v>
      </c>
      <c r="D212" s="65">
        <v>10000</v>
      </c>
      <c r="E212" s="50">
        <v>63.829700000000003</v>
      </c>
      <c r="F212" s="65">
        <v>52800</v>
      </c>
      <c r="G212" s="65">
        <v>15666.68</v>
      </c>
      <c r="H212" s="65">
        <v>5666.68</v>
      </c>
      <c r="I212" s="50">
        <v>36.170299999999997</v>
      </c>
      <c r="J212" s="65">
        <v>15666.68</v>
      </c>
      <c r="K212" s="65">
        <v>15666.68</v>
      </c>
      <c r="L212" s="50">
        <v>100</v>
      </c>
      <c r="M212" t="s">
        <v>2296</v>
      </c>
      <c r="N212" t="s">
        <v>2328</v>
      </c>
    </row>
    <row r="213" spans="1:14">
      <c r="A213" t="s">
        <v>592</v>
      </c>
      <c r="B213" t="s">
        <v>593</v>
      </c>
      <c r="C213" s="40">
        <v>45793</v>
      </c>
      <c r="D213" s="65">
        <v>16210.42</v>
      </c>
      <c r="E213" s="50">
        <v>63.255299999999998</v>
      </c>
      <c r="F213" s="65">
        <v>658953.57299999997</v>
      </c>
      <c r="G213" s="65">
        <v>25626.99</v>
      </c>
      <c r="H213" s="65">
        <v>9416.57</v>
      </c>
      <c r="I213" s="50">
        <v>36.744700000000002</v>
      </c>
      <c r="J213" s="65">
        <v>25626.99</v>
      </c>
      <c r="K213" s="65">
        <v>25626.99</v>
      </c>
      <c r="L213" s="50">
        <v>100</v>
      </c>
      <c r="M213" t="s">
        <v>2298</v>
      </c>
      <c r="N213" t="s">
        <v>2327</v>
      </c>
    </row>
    <row r="214" spans="1:14">
      <c r="A214" t="s">
        <v>769</v>
      </c>
      <c r="B214" t="s">
        <v>770</v>
      </c>
      <c r="C214" s="40">
        <v>45792</v>
      </c>
      <c r="D214" s="65">
        <v>484.29</v>
      </c>
      <c r="E214" s="50">
        <v>4.625</v>
      </c>
      <c r="F214" s="65">
        <v>62473.41</v>
      </c>
      <c r="G214" s="65">
        <v>10471.056</v>
      </c>
      <c r="H214" s="65">
        <v>5196.1466</v>
      </c>
      <c r="I214" s="50">
        <v>49.623899999999999</v>
      </c>
      <c r="J214" s="65">
        <v>10471.056</v>
      </c>
      <c r="K214" s="65">
        <v>5680.4366</v>
      </c>
      <c r="L214" s="50">
        <v>54.248899999999999</v>
      </c>
      <c r="M214" t="s">
        <v>2297</v>
      </c>
      <c r="N214" t="s">
        <v>2332</v>
      </c>
    </row>
    <row r="215" spans="1:14">
      <c r="A215" t="s">
        <v>355</v>
      </c>
      <c r="B215" t="s">
        <v>356</v>
      </c>
      <c r="C215" s="40">
        <v>45785</v>
      </c>
      <c r="D215" s="65">
        <v>701.28</v>
      </c>
      <c r="E215" s="50">
        <v>1.6890000000000001</v>
      </c>
      <c r="F215" s="65">
        <v>5245.5744000000004</v>
      </c>
      <c r="G215" s="65">
        <v>41520.5916</v>
      </c>
      <c r="H215" s="65">
        <v>2288.19</v>
      </c>
      <c r="I215" s="50">
        <v>5.5110000000000001</v>
      </c>
      <c r="J215" s="65">
        <v>41520.5916</v>
      </c>
      <c r="K215" s="65">
        <v>2989.47</v>
      </c>
      <c r="L215" s="50">
        <v>7.2</v>
      </c>
      <c r="M215" t="s">
        <v>2311</v>
      </c>
      <c r="N215" t="s">
        <v>2338</v>
      </c>
    </row>
    <row r="216" spans="1:14">
      <c r="A216" t="s">
        <v>925</v>
      </c>
      <c r="B216" t="s">
        <v>926</v>
      </c>
      <c r="C216" s="40">
        <v>45784</v>
      </c>
      <c r="D216" s="65">
        <v>133304.5386</v>
      </c>
      <c r="E216" s="50">
        <v>33.161900000000003</v>
      </c>
      <c r="F216" s="65">
        <v>619866.10449000006</v>
      </c>
      <c r="G216" s="65">
        <v>401981.17609999998</v>
      </c>
      <c r="H216" s="65">
        <v>225391.7335</v>
      </c>
      <c r="I216" s="50">
        <v>56.0702</v>
      </c>
      <c r="J216" s="65">
        <v>401981.17609999998</v>
      </c>
      <c r="K216" s="65">
        <v>358696.2721</v>
      </c>
      <c r="L216" s="50">
        <v>89.232100000000003</v>
      </c>
      <c r="M216" t="s">
        <v>2296</v>
      </c>
      <c r="N216" t="s">
        <v>2327</v>
      </c>
    </row>
    <row r="217" spans="1:14">
      <c r="A217" t="s">
        <v>3201</v>
      </c>
      <c r="B217" t="s">
        <v>3202</v>
      </c>
      <c r="C217" s="40">
        <v>45782</v>
      </c>
      <c r="D217" s="65">
        <v>1542.6</v>
      </c>
      <c r="E217" s="50">
        <v>1.7744</v>
      </c>
      <c r="F217" s="65">
        <v>701.88300000000004</v>
      </c>
      <c r="G217" s="65">
        <v>86935.367400000003</v>
      </c>
      <c r="H217" s="65">
        <v>85392.767399999997</v>
      </c>
      <c r="I217" s="50">
        <v>98.2256</v>
      </c>
      <c r="J217" s="65">
        <v>86935.367400000003</v>
      </c>
      <c r="K217" s="65">
        <v>86935.367400000003</v>
      </c>
      <c r="L217" s="50">
        <v>100</v>
      </c>
      <c r="M217" t="s">
        <v>2323</v>
      </c>
      <c r="N217" t="s">
        <v>2353</v>
      </c>
    </row>
    <row r="218" spans="1:14">
      <c r="A218" t="s">
        <v>381</v>
      </c>
      <c r="B218" t="s">
        <v>382</v>
      </c>
      <c r="C218" s="40">
        <v>45778</v>
      </c>
      <c r="D218" s="65">
        <v>26977.616000000002</v>
      </c>
      <c r="E218" s="50">
        <v>16.202500000000001</v>
      </c>
      <c r="F218" s="65">
        <v>169149.65231999999</v>
      </c>
      <c r="G218" s="65">
        <v>166503.1</v>
      </c>
      <c r="H218" s="65">
        <v>15745</v>
      </c>
      <c r="I218" s="50">
        <v>9.4563000000000006</v>
      </c>
      <c r="J218" s="65">
        <v>166503.1</v>
      </c>
      <c r="K218" s="65">
        <v>42722.616000000002</v>
      </c>
      <c r="L218" s="50">
        <v>25.658799999999999</v>
      </c>
      <c r="M218" t="s">
        <v>2321</v>
      </c>
      <c r="N218" t="s">
        <v>2351</v>
      </c>
    </row>
    <row r="219" spans="1:14">
      <c r="A219" t="s">
        <v>972</v>
      </c>
      <c r="B219" t="s">
        <v>973</v>
      </c>
      <c r="C219" s="40">
        <v>45778</v>
      </c>
      <c r="D219" s="65">
        <v>1110.8399999999999</v>
      </c>
      <c r="E219" s="50">
        <v>3.0468000000000002</v>
      </c>
      <c r="F219" s="65">
        <v>4898.8044</v>
      </c>
      <c r="G219" s="65">
        <v>36458.800000000003</v>
      </c>
      <c r="H219" s="65">
        <v>347.96</v>
      </c>
      <c r="I219" s="50">
        <v>0.95440000000000003</v>
      </c>
      <c r="J219" s="65">
        <v>36458.800000000003</v>
      </c>
      <c r="K219" s="65">
        <v>1458.8</v>
      </c>
      <c r="L219" s="50">
        <v>4.0011999999999999</v>
      </c>
      <c r="M219" t="s">
        <v>2296</v>
      </c>
      <c r="N219" t="s">
        <v>2328</v>
      </c>
    </row>
    <row r="220" spans="1:14">
      <c r="A220" t="s">
        <v>352</v>
      </c>
      <c r="B220" t="s">
        <v>353</v>
      </c>
      <c r="C220" s="40">
        <v>45777</v>
      </c>
      <c r="D220" s="65">
        <v>2000</v>
      </c>
      <c r="E220" s="50">
        <v>20</v>
      </c>
      <c r="F220" s="65">
        <v>9380</v>
      </c>
      <c r="G220" s="65">
        <v>10000</v>
      </c>
      <c r="H220" s="65">
        <v>8000</v>
      </c>
      <c r="I220" s="50">
        <v>80</v>
      </c>
      <c r="J220" s="65">
        <v>10000</v>
      </c>
      <c r="K220" s="65">
        <v>10000</v>
      </c>
      <c r="L220" s="50">
        <v>100</v>
      </c>
      <c r="M220" t="s">
        <v>2297</v>
      </c>
      <c r="N220" t="s">
        <v>2337</v>
      </c>
    </row>
    <row r="221" spans="1:14">
      <c r="A221" t="s">
        <v>3173</v>
      </c>
      <c r="B221" t="s">
        <v>3174</v>
      </c>
      <c r="C221" s="40">
        <v>45776</v>
      </c>
      <c r="D221" s="65">
        <v>80000</v>
      </c>
      <c r="E221" s="50">
        <v>13.1309</v>
      </c>
      <c r="F221" s="65">
        <v>13680</v>
      </c>
      <c r="G221" s="65">
        <v>609251.53899999999</v>
      </c>
      <c r="H221" s="65">
        <v>489251.53899999999</v>
      </c>
      <c r="I221" s="50">
        <v>80.303700000000006</v>
      </c>
      <c r="J221" s="65">
        <v>609251.53899999999</v>
      </c>
      <c r="K221" s="65">
        <v>569251.53899999999</v>
      </c>
      <c r="L221" s="50">
        <v>93.434600000000003</v>
      </c>
      <c r="M221" t="s">
        <v>2306</v>
      </c>
      <c r="N221" t="s">
        <v>2324</v>
      </c>
    </row>
    <row r="222" spans="1:14">
      <c r="A222" t="s">
        <v>858</v>
      </c>
      <c r="B222" t="s">
        <v>859</v>
      </c>
      <c r="C222" s="40">
        <v>45772</v>
      </c>
      <c r="D222" s="65">
        <v>434.7826</v>
      </c>
      <c r="E222" s="50">
        <v>2.0148000000000001</v>
      </c>
      <c r="F222" s="65">
        <v>208.69564800000001</v>
      </c>
      <c r="G222" s="65">
        <v>21579.474900000001</v>
      </c>
      <c r="H222" s="65">
        <v>4960.2174000000005</v>
      </c>
      <c r="I222" s="50">
        <v>22.985800000000001</v>
      </c>
      <c r="J222" s="65">
        <v>21579.474900000001</v>
      </c>
      <c r="K222" s="65">
        <v>5395</v>
      </c>
      <c r="L222" s="50">
        <v>25.000599999999999</v>
      </c>
      <c r="M222" t="s">
        <v>2305</v>
      </c>
      <c r="N222" t="s">
        <v>2339</v>
      </c>
    </row>
    <row r="223" spans="1:14">
      <c r="A223" t="s">
        <v>542</v>
      </c>
      <c r="B223" t="s">
        <v>543</v>
      </c>
      <c r="C223" s="40">
        <v>45771</v>
      </c>
      <c r="D223" s="65">
        <v>954381.27910000004</v>
      </c>
      <c r="E223" s="50">
        <v>72.3</v>
      </c>
      <c r="F223" s="65">
        <v>5344535.1629600003</v>
      </c>
      <c r="G223" s="65">
        <v>1320029.3681999999</v>
      </c>
      <c r="H223" s="65">
        <v>109781.04</v>
      </c>
      <c r="I223" s="50">
        <v>8.3165999999999993</v>
      </c>
      <c r="J223" s="65">
        <v>1320029.3681999999</v>
      </c>
      <c r="K223" s="65">
        <v>1064162.3191</v>
      </c>
      <c r="L223" s="50">
        <v>80.616600000000005</v>
      </c>
      <c r="M223" t="s">
        <v>2298</v>
      </c>
      <c r="N223" t="s">
        <v>2329</v>
      </c>
    </row>
    <row r="224" spans="1:14">
      <c r="A224" t="s">
        <v>777</v>
      </c>
      <c r="B224" t="s">
        <v>778</v>
      </c>
      <c r="C224" s="40">
        <v>45771</v>
      </c>
      <c r="D224" s="65">
        <v>46064.377699999997</v>
      </c>
      <c r="E224" s="50">
        <v>29.948899999999998</v>
      </c>
      <c r="F224" s="65">
        <v>19116.716745500002</v>
      </c>
      <c r="G224" s="65">
        <v>153810.05369999999</v>
      </c>
      <c r="H224" s="65">
        <v>107745.67600000001</v>
      </c>
      <c r="I224" s="50">
        <v>70.051100000000005</v>
      </c>
      <c r="J224" s="65">
        <v>153810.05369999999</v>
      </c>
      <c r="K224" s="65">
        <v>153810.05369999999</v>
      </c>
      <c r="L224" s="50">
        <v>100</v>
      </c>
      <c r="M224" t="s">
        <v>2298</v>
      </c>
      <c r="N224" t="s">
        <v>2327</v>
      </c>
    </row>
    <row r="225" spans="1:14">
      <c r="A225" t="s">
        <v>220</v>
      </c>
      <c r="B225" t="s">
        <v>393</v>
      </c>
      <c r="C225" s="40">
        <v>45770</v>
      </c>
      <c r="D225" s="65">
        <v>132987.08499999999</v>
      </c>
      <c r="E225" s="50">
        <v>90</v>
      </c>
      <c r="F225" s="65">
        <v>1098473.3221</v>
      </c>
      <c r="G225" s="65">
        <v>147763.42499999999</v>
      </c>
      <c r="H225" s="65">
        <v>14776.34</v>
      </c>
      <c r="I225" s="50">
        <v>10</v>
      </c>
      <c r="J225" s="65">
        <v>147763.42499999999</v>
      </c>
      <c r="K225" s="65">
        <v>147763.42499999999</v>
      </c>
      <c r="L225" s="50">
        <v>100</v>
      </c>
      <c r="M225" t="s">
        <v>2304</v>
      </c>
      <c r="N225" t="s">
        <v>2345</v>
      </c>
    </row>
    <row r="226" spans="1:14">
      <c r="A226" t="s">
        <v>858</v>
      </c>
      <c r="B226" t="s">
        <v>859</v>
      </c>
      <c r="C226" s="40">
        <v>45770</v>
      </c>
      <c r="D226" s="65">
        <v>4666.5982999999997</v>
      </c>
      <c r="E226" s="50">
        <v>21.6252</v>
      </c>
      <c r="F226" s="65">
        <v>2333.2991499999998</v>
      </c>
      <c r="G226" s="65">
        <v>21579.474900000001</v>
      </c>
      <c r="H226" s="65">
        <v>293.6191</v>
      </c>
      <c r="I226" s="50">
        <v>1.3606</v>
      </c>
      <c r="J226" s="65">
        <v>21579.474900000001</v>
      </c>
      <c r="K226" s="65">
        <v>4960.2174000000005</v>
      </c>
      <c r="L226" s="50">
        <v>22.985800000000001</v>
      </c>
      <c r="M226" t="s">
        <v>2305</v>
      </c>
      <c r="N226" t="s">
        <v>2339</v>
      </c>
    </row>
    <row r="227" spans="1:14">
      <c r="A227" t="s">
        <v>331</v>
      </c>
      <c r="B227" t="s">
        <v>332</v>
      </c>
      <c r="C227" s="40">
        <v>45770</v>
      </c>
      <c r="D227" s="65">
        <v>16599.28</v>
      </c>
      <c r="E227" s="50">
        <v>6.9215999999999998</v>
      </c>
      <c r="F227" s="65">
        <v>240357.57440000001</v>
      </c>
      <c r="G227" s="65">
        <v>239819.66</v>
      </c>
      <c r="H227" s="65">
        <v>23220.38</v>
      </c>
      <c r="I227" s="50">
        <v>9.6823999999999995</v>
      </c>
      <c r="J227" s="65">
        <v>239819.66</v>
      </c>
      <c r="K227" s="65">
        <v>39819.660000000003</v>
      </c>
      <c r="L227" s="50">
        <v>16.603999999999999</v>
      </c>
      <c r="M227" t="s">
        <v>2304</v>
      </c>
      <c r="N227" t="s">
        <v>2336</v>
      </c>
    </row>
    <row r="228" spans="1:14">
      <c r="A228" t="s">
        <v>3203</v>
      </c>
      <c r="B228" t="s">
        <v>3204</v>
      </c>
      <c r="C228" s="40">
        <v>45762</v>
      </c>
      <c r="D228" s="65">
        <v>720</v>
      </c>
      <c r="E228" s="50">
        <v>3.4542999999999999</v>
      </c>
      <c r="F228" s="65">
        <v>2217.6</v>
      </c>
      <c r="G228" s="65">
        <v>20843.7</v>
      </c>
      <c r="H228" s="65">
        <v>20123.7</v>
      </c>
      <c r="I228" s="50">
        <v>96.545699999999997</v>
      </c>
      <c r="J228" s="65">
        <v>20843.7</v>
      </c>
      <c r="K228" s="65">
        <v>20843.7</v>
      </c>
      <c r="L228" s="50">
        <v>100</v>
      </c>
      <c r="M228" t="s">
        <v>2310</v>
      </c>
      <c r="N228" t="s">
        <v>2343</v>
      </c>
    </row>
    <row r="229" spans="1:14">
      <c r="A229" t="s">
        <v>3205</v>
      </c>
      <c r="B229" t="s">
        <v>3206</v>
      </c>
      <c r="C229" s="40">
        <v>45759</v>
      </c>
      <c r="D229" s="65">
        <v>26000</v>
      </c>
      <c r="E229" s="50">
        <v>61.621600000000001</v>
      </c>
      <c r="F229" s="65">
        <v>702</v>
      </c>
      <c r="G229" s="65">
        <v>42193</v>
      </c>
      <c r="H229" s="65">
        <v>16193</v>
      </c>
      <c r="I229" s="50">
        <v>38.378399999999999</v>
      </c>
      <c r="J229" s="65">
        <v>42193</v>
      </c>
      <c r="K229" s="65">
        <v>42193</v>
      </c>
      <c r="L229" s="50">
        <v>100</v>
      </c>
      <c r="M229" t="s">
        <v>2309</v>
      </c>
      <c r="N229" t="s">
        <v>2339</v>
      </c>
    </row>
    <row r="230" spans="1:14">
      <c r="A230" t="s">
        <v>337</v>
      </c>
      <c r="B230" t="s">
        <v>338</v>
      </c>
      <c r="C230" s="40">
        <v>45758</v>
      </c>
      <c r="D230" s="65">
        <v>69323.874299999996</v>
      </c>
      <c r="E230" s="50">
        <v>45.0349</v>
      </c>
      <c r="F230" s="65">
        <v>66550.919328000004</v>
      </c>
      <c r="G230" s="65">
        <v>153933.75</v>
      </c>
      <c r="H230" s="65">
        <v>76065.020300000004</v>
      </c>
      <c r="I230" s="50">
        <v>49.414099999999998</v>
      </c>
      <c r="J230" s="65">
        <v>153933.75</v>
      </c>
      <c r="K230" s="65">
        <v>145388.8946</v>
      </c>
      <c r="L230" s="50">
        <v>94.448999999999998</v>
      </c>
      <c r="M230" t="s">
        <v>2304</v>
      </c>
      <c r="N230" t="s">
        <v>2347</v>
      </c>
    </row>
    <row r="231" spans="1:14">
      <c r="A231" t="s">
        <v>3151</v>
      </c>
      <c r="B231" t="s">
        <v>3152</v>
      </c>
      <c r="C231" s="40">
        <v>45756</v>
      </c>
      <c r="D231" s="65">
        <v>6437</v>
      </c>
      <c r="E231" s="50">
        <v>4.1544999999999996</v>
      </c>
      <c r="F231" s="65">
        <v>23816.9</v>
      </c>
      <c r="G231" s="65">
        <v>154939.28769999999</v>
      </c>
      <c r="H231" s="65">
        <v>148502.28769999999</v>
      </c>
      <c r="I231" s="50">
        <v>95.845500000000001</v>
      </c>
      <c r="J231" s="65">
        <v>154939.28769999999</v>
      </c>
      <c r="K231" s="65">
        <v>154939.28769999999</v>
      </c>
      <c r="L231" s="50">
        <v>100</v>
      </c>
      <c r="M231" t="s">
        <v>2310</v>
      </c>
      <c r="N231" t="s">
        <v>2343</v>
      </c>
    </row>
    <row r="232" spans="1:14">
      <c r="A232" t="s">
        <v>540</v>
      </c>
      <c r="B232" t="s">
        <v>541</v>
      </c>
      <c r="C232" s="40">
        <v>45750</v>
      </c>
      <c r="D232" s="65">
        <v>5418.3</v>
      </c>
      <c r="E232" s="50">
        <v>9.7627000000000006</v>
      </c>
      <c r="F232" s="65">
        <v>27524.964</v>
      </c>
      <c r="G232" s="65">
        <v>55500.26</v>
      </c>
      <c r="H232" s="65">
        <v>9921.76</v>
      </c>
      <c r="I232" s="50">
        <v>17.876999999999999</v>
      </c>
      <c r="J232" s="65">
        <v>55500.26</v>
      </c>
      <c r="K232" s="65">
        <v>15340.06</v>
      </c>
      <c r="L232" s="50">
        <v>27.639600000000002</v>
      </c>
      <c r="M232" t="s">
        <v>2299</v>
      </c>
      <c r="N232" t="s">
        <v>2342</v>
      </c>
    </row>
    <row r="233" spans="1:14">
      <c r="A233" t="s">
        <v>3207</v>
      </c>
      <c r="B233" t="s">
        <v>3208</v>
      </c>
      <c r="C233" s="40">
        <v>45746</v>
      </c>
      <c r="D233" s="65">
        <v>47666.666700000002</v>
      </c>
      <c r="E233" s="50">
        <v>24.727</v>
      </c>
      <c r="F233" s="65">
        <v>7197.6666716999998</v>
      </c>
      <c r="G233" s="65">
        <v>192771.6667</v>
      </c>
      <c r="H233" s="65">
        <v>145105</v>
      </c>
      <c r="I233" s="50">
        <v>75.272999999999996</v>
      </c>
      <c r="J233" s="65">
        <v>192771.6667</v>
      </c>
      <c r="K233" s="65">
        <v>192771.6667</v>
      </c>
      <c r="L233" s="50">
        <v>100</v>
      </c>
      <c r="M233" t="s">
        <v>2310</v>
      </c>
      <c r="N233" t="s">
        <v>2343</v>
      </c>
    </row>
    <row r="234" spans="1:14">
      <c r="A234" t="s">
        <v>629</v>
      </c>
      <c r="B234" t="s">
        <v>630</v>
      </c>
      <c r="C234" s="40">
        <v>45744</v>
      </c>
      <c r="D234" s="65">
        <v>35436.876400000001</v>
      </c>
      <c r="E234" s="50">
        <v>33.097499999999997</v>
      </c>
      <c r="F234" s="65">
        <v>255145.51008000001</v>
      </c>
      <c r="G234" s="65">
        <v>107068</v>
      </c>
      <c r="H234" s="65">
        <v>5592</v>
      </c>
      <c r="I234" s="50">
        <v>5.2228000000000003</v>
      </c>
      <c r="J234" s="65">
        <v>107068</v>
      </c>
      <c r="K234" s="65">
        <v>41028.876400000001</v>
      </c>
      <c r="L234" s="50">
        <v>38.320399999999999</v>
      </c>
      <c r="M234" t="s">
        <v>2310</v>
      </c>
      <c r="N234" t="s">
        <v>2327</v>
      </c>
    </row>
    <row r="235" spans="1:14">
      <c r="A235" t="s">
        <v>933</v>
      </c>
      <c r="B235" t="s">
        <v>934</v>
      </c>
      <c r="C235" s="40">
        <v>45744</v>
      </c>
      <c r="D235" s="65">
        <v>27363.627499999999</v>
      </c>
      <c r="E235" s="50">
        <v>54.7273</v>
      </c>
      <c r="F235" s="65">
        <v>25174.5373</v>
      </c>
      <c r="G235" s="65">
        <v>50000</v>
      </c>
      <c r="H235" s="65">
        <v>22636.372500000001</v>
      </c>
      <c r="I235" s="50">
        <v>45.2727</v>
      </c>
      <c r="J235" s="65">
        <v>50000</v>
      </c>
      <c r="K235" s="65">
        <v>50000</v>
      </c>
      <c r="L235" s="50">
        <v>100</v>
      </c>
      <c r="M235" t="s">
        <v>2302</v>
      </c>
      <c r="N235" t="s">
        <v>2336</v>
      </c>
    </row>
    <row r="236" spans="1:14">
      <c r="A236" t="s">
        <v>3209</v>
      </c>
      <c r="B236" t="s">
        <v>3210</v>
      </c>
      <c r="C236" s="40">
        <v>45743</v>
      </c>
      <c r="D236" s="65">
        <v>2000</v>
      </c>
      <c r="E236" s="50">
        <v>4.2830000000000004</v>
      </c>
      <c r="F236" s="65">
        <v>6320</v>
      </c>
      <c r="G236" s="65">
        <v>46696.183599999997</v>
      </c>
      <c r="H236" s="65">
        <v>44696.183599999997</v>
      </c>
      <c r="I236" s="50">
        <v>95.716999999999999</v>
      </c>
      <c r="J236" s="65">
        <v>46696.183599999997</v>
      </c>
      <c r="K236" s="65">
        <v>46696.183599999997</v>
      </c>
      <c r="L236" s="50">
        <v>100</v>
      </c>
      <c r="M236" t="s">
        <v>2308</v>
      </c>
      <c r="N236" t="s">
        <v>2344</v>
      </c>
    </row>
    <row r="237" spans="1:14">
      <c r="A237" t="s">
        <v>848</v>
      </c>
      <c r="B237" t="s">
        <v>849</v>
      </c>
      <c r="C237" s="40">
        <v>45742</v>
      </c>
      <c r="D237" s="65">
        <v>58685.866199999997</v>
      </c>
      <c r="E237" s="50">
        <v>72.757599999999996</v>
      </c>
      <c r="F237" s="65">
        <v>178405.03324799999</v>
      </c>
      <c r="G237" s="65">
        <v>80659.399999999994</v>
      </c>
      <c r="H237" s="65">
        <v>21973.533800000001</v>
      </c>
      <c r="I237" s="50">
        <v>27.2424</v>
      </c>
      <c r="J237" s="65">
        <v>80659.399999999994</v>
      </c>
      <c r="K237" s="65">
        <v>80659.399999999994</v>
      </c>
      <c r="L237" s="50">
        <v>100</v>
      </c>
      <c r="M237" t="s">
        <v>2309</v>
      </c>
      <c r="N237" t="s">
        <v>2345</v>
      </c>
    </row>
    <row r="238" spans="1:14">
      <c r="A238" t="s">
        <v>413</v>
      </c>
      <c r="B238" t="s">
        <v>414</v>
      </c>
      <c r="C238" s="40">
        <v>45737</v>
      </c>
      <c r="D238" s="65">
        <v>71999.899999999994</v>
      </c>
      <c r="E238" s="50">
        <v>79.212999999999994</v>
      </c>
      <c r="F238" s="65">
        <v>355679.50599999999</v>
      </c>
      <c r="G238" s="65">
        <v>90894</v>
      </c>
      <c r="H238" s="65">
        <v>18894.099999999999</v>
      </c>
      <c r="I238" s="50">
        <v>20.786999999999999</v>
      </c>
      <c r="J238" s="65">
        <v>90894</v>
      </c>
      <c r="K238" s="65">
        <v>90894</v>
      </c>
      <c r="L238" s="50">
        <v>100</v>
      </c>
      <c r="M238" t="s">
        <v>2303</v>
      </c>
      <c r="N238" t="s">
        <v>2337</v>
      </c>
    </row>
    <row r="239" spans="1:14">
      <c r="A239" t="s">
        <v>994</v>
      </c>
      <c r="B239" t="s">
        <v>995</v>
      </c>
      <c r="C239" s="40">
        <v>45736</v>
      </c>
      <c r="D239" s="65">
        <v>18832.78</v>
      </c>
      <c r="E239" s="50">
        <v>84.805000000000007</v>
      </c>
      <c r="F239" s="65">
        <v>163468.53039999999</v>
      </c>
      <c r="G239" s="65">
        <v>22207.16</v>
      </c>
      <c r="H239" s="65">
        <v>1642.14</v>
      </c>
      <c r="I239" s="50">
        <v>7.3945999999999996</v>
      </c>
      <c r="J239" s="65">
        <v>22207.16</v>
      </c>
      <c r="K239" s="65">
        <v>20474.919999999998</v>
      </c>
      <c r="L239" s="50">
        <v>92.199600000000004</v>
      </c>
      <c r="M239" t="s">
        <v>2296</v>
      </c>
      <c r="N239" t="s">
        <v>2328</v>
      </c>
    </row>
    <row r="240" spans="1:14">
      <c r="A240" t="s">
        <v>222</v>
      </c>
      <c r="B240" t="s">
        <v>223</v>
      </c>
      <c r="C240" s="40">
        <v>45733</v>
      </c>
      <c r="D240" s="65">
        <v>17903.27</v>
      </c>
      <c r="E240" s="50">
        <v>27.5076</v>
      </c>
      <c r="F240" s="65">
        <v>1305148.3829999999</v>
      </c>
      <c r="G240" s="65">
        <v>65084.85</v>
      </c>
      <c r="H240" s="65">
        <v>47181.58</v>
      </c>
      <c r="I240" s="50">
        <v>72.492400000000004</v>
      </c>
      <c r="J240" s="65">
        <v>65084.85</v>
      </c>
      <c r="K240" s="65">
        <v>65084.85</v>
      </c>
      <c r="L240" s="50">
        <v>100</v>
      </c>
      <c r="M240" t="s">
        <v>2299</v>
      </c>
      <c r="N240" t="s">
        <v>2346</v>
      </c>
    </row>
    <row r="241" spans="1:14">
      <c r="A241" t="s">
        <v>3211</v>
      </c>
      <c r="B241" t="s">
        <v>3212</v>
      </c>
      <c r="C241" s="40">
        <v>45727</v>
      </c>
      <c r="D241" s="65">
        <v>4000</v>
      </c>
      <c r="E241" s="50">
        <v>4.3102999999999998</v>
      </c>
      <c r="F241" s="65">
        <v>564</v>
      </c>
      <c r="G241" s="65">
        <v>92800.6</v>
      </c>
      <c r="H241" s="65">
        <v>88800.6</v>
      </c>
      <c r="I241" s="50">
        <v>95.689700000000002</v>
      </c>
      <c r="J241" s="65">
        <v>92800.6</v>
      </c>
      <c r="K241" s="65">
        <v>92800.6</v>
      </c>
      <c r="L241" s="50">
        <v>100</v>
      </c>
      <c r="M241" t="s">
        <v>2325</v>
      </c>
      <c r="N241" t="s">
        <v>2313</v>
      </c>
    </row>
    <row r="242" spans="1:14">
      <c r="A242" t="s">
        <v>852</v>
      </c>
      <c r="B242" t="s">
        <v>853</v>
      </c>
      <c r="C242" s="40">
        <v>45724</v>
      </c>
      <c r="D242" s="65">
        <v>150000</v>
      </c>
      <c r="E242" s="50">
        <v>75</v>
      </c>
      <c r="F242" s="65">
        <v>85500</v>
      </c>
      <c r="G242" s="65">
        <v>200000</v>
      </c>
      <c r="H242" s="65">
        <v>50000</v>
      </c>
      <c r="I242" s="50">
        <v>25</v>
      </c>
      <c r="J242" s="65">
        <v>200000</v>
      </c>
      <c r="K242" s="65">
        <v>200000</v>
      </c>
      <c r="L242" s="50">
        <v>100</v>
      </c>
      <c r="M242" t="s">
        <v>2305</v>
      </c>
      <c r="N242" t="s">
        <v>2339</v>
      </c>
    </row>
    <row r="243" spans="1:14">
      <c r="A243" t="s">
        <v>723</v>
      </c>
      <c r="B243" t="s">
        <v>724</v>
      </c>
      <c r="C243" s="40">
        <v>45724</v>
      </c>
      <c r="D243" s="65">
        <v>35625</v>
      </c>
      <c r="E243" s="50">
        <v>71.25</v>
      </c>
      <c r="F243" s="65">
        <v>41681.25</v>
      </c>
      <c r="G243" s="65">
        <v>50000</v>
      </c>
      <c r="H243" s="65">
        <v>14375</v>
      </c>
      <c r="I243" s="50">
        <v>28.75</v>
      </c>
      <c r="J243" s="65">
        <v>50000</v>
      </c>
      <c r="K243" s="65">
        <v>50000</v>
      </c>
      <c r="L243" s="50">
        <v>100</v>
      </c>
      <c r="M243" t="s">
        <v>2308</v>
      </c>
      <c r="N243" t="s">
        <v>2344</v>
      </c>
    </row>
    <row r="244" spans="1:14">
      <c r="A244" t="s">
        <v>3213</v>
      </c>
      <c r="B244" t="s">
        <v>3214</v>
      </c>
      <c r="C244" s="40">
        <v>45717</v>
      </c>
      <c r="D244" s="65">
        <v>12000</v>
      </c>
      <c r="E244" s="50">
        <v>54.623600000000003</v>
      </c>
      <c r="F244" s="65">
        <v>15960</v>
      </c>
      <c r="G244" s="65">
        <v>21968.522799999999</v>
      </c>
      <c r="H244" s="65">
        <v>9968.5228000000006</v>
      </c>
      <c r="I244" s="50">
        <v>45.376399999999997</v>
      </c>
      <c r="J244" s="65">
        <v>21968.522799999999</v>
      </c>
      <c r="K244" s="65">
        <v>21968.522799999999</v>
      </c>
      <c r="L244" s="50">
        <v>100</v>
      </c>
      <c r="M244" t="s">
        <v>2297</v>
      </c>
      <c r="N244" t="s">
        <v>2335</v>
      </c>
    </row>
    <row r="245" spans="1:14">
      <c r="A245" t="s">
        <v>3215</v>
      </c>
      <c r="B245" t="s">
        <v>3216</v>
      </c>
      <c r="C245" s="40">
        <v>45716</v>
      </c>
      <c r="D245" s="65">
        <v>3995.4337999999998</v>
      </c>
      <c r="E245" s="50">
        <v>5.6509999999999998</v>
      </c>
      <c r="F245" s="65">
        <v>2077.6255759999999</v>
      </c>
      <c r="G245" s="65">
        <v>70703.1639</v>
      </c>
      <c r="H245" s="65">
        <v>66707.730100000001</v>
      </c>
      <c r="I245" s="50">
        <v>94.349000000000004</v>
      </c>
      <c r="J245" s="65">
        <v>70703.1639</v>
      </c>
      <c r="K245" s="65">
        <v>70703.1639</v>
      </c>
      <c r="L245" s="50">
        <v>100</v>
      </c>
      <c r="M245" t="s">
        <v>2314</v>
      </c>
      <c r="N245" t="s">
        <v>2350</v>
      </c>
    </row>
    <row r="246" spans="1:14">
      <c r="A246" t="s">
        <v>3217</v>
      </c>
      <c r="B246" t="s">
        <v>3218</v>
      </c>
      <c r="C246" s="40">
        <v>45716</v>
      </c>
      <c r="D246" s="65">
        <v>7510</v>
      </c>
      <c r="E246" s="50">
        <v>4.4512</v>
      </c>
      <c r="F246" s="65">
        <v>2778.7</v>
      </c>
      <c r="G246" s="65">
        <v>168720.0675</v>
      </c>
      <c r="H246" s="65">
        <v>161210.0675</v>
      </c>
      <c r="I246" s="50">
        <v>95.5488</v>
      </c>
      <c r="J246" s="65">
        <v>168720.0675</v>
      </c>
      <c r="K246" s="65">
        <v>168720.0675</v>
      </c>
      <c r="L246" s="50">
        <v>100</v>
      </c>
      <c r="M246" t="s">
        <v>2298</v>
      </c>
      <c r="N246" t="s">
        <v>2327</v>
      </c>
    </row>
    <row r="247" spans="1:14">
      <c r="A247" t="s">
        <v>1000</v>
      </c>
      <c r="B247" t="s">
        <v>1001</v>
      </c>
      <c r="C247" s="40">
        <v>45713</v>
      </c>
      <c r="D247" s="65">
        <v>1763.6</v>
      </c>
      <c r="E247" s="50">
        <v>4.3253000000000004</v>
      </c>
      <c r="F247" s="65">
        <v>21833.367999999999</v>
      </c>
      <c r="G247" s="65">
        <v>40773.635000000002</v>
      </c>
      <c r="H247" s="65">
        <v>39010.035000000003</v>
      </c>
      <c r="I247" s="50">
        <v>95.674700000000001</v>
      </c>
      <c r="J247" s="65">
        <v>40773.635000000002</v>
      </c>
      <c r="K247" s="65">
        <v>40773.635000000002</v>
      </c>
      <c r="L247" s="50">
        <v>100</v>
      </c>
      <c r="M247" t="s">
        <v>2296</v>
      </c>
      <c r="N247" t="s">
        <v>2328</v>
      </c>
    </row>
    <row r="248" spans="1:14">
      <c r="A248" t="s">
        <v>3219</v>
      </c>
      <c r="B248" t="s">
        <v>3220</v>
      </c>
      <c r="C248" s="40">
        <v>45711</v>
      </c>
      <c r="D248" s="65">
        <v>4000</v>
      </c>
      <c r="E248" s="50">
        <v>4.5759999999999996</v>
      </c>
      <c r="F248" s="65">
        <v>2880</v>
      </c>
      <c r="G248" s="65">
        <v>87412</v>
      </c>
      <c r="H248" s="65">
        <v>83412</v>
      </c>
      <c r="I248" s="50">
        <v>95.424000000000007</v>
      </c>
      <c r="J248" s="65">
        <v>87412</v>
      </c>
      <c r="K248" s="65">
        <v>87412</v>
      </c>
      <c r="L248" s="50">
        <v>100</v>
      </c>
      <c r="M248" t="s">
        <v>2304</v>
      </c>
      <c r="N248" t="s">
        <v>2336</v>
      </c>
    </row>
    <row r="249" spans="1:14">
      <c r="A249" t="s">
        <v>3221</v>
      </c>
      <c r="B249" t="s">
        <v>3222</v>
      </c>
      <c r="C249" s="40">
        <v>45709</v>
      </c>
      <c r="D249" s="65">
        <v>15772.8863</v>
      </c>
      <c r="E249" s="50">
        <v>23.3934</v>
      </c>
      <c r="F249" s="65">
        <v>3548.8994174999998</v>
      </c>
      <c r="G249" s="65">
        <v>26408.9506</v>
      </c>
      <c r="H249" s="65">
        <v>51651.715199999999</v>
      </c>
      <c r="I249" s="50">
        <v>195.58410000000001</v>
      </c>
      <c r="J249" s="65">
        <v>67424.601500000004</v>
      </c>
      <c r="K249" s="65">
        <v>67424.601500000004</v>
      </c>
      <c r="L249" s="50">
        <v>100</v>
      </c>
      <c r="M249" t="s">
        <v>2296</v>
      </c>
      <c r="N249" t="s">
        <v>2326</v>
      </c>
    </row>
    <row r="250" spans="1:14">
      <c r="A250" t="s">
        <v>1034</v>
      </c>
      <c r="B250" t="s">
        <v>1035</v>
      </c>
      <c r="C250" s="40">
        <v>45708</v>
      </c>
      <c r="D250" s="65">
        <v>1700</v>
      </c>
      <c r="E250" s="50">
        <v>4.5842000000000001</v>
      </c>
      <c r="F250" s="65">
        <v>50065</v>
      </c>
      <c r="G250" s="65">
        <v>37083.5818</v>
      </c>
      <c r="H250" s="65">
        <v>20452.164499999999</v>
      </c>
      <c r="I250" s="50">
        <v>55.151499999999999</v>
      </c>
      <c r="J250" s="65">
        <v>37083.5818</v>
      </c>
      <c r="K250" s="65">
        <v>22152.164499999999</v>
      </c>
      <c r="L250" s="50">
        <v>59.735799999999998</v>
      </c>
      <c r="M250" t="s">
        <v>2296</v>
      </c>
      <c r="N250" t="s">
        <v>2328</v>
      </c>
    </row>
    <row r="251" spans="1:14">
      <c r="A251" t="s">
        <v>592</v>
      </c>
      <c r="B251" t="s">
        <v>593</v>
      </c>
      <c r="C251" s="40">
        <v>45704</v>
      </c>
      <c r="D251" s="65">
        <v>6711.02</v>
      </c>
      <c r="E251" s="50">
        <v>28.416799999999999</v>
      </c>
      <c r="F251" s="65">
        <v>535874.94700000004</v>
      </c>
      <c r="G251" s="65">
        <v>23616.41</v>
      </c>
      <c r="H251" s="65">
        <v>694.97</v>
      </c>
      <c r="I251" s="50">
        <v>2.9426999999999999</v>
      </c>
      <c r="J251" s="65">
        <v>23616.41</v>
      </c>
      <c r="K251" s="65">
        <v>7405.99</v>
      </c>
      <c r="L251" s="50">
        <v>31.359500000000001</v>
      </c>
      <c r="M251" t="s">
        <v>2298</v>
      </c>
      <c r="N251" t="s">
        <v>2327</v>
      </c>
    </row>
    <row r="252" spans="1:14">
      <c r="A252" t="s">
        <v>866</v>
      </c>
      <c r="B252" t="s">
        <v>867</v>
      </c>
      <c r="C252" s="40">
        <v>45696</v>
      </c>
      <c r="D252" s="65">
        <v>11008.0465</v>
      </c>
      <c r="E252" s="50">
        <v>19.340599999999998</v>
      </c>
      <c r="F252" s="65">
        <v>427112.20419999998</v>
      </c>
      <c r="G252" s="65">
        <v>56916.925300000003</v>
      </c>
      <c r="H252" s="65">
        <v>35840.148000000001</v>
      </c>
      <c r="I252" s="50">
        <v>62.969200000000001</v>
      </c>
      <c r="J252" s="65">
        <v>56916.925300000003</v>
      </c>
      <c r="K252" s="65">
        <v>46848.194499999998</v>
      </c>
      <c r="L252" s="50">
        <v>82.309799999999996</v>
      </c>
      <c r="M252" t="s">
        <v>2298</v>
      </c>
      <c r="N252" t="s">
        <v>2327</v>
      </c>
    </row>
    <row r="253" spans="1:14">
      <c r="A253" t="s">
        <v>927</v>
      </c>
      <c r="B253" t="s">
        <v>928</v>
      </c>
      <c r="C253" s="40">
        <v>45694</v>
      </c>
      <c r="D253" s="65">
        <v>660.45</v>
      </c>
      <c r="E253" s="50">
        <v>4.6776</v>
      </c>
      <c r="F253" s="65">
        <v>7951.8180000000002</v>
      </c>
      <c r="G253" s="65">
        <v>14119.56</v>
      </c>
      <c r="H253" s="65">
        <v>2869.55</v>
      </c>
      <c r="I253" s="50">
        <v>20.3232</v>
      </c>
      <c r="J253" s="65">
        <v>14119.56</v>
      </c>
      <c r="K253" s="65">
        <v>3530</v>
      </c>
      <c r="L253" s="50">
        <v>25.000800000000002</v>
      </c>
      <c r="M253" t="s">
        <v>2317</v>
      </c>
      <c r="N253" t="s">
        <v>2343</v>
      </c>
    </row>
    <row r="254" spans="1:14">
      <c r="A254" t="s">
        <v>3223</v>
      </c>
      <c r="B254" t="s">
        <v>3224</v>
      </c>
      <c r="C254" s="40">
        <v>45690</v>
      </c>
      <c r="D254" s="65">
        <v>5200</v>
      </c>
      <c r="E254" s="50">
        <v>1.1674</v>
      </c>
      <c r="F254" s="65">
        <v>14144</v>
      </c>
      <c r="G254" s="65">
        <v>445418.6</v>
      </c>
      <c r="H254" s="65">
        <v>440218.6</v>
      </c>
      <c r="I254" s="50">
        <v>98.832599999999999</v>
      </c>
      <c r="J254" s="65">
        <v>445418.6</v>
      </c>
      <c r="K254" s="65">
        <v>445418.6</v>
      </c>
      <c r="L254" s="50">
        <v>100</v>
      </c>
      <c r="M254" t="s">
        <v>2303</v>
      </c>
      <c r="N254" t="s">
        <v>2337</v>
      </c>
    </row>
    <row r="255" spans="1:14">
      <c r="A255" t="s">
        <v>3225</v>
      </c>
      <c r="B255" t="s">
        <v>3226</v>
      </c>
      <c r="C255" s="40">
        <v>45690</v>
      </c>
      <c r="D255" s="65">
        <v>23255.813999999998</v>
      </c>
      <c r="E255" s="50">
        <v>3.4845000000000002</v>
      </c>
      <c r="F255" s="65">
        <v>8139.5348999999997</v>
      </c>
      <c r="G255" s="65">
        <v>667402.96490000002</v>
      </c>
      <c r="H255" s="65">
        <v>644147.15090000001</v>
      </c>
      <c r="I255" s="50">
        <v>96.515500000000003</v>
      </c>
      <c r="J255" s="65">
        <v>667402.96490000002</v>
      </c>
      <c r="K255" s="65">
        <v>667402.96490000002</v>
      </c>
      <c r="L255" s="50">
        <v>100</v>
      </c>
      <c r="M255" t="s">
        <v>2325</v>
      </c>
      <c r="N255" t="s">
        <v>2353</v>
      </c>
    </row>
    <row r="256" spans="1:14">
      <c r="A256" t="s">
        <v>2359</v>
      </c>
      <c r="B256" t="s">
        <v>2360</v>
      </c>
      <c r="C256" s="40">
        <v>45689</v>
      </c>
      <c r="D256" s="65">
        <v>18900</v>
      </c>
      <c r="E256" s="50">
        <v>11.767899999999999</v>
      </c>
      <c r="F256" s="65">
        <v>32886</v>
      </c>
      <c r="G256" s="65">
        <v>160606.64060000001</v>
      </c>
      <c r="H256" s="65">
        <v>94739.4185</v>
      </c>
      <c r="I256" s="50">
        <v>58.988500000000002</v>
      </c>
      <c r="J256" s="65">
        <v>160606.64060000001</v>
      </c>
      <c r="K256" s="65">
        <v>113639.4185</v>
      </c>
      <c r="L256" s="50">
        <v>70.756399999999999</v>
      </c>
      <c r="N256" t="s">
        <v>2347</v>
      </c>
    </row>
    <row r="257" spans="1:14">
      <c r="A257" t="s">
        <v>3227</v>
      </c>
      <c r="B257" t="s">
        <v>3228</v>
      </c>
      <c r="C257" s="40">
        <v>45689</v>
      </c>
      <c r="D257" s="65">
        <v>48900</v>
      </c>
      <c r="E257" s="50">
        <v>5.2545000000000002</v>
      </c>
      <c r="F257" s="65">
        <v>77262</v>
      </c>
      <c r="G257" s="65">
        <v>930624.95790000004</v>
      </c>
      <c r="H257" s="65">
        <v>881724.95790000004</v>
      </c>
      <c r="I257" s="50">
        <v>94.745500000000007</v>
      </c>
      <c r="J257" s="65">
        <v>930624.95790000004</v>
      </c>
      <c r="K257" s="65">
        <v>930624.95790000004</v>
      </c>
      <c r="L257" s="50">
        <v>100</v>
      </c>
      <c r="M257" t="s">
        <v>2306</v>
      </c>
      <c r="N257" t="s">
        <v>2324</v>
      </c>
    </row>
    <row r="258" spans="1:14">
      <c r="A258" t="s">
        <v>455</v>
      </c>
      <c r="B258" t="s">
        <v>456</v>
      </c>
      <c r="C258" s="40">
        <v>45677</v>
      </c>
      <c r="D258" s="65">
        <v>810.1019</v>
      </c>
      <c r="E258" s="50">
        <v>6.2031999999999998</v>
      </c>
      <c r="F258" s="65">
        <v>64322.090859999997</v>
      </c>
      <c r="G258" s="65">
        <v>13059.4773</v>
      </c>
      <c r="H258" s="65">
        <v>12249.375400000001</v>
      </c>
      <c r="I258" s="50">
        <v>93.796800000000005</v>
      </c>
      <c r="J258" s="65">
        <v>13059.4773</v>
      </c>
      <c r="K258" s="65">
        <v>13059.4773</v>
      </c>
      <c r="L258" s="50">
        <v>100</v>
      </c>
      <c r="M258" t="s">
        <v>2309</v>
      </c>
      <c r="N258" t="s">
        <v>2345</v>
      </c>
    </row>
    <row r="259" spans="1:14">
      <c r="A259" t="s">
        <v>743</v>
      </c>
      <c r="B259" t="s">
        <v>744</v>
      </c>
      <c r="C259" s="40">
        <v>45672</v>
      </c>
      <c r="D259" s="65">
        <v>1872.3</v>
      </c>
      <c r="E259" s="50">
        <v>5.1071999999999997</v>
      </c>
      <c r="F259" s="65">
        <v>53079.705000000002</v>
      </c>
      <c r="G259" s="65">
        <v>36660</v>
      </c>
      <c r="H259" s="65">
        <v>8156.25</v>
      </c>
      <c r="I259" s="50">
        <v>22.2484</v>
      </c>
      <c r="J259" s="65">
        <v>36660</v>
      </c>
      <c r="K259" s="65">
        <v>10028.549999999999</v>
      </c>
      <c r="L259" s="50">
        <v>27.355599999999999</v>
      </c>
      <c r="M259" t="s">
        <v>2298</v>
      </c>
      <c r="N259" t="s">
        <v>2327</v>
      </c>
    </row>
    <row r="260" spans="1:14">
      <c r="A260" t="s">
        <v>882</v>
      </c>
      <c r="B260" t="s">
        <v>883</v>
      </c>
      <c r="C260" s="40">
        <v>45670</v>
      </c>
      <c r="D260" s="65">
        <v>37500</v>
      </c>
      <c r="E260" s="50">
        <v>75</v>
      </c>
      <c r="F260" s="65">
        <v>480000</v>
      </c>
      <c r="G260" s="65">
        <v>50000</v>
      </c>
      <c r="H260" s="65">
        <v>12500</v>
      </c>
      <c r="I260" s="50">
        <v>25</v>
      </c>
      <c r="J260" s="65">
        <v>50000</v>
      </c>
      <c r="K260" s="65">
        <v>50000</v>
      </c>
      <c r="L260" s="50">
        <v>100</v>
      </c>
      <c r="M260" t="s">
        <v>2316</v>
      </c>
      <c r="N260" t="s">
        <v>2327</v>
      </c>
    </row>
    <row r="261" spans="1:14">
      <c r="A261" t="s">
        <v>362</v>
      </c>
      <c r="B261" t="s">
        <v>363</v>
      </c>
      <c r="C261" s="40">
        <v>45669</v>
      </c>
      <c r="D261" s="65">
        <v>3094.89</v>
      </c>
      <c r="E261" s="50">
        <v>8.4562000000000008</v>
      </c>
      <c r="F261" s="65">
        <v>62207.288999999997</v>
      </c>
      <c r="G261" s="65">
        <v>36598.881800000003</v>
      </c>
      <c r="H261" s="65">
        <v>2407.66</v>
      </c>
      <c r="I261" s="50">
        <v>6.5785</v>
      </c>
      <c r="J261" s="65">
        <v>36598.881800000003</v>
      </c>
      <c r="K261" s="65">
        <v>5502.55</v>
      </c>
      <c r="L261" s="50">
        <v>15.034700000000001</v>
      </c>
      <c r="M261" t="s">
        <v>2297</v>
      </c>
      <c r="N261" t="s">
        <v>2352</v>
      </c>
    </row>
    <row r="262" spans="1:14">
      <c r="A262" t="s">
        <v>481</v>
      </c>
      <c r="B262" t="s">
        <v>482</v>
      </c>
      <c r="C262" s="40">
        <v>45667</v>
      </c>
      <c r="D262" s="65">
        <v>68636.197499999995</v>
      </c>
      <c r="E262" s="50">
        <v>51.210799999999999</v>
      </c>
      <c r="F262" s="65">
        <v>166785.959925</v>
      </c>
      <c r="G262" s="65">
        <v>134026.7457</v>
      </c>
      <c r="H262" s="65">
        <v>2380</v>
      </c>
      <c r="I262" s="50">
        <v>1.7758</v>
      </c>
      <c r="J262" s="65">
        <v>134026.7457</v>
      </c>
      <c r="K262" s="65">
        <v>71016.197499999995</v>
      </c>
      <c r="L262" s="50">
        <v>52.986600000000003</v>
      </c>
      <c r="M262" t="s">
        <v>2296</v>
      </c>
      <c r="N262" t="s">
        <v>2347</v>
      </c>
    </row>
    <row r="263" spans="1:14">
      <c r="A263" t="s">
        <v>755</v>
      </c>
      <c r="B263" t="s">
        <v>756</v>
      </c>
      <c r="C263" s="40">
        <v>45667</v>
      </c>
      <c r="D263" s="65">
        <v>7911.2507999999998</v>
      </c>
      <c r="E263" s="50">
        <v>15.8225</v>
      </c>
      <c r="F263" s="65">
        <v>7357.4632439999996</v>
      </c>
      <c r="G263" s="65">
        <v>50000</v>
      </c>
      <c r="H263" s="65">
        <v>8134.8486000000003</v>
      </c>
      <c r="I263" s="50">
        <v>16.2697</v>
      </c>
      <c r="J263" s="65">
        <v>50000</v>
      </c>
      <c r="K263" s="65">
        <v>16046.099399999999</v>
      </c>
      <c r="L263" s="50">
        <v>32.092199999999998</v>
      </c>
      <c r="M263" t="s">
        <v>2323</v>
      </c>
      <c r="N263" t="s">
        <v>2353</v>
      </c>
    </row>
    <row r="264" spans="1:14">
      <c r="A264" t="s">
        <v>492</v>
      </c>
      <c r="B264" t="s">
        <v>493</v>
      </c>
      <c r="C264" s="40">
        <v>45667</v>
      </c>
      <c r="D264" s="65">
        <v>17371.4362</v>
      </c>
      <c r="E264" s="50">
        <v>85.1066</v>
      </c>
      <c r="F264" s="65">
        <v>200813.80247200001</v>
      </c>
      <c r="G264" s="65">
        <v>20411.385200000001</v>
      </c>
      <c r="H264" s="65">
        <v>688.22</v>
      </c>
      <c r="I264" s="50">
        <v>3.3717000000000001</v>
      </c>
      <c r="J264" s="65">
        <v>20411.385200000001</v>
      </c>
      <c r="K264" s="65">
        <v>18059.656200000001</v>
      </c>
      <c r="L264" s="50">
        <v>88.478300000000004</v>
      </c>
      <c r="M264" t="s">
        <v>2309</v>
      </c>
      <c r="N264" t="s">
        <v>2351</v>
      </c>
    </row>
    <row r="265" spans="1:14">
      <c r="A265" t="s">
        <v>651</v>
      </c>
      <c r="B265" t="s">
        <v>652</v>
      </c>
      <c r="C265" s="40">
        <v>45667</v>
      </c>
      <c r="D265" s="65">
        <v>175.48599999999999</v>
      </c>
      <c r="E265" s="50">
        <v>4.9398999999999997</v>
      </c>
      <c r="F265" s="65">
        <v>36922.254399999998</v>
      </c>
      <c r="G265" s="65">
        <v>3552.4209999999998</v>
      </c>
      <c r="H265" s="65">
        <v>271.012</v>
      </c>
      <c r="I265" s="50">
        <v>7.6288999999999998</v>
      </c>
      <c r="J265" s="65">
        <v>3552.4209999999998</v>
      </c>
      <c r="K265" s="65">
        <v>446.49799999999999</v>
      </c>
      <c r="L265" s="50">
        <v>12.5688</v>
      </c>
      <c r="M265" t="s">
        <v>2298</v>
      </c>
      <c r="N265" t="s">
        <v>2327</v>
      </c>
    </row>
    <row r="266" spans="1:14">
      <c r="A266" t="s">
        <v>3207</v>
      </c>
      <c r="B266" t="s">
        <v>3208</v>
      </c>
      <c r="C266" s="40">
        <v>45667</v>
      </c>
      <c r="D266" s="65">
        <v>2910</v>
      </c>
      <c r="E266" s="50">
        <v>1.5330999999999999</v>
      </c>
      <c r="F266" s="65">
        <v>421.95</v>
      </c>
      <c r="G266" s="65">
        <v>189810.6667</v>
      </c>
      <c r="H266" s="65">
        <v>139234</v>
      </c>
      <c r="I266" s="50">
        <v>73.354100000000003</v>
      </c>
      <c r="J266" s="65">
        <v>189810.6667</v>
      </c>
      <c r="K266" s="65">
        <v>142144</v>
      </c>
      <c r="L266" s="50">
        <v>74.887299999999996</v>
      </c>
      <c r="M266" t="s">
        <v>2310</v>
      </c>
      <c r="N266" t="s">
        <v>2343</v>
      </c>
    </row>
    <row r="267" spans="1:14">
      <c r="A267" t="s">
        <v>548</v>
      </c>
      <c r="B267" t="s">
        <v>549</v>
      </c>
      <c r="C267" s="40">
        <v>45666</v>
      </c>
      <c r="D267" s="65">
        <v>28417.223999999998</v>
      </c>
      <c r="E267" s="50">
        <v>55.200499999999998</v>
      </c>
      <c r="F267" s="65">
        <v>16481.98992</v>
      </c>
      <c r="G267" s="65">
        <v>51480</v>
      </c>
      <c r="H267" s="65">
        <v>23062.776000000002</v>
      </c>
      <c r="I267" s="50">
        <v>44.799500000000002</v>
      </c>
      <c r="J267" s="65">
        <v>51480</v>
      </c>
      <c r="K267" s="65">
        <v>51480</v>
      </c>
      <c r="L267" s="50">
        <v>100</v>
      </c>
      <c r="M267" t="s">
        <v>2305</v>
      </c>
      <c r="N267" t="s">
        <v>2339</v>
      </c>
    </row>
    <row r="268" spans="1:14">
      <c r="A268" t="s">
        <v>3229</v>
      </c>
      <c r="B268" t="s">
        <v>3230</v>
      </c>
      <c r="C268" s="40">
        <v>45666</v>
      </c>
      <c r="D268" s="65">
        <v>15862.7138</v>
      </c>
      <c r="E268" s="50">
        <v>8.7847000000000008</v>
      </c>
      <c r="F268" s="65">
        <v>49808.921331999998</v>
      </c>
      <c r="G268" s="65">
        <v>180572.85079999999</v>
      </c>
      <c r="H268" s="65">
        <v>164710.13699999999</v>
      </c>
      <c r="I268" s="50">
        <v>91.215299999999999</v>
      </c>
      <c r="J268" s="65">
        <v>180572.85079999999</v>
      </c>
      <c r="K268" s="65">
        <v>180572.85079999999</v>
      </c>
      <c r="L268" s="50">
        <v>100</v>
      </c>
      <c r="M268" t="s">
        <v>2299</v>
      </c>
      <c r="N268" t="s">
        <v>2346</v>
      </c>
    </row>
    <row r="269" spans="1:14">
      <c r="A269" t="s">
        <v>683</v>
      </c>
      <c r="B269" t="s">
        <v>684</v>
      </c>
      <c r="C269" s="40">
        <v>45666</v>
      </c>
      <c r="D269" s="65">
        <v>722.22</v>
      </c>
      <c r="E269" s="50">
        <v>3.1970000000000001</v>
      </c>
      <c r="F269" s="65">
        <v>25783.254000000001</v>
      </c>
      <c r="G269" s="65">
        <v>22590.6754</v>
      </c>
      <c r="H269" s="65">
        <v>203.98</v>
      </c>
      <c r="I269" s="50">
        <v>0.90290000000000004</v>
      </c>
      <c r="J269" s="65">
        <v>22590.6754</v>
      </c>
      <c r="K269" s="65">
        <v>926.2</v>
      </c>
      <c r="L269" s="50">
        <v>4.0998999999999999</v>
      </c>
      <c r="M269" t="s">
        <v>2298</v>
      </c>
      <c r="N269" t="s">
        <v>2340</v>
      </c>
    </row>
    <row r="270" spans="1:14">
      <c r="A270" t="s">
        <v>759</v>
      </c>
      <c r="B270" t="s">
        <v>760</v>
      </c>
      <c r="C270" s="40">
        <v>45666</v>
      </c>
      <c r="D270" s="65">
        <v>20713.082399999999</v>
      </c>
      <c r="E270" s="50">
        <v>28.915199999999999</v>
      </c>
      <c r="F270" s="65">
        <v>175232.677104</v>
      </c>
      <c r="G270" s="65">
        <v>71633.8416</v>
      </c>
      <c r="H270" s="65">
        <v>3942.02</v>
      </c>
      <c r="I270" s="50">
        <v>5.5030000000000001</v>
      </c>
      <c r="J270" s="65">
        <v>71633.8416</v>
      </c>
      <c r="K270" s="65">
        <v>24655.1024</v>
      </c>
      <c r="L270" s="50">
        <v>34.418199999999999</v>
      </c>
      <c r="M270" t="s">
        <v>2292</v>
      </c>
      <c r="N270" t="s">
        <v>2326</v>
      </c>
    </row>
    <row r="271" spans="1:14">
      <c r="A271" t="s">
        <v>713</v>
      </c>
      <c r="B271" t="s">
        <v>714</v>
      </c>
      <c r="C271" s="40">
        <v>45666</v>
      </c>
      <c r="D271" s="65">
        <v>15000</v>
      </c>
      <c r="E271" s="50">
        <v>74.198700000000002</v>
      </c>
      <c r="F271" s="65">
        <v>60900</v>
      </c>
      <c r="G271" s="65">
        <v>20216</v>
      </c>
      <c r="H271" s="65">
        <v>5216</v>
      </c>
      <c r="I271" s="50">
        <v>25.801300000000001</v>
      </c>
      <c r="J271" s="65">
        <v>20216</v>
      </c>
      <c r="K271" s="65">
        <v>20216</v>
      </c>
      <c r="L271" s="50">
        <v>100</v>
      </c>
      <c r="M271" t="s">
        <v>2318</v>
      </c>
      <c r="N271" t="s">
        <v>2340</v>
      </c>
    </row>
    <row r="272" spans="1:14">
      <c r="A272" t="s">
        <v>3231</v>
      </c>
      <c r="B272" t="s">
        <v>3232</v>
      </c>
      <c r="C272" s="40">
        <v>45663</v>
      </c>
      <c r="D272" s="65">
        <v>11</v>
      </c>
      <c r="E272" s="50">
        <v>3.2000000000000002E-3</v>
      </c>
      <c r="F272" s="65">
        <v>33.659999999999997</v>
      </c>
      <c r="G272" s="65">
        <v>348065.1937</v>
      </c>
      <c r="H272" s="65">
        <v>348054.1937</v>
      </c>
      <c r="I272" s="50">
        <v>99.996799999999993</v>
      </c>
      <c r="J272" s="65">
        <v>348065.1937</v>
      </c>
      <c r="K272" s="65">
        <v>348065.1937</v>
      </c>
      <c r="L272" s="50">
        <v>100</v>
      </c>
      <c r="M272" t="s">
        <v>2325</v>
      </c>
      <c r="N272" t="s">
        <v>2313</v>
      </c>
    </row>
    <row r="273" spans="1:14">
      <c r="A273" t="s">
        <v>3233</v>
      </c>
      <c r="B273" t="s">
        <v>3234</v>
      </c>
      <c r="C273" s="40">
        <v>45662</v>
      </c>
      <c r="D273" s="65">
        <v>9732.3832999999995</v>
      </c>
      <c r="E273" s="50">
        <v>2.5001000000000002</v>
      </c>
      <c r="F273" s="65">
        <v>15474.489447</v>
      </c>
      <c r="G273" s="65">
        <v>389272.78330000001</v>
      </c>
      <c r="H273" s="65">
        <v>379540.4</v>
      </c>
      <c r="I273" s="50">
        <v>97.499899999999997</v>
      </c>
      <c r="J273" s="65">
        <v>389272.78330000001</v>
      </c>
      <c r="K273" s="65">
        <v>389272.78330000001</v>
      </c>
      <c r="L273" s="50">
        <v>100</v>
      </c>
      <c r="M273" t="s">
        <v>2304</v>
      </c>
      <c r="N273" t="s">
        <v>2336</v>
      </c>
    </row>
    <row r="274" spans="1:14">
      <c r="A274" t="s">
        <v>731</v>
      </c>
      <c r="B274" t="s">
        <v>732</v>
      </c>
      <c r="C274" s="40">
        <v>45660</v>
      </c>
      <c r="D274" s="65">
        <v>3451.4872999999998</v>
      </c>
      <c r="E274" s="50">
        <v>5.3929</v>
      </c>
      <c r="F274" s="65">
        <v>1035.4461899999999</v>
      </c>
      <c r="G274" s="65">
        <v>64000</v>
      </c>
      <c r="H274" s="65">
        <v>24604.059700000002</v>
      </c>
      <c r="I274" s="50">
        <v>38.443800000000003</v>
      </c>
      <c r="J274" s="65">
        <v>64000</v>
      </c>
      <c r="K274" s="65">
        <v>28055.546999999999</v>
      </c>
      <c r="L274" s="50">
        <v>43.836799999999997</v>
      </c>
      <c r="M274" t="s">
        <v>2316</v>
      </c>
      <c r="N274" t="s">
        <v>2354</v>
      </c>
    </row>
    <row r="275" spans="1:14">
      <c r="A275" t="s">
        <v>643</v>
      </c>
      <c r="B275" t="s">
        <v>644</v>
      </c>
      <c r="C275" s="40">
        <v>45660</v>
      </c>
      <c r="D275" s="65">
        <v>132</v>
      </c>
      <c r="E275" s="50">
        <v>1.98</v>
      </c>
      <c r="F275" s="65">
        <v>3432</v>
      </c>
      <c r="G275" s="65">
        <v>6666.68</v>
      </c>
      <c r="H275" s="65">
        <v>949.2</v>
      </c>
      <c r="I275" s="50">
        <v>14.238</v>
      </c>
      <c r="J275" s="65">
        <v>6666.68</v>
      </c>
      <c r="K275" s="65">
        <v>1081.2</v>
      </c>
      <c r="L275" s="50">
        <v>16.218</v>
      </c>
      <c r="M275" t="s">
        <v>2306</v>
      </c>
      <c r="N275" t="s">
        <v>2324</v>
      </c>
    </row>
    <row r="276" spans="1:14">
      <c r="A276" t="s">
        <v>896</v>
      </c>
      <c r="B276" t="s">
        <v>897</v>
      </c>
      <c r="C276" s="40">
        <v>45659</v>
      </c>
      <c r="D276" s="65">
        <v>3960.4186</v>
      </c>
      <c r="E276" s="50">
        <v>26.402799999999999</v>
      </c>
      <c r="F276" s="65">
        <v>3603.9809260000002</v>
      </c>
      <c r="G276" s="65">
        <v>15000</v>
      </c>
      <c r="H276" s="65">
        <v>2700</v>
      </c>
      <c r="I276" s="50">
        <v>18</v>
      </c>
      <c r="J276" s="65">
        <v>15000</v>
      </c>
      <c r="K276" s="65">
        <v>6660.4186</v>
      </c>
      <c r="L276" s="50">
        <v>44.402799999999999</v>
      </c>
      <c r="M276" t="s">
        <v>2295</v>
      </c>
      <c r="N276" t="s">
        <v>2332</v>
      </c>
    </row>
    <row r="277" spans="1:14">
      <c r="A277" t="s">
        <v>3235</v>
      </c>
      <c r="B277" t="s">
        <v>3236</v>
      </c>
      <c r="C277" s="40">
        <v>45656</v>
      </c>
      <c r="D277" s="65">
        <v>752876</v>
      </c>
      <c r="F277" s="65">
        <v>1136842.76</v>
      </c>
      <c r="G277" s="65">
        <v>3700737.1</v>
      </c>
      <c r="H277" s="65">
        <v>3639333.6529999999</v>
      </c>
      <c r="I277" s="50">
        <v>98.340800000000002</v>
      </c>
      <c r="K277" s="65">
        <v>4392209.6529999999</v>
      </c>
      <c r="M277" t="s">
        <v>2298</v>
      </c>
      <c r="N277" t="s">
        <v>2327</v>
      </c>
    </row>
    <row r="278" spans="1:14">
      <c r="A278" t="s">
        <v>624</v>
      </c>
      <c r="B278" t="s">
        <v>625</v>
      </c>
      <c r="C278" s="40">
        <v>45655</v>
      </c>
      <c r="D278" s="65">
        <v>10660.134899999999</v>
      </c>
      <c r="E278" s="50">
        <v>24.697800000000001</v>
      </c>
      <c r="F278" s="65">
        <v>973270.31637000002</v>
      </c>
      <c r="G278" s="65">
        <v>43162.282399999996</v>
      </c>
      <c r="H278" s="65">
        <v>14178.151099999999</v>
      </c>
      <c r="I278" s="50">
        <v>32.848500000000001</v>
      </c>
      <c r="J278" s="65">
        <v>43162.282399999996</v>
      </c>
      <c r="K278" s="65">
        <v>24838.286</v>
      </c>
      <c r="L278" s="50">
        <v>57.546300000000002</v>
      </c>
      <c r="M278" t="s">
        <v>2298</v>
      </c>
      <c r="N278" t="s">
        <v>2327</v>
      </c>
    </row>
    <row r="279" spans="1:14">
      <c r="A279" t="s">
        <v>809</v>
      </c>
      <c r="B279" t="s">
        <v>810</v>
      </c>
      <c r="C279" s="40">
        <v>45654</v>
      </c>
      <c r="D279" s="65">
        <v>383.59500000000003</v>
      </c>
      <c r="E279" s="50">
        <v>7.6538000000000004</v>
      </c>
      <c r="F279" s="65">
        <v>29920.41</v>
      </c>
      <c r="G279" s="65">
        <v>5011.82</v>
      </c>
      <c r="H279" s="65">
        <v>98.224999999999994</v>
      </c>
      <c r="I279" s="50">
        <v>1.9599</v>
      </c>
      <c r="J279" s="65">
        <v>5011.82</v>
      </c>
      <c r="K279" s="65">
        <v>481.82</v>
      </c>
      <c r="L279" s="50">
        <v>9.6136999999999997</v>
      </c>
      <c r="M279" t="s">
        <v>2298</v>
      </c>
      <c r="N279" t="s">
        <v>2327</v>
      </c>
    </row>
    <row r="280" spans="1:14">
      <c r="A280" t="s">
        <v>649</v>
      </c>
      <c r="B280" t="s">
        <v>650</v>
      </c>
      <c r="C280" s="40">
        <v>45654</v>
      </c>
      <c r="D280" s="65">
        <v>29501.556400000001</v>
      </c>
      <c r="E280" s="50">
        <v>29.680199999999999</v>
      </c>
      <c r="F280" s="65">
        <v>56938.003852000002</v>
      </c>
      <c r="G280" s="65">
        <v>99397.9853</v>
      </c>
      <c r="H280" s="65">
        <v>3909.1</v>
      </c>
      <c r="I280" s="50">
        <v>3.9327999999999999</v>
      </c>
      <c r="J280" s="65">
        <v>99397.9853</v>
      </c>
      <c r="K280" s="65">
        <v>33410.6564</v>
      </c>
      <c r="L280" s="50">
        <v>33.613</v>
      </c>
      <c r="M280" t="s">
        <v>2309</v>
      </c>
      <c r="N280" t="s">
        <v>2351</v>
      </c>
    </row>
    <row r="281" spans="1:14">
      <c r="A281" t="s">
        <v>446</v>
      </c>
      <c r="B281" t="s">
        <v>447</v>
      </c>
      <c r="C281" s="40">
        <v>45654</v>
      </c>
      <c r="D281" s="65">
        <v>1080.1600000000001</v>
      </c>
      <c r="E281" s="50">
        <v>6.4154999999999998</v>
      </c>
      <c r="F281" s="65">
        <v>228777.88800000001</v>
      </c>
      <c r="G281" s="65">
        <v>16836.669999999998</v>
      </c>
      <c r="H281" s="65">
        <v>1492.26</v>
      </c>
      <c r="I281" s="50">
        <v>8.8632000000000009</v>
      </c>
      <c r="J281" s="65">
        <v>16836.669999999998</v>
      </c>
      <c r="K281" s="65">
        <v>2572.42</v>
      </c>
      <c r="L281" s="50">
        <v>15.278700000000001</v>
      </c>
      <c r="M281" t="s">
        <v>2314</v>
      </c>
      <c r="N281" t="s">
        <v>2350</v>
      </c>
    </row>
    <row r="282" spans="1:14">
      <c r="A282" t="s">
        <v>1024</v>
      </c>
      <c r="B282" t="s">
        <v>1025</v>
      </c>
      <c r="C282" s="40">
        <v>45648</v>
      </c>
      <c r="D282" s="65">
        <v>948.75</v>
      </c>
      <c r="E282" s="50">
        <v>1.8431</v>
      </c>
      <c r="F282" s="65">
        <v>1081.575</v>
      </c>
      <c r="G282" s="65">
        <v>51477.066800000001</v>
      </c>
      <c r="H282" s="65">
        <v>50528.316800000001</v>
      </c>
      <c r="I282" s="50">
        <v>98.156899999999993</v>
      </c>
      <c r="J282" s="65">
        <v>51477.066800000001</v>
      </c>
      <c r="K282" s="65">
        <v>51477.066800000001</v>
      </c>
      <c r="L282" s="50">
        <v>100</v>
      </c>
      <c r="M282" t="s">
        <v>2296</v>
      </c>
      <c r="N282" t="s">
        <v>2328</v>
      </c>
    </row>
    <row r="283" spans="1:14">
      <c r="A283" t="s">
        <v>828</v>
      </c>
      <c r="B283" t="s">
        <v>829</v>
      </c>
      <c r="C283" s="40">
        <v>45648</v>
      </c>
      <c r="D283" s="65">
        <v>19800</v>
      </c>
      <c r="E283" s="50">
        <v>9.9</v>
      </c>
      <c r="F283" s="65">
        <v>16434</v>
      </c>
      <c r="G283" s="65">
        <v>200000</v>
      </c>
      <c r="H283" s="65">
        <v>180200</v>
      </c>
      <c r="I283" s="50">
        <v>90.1</v>
      </c>
      <c r="J283" s="65">
        <v>200000</v>
      </c>
      <c r="K283" s="65">
        <v>200000</v>
      </c>
      <c r="L283" s="50">
        <v>100</v>
      </c>
      <c r="M283" t="s">
        <v>2315</v>
      </c>
      <c r="N283" t="s">
        <v>2341</v>
      </c>
    </row>
    <row r="284" spans="1:14">
      <c r="A284" t="s">
        <v>3211</v>
      </c>
      <c r="B284" t="s">
        <v>3212</v>
      </c>
      <c r="C284" s="40">
        <v>45648</v>
      </c>
      <c r="D284" s="65">
        <v>9000</v>
      </c>
      <c r="E284" s="50">
        <v>9.6981999999999999</v>
      </c>
      <c r="F284" s="65">
        <v>1602</v>
      </c>
      <c r="G284" s="65">
        <v>92800.6</v>
      </c>
      <c r="H284" s="65">
        <v>79800.600000000006</v>
      </c>
      <c r="I284" s="50">
        <v>85.991500000000002</v>
      </c>
      <c r="J284" s="65">
        <v>92800.6</v>
      </c>
      <c r="K284" s="65">
        <v>88800.6</v>
      </c>
      <c r="L284" s="50">
        <v>95.689700000000002</v>
      </c>
      <c r="M284" t="s">
        <v>2325</v>
      </c>
      <c r="N284" t="s">
        <v>2313</v>
      </c>
    </row>
    <row r="285" spans="1:14">
      <c r="A285" t="s">
        <v>327</v>
      </c>
      <c r="B285" t="s">
        <v>328</v>
      </c>
      <c r="C285" s="40">
        <v>45643</v>
      </c>
      <c r="D285" s="65">
        <v>4431.0276999999996</v>
      </c>
      <c r="E285" s="50">
        <v>1.9460999999999999</v>
      </c>
      <c r="F285" s="65">
        <v>57780.601208</v>
      </c>
      <c r="G285" s="65">
        <v>227687.405</v>
      </c>
      <c r="H285" s="65">
        <v>26306.786100000001</v>
      </c>
      <c r="I285" s="50">
        <v>11.553900000000001</v>
      </c>
      <c r="J285" s="65">
        <v>227687.405</v>
      </c>
      <c r="K285" s="65">
        <v>30737.8138</v>
      </c>
      <c r="L285" s="50">
        <v>13.5</v>
      </c>
      <c r="M285" t="s">
        <v>2297</v>
      </c>
      <c r="N285" t="s">
        <v>2335</v>
      </c>
    </row>
    <row r="286" spans="1:14">
      <c r="A286" t="s">
        <v>925</v>
      </c>
      <c r="B286" t="s">
        <v>926</v>
      </c>
      <c r="C286" s="40">
        <v>45639</v>
      </c>
      <c r="D286" s="65">
        <v>121938.71920000001</v>
      </c>
      <c r="E286" s="50">
        <v>35.722200000000001</v>
      </c>
      <c r="F286" s="65">
        <v>480438.553648</v>
      </c>
      <c r="G286" s="65">
        <v>341352.37609999999</v>
      </c>
      <c r="H286" s="65">
        <v>42824.2143</v>
      </c>
      <c r="I286" s="50">
        <v>12.545500000000001</v>
      </c>
      <c r="J286" s="65">
        <v>341352.37609999999</v>
      </c>
      <c r="K286" s="65">
        <v>164762.93350000001</v>
      </c>
      <c r="L286" s="50">
        <v>48.267699999999998</v>
      </c>
      <c r="M286" t="s">
        <v>2296</v>
      </c>
      <c r="N286" t="s">
        <v>2327</v>
      </c>
    </row>
    <row r="287" spans="1:14">
      <c r="A287" t="s">
        <v>511</v>
      </c>
      <c r="B287" t="s">
        <v>512</v>
      </c>
      <c r="C287" s="40">
        <v>45638</v>
      </c>
      <c r="D287" s="65">
        <v>1285.04</v>
      </c>
      <c r="E287" s="50">
        <v>2.7606000000000002</v>
      </c>
      <c r="F287" s="65">
        <v>10820.0368</v>
      </c>
      <c r="G287" s="65">
        <v>46550</v>
      </c>
      <c r="H287" s="65">
        <v>31606.89</v>
      </c>
      <c r="I287" s="50">
        <v>67.898799999999994</v>
      </c>
      <c r="J287" s="65">
        <v>46550</v>
      </c>
      <c r="K287" s="65">
        <v>32891.93</v>
      </c>
      <c r="L287" s="50">
        <v>70.659400000000005</v>
      </c>
      <c r="M287" t="s">
        <v>2304</v>
      </c>
      <c r="N287" t="s">
        <v>2347</v>
      </c>
    </row>
    <row r="288" spans="1:14">
      <c r="A288" t="s">
        <v>633</v>
      </c>
      <c r="B288" t="s">
        <v>634</v>
      </c>
      <c r="C288" s="40">
        <v>45633</v>
      </c>
      <c r="D288" s="65">
        <v>641.04999999999995</v>
      </c>
      <c r="E288" s="50">
        <v>1.7990999999999999</v>
      </c>
      <c r="F288" s="65">
        <v>33174.337500000001</v>
      </c>
      <c r="G288" s="65">
        <v>35631.183199999999</v>
      </c>
      <c r="H288" s="65">
        <v>923.51080000000002</v>
      </c>
      <c r="I288" s="50">
        <v>2.5918999999999999</v>
      </c>
      <c r="J288" s="65">
        <v>35631.183199999999</v>
      </c>
      <c r="K288" s="65">
        <v>1564.5608</v>
      </c>
      <c r="L288" s="50">
        <v>4.391</v>
      </c>
      <c r="M288" t="s">
        <v>2292</v>
      </c>
      <c r="N288" t="s">
        <v>2326</v>
      </c>
    </row>
    <row r="289" spans="1:14">
      <c r="A289" t="s">
        <v>741</v>
      </c>
      <c r="B289" t="s">
        <v>742</v>
      </c>
      <c r="C289" s="40">
        <v>45633</v>
      </c>
      <c r="D289" s="65">
        <v>30382.959999999999</v>
      </c>
      <c r="E289" s="50">
        <v>92.367000000000004</v>
      </c>
      <c r="F289" s="65">
        <v>313552.14720000001</v>
      </c>
      <c r="G289" s="65">
        <v>32893.724399999999</v>
      </c>
      <c r="H289" s="65">
        <v>2510.7644</v>
      </c>
      <c r="I289" s="50">
        <v>7.633</v>
      </c>
      <c r="J289" s="65">
        <v>32893.724399999999</v>
      </c>
      <c r="K289" s="65">
        <v>32893.724399999999</v>
      </c>
      <c r="L289" s="50">
        <v>100</v>
      </c>
      <c r="M289" t="s">
        <v>2308</v>
      </c>
      <c r="N289" t="s">
        <v>2344</v>
      </c>
    </row>
    <row r="290" spans="1:14">
      <c r="A290" t="s">
        <v>717</v>
      </c>
      <c r="B290" t="s">
        <v>718</v>
      </c>
      <c r="C290" s="40">
        <v>45631</v>
      </c>
      <c r="D290" s="65">
        <v>117308.75</v>
      </c>
      <c r="E290" s="50">
        <v>72.19</v>
      </c>
      <c r="F290" s="65">
        <v>46923.5</v>
      </c>
      <c r="G290" s="65">
        <v>162500</v>
      </c>
      <c r="H290" s="65">
        <v>45191.25</v>
      </c>
      <c r="I290" s="50">
        <v>27.81</v>
      </c>
      <c r="J290" s="65">
        <v>162500</v>
      </c>
      <c r="K290" s="65">
        <v>162500</v>
      </c>
      <c r="L290" s="50">
        <v>100</v>
      </c>
      <c r="M290" t="s">
        <v>2318</v>
      </c>
      <c r="N290" t="s">
        <v>2349</v>
      </c>
    </row>
    <row r="291" spans="1:14">
      <c r="A291" t="s">
        <v>899</v>
      </c>
      <c r="B291" t="s">
        <v>900</v>
      </c>
      <c r="C291" s="40">
        <v>45631</v>
      </c>
      <c r="D291" s="65">
        <v>37500</v>
      </c>
      <c r="E291" s="50">
        <v>75</v>
      </c>
      <c r="F291" s="65">
        <v>69000</v>
      </c>
      <c r="G291" s="65">
        <v>50000</v>
      </c>
      <c r="H291" s="65">
        <v>12500</v>
      </c>
      <c r="I291" s="50">
        <v>25</v>
      </c>
      <c r="J291" s="65">
        <v>50000</v>
      </c>
      <c r="K291" s="65">
        <v>50000</v>
      </c>
      <c r="L291" s="50">
        <v>100</v>
      </c>
      <c r="M291" t="s">
        <v>2310</v>
      </c>
      <c r="N291" t="s">
        <v>2343</v>
      </c>
    </row>
    <row r="292" spans="1:14">
      <c r="A292" t="s">
        <v>598</v>
      </c>
      <c r="B292" t="s">
        <v>599</v>
      </c>
      <c r="C292" s="40">
        <v>45624</v>
      </c>
      <c r="D292" s="65">
        <v>3444</v>
      </c>
      <c r="E292" s="50">
        <v>7.7755000000000001</v>
      </c>
      <c r="F292" s="65">
        <v>7886.76</v>
      </c>
      <c r="G292" s="65">
        <v>44293.05</v>
      </c>
      <c r="H292" s="65">
        <v>7853.55</v>
      </c>
      <c r="I292" s="50">
        <v>17.730899999999998</v>
      </c>
      <c r="J292" s="65">
        <v>44293.05</v>
      </c>
      <c r="K292" s="65">
        <v>11297.55</v>
      </c>
      <c r="L292" s="50">
        <v>25.506399999999999</v>
      </c>
      <c r="M292" t="s">
        <v>2301</v>
      </c>
      <c r="N292" t="s">
        <v>2351</v>
      </c>
    </row>
    <row r="293" spans="1:14">
      <c r="A293" t="s">
        <v>631</v>
      </c>
      <c r="B293" t="s">
        <v>632</v>
      </c>
      <c r="C293" s="40">
        <v>45623</v>
      </c>
      <c r="D293" s="65">
        <v>312.76</v>
      </c>
      <c r="E293" s="50">
        <v>1.1904999999999999</v>
      </c>
      <c r="F293" s="65">
        <v>20517.056</v>
      </c>
      <c r="G293" s="65">
        <v>26270.544600000001</v>
      </c>
      <c r="H293" s="65">
        <v>15641.645</v>
      </c>
      <c r="I293" s="50">
        <v>59.540599999999998</v>
      </c>
      <c r="J293" s="65">
        <v>26270.544600000001</v>
      </c>
      <c r="K293" s="65">
        <v>15954.405000000001</v>
      </c>
      <c r="L293" s="50">
        <v>60.731200000000001</v>
      </c>
      <c r="M293" t="s">
        <v>2308</v>
      </c>
      <c r="N293" t="s">
        <v>2344</v>
      </c>
    </row>
    <row r="294" spans="1:14">
      <c r="A294" t="s">
        <v>781</v>
      </c>
      <c r="B294" t="s">
        <v>782</v>
      </c>
      <c r="C294" s="40">
        <v>45623</v>
      </c>
      <c r="D294" s="65">
        <v>71766.242800000007</v>
      </c>
      <c r="E294" s="50">
        <v>86.188900000000004</v>
      </c>
      <c r="F294" s="65">
        <v>488010.45104000001</v>
      </c>
      <c r="G294" s="65">
        <v>83266.242800000007</v>
      </c>
      <c r="H294" s="65">
        <v>1500</v>
      </c>
      <c r="I294" s="50">
        <v>1.8015000000000001</v>
      </c>
      <c r="J294" s="65">
        <v>83266.242800000007</v>
      </c>
      <c r="K294" s="65">
        <v>73266.242800000007</v>
      </c>
      <c r="L294" s="50">
        <v>87.990300000000005</v>
      </c>
      <c r="M294" t="s">
        <v>2318</v>
      </c>
      <c r="N294" t="s">
        <v>2338</v>
      </c>
    </row>
    <row r="295" spans="1:14">
      <c r="A295" t="s">
        <v>1020</v>
      </c>
      <c r="B295" t="s">
        <v>1021</v>
      </c>
      <c r="C295" s="40">
        <v>45620</v>
      </c>
      <c r="D295" s="65">
        <v>2059.62</v>
      </c>
      <c r="E295" s="50">
        <v>13.1465</v>
      </c>
      <c r="F295" s="65">
        <v>9515.4444000000003</v>
      </c>
      <c r="G295" s="65">
        <v>15666.68</v>
      </c>
      <c r="H295" s="65">
        <v>3607.06</v>
      </c>
      <c r="I295" s="50">
        <v>23.023800000000001</v>
      </c>
      <c r="J295" s="65">
        <v>15666.68</v>
      </c>
      <c r="K295" s="65">
        <v>5666.68</v>
      </c>
      <c r="L295" s="50">
        <v>36.170299999999997</v>
      </c>
      <c r="M295" t="s">
        <v>2296</v>
      </c>
      <c r="N295" t="s">
        <v>2328</v>
      </c>
    </row>
    <row r="296" spans="1:14">
      <c r="A296" t="s">
        <v>631</v>
      </c>
      <c r="B296" t="s">
        <v>632</v>
      </c>
      <c r="C296" s="40">
        <v>45619</v>
      </c>
      <c r="D296" s="65">
        <v>13984.004999999999</v>
      </c>
      <c r="E296" s="50">
        <v>53.230699999999999</v>
      </c>
      <c r="F296" s="65">
        <v>816665.89199999999</v>
      </c>
      <c r="G296" s="65">
        <v>26270.544600000001</v>
      </c>
      <c r="H296" s="65">
        <v>1657.64</v>
      </c>
      <c r="I296" s="50">
        <v>6.3098999999999998</v>
      </c>
      <c r="J296" s="65">
        <v>26270.544600000001</v>
      </c>
      <c r="K296" s="65">
        <v>15641.645</v>
      </c>
      <c r="L296" s="50">
        <v>59.540599999999998</v>
      </c>
      <c r="M296" t="s">
        <v>2308</v>
      </c>
      <c r="N296" t="s">
        <v>2344</v>
      </c>
    </row>
    <row r="297" spans="1:14">
      <c r="A297" t="s">
        <v>311</v>
      </c>
      <c r="B297" t="s">
        <v>312</v>
      </c>
      <c r="C297" s="40">
        <v>45616</v>
      </c>
      <c r="D297" s="65">
        <v>19426.003000000001</v>
      </c>
      <c r="E297" s="50">
        <v>14.5299</v>
      </c>
      <c r="F297" s="65">
        <v>583751.39014999999</v>
      </c>
      <c r="G297" s="65">
        <v>133696.60889999999</v>
      </c>
      <c r="H297" s="65">
        <v>92215.388500000001</v>
      </c>
      <c r="I297" s="50">
        <v>68.973600000000005</v>
      </c>
      <c r="J297" s="65">
        <v>133696.60889999999</v>
      </c>
      <c r="K297" s="65">
        <v>111641.3915</v>
      </c>
      <c r="L297" s="50">
        <v>83.503500000000003</v>
      </c>
      <c r="M297" t="s">
        <v>2300</v>
      </c>
      <c r="N297" t="s">
        <v>2333</v>
      </c>
    </row>
    <row r="298" spans="1:14">
      <c r="A298" t="s">
        <v>709</v>
      </c>
      <c r="B298" t="s">
        <v>710</v>
      </c>
      <c r="C298" s="40">
        <v>45613</v>
      </c>
      <c r="D298" s="65">
        <v>2093.6999999999998</v>
      </c>
      <c r="E298" s="50">
        <v>13.085599999999999</v>
      </c>
      <c r="F298" s="65">
        <v>6029.8559999999998</v>
      </c>
      <c r="G298" s="65">
        <v>16000</v>
      </c>
      <c r="H298" s="65">
        <v>1906.3</v>
      </c>
      <c r="I298" s="50">
        <v>11.914400000000001</v>
      </c>
      <c r="J298" s="65">
        <v>16000</v>
      </c>
      <c r="K298" s="65">
        <v>4000</v>
      </c>
      <c r="L298" s="50">
        <v>25</v>
      </c>
      <c r="M298" t="s">
        <v>2306</v>
      </c>
      <c r="N298" t="s">
        <v>2324</v>
      </c>
    </row>
    <row r="299" spans="1:14">
      <c r="A299" t="s">
        <v>592</v>
      </c>
      <c r="B299" t="s">
        <v>593</v>
      </c>
      <c r="C299" s="40">
        <v>45612</v>
      </c>
      <c r="D299" s="65">
        <v>90.41</v>
      </c>
      <c r="E299" s="50">
        <v>0.38450000000000001</v>
      </c>
      <c r="F299" s="65">
        <v>10035.51</v>
      </c>
      <c r="G299" s="65">
        <v>23516.41</v>
      </c>
      <c r="H299" s="65">
        <v>504.56</v>
      </c>
      <c r="I299" s="50">
        <v>2.1456</v>
      </c>
      <c r="J299" s="65">
        <v>23516.41</v>
      </c>
      <c r="K299" s="65">
        <v>594.97</v>
      </c>
      <c r="L299" s="50">
        <v>2.5299999999999998</v>
      </c>
      <c r="M299" t="s">
        <v>2298</v>
      </c>
      <c r="N299" t="s">
        <v>2327</v>
      </c>
    </row>
    <row r="300" spans="1:14">
      <c r="A300" t="s">
        <v>3237</v>
      </c>
      <c r="B300" t="s">
        <v>3238</v>
      </c>
      <c r="C300" s="40">
        <v>45605</v>
      </c>
      <c r="D300" s="65">
        <v>133630.28940000001</v>
      </c>
      <c r="E300" s="50">
        <v>10.414</v>
      </c>
      <c r="F300" s="65">
        <v>8285.0779428000005</v>
      </c>
      <c r="G300" s="65">
        <v>1283179.7215</v>
      </c>
      <c r="H300" s="65">
        <v>1149549.4321000001</v>
      </c>
      <c r="I300" s="50">
        <v>89.585999999999999</v>
      </c>
      <c r="J300" s="65">
        <v>1283179.7215</v>
      </c>
      <c r="K300" s="65">
        <v>1283179.7215</v>
      </c>
      <c r="L300" s="50">
        <v>100</v>
      </c>
      <c r="M300" t="s">
        <v>2318</v>
      </c>
      <c r="N300" t="s">
        <v>2343</v>
      </c>
    </row>
    <row r="301" spans="1:14">
      <c r="A301" t="s">
        <v>477</v>
      </c>
      <c r="B301" t="s">
        <v>478</v>
      </c>
      <c r="C301" s="40">
        <v>45599</v>
      </c>
      <c r="D301" s="65">
        <v>1116.55</v>
      </c>
      <c r="E301" s="50">
        <v>1.4318</v>
      </c>
      <c r="F301" s="65">
        <v>12036.409</v>
      </c>
      <c r="G301" s="65">
        <v>77983.543300000005</v>
      </c>
      <c r="H301" s="65">
        <v>69056.325899999996</v>
      </c>
      <c r="I301" s="50">
        <v>88.552400000000006</v>
      </c>
      <c r="J301" s="65">
        <v>77983.543300000005</v>
      </c>
      <c r="K301" s="65">
        <v>70172.875899999999</v>
      </c>
      <c r="L301" s="50">
        <v>89.984200000000001</v>
      </c>
      <c r="M301" t="s">
        <v>2304</v>
      </c>
      <c r="N301" t="s">
        <v>2347</v>
      </c>
    </row>
    <row r="302" spans="1:14">
      <c r="A302" t="s">
        <v>3239</v>
      </c>
      <c r="B302" t="s">
        <v>3240</v>
      </c>
      <c r="C302" s="40">
        <v>45598</v>
      </c>
      <c r="D302" s="65">
        <v>47988.800000000003</v>
      </c>
      <c r="E302" s="50">
        <v>14.337899999999999</v>
      </c>
      <c r="F302" s="65">
        <v>5662.6783999999998</v>
      </c>
      <c r="G302" s="65">
        <v>334699.04200000002</v>
      </c>
      <c r="H302" s="65">
        <v>286710.24200000003</v>
      </c>
      <c r="I302" s="50">
        <v>85.662099999999995</v>
      </c>
      <c r="J302" s="65">
        <v>334699.04200000002</v>
      </c>
      <c r="K302" s="65">
        <v>334699.04200000002</v>
      </c>
      <c r="L302" s="50">
        <v>100</v>
      </c>
      <c r="M302" t="s">
        <v>2311</v>
      </c>
      <c r="N302" t="s">
        <v>2338</v>
      </c>
    </row>
    <row r="303" spans="1:14">
      <c r="A303" t="s">
        <v>3241</v>
      </c>
      <c r="B303" t="s">
        <v>3242</v>
      </c>
      <c r="C303" s="40">
        <v>45592</v>
      </c>
      <c r="D303" s="65">
        <v>1282.0512000000001</v>
      </c>
      <c r="E303" s="50">
        <v>3.5587</v>
      </c>
      <c r="F303" s="65">
        <v>1717.9486079999999</v>
      </c>
      <c r="G303" s="65">
        <v>36025.751199999999</v>
      </c>
      <c r="H303" s="65">
        <v>34743.699999999997</v>
      </c>
      <c r="I303" s="50">
        <v>96.441299999999998</v>
      </c>
      <c r="J303" s="65">
        <v>36025.751199999999</v>
      </c>
      <c r="K303" s="65">
        <v>36025.751199999999</v>
      </c>
      <c r="L303" s="50">
        <v>100</v>
      </c>
      <c r="M303" t="s">
        <v>2314</v>
      </c>
      <c r="N303" t="s">
        <v>2350</v>
      </c>
    </row>
    <row r="304" spans="1:14">
      <c r="A304" t="s">
        <v>777</v>
      </c>
      <c r="B304" t="s">
        <v>778</v>
      </c>
      <c r="C304" s="40">
        <v>45589</v>
      </c>
      <c r="D304" s="65">
        <v>97120.670499999993</v>
      </c>
      <c r="E304" s="50">
        <v>64.664299999999997</v>
      </c>
      <c r="F304" s="65">
        <v>93235.843680000005</v>
      </c>
      <c r="G304" s="65">
        <v>150192.04819999999</v>
      </c>
      <c r="H304" s="65">
        <v>7007</v>
      </c>
      <c r="I304" s="50">
        <v>4.6654</v>
      </c>
      <c r="J304" s="65">
        <v>150192.04819999999</v>
      </c>
      <c r="K304" s="65">
        <v>104127.67049999999</v>
      </c>
      <c r="L304" s="50">
        <v>69.329700000000003</v>
      </c>
      <c r="M304" t="s">
        <v>2298</v>
      </c>
      <c r="N304" t="s">
        <v>2327</v>
      </c>
    </row>
    <row r="305" spans="1:14">
      <c r="A305" t="s">
        <v>3243</v>
      </c>
      <c r="B305" t="s">
        <v>3244</v>
      </c>
      <c r="C305" s="40">
        <v>45587</v>
      </c>
      <c r="D305" s="65">
        <v>10000</v>
      </c>
      <c r="E305" s="50">
        <v>3.5055000000000001</v>
      </c>
      <c r="F305" s="65">
        <v>8300</v>
      </c>
      <c r="G305" s="65">
        <v>285267.20000000001</v>
      </c>
      <c r="H305" s="65">
        <v>275267.20000000001</v>
      </c>
      <c r="I305" s="50">
        <v>96.494500000000002</v>
      </c>
      <c r="J305" s="65">
        <v>285267.20000000001</v>
      </c>
      <c r="K305" s="65">
        <v>285267.20000000001</v>
      </c>
      <c r="L305" s="50">
        <v>100</v>
      </c>
      <c r="M305" t="s">
        <v>2298</v>
      </c>
      <c r="N305" t="s">
        <v>2344</v>
      </c>
    </row>
    <row r="306" spans="1:14">
      <c r="A306" t="s">
        <v>377</v>
      </c>
      <c r="B306" t="s">
        <v>378</v>
      </c>
      <c r="C306" s="40">
        <v>45563</v>
      </c>
      <c r="D306" s="65">
        <v>630.78</v>
      </c>
      <c r="E306" s="50">
        <v>1.1802999999999999</v>
      </c>
      <c r="F306" s="65">
        <v>4383.9210000000003</v>
      </c>
      <c r="G306" s="65">
        <v>53443.991800000003</v>
      </c>
      <c r="H306" s="65">
        <v>52813.211799999997</v>
      </c>
      <c r="I306" s="50">
        <v>98.819699999999997</v>
      </c>
      <c r="J306" s="65">
        <v>53443.991800000003</v>
      </c>
      <c r="K306" s="65">
        <v>53443.991800000003</v>
      </c>
      <c r="L306" s="50">
        <v>100</v>
      </c>
      <c r="M306" t="s">
        <v>2298</v>
      </c>
      <c r="N306" t="s">
        <v>2344</v>
      </c>
    </row>
    <row r="307" spans="1:14">
      <c r="A307" t="s">
        <v>933</v>
      </c>
      <c r="B307" t="s">
        <v>934</v>
      </c>
      <c r="C307" s="40">
        <v>45563</v>
      </c>
      <c r="D307" s="65">
        <v>12636.372499999999</v>
      </c>
      <c r="E307" s="50">
        <v>25.2727</v>
      </c>
      <c r="F307" s="65">
        <v>13141.8274</v>
      </c>
      <c r="G307" s="65">
        <v>50000</v>
      </c>
      <c r="H307" s="65">
        <v>10000</v>
      </c>
      <c r="I307" s="50">
        <v>20</v>
      </c>
      <c r="J307" s="65">
        <v>50000</v>
      </c>
      <c r="K307" s="65">
        <v>22636.372500000001</v>
      </c>
      <c r="L307" s="50">
        <v>45.2727</v>
      </c>
      <c r="M307" t="s">
        <v>2302</v>
      </c>
      <c r="N307" t="s">
        <v>2336</v>
      </c>
    </row>
    <row r="308" spans="1:14">
      <c r="A308" t="s">
        <v>629</v>
      </c>
      <c r="B308" t="s">
        <v>630</v>
      </c>
      <c r="C308" s="40">
        <v>45563</v>
      </c>
      <c r="D308" s="65">
        <v>3569.3</v>
      </c>
      <c r="E308" s="50">
        <v>3.3336999999999999</v>
      </c>
      <c r="F308" s="65">
        <v>32409.243999999999</v>
      </c>
      <c r="G308" s="65">
        <v>107068</v>
      </c>
      <c r="H308" s="65">
        <v>2022.7</v>
      </c>
      <c r="I308" s="50">
        <v>1.8892</v>
      </c>
      <c r="J308" s="65">
        <v>107068</v>
      </c>
      <c r="K308" s="65">
        <v>5592</v>
      </c>
      <c r="L308" s="50">
        <v>5.2228000000000003</v>
      </c>
      <c r="M308" t="s">
        <v>2310</v>
      </c>
      <c r="N308" t="s">
        <v>2327</v>
      </c>
    </row>
    <row r="309" spans="1:14">
      <c r="A309" t="s">
        <v>848</v>
      </c>
      <c r="B309" t="s">
        <v>849</v>
      </c>
      <c r="C309" s="40">
        <v>45561</v>
      </c>
      <c r="D309" s="65">
        <v>9835.2000000000007</v>
      </c>
      <c r="E309" s="50">
        <v>12.1935</v>
      </c>
      <c r="F309" s="65">
        <v>40914.432000000001</v>
      </c>
      <c r="G309" s="65">
        <v>80659.399999999994</v>
      </c>
      <c r="H309" s="65">
        <v>12138.3338</v>
      </c>
      <c r="I309" s="50">
        <v>15.0489</v>
      </c>
      <c r="J309" s="65">
        <v>80659.399999999994</v>
      </c>
      <c r="K309" s="65">
        <v>21973.533800000001</v>
      </c>
      <c r="L309" s="50">
        <v>27.2424</v>
      </c>
      <c r="M309" t="s">
        <v>2309</v>
      </c>
      <c r="N309" t="s">
        <v>2345</v>
      </c>
    </row>
    <row r="310" spans="1:14">
      <c r="A310" t="s">
        <v>3199</v>
      </c>
      <c r="B310" t="s">
        <v>3200</v>
      </c>
      <c r="C310" s="40">
        <v>45558</v>
      </c>
      <c r="D310" s="65">
        <v>116123.11289999999</v>
      </c>
      <c r="E310" s="50">
        <v>42.420699999999997</v>
      </c>
      <c r="F310" s="65">
        <v>28217.916434700001</v>
      </c>
      <c r="G310" s="65">
        <v>273741.7279</v>
      </c>
      <c r="H310" s="65">
        <v>127118.61500000001</v>
      </c>
      <c r="I310" s="50">
        <v>46.437399999999997</v>
      </c>
      <c r="J310" s="65">
        <v>273741.7279</v>
      </c>
      <c r="K310" s="65">
        <v>243241.7279</v>
      </c>
      <c r="L310" s="50">
        <v>88.858099999999993</v>
      </c>
      <c r="M310" t="s">
        <v>2311</v>
      </c>
      <c r="N310" t="s">
        <v>2324</v>
      </c>
    </row>
    <row r="311" spans="1:14">
      <c r="A311" t="s">
        <v>3245</v>
      </c>
      <c r="B311" t="s">
        <v>3246</v>
      </c>
      <c r="C311" s="40">
        <v>45557</v>
      </c>
      <c r="D311" s="65">
        <v>15400</v>
      </c>
      <c r="E311" s="50">
        <v>17.372499999999999</v>
      </c>
      <c r="F311" s="65">
        <v>27874</v>
      </c>
      <c r="G311" s="65">
        <v>88646.04</v>
      </c>
      <c r="H311" s="65">
        <v>39476.04</v>
      </c>
      <c r="I311" s="50">
        <v>44.532200000000003</v>
      </c>
      <c r="J311" s="65">
        <v>88646.04</v>
      </c>
      <c r="K311" s="65">
        <v>54876.04</v>
      </c>
      <c r="L311" s="50">
        <v>61.904699999999998</v>
      </c>
      <c r="M311" t="s">
        <v>2294</v>
      </c>
      <c r="N311" t="s">
        <v>2338</v>
      </c>
    </row>
    <row r="312" spans="1:14">
      <c r="A312" t="s">
        <v>413</v>
      </c>
      <c r="B312" t="s">
        <v>414</v>
      </c>
      <c r="C312" s="40">
        <v>45556</v>
      </c>
      <c r="D312" s="65">
        <v>5755.6</v>
      </c>
      <c r="E312" s="50">
        <v>6.3322000000000003</v>
      </c>
      <c r="F312" s="65">
        <v>45469.24</v>
      </c>
      <c r="G312" s="65">
        <v>90894</v>
      </c>
      <c r="H312" s="65">
        <v>13138.5</v>
      </c>
      <c r="I312" s="50">
        <v>14.454700000000001</v>
      </c>
      <c r="J312" s="65">
        <v>90894</v>
      </c>
      <c r="K312" s="65">
        <v>18894.099999999999</v>
      </c>
      <c r="L312" s="50">
        <v>20.786999999999999</v>
      </c>
      <c r="M312" t="s">
        <v>2303</v>
      </c>
      <c r="N312" t="s">
        <v>2337</v>
      </c>
    </row>
    <row r="313" spans="1:14">
      <c r="A313" t="s">
        <v>3199</v>
      </c>
      <c r="B313" t="s">
        <v>3200</v>
      </c>
      <c r="C313" s="40">
        <v>45555</v>
      </c>
      <c r="D313" s="65">
        <v>12200</v>
      </c>
      <c r="E313" s="50">
        <v>4.4568000000000003</v>
      </c>
      <c r="F313" s="65">
        <v>2989</v>
      </c>
      <c r="G313" s="65">
        <v>273741.7279</v>
      </c>
      <c r="H313" s="65">
        <v>202010.9497</v>
      </c>
      <c r="I313" s="50">
        <v>73.796199999999999</v>
      </c>
      <c r="J313" s="65">
        <v>273741.7279</v>
      </c>
      <c r="K313" s="65">
        <v>214210.9497</v>
      </c>
      <c r="L313" s="50">
        <v>78.252899999999997</v>
      </c>
      <c r="M313" t="s">
        <v>2311</v>
      </c>
      <c r="N313" t="s">
        <v>2324</v>
      </c>
    </row>
    <row r="314" spans="1:14">
      <c r="A314" t="s">
        <v>994</v>
      </c>
      <c r="B314" t="s">
        <v>995</v>
      </c>
      <c r="C314" s="40">
        <v>45555</v>
      </c>
      <c r="D314" s="65">
        <v>988.4</v>
      </c>
      <c r="E314" s="50">
        <v>4.4508000000000001</v>
      </c>
      <c r="F314" s="65">
        <v>27279.84</v>
      </c>
      <c r="G314" s="65">
        <v>22207.16</v>
      </c>
      <c r="H314" s="65">
        <v>653.74</v>
      </c>
      <c r="I314" s="50">
        <v>2.9438</v>
      </c>
      <c r="J314" s="65">
        <v>22207.16</v>
      </c>
      <c r="K314" s="65">
        <v>1642.14</v>
      </c>
      <c r="L314" s="50">
        <v>7.3945999999999996</v>
      </c>
      <c r="M314" t="s">
        <v>2296</v>
      </c>
      <c r="N314" t="s">
        <v>2328</v>
      </c>
    </row>
    <row r="315" spans="1:14">
      <c r="A315" t="s">
        <v>3247</v>
      </c>
      <c r="B315" t="s">
        <v>3248</v>
      </c>
      <c r="C315" s="40">
        <v>45555</v>
      </c>
      <c r="D315" s="65">
        <v>84525</v>
      </c>
      <c r="E315" s="50">
        <v>55.555500000000002</v>
      </c>
      <c r="F315" s="65">
        <v>20201.474999999999</v>
      </c>
      <c r="G315" s="65">
        <v>152145.0693</v>
      </c>
      <c r="H315" s="65">
        <v>67620.069300000003</v>
      </c>
      <c r="I315" s="50">
        <v>44.444499999999998</v>
      </c>
      <c r="J315" s="65">
        <v>152145.0693</v>
      </c>
      <c r="K315" s="65">
        <v>152145.0693</v>
      </c>
      <c r="L315" s="50">
        <v>100</v>
      </c>
      <c r="M315" t="s">
        <v>2309</v>
      </c>
      <c r="N315" t="s">
        <v>2345</v>
      </c>
    </row>
    <row r="316" spans="1:14">
      <c r="A316" t="s">
        <v>3249</v>
      </c>
      <c r="B316" t="s">
        <v>3250</v>
      </c>
      <c r="C316" s="40">
        <v>45532</v>
      </c>
      <c r="D316" s="65">
        <v>8900</v>
      </c>
      <c r="E316" s="50">
        <v>16.398399999999999</v>
      </c>
      <c r="F316" s="65">
        <v>2670</v>
      </c>
      <c r="G316" s="65">
        <v>54273.54</v>
      </c>
      <c r="H316" s="65">
        <v>45373.54</v>
      </c>
      <c r="I316" s="50">
        <v>83.601600000000005</v>
      </c>
      <c r="J316" s="65">
        <v>54273.54</v>
      </c>
      <c r="K316" s="65">
        <v>54273.54</v>
      </c>
      <c r="L316" s="50">
        <v>100</v>
      </c>
      <c r="M316" t="s">
        <v>2306</v>
      </c>
      <c r="N316" t="s">
        <v>2324</v>
      </c>
    </row>
    <row r="317" spans="1:14">
      <c r="A317" t="s">
        <v>3209</v>
      </c>
      <c r="B317" t="s">
        <v>3210</v>
      </c>
      <c r="C317" s="40">
        <v>45532</v>
      </c>
      <c r="D317" s="65">
        <v>874.3836</v>
      </c>
      <c r="E317" s="50">
        <v>1.9562999999999999</v>
      </c>
      <c r="F317" s="65">
        <v>2929.1850599999998</v>
      </c>
      <c r="G317" s="65">
        <v>44696.183599999997</v>
      </c>
      <c r="H317" s="65">
        <v>43821.8</v>
      </c>
      <c r="I317" s="50">
        <v>98.043700000000001</v>
      </c>
      <c r="J317" s="65">
        <v>44696.183599999997</v>
      </c>
      <c r="K317" s="65">
        <v>44696.183599999997</v>
      </c>
      <c r="L317" s="50">
        <v>100</v>
      </c>
      <c r="M317" t="s">
        <v>2308</v>
      </c>
      <c r="N317" t="s">
        <v>2344</v>
      </c>
    </row>
    <row r="318" spans="1:14">
      <c r="A318" t="s">
        <v>438</v>
      </c>
      <c r="B318" t="s">
        <v>439</v>
      </c>
      <c r="C318" s="40">
        <v>45526</v>
      </c>
      <c r="D318" s="65">
        <v>3322</v>
      </c>
      <c r="E318" s="50">
        <v>3.2307999999999999</v>
      </c>
      <c r="F318" s="65">
        <v>131052.9</v>
      </c>
      <c r="G318" s="65">
        <v>102822</v>
      </c>
      <c r="H318" s="65">
        <v>99500</v>
      </c>
      <c r="I318" s="50">
        <v>96.769199999999998</v>
      </c>
      <c r="J318" s="65">
        <v>102822</v>
      </c>
      <c r="K318" s="65">
        <v>102822</v>
      </c>
      <c r="L318" s="50">
        <v>100</v>
      </c>
      <c r="M318" t="s">
        <v>2292</v>
      </c>
      <c r="N318" t="s">
        <v>2342</v>
      </c>
    </row>
    <row r="319" spans="1:14">
      <c r="A319" t="s">
        <v>3231</v>
      </c>
      <c r="B319" t="s">
        <v>3232</v>
      </c>
      <c r="C319" s="40">
        <v>45505</v>
      </c>
      <c r="D319" s="65">
        <v>135</v>
      </c>
      <c r="E319" s="50">
        <v>3.8800000000000001E-2</v>
      </c>
      <c r="F319" s="65">
        <v>386.1</v>
      </c>
      <c r="G319" s="65">
        <v>348065.1937</v>
      </c>
      <c r="H319" s="65">
        <v>347919.1937</v>
      </c>
      <c r="I319" s="50">
        <v>99.958100000000002</v>
      </c>
      <c r="J319" s="65">
        <v>348065.1937</v>
      </c>
      <c r="K319" s="65">
        <v>348054.1937</v>
      </c>
      <c r="L319" s="50">
        <v>99.996799999999993</v>
      </c>
      <c r="M319" t="s">
        <v>2325</v>
      </c>
      <c r="N319" t="s">
        <v>2313</v>
      </c>
    </row>
    <row r="320" spans="1:14">
      <c r="A320" t="s">
        <v>3229</v>
      </c>
      <c r="B320" t="s">
        <v>3230</v>
      </c>
      <c r="C320" s="40">
        <v>45499</v>
      </c>
      <c r="D320" s="65">
        <v>4385.5947999999999</v>
      </c>
      <c r="E320" s="50">
        <v>4.6078999999999999</v>
      </c>
      <c r="F320" s="65">
        <v>2170.8694260000002</v>
      </c>
      <c r="G320" s="65">
        <v>95176.282999999996</v>
      </c>
      <c r="H320" s="65">
        <v>74927.974400000006</v>
      </c>
      <c r="I320" s="50">
        <v>78.725499999999997</v>
      </c>
      <c r="J320" s="65">
        <v>95176.282999999996</v>
      </c>
      <c r="K320" s="65">
        <v>79313.569199999998</v>
      </c>
      <c r="L320" s="50">
        <v>83.333299999999994</v>
      </c>
      <c r="M320" t="s">
        <v>2299</v>
      </c>
      <c r="N320" t="s">
        <v>2346</v>
      </c>
    </row>
    <row r="321" spans="1:14">
      <c r="A321" t="s">
        <v>3231</v>
      </c>
      <c r="B321" t="s">
        <v>3232</v>
      </c>
      <c r="C321" s="40">
        <v>45492</v>
      </c>
      <c r="D321" s="65">
        <v>540.20000000000005</v>
      </c>
      <c r="E321" s="50">
        <v>0.1552</v>
      </c>
      <c r="F321" s="65">
        <v>1534.1679999999999</v>
      </c>
      <c r="G321" s="65">
        <v>348065.1937</v>
      </c>
      <c r="H321" s="65">
        <v>347378.99369999999</v>
      </c>
      <c r="I321" s="50">
        <v>99.802899999999994</v>
      </c>
      <c r="J321" s="65">
        <v>348065.1937</v>
      </c>
      <c r="K321" s="65">
        <v>347919.1937</v>
      </c>
      <c r="L321" s="50">
        <v>99.958100000000002</v>
      </c>
      <c r="M321" t="s">
        <v>2325</v>
      </c>
      <c r="N321" t="s">
        <v>2313</v>
      </c>
    </row>
    <row r="322" spans="1:14">
      <c r="A322" t="s">
        <v>3251</v>
      </c>
      <c r="B322" t="s">
        <v>3252</v>
      </c>
      <c r="C322" s="40">
        <v>45487</v>
      </c>
      <c r="D322" s="65">
        <v>16300</v>
      </c>
      <c r="E322" s="50">
        <v>4.1772999999999998</v>
      </c>
      <c r="F322" s="65">
        <v>104483</v>
      </c>
      <c r="G322" s="65">
        <v>390203.6</v>
      </c>
      <c r="H322" s="65">
        <v>373903.6</v>
      </c>
      <c r="I322" s="50">
        <v>95.822699999999998</v>
      </c>
      <c r="J322" s="65">
        <v>390203.6</v>
      </c>
      <c r="K322" s="65">
        <v>390203.6</v>
      </c>
      <c r="L322" s="50">
        <v>100</v>
      </c>
      <c r="M322" t="s">
        <v>2307</v>
      </c>
      <c r="N322" t="s">
        <v>2341</v>
      </c>
    </row>
    <row r="323" spans="1:14">
      <c r="A323" t="s">
        <v>813</v>
      </c>
      <c r="B323" t="s">
        <v>814</v>
      </c>
      <c r="C323" s="40">
        <v>45486</v>
      </c>
      <c r="D323" s="65">
        <v>2606.15</v>
      </c>
      <c r="E323" s="50">
        <v>3.1274000000000002</v>
      </c>
      <c r="F323" s="65">
        <v>26322.115000000002</v>
      </c>
      <c r="G323" s="65">
        <v>83333.850000000006</v>
      </c>
      <c r="H323" s="65">
        <v>69766.087</v>
      </c>
      <c r="I323" s="50">
        <v>83.718800000000002</v>
      </c>
      <c r="J323" s="65">
        <v>83333.850000000006</v>
      </c>
      <c r="K323" s="65">
        <v>72372.236999999994</v>
      </c>
      <c r="L323" s="50">
        <v>86.846100000000007</v>
      </c>
      <c r="M323" t="s">
        <v>2304</v>
      </c>
      <c r="N323" t="s">
        <v>2338</v>
      </c>
    </row>
    <row r="324" spans="1:14">
      <c r="A324" t="s">
        <v>501</v>
      </c>
      <c r="B324" t="s">
        <v>502</v>
      </c>
      <c r="C324" s="40">
        <v>45485</v>
      </c>
      <c r="D324" s="65">
        <v>129.52000000000001</v>
      </c>
      <c r="E324" s="50">
        <v>0.24640000000000001</v>
      </c>
      <c r="F324" s="65">
        <v>801.72879999999998</v>
      </c>
      <c r="G324" s="65">
        <v>52567.198700000001</v>
      </c>
      <c r="H324" s="65">
        <v>52437.678699999997</v>
      </c>
      <c r="I324" s="50">
        <v>99.753600000000006</v>
      </c>
      <c r="J324" s="65">
        <v>52567.198700000001</v>
      </c>
      <c r="K324" s="65">
        <v>52567.198700000001</v>
      </c>
      <c r="L324" s="50">
        <v>100</v>
      </c>
      <c r="M324" t="s">
        <v>2309</v>
      </c>
      <c r="N324" t="s">
        <v>2327</v>
      </c>
    </row>
    <row r="325" spans="1:14">
      <c r="A325" t="s">
        <v>548</v>
      </c>
      <c r="B325" t="s">
        <v>549</v>
      </c>
      <c r="C325" s="40">
        <v>45482</v>
      </c>
      <c r="D325" s="65">
        <v>3088.72</v>
      </c>
      <c r="E325" s="50">
        <v>5.9997999999999996</v>
      </c>
      <c r="F325" s="65">
        <v>2687.1864</v>
      </c>
      <c r="G325" s="65">
        <v>51480</v>
      </c>
      <c r="H325" s="65">
        <v>19974.056</v>
      </c>
      <c r="I325" s="50">
        <v>38.799599999999998</v>
      </c>
      <c r="J325" s="65">
        <v>51480</v>
      </c>
      <c r="K325" s="65">
        <v>23062.776000000002</v>
      </c>
      <c r="L325" s="50">
        <v>44.799500000000002</v>
      </c>
      <c r="M325" t="s">
        <v>2305</v>
      </c>
      <c r="N325" t="s">
        <v>2339</v>
      </c>
    </row>
    <row r="326" spans="1:14">
      <c r="A326" t="s">
        <v>618</v>
      </c>
      <c r="B326" t="s">
        <v>619</v>
      </c>
      <c r="C326" s="40">
        <v>45478</v>
      </c>
      <c r="D326" s="65">
        <v>1816.6</v>
      </c>
      <c r="E326" s="50">
        <v>4.0285000000000002</v>
      </c>
      <c r="F326" s="65">
        <v>29101.932000000001</v>
      </c>
      <c r="G326" s="65">
        <v>45093.942300000002</v>
      </c>
      <c r="H326" s="65">
        <v>43277.342299999997</v>
      </c>
      <c r="I326" s="50">
        <v>95.971500000000006</v>
      </c>
      <c r="J326" s="65">
        <v>45093.942300000002</v>
      </c>
      <c r="K326" s="65">
        <v>45093.942300000002</v>
      </c>
      <c r="L326" s="50">
        <v>100</v>
      </c>
      <c r="M326" t="s">
        <v>2298</v>
      </c>
      <c r="N326" t="s">
        <v>2329</v>
      </c>
    </row>
    <row r="327" spans="1:14">
      <c r="A327" t="s">
        <v>729</v>
      </c>
      <c r="B327" t="s">
        <v>730</v>
      </c>
      <c r="C327" s="40">
        <v>45473</v>
      </c>
      <c r="D327" s="65">
        <v>40823.5124</v>
      </c>
      <c r="E327" s="50">
        <v>80.159599999999998</v>
      </c>
      <c r="F327" s="65">
        <v>367411.6116</v>
      </c>
      <c r="G327" s="65">
        <v>50927.809399999998</v>
      </c>
      <c r="H327" s="65">
        <v>10104.297</v>
      </c>
      <c r="I327" s="50">
        <v>19.840399999999999</v>
      </c>
      <c r="J327" s="65">
        <v>50927.809399999998</v>
      </c>
      <c r="K327" s="65">
        <v>50927.809399999998</v>
      </c>
      <c r="L327" s="50">
        <v>100</v>
      </c>
      <c r="M327" t="s">
        <v>2296</v>
      </c>
      <c r="N327" t="s">
        <v>2328</v>
      </c>
    </row>
    <row r="328" spans="1:14">
      <c r="A328" t="s">
        <v>624</v>
      </c>
      <c r="B328" t="s">
        <v>625</v>
      </c>
      <c r="C328" s="40">
        <v>45472</v>
      </c>
      <c r="D328" s="65">
        <v>602.58000000000004</v>
      </c>
      <c r="E328" s="50">
        <v>1.4411</v>
      </c>
      <c r="F328" s="65">
        <v>92194.74</v>
      </c>
      <c r="G328" s="65">
        <v>41814.282399999996</v>
      </c>
      <c r="H328" s="65">
        <v>554.83500000000004</v>
      </c>
      <c r="I328" s="50">
        <v>1.3269</v>
      </c>
      <c r="J328" s="65">
        <v>41814.282399999996</v>
      </c>
      <c r="K328" s="65">
        <v>1157.415</v>
      </c>
      <c r="L328" s="50">
        <v>2.7679999999999998</v>
      </c>
      <c r="M328" t="s">
        <v>2298</v>
      </c>
      <c r="N328" t="s">
        <v>2327</v>
      </c>
    </row>
    <row r="329" spans="1:14">
      <c r="A329" t="s">
        <v>3253</v>
      </c>
      <c r="B329" t="s">
        <v>3254</v>
      </c>
      <c r="C329" s="40">
        <v>45471</v>
      </c>
      <c r="D329" s="65">
        <v>2480</v>
      </c>
      <c r="E329" s="50">
        <v>2.8641999999999999</v>
      </c>
      <c r="F329" s="65">
        <v>93620</v>
      </c>
      <c r="G329" s="65">
        <v>86585.717600000004</v>
      </c>
      <c r="H329" s="65">
        <v>84105.717600000004</v>
      </c>
      <c r="I329" s="50">
        <v>97.135800000000003</v>
      </c>
      <c r="J329" s="65">
        <v>86585.717600000004</v>
      </c>
      <c r="K329" s="65">
        <v>86585.717600000004</v>
      </c>
      <c r="L329" s="50">
        <v>100</v>
      </c>
      <c r="M329" t="s">
        <v>2296</v>
      </c>
      <c r="N329" t="s">
        <v>2328</v>
      </c>
    </row>
    <row r="330" spans="1:14">
      <c r="A330" t="s">
        <v>507</v>
      </c>
      <c r="B330" t="s">
        <v>508</v>
      </c>
      <c r="C330" s="40">
        <v>45465</v>
      </c>
      <c r="D330" s="65">
        <v>5554.8</v>
      </c>
      <c r="E330" s="50">
        <v>7.1215000000000002</v>
      </c>
      <c r="F330" s="65">
        <v>2388.5639999999999</v>
      </c>
      <c r="G330" s="65">
        <v>78000</v>
      </c>
      <c r="H330" s="65">
        <v>72445.2</v>
      </c>
      <c r="I330" s="50">
        <v>92.878500000000003</v>
      </c>
      <c r="J330" s="65">
        <v>78000</v>
      </c>
      <c r="K330" s="65">
        <v>78000</v>
      </c>
      <c r="L330" s="50">
        <v>100</v>
      </c>
      <c r="M330" t="s">
        <v>2321</v>
      </c>
      <c r="N330" t="s">
        <v>2351</v>
      </c>
    </row>
    <row r="331" spans="1:14">
      <c r="A331" t="s">
        <v>767</v>
      </c>
      <c r="B331" t="s">
        <v>768</v>
      </c>
      <c r="C331" s="40">
        <v>45465</v>
      </c>
      <c r="D331" s="65">
        <v>1083.6400000000001</v>
      </c>
      <c r="E331" s="50">
        <v>8.6003000000000007</v>
      </c>
      <c r="F331" s="65">
        <v>9070.0668000000005</v>
      </c>
      <c r="G331" s="65">
        <v>12600</v>
      </c>
      <c r="H331" s="65">
        <v>2066.36</v>
      </c>
      <c r="I331" s="50">
        <v>16.399699999999999</v>
      </c>
      <c r="J331" s="65">
        <v>12600</v>
      </c>
      <c r="K331" s="65">
        <v>3150</v>
      </c>
      <c r="L331" s="50">
        <v>25</v>
      </c>
      <c r="M331" t="s">
        <v>2304</v>
      </c>
      <c r="N331" t="s">
        <v>2336</v>
      </c>
    </row>
    <row r="332" spans="1:14">
      <c r="A332" t="s">
        <v>485</v>
      </c>
      <c r="B332" t="s">
        <v>486</v>
      </c>
      <c r="C332" s="40">
        <v>45463</v>
      </c>
      <c r="D332" s="65">
        <v>12173.2</v>
      </c>
      <c r="E332" s="50">
        <v>12.738300000000001</v>
      </c>
      <c r="F332" s="65">
        <v>8277.7759999999998</v>
      </c>
      <c r="G332" s="65">
        <v>95564</v>
      </c>
      <c r="H332" s="65">
        <v>11717.8</v>
      </c>
      <c r="I332" s="50">
        <v>12.261699999999999</v>
      </c>
      <c r="J332" s="65">
        <v>95564</v>
      </c>
      <c r="K332" s="65">
        <v>23891</v>
      </c>
      <c r="L332" s="50">
        <v>25</v>
      </c>
      <c r="M332" t="s">
        <v>2303</v>
      </c>
      <c r="N332" t="s">
        <v>2337</v>
      </c>
    </row>
    <row r="333" spans="1:14">
      <c r="A333" t="s">
        <v>596</v>
      </c>
      <c r="B333" t="s">
        <v>597</v>
      </c>
      <c r="C333" s="40">
        <v>45463</v>
      </c>
      <c r="D333" s="65">
        <v>1750.94</v>
      </c>
      <c r="E333" s="50">
        <v>7.7362000000000002</v>
      </c>
      <c r="F333" s="65">
        <v>112410.348</v>
      </c>
      <c r="G333" s="65">
        <v>22633.034</v>
      </c>
      <c r="H333" s="65">
        <v>8409.4285</v>
      </c>
      <c r="I333" s="50">
        <v>37.1556</v>
      </c>
      <c r="J333" s="65">
        <v>22633.034</v>
      </c>
      <c r="K333" s="65">
        <v>10160.3685</v>
      </c>
      <c r="L333" s="50">
        <v>44.891800000000003</v>
      </c>
      <c r="M333" t="s">
        <v>2298</v>
      </c>
      <c r="N333" t="s">
        <v>2327</v>
      </c>
    </row>
    <row r="334" spans="1:14">
      <c r="A334" t="s">
        <v>3231</v>
      </c>
      <c r="B334" t="s">
        <v>3232</v>
      </c>
      <c r="C334" s="40">
        <v>45460</v>
      </c>
      <c r="D334" s="65">
        <v>480.1</v>
      </c>
      <c r="E334" s="50">
        <v>0.1431</v>
      </c>
      <c r="F334" s="65">
        <v>1353.8820000000001</v>
      </c>
      <c r="G334" s="65">
        <v>335450.05810000002</v>
      </c>
      <c r="H334" s="65">
        <v>334283.75809999998</v>
      </c>
      <c r="I334" s="50">
        <v>99.652299999999997</v>
      </c>
      <c r="J334" s="65">
        <v>335450.05810000002</v>
      </c>
      <c r="K334" s="65">
        <v>334763.85810000001</v>
      </c>
      <c r="L334" s="50">
        <v>99.795400000000001</v>
      </c>
      <c r="M334" t="s">
        <v>2325</v>
      </c>
      <c r="N334" t="s">
        <v>2313</v>
      </c>
    </row>
    <row r="335" spans="1:14">
      <c r="A335" t="s">
        <v>3217</v>
      </c>
      <c r="B335" t="s">
        <v>3218</v>
      </c>
      <c r="C335" s="40">
        <v>45458</v>
      </c>
      <c r="D335" s="65">
        <v>7600</v>
      </c>
      <c r="E335" s="50">
        <v>4.5045000000000002</v>
      </c>
      <c r="F335" s="65">
        <v>3420</v>
      </c>
      <c r="G335" s="65">
        <v>168720.0675</v>
      </c>
      <c r="H335" s="65">
        <v>153610.0675</v>
      </c>
      <c r="I335" s="50">
        <v>91.044300000000007</v>
      </c>
      <c r="J335" s="65">
        <v>168720.0675</v>
      </c>
      <c r="K335" s="65">
        <v>161210.0675</v>
      </c>
      <c r="L335" s="50">
        <v>95.5488</v>
      </c>
      <c r="M335" t="s">
        <v>2298</v>
      </c>
      <c r="N335" t="s">
        <v>2327</v>
      </c>
    </row>
    <row r="336" spans="1:14">
      <c r="A336" t="s">
        <v>3255</v>
      </c>
      <c r="B336" t="s">
        <v>3256</v>
      </c>
      <c r="C336" s="40">
        <v>45454</v>
      </c>
      <c r="D336" s="65">
        <v>15462.7</v>
      </c>
      <c r="E336" s="50">
        <v>4.3022</v>
      </c>
      <c r="F336" s="65">
        <v>123701.6</v>
      </c>
      <c r="G336" s="65">
        <v>359412.02710000001</v>
      </c>
      <c r="H336" s="65">
        <v>343949.32709999999</v>
      </c>
      <c r="I336" s="50">
        <v>95.697800000000001</v>
      </c>
      <c r="J336" s="65">
        <v>359412.02710000001</v>
      </c>
      <c r="K336" s="65">
        <v>359412.02710000001</v>
      </c>
      <c r="L336" s="50">
        <v>100</v>
      </c>
      <c r="M336" t="s">
        <v>2298</v>
      </c>
      <c r="N336" t="s">
        <v>2327</v>
      </c>
    </row>
    <row r="337" spans="1:14">
      <c r="A337" t="s">
        <v>309</v>
      </c>
      <c r="B337" t="s">
        <v>310</v>
      </c>
      <c r="C337" s="40">
        <v>45453</v>
      </c>
      <c r="D337" s="65">
        <v>12531.618399999999</v>
      </c>
      <c r="E337" s="50">
        <v>19.552800000000001</v>
      </c>
      <c r="F337" s="65">
        <v>96493.461679999993</v>
      </c>
      <c r="G337" s="65">
        <v>64091.0406</v>
      </c>
      <c r="H337" s="65">
        <v>51559.422200000001</v>
      </c>
      <c r="I337" s="50">
        <v>80.447199999999995</v>
      </c>
      <c r="J337" s="65">
        <v>64091.0406</v>
      </c>
      <c r="K337" s="65">
        <v>64091.0406</v>
      </c>
      <c r="L337" s="50">
        <v>100</v>
      </c>
      <c r="M337" t="s">
        <v>2296</v>
      </c>
      <c r="N337" t="s">
        <v>2326</v>
      </c>
    </row>
    <row r="338" spans="1:14">
      <c r="A338" t="s">
        <v>316</v>
      </c>
      <c r="B338" t="s">
        <v>317</v>
      </c>
      <c r="C338" s="40">
        <v>45449</v>
      </c>
      <c r="D338" s="65">
        <v>1055.3900000000001</v>
      </c>
      <c r="E338" s="50">
        <v>2.714</v>
      </c>
      <c r="F338" s="65">
        <v>56568.904000000002</v>
      </c>
      <c r="G338" s="65">
        <v>38887.563600000001</v>
      </c>
      <c r="H338" s="65">
        <v>11751.0285</v>
      </c>
      <c r="I338" s="50">
        <v>30.218</v>
      </c>
      <c r="J338" s="65">
        <v>38887.563600000001</v>
      </c>
      <c r="K338" s="65">
        <v>12806.4185</v>
      </c>
      <c r="L338" s="50">
        <v>32.931899999999999</v>
      </c>
      <c r="M338" t="s">
        <v>2302</v>
      </c>
      <c r="N338" t="s">
        <v>2336</v>
      </c>
    </row>
    <row r="339" spans="1:14">
      <c r="A339" t="s">
        <v>3257</v>
      </c>
      <c r="B339" t="s">
        <v>3258</v>
      </c>
      <c r="C339" s="40">
        <v>45443</v>
      </c>
      <c r="D339" s="65">
        <v>364.8</v>
      </c>
      <c r="E339" s="50">
        <v>0.71860000000000002</v>
      </c>
      <c r="F339" s="65">
        <v>87.187200000000004</v>
      </c>
      <c r="G339" s="65">
        <v>50763.199999999997</v>
      </c>
      <c r="H339" s="65">
        <v>50398.400000000001</v>
      </c>
      <c r="I339" s="50">
        <v>99.281400000000005</v>
      </c>
      <c r="J339" s="65">
        <v>50763.199999999997</v>
      </c>
      <c r="K339" s="65">
        <v>50763.199999999997</v>
      </c>
      <c r="L339" s="50">
        <v>100</v>
      </c>
      <c r="M339" t="s">
        <v>2318</v>
      </c>
      <c r="N339" t="s">
        <v>2345</v>
      </c>
    </row>
    <row r="340" spans="1:14">
      <c r="A340" t="s">
        <v>3259</v>
      </c>
      <c r="B340" t="s">
        <v>3260</v>
      </c>
      <c r="C340" s="40">
        <v>45442</v>
      </c>
      <c r="D340" s="65">
        <v>3520</v>
      </c>
      <c r="E340" s="50">
        <v>3.8862999999999999</v>
      </c>
      <c r="F340" s="65">
        <v>1830.4</v>
      </c>
      <c r="G340" s="65">
        <v>90575.539900000003</v>
      </c>
      <c r="H340" s="65">
        <v>87055.539900000003</v>
      </c>
      <c r="I340" s="50">
        <v>96.113699999999994</v>
      </c>
      <c r="J340" s="65">
        <v>90575.539900000003</v>
      </c>
      <c r="K340" s="65">
        <v>90575.539900000003</v>
      </c>
      <c r="L340" s="50">
        <v>100</v>
      </c>
      <c r="M340" t="s">
        <v>2297</v>
      </c>
      <c r="N340" t="s">
        <v>2335</v>
      </c>
    </row>
    <row r="341" spans="1:14">
      <c r="A341" t="s">
        <v>503</v>
      </c>
      <c r="B341" t="s">
        <v>504</v>
      </c>
      <c r="C341" s="40">
        <v>45429</v>
      </c>
      <c r="D341" s="65">
        <v>11391</v>
      </c>
      <c r="E341" s="50">
        <v>9.5114999999999998</v>
      </c>
      <c r="F341" s="65">
        <v>193191.36</v>
      </c>
      <c r="G341" s="65">
        <v>119760.45</v>
      </c>
      <c r="H341" s="65">
        <v>108369.45</v>
      </c>
      <c r="I341" s="50">
        <v>90.488500000000002</v>
      </c>
      <c r="J341" s="65">
        <v>119760.45</v>
      </c>
      <c r="K341" s="65">
        <v>119760.45</v>
      </c>
      <c r="L341" s="50">
        <v>100</v>
      </c>
      <c r="M341" t="s">
        <v>2296</v>
      </c>
      <c r="N341" t="s">
        <v>2328</v>
      </c>
    </row>
    <row r="342" spans="1:14">
      <c r="A342" t="s">
        <v>3261</v>
      </c>
      <c r="B342" t="s">
        <v>3262</v>
      </c>
      <c r="C342" s="40">
        <v>45428</v>
      </c>
      <c r="D342" s="65">
        <v>335000</v>
      </c>
      <c r="E342" s="50">
        <v>29.278400000000001</v>
      </c>
      <c r="F342" s="65">
        <v>112225</v>
      </c>
      <c r="G342" s="65">
        <v>1144189.2848</v>
      </c>
      <c r="H342" s="65">
        <v>809189.28480000002</v>
      </c>
      <c r="I342" s="50">
        <v>70.721599999999995</v>
      </c>
      <c r="J342" s="65">
        <v>1144189.2848</v>
      </c>
      <c r="K342" s="65">
        <v>1144189.2848</v>
      </c>
      <c r="L342" s="50">
        <v>100</v>
      </c>
      <c r="M342" t="s">
        <v>2306</v>
      </c>
      <c r="N342" t="s">
        <v>2324</v>
      </c>
    </row>
    <row r="343" spans="1:14">
      <c r="A343" t="s">
        <v>3263</v>
      </c>
      <c r="B343" t="s">
        <v>3264</v>
      </c>
      <c r="C343" s="40">
        <v>45427</v>
      </c>
      <c r="D343" s="65">
        <v>10365</v>
      </c>
      <c r="E343" s="50">
        <v>8.2588000000000008</v>
      </c>
      <c r="F343" s="65">
        <v>52550.55</v>
      </c>
      <c r="G343" s="65">
        <v>125502.75</v>
      </c>
      <c r="H343" s="65">
        <v>115137.75</v>
      </c>
      <c r="I343" s="50">
        <v>91.741200000000006</v>
      </c>
      <c r="J343" s="65">
        <v>125502.75</v>
      </c>
      <c r="K343" s="65">
        <v>125502.75</v>
      </c>
      <c r="L343" s="50">
        <v>100</v>
      </c>
      <c r="M343" t="s">
        <v>2305</v>
      </c>
      <c r="N343" t="s">
        <v>2339</v>
      </c>
    </row>
    <row r="344" spans="1:14">
      <c r="A344" t="s">
        <v>566</v>
      </c>
      <c r="B344" t="s">
        <v>567</v>
      </c>
      <c r="C344" s="40">
        <v>45422</v>
      </c>
      <c r="D344" s="65">
        <v>763.32</v>
      </c>
      <c r="E344" s="50">
        <v>2.1932999999999998</v>
      </c>
      <c r="F344" s="65">
        <v>11449.8</v>
      </c>
      <c r="G344" s="65">
        <v>34802.281600000002</v>
      </c>
      <c r="H344" s="65">
        <v>19896.153600000001</v>
      </c>
      <c r="I344" s="50">
        <v>57.1691</v>
      </c>
      <c r="J344" s="65">
        <v>34802.281600000002</v>
      </c>
      <c r="K344" s="65">
        <v>20659.473600000001</v>
      </c>
      <c r="L344" s="50">
        <v>59.362400000000001</v>
      </c>
      <c r="M344" t="s">
        <v>2297</v>
      </c>
      <c r="N344" t="s">
        <v>2340</v>
      </c>
    </row>
    <row r="345" spans="1:14">
      <c r="A345" t="s">
        <v>383</v>
      </c>
      <c r="B345" t="s">
        <v>384</v>
      </c>
      <c r="C345" s="40">
        <v>45414</v>
      </c>
      <c r="D345" s="65">
        <v>3700.28</v>
      </c>
      <c r="E345" s="50">
        <v>1.3468</v>
      </c>
      <c r="F345" s="65">
        <v>19389.467199999999</v>
      </c>
      <c r="G345" s="65">
        <v>274736.03999999998</v>
      </c>
      <c r="H345" s="65">
        <v>176105.56760000001</v>
      </c>
      <c r="I345" s="50">
        <v>64.099900000000005</v>
      </c>
      <c r="J345" s="65">
        <v>274736.03999999998</v>
      </c>
      <c r="K345" s="65">
        <v>179805.84760000001</v>
      </c>
      <c r="L345" s="50">
        <v>65.446799999999996</v>
      </c>
      <c r="M345" t="s">
        <v>2304</v>
      </c>
      <c r="N345" t="s">
        <v>2347</v>
      </c>
    </row>
    <row r="346" spans="1:14">
      <c r="A346" t="s">
        <v>3265</v>
      </c>
      <c r="B346" t="s">
        <v>3266</v>
      </c>
      <c r="C346" s="40">
        <v>45412</v>
      </c>
      <c r="D346" s="65">
        <v>55000</v>
      </c>
      <c r="E346" s="50">
        <v>18.002700000000001</v>
      </c>
      <c r="F346" s="65">
        <v>3355</v>
      </c>
      <c r="G346" s="65">
        <v>305510.57390000002</v>
      </c>
      <c r="H346" s="65">
        <v>250510.57389999999</v>
      </c>
      <c r="I346" s="50">
        <v>81.997299999999996</v>
      </c>
      <c r="J346" s="65">
        <v>305510.57390000002</v>
      </c>
      <c r="K346" s="65">
        <v>305510.57390000002</v>
      </c>
      <c r="L346" s="50">
        <v>100</v>
      </c>
      <c r="M346" t="s">
        <v>2306</v>
      </c>
      <c r="N346" t="s">
        <v>2324</v>
      </c>
    </row>
    <row r="347" spans="1:14">
      <c r="A347" t="s">
        <v>246</v>
      </c>
      <c r="B347" t="s">
        <v>247</v>
      </c>
      <c r="C347" s="40">
        <v>45409</v>
      </c>
      <c r="D347" s="65">
        <v>13023.1</v>
      </c>
      <c r="E347" s="50">
        <v>1.4779</v>
      </c>
      <c r="F347" s="65">
        <v>82957.146999999997</v>
      </c>
      <c r="G347" s="65">
        <v>881216.62349999999</v>
      </c>
      <c r="H347" s="65">
        <v>770260.1825</v>
      </c>
      <c r="I347" s="50">
        <v>87.408699999999996</v>
      </c>
      <c r="J347" s="65">
        <v>881216.62349999999</v>
      </c>
      <c r="K347" s="65">
        <v>783283.28249999997</v>
      </c>
      <c r="L347" s="50">
        <v>88.886600000000001</v>
      </c>
      <c r="M347" t="s">
        <v>2321</v>
      </c>
      <c r="N347" t="s">
        <v>2351</v>
      </c>
    </row>
    <row r="348" spans="1:14">
      <c r="A348" t="s">
        <v>369</v>
      </c>
      <c r="B348" t="s">
        <v>370</v>
      </c>
      <c r="C348" s="40">
        <v>45408</v>
      </c>
      <c r="D348" s="65">
        <v>225996.4</v>
      </c>
      <c r="E348" s="50">
        <v>66.692700000000002</v>
      </c>
      <c r="F348" s="65">
        <v>2345842.6320000002</v>
      </c>
      <c r="G348" s="65">
        <v>338862.35499999998</v>
      </c>
      <c r="H348" s="65">
        <v>112865.955</v>
      </c>
      <c r="I348" s="50">
        <v>33.307299999999998</v>
      </c>
      <c r="J348" s="65">
        <v>338862.35499999998</v>
      </c>
      <c r="K348" s="65">
        <v>338862.35499999998</v>
      </c>
      <c r="L348" s="50">
        <v>100</v>
      </c>
      <c r="M348" t="s">
        <v>2304</v>
      </c>
      <c r="N348" t="s">
        <v>2336</v>
      </c>
    </row>
    <row r="349" spans="1:14">
      <c r="A349" t="s">
        <v>3199</v>
      </c>
      <c r="B349" t="s">
        <v>3200</v>
      </c>
      <c r="C349" s="40">
        <v>45406</v>
      </c>
      <c r="D349" s="65">
        <v>128323.11289999999</v>
      </c>
      <c r="E349" s="50">
        <v>12.3988</v>
      </c>
      <c r="F349" s="65">
        <v>11292.433935200001</v>
      </c>
      <c r="G349" s="65">
        <v>1034966.9116</v>
      </c>
      <c r="H349" s="65">
        <v>656320.68579999998</v>
      </c>
      <c r="I349" s="50">
        <v>63.414700000000003</v>
      </c>
      <c r="J349" s="65">
        <v>1034966.9116</v>
      </c>
      <c r="K349" s="65">
        <v>784643.79870000004</v>
      </c>
      <c r="L349" s="50">
        <v>75.813400000000001</v>
      </c>
      <c r="M349" t="s">
        <v>2311</v>
      </c>
      <c r="N349" t="s">
        <v>2324</v>
      </c>
    </row>
    <row r="350" spans="1:14">
      <c r="A350" t="s">
        <v>3267</v>
      </c>
      <c r="B350" t="s">
        <v>3268</v>
      </c>
      <c r="C350" s="40">
        <v>45401</v>
      </c>
      <c r="D350" s="65">
        <v>530600</v>
      </c>
      <c r="E350" s="50">
        <v>833.2758</v>
      </c>
      <c r="F350" s="65">
        <v>225505</v>
      </c>
      <c r="G350" s="65">
        <v>63676.393400000001</v>
      </c>
      <c r="H350" s="65">
        <v>-466923.6066</v>
      </c>
      <c r="I350" s="50">
        <v>-733.2758</v>
      </c>
      <c r="J350" s="65">
        <v>63676.393400000001</v>
      </c>
      <c r="K350" s="65">
        <v>63676.393400000001</v>
      </c>
      <c r="L350" s="50">
        <v>100</v>
      </c>
      <c r="M350" t="s">
        <v>2297</v>
      </c>
      <c r="N350" t="s">
        <v>2335</v>
      </c>
    </row>
    <row r="351" spans="1:14">
      <c r="A351" t="s">
        <v>3269</v>
      </c>
      <c r="B351" t="s">
        <v>3270</v>
      </c>
      <c r="C351" s="40">
        <v>45396</v>
      </c>
      <c r="D351" s="65">
        <v>5856.7221</v>
      </c>
      <c r="E351" s="50">
        <v>2.4369000000000001</v>
      </c>
      <c r="F351" s="65">
        <v>1323.6191945999999</v>
      </c>
      <c r="G351" s="65">
        <v>240338.58809999999</v>
      </c>
      <c r="H351" s="65">
        <v>234481.86600000001</v>
      </c>
      <c r="I351" s="50">
        <v>97.563100000000006</v>
      </c>
      <c r="J351" s="65">
        <v>240338.58809999999</v>
      </c>
      <c r="K351" s="65">
        <v>240338.58809999999</v>
      </c>
      <c r="L351" s="50">
        <v>100</v>
      </c>
      <c r="M351" t="s">
        <v>2318</v>
      </c>
      <c r="N351" t="s">
        <v>2351</v>
      </c>
    </row>
    <row r="352" spans="1:14">
      <c r="A352" t="s">
        <v>407</v>
      </c>
      <c r="B352" t="s">
        <v>408</v>
      </c>
      <c r="C352" s="40">
        <v>45394</v>
      </c>
      <c r="D352" s="65">
        <v>663.24</v>
      </c>
      <c r="E352" s="50">
        <v>0.62090000000000001</v>
      </c>
      <c r="F352" s="65">
        <v>14458.632</v>
      </c>
      <c r="G352" s="65">
        <v>106815.315</v>
      </c>
      <c r="H352" s="65">
        <v>24966.805</v>
      </c>
      <c r="I352" s="50">
        <v>23.373799999999999</v>
      </c>
      <c r="J352" s="65">
        <v>106815.315</v>
      </c>
      <c r="K352" s="65">
        <v>25630.044999999998</v>
      </c>
      <c r="L352" s="50">
        <v>23.994700000000002</v>
      </c>
      <c r="M352" t="s">
        <v>2302</v>
      </c>
      <c r="N352" t="s">
        <v>2347</v>
      </c>
    </row>
    <row r="353" spans="1:14">
      <c r="A353" t="s">
        <v>401</v>
      </c>
      <c r="B353" t="s">
        <v>402</v>
      </c>
      <c r="C353" s="40">
        <v>45394</v>
      </c>
      <c r="D353" s="65">
        <v>6019.65</v>
      </c>
      <c r="E353" s="50">
        <v>14.108499999999999</v>
      </c>
      <c r="F353" s="65">
        <v>42017.156999999999</v>
      </c>
      <c r="G353" s="65">
        <v>42666.7</v>
      </c>
      <c r="H353" s="65">
        <v>36647.050000000003</v>
      </c>
      <c r="I353" s="50">
        <v>85.891499999999994</v>
      </c>
      <c r="J353" s="65">
        <v>42666.7</v>
      </c>
      <c r="K353" s="65">
        <v>42666.7</v>
      </c>
      <c r="L353" s="50">
        <v>100</v>
      </c>
      <c r="M353" t="s">
        <v>2300</v>
      </c>
      <c r="N353" t="s">
        <v>2333</v>
      </c>
    </row>
    <row r="354" spans="1:14">
      <c r="A354" t="s">
        <v>984</v>
      </c>
      <c r="B354" t="s">
        <v>985</v>
      </c>
      <c r="C354" s="40">
        <v>45388</v>
      </c>
      <c r="D354" s="65">
        <v>7456</v>
      </c>
      <c r="E354" s="50">
        <v>43.034100000000002</v>
      </c>
      <c r="F354" s="65">
        <v>24082.880000000001</v>
      </c>
      <c r="G354" s="65">
        <v>17325.8</v>
      </c>
      <c r="H354" s="65">
        <v>9869.7999999999993</v>
      </c>
      <c r="I354" s="50">
        <v>56.965899999999998</v>
      </c>
      <c r="J354" s="65">
        <v>17325.8</v>
      </c>
      <c r="K354" s="65">
        <v>17325.8</v>
      </c>
      <c r="L354" s="50">
        <v>100</v>
      </c>
      <c r="M354" t="s">
        <v>2310</v>
      </c>
      <c r="N354" t="s">
        <v>2343</v>
      </c>
    </row>
    <row r="355" spans="1:14">
      <c r="A355" t="s">
        <v>761</v>
      </c>
      <c r="B355" t="s">
        <v>762</v>
      </c>
      <c r="C355" s="40">
        <v>45379</v>
      </c>
      <c r="D355" s="65">
        <v>4659.2</v>
      </c>
      <c r="E355" s="50">
        <v>5.5343</v>
      </c>
      <c r="F355" s="65">
        <v>5264.8959999999997</v>
      </c>
      <c r="G355" s="65">
        <v>84187.680500000002</v>
      </c>
      <c r="H355" s="65">
        <v>79528.480500000005</v>
      </c>
      <c r="I355" s="50">
        <v>94.465699999999998</v>
      </c>
      <c r="J355" s="65">
        <v>84187.680500000002</v>
      </c>
      <c r="K355" s="65">
        <v>84187.680500000002</v>
      </c>
      <c r="L355" s="50">
        <v>100</v>
      </c>
      <c r="M355" t="s">
        <v>2292</v>
      </c>
      <c r="N355" t="s">
        <v>2327</v>
      </c>
    </row>
    <row r="356" spans="1:14">
      <c r="A356" t="s">
        <v>426</v>
      </c>
      <c r="B356" t="s">
        <v>427</v>
      </c>
      <c r="C356" s="40">
        <v>45379</v>
      </c>
      <c r="D356" s="65">
        <v>1215.68</v>
      </c>
      <c r="E356" s="50">
        <v>2.6095000000000002</v>
      </c>
      <c r="F356" s="65">
        <v>76101.567999999999</v>
      </c>
      <c r="G356" s="65">
        <v>46585.873299999999</v>
      </c>
      <c r="H356" s="65">
        <v>12328.365</v>
      </c>
      <c r="I356" s="50">
        <v>26.463699999999999</v>
      </c>
      <c r="J356" s="65">
        <v>46585.873299999999</v>
      </c>
      <c r="K356" s="65">
        <v>13544.045</v>
      </c>
      <c r="L356" s="50">
        <v>29.0733</v>
      </c>
      <c r="M356" t="s">
        <v>2298</v>
      </c>
      <c r="N356" t="s">
        <v>2327</v>
      </c>
    </row>
    <row r="357" spans="1:14">
      <c r="A357" t="s">
        <v>329</v>
      </c>
      <c r="B357" t="s">
        <v>330</v>
      </c>
      <c r="C357" s="40">
        <v>45377</v>
      </c>
      <c r="D357" s="65">
        <v>2802.13</v>
      </c>
      <c r="E357" s="50">
        <v>3.4218999999999999</v>
      </c>
      <c r="F357" s="65">
        <v>41471.523999999998</v>
      </c>
      <c r="G357" s="65">
        <v>81889.243900000001</v>
      </c>
      <c r="H357" s="65">
        <v>72192.155899999998</v>
      </c>
      <c r="I357" s="50">
        <v>88.158299999999997</v>
      </c>
      <c r="J357" s="65">
        <v>81889.243900000001</v>
      </c>
      <c r="K357" s="65">
        <v>74994.285900000003</v>
      </c>
      <c r="L357" s="50">
        <v>91.580100000000002</v>
      </c>
      <c r="M357" t="s">
        <v>2311</v>
      </c>
      <c r="N357" t="s">
        <v>2338</v>
      </c>
    </row>
    <row r="358" spans="1:14">
      <c r="A358" t="s">
        <v>1028</v>
      </c>
      <c r="B358" t="s">
        <v>1029</v>
      </c>
      <c r="C358" s="40">
        <v>45376</v>
      </c>
      <c r="D358" s="65">
        <v>651.38</v>
      </c>
      <c r="E358" s="50">
        <v>3.3601999999999999</v>
      </c>
      <c r="F358" s="65">
        <v>5145.902</v>
      </c>
      <c r="G358" s="65">
        <v>19384.919999999998</v>
      </c>
      <c r="H358" s="65">
        <v>10495.501399999999</v>
      </c>
      <c r="I358" s="50">
        <v>54.142600000000002</v>
      </c>
      <c r="J358" s="65">
        <v>19384.919999999998</v>
      </c>
      <c r="K358" s="65">
        <v>11146.8814</v>
      </c>
      <c r="L358" s="50">
        <v>57.502800000000001</v>
      </c>
      <c r="M358" t="s">
        <v>2296</v>
      </c>
      <c r="N358" t="s">
        <v>2328</v>
      </c>
    </row>
    <row r="359" spans="1:14">
      <c r="A359" t="s">
        <v>3271</v>
      </c>
      <c r="B359" t="s">
        <v>3272</v>
      </c>
      <c r="C359" s="40">
        <v>45373</v>
      </c>
      <c r="D359" s="65">
        <v>31062.438999999998</v>
      </c>
      <c r="E359" s="50">
        <v>11.5905</v>
      </c>
      <c r="F359" s="65">
        <v>3323.680973</v>
      </c>
      <c r="G359" s="65">
        <v>268000</v>
      </c>
      <c r="H359" s="65">
        <v>236937.56099999999</v>
      </c>
      <c r="I359" s="50">
        <v>88.409499999999994</v>
      </c>
      <c r="J359" s="65">
        <v>268000</v>
      </c>
      <c r="K359" s="65">
        <v>268000</v>
      </c>
      <c r="L359" s="50">
        <v>100</v>
      </c>
      <c r="M359" t="s">
        <v>2310</v>
      </c>
      <c r="N359" t="s">
        <v>2343</v>
      </c>
    </row>
    <row r="360" spans="1:14">
      <c r="A360" t="s">
        <v>3273</v>
      </c>
      <c r="B360" t="s">
        <v>3274</v>
      </c>
      <c r="C360" s="40">
        <v>45369</v>
      </c>
      <c r="D360" s="65">
        <v>61849.056600000004</v>
      </c>
      <c r="E360" s="50">
        <v>13.800800000000001</v>
      </c>
      <c r="F360" s="65">
        <v>2968.7547168000001</v>
      </c>
      <c r="G360" s="65">
        <v>448155.72610000003</v>
      </c>
      <c r="H360" s="65">
        <v>386306.66950000002</v>
      </c>
      <c r="I360" s="50">
        <v>86.199200000000005</v>
      </c>
      <c r="J360" s="65">
        <v>448155.72610000003</v>
      </c>
      <c r="K360" s="65">
        <v>448155.72610000003</v>
      </c>
      <c r="L360" s="50">
        <v>100</v>
      </c>
      <c r="M360" t="s">
        <v>2307</v>
      </c>
      <c r="N360" t="s">
        <v>2341</v>
      </c>
    </row>
    <row r="361" spans="1:14">
      <c r="A361" t="s">
        <v>409</v>
      </c>
      <c r="B361" t="s">
        <v>410</v>
      </c>
      <c r="C361" s="40">
        <v>45365</v>
      </c>
      <c r="D361" s="65">
        <v>66020.535999999993</v>
      </c>
      <c r="E361" s="50">
        <v>49.215000000000003</v>
      </c>
      <c r="F361" s="65">
        <v>85166.491439999998</v>
      </c>
      <c r="G361" s="65">
        <v>134147.28969999999</v>
      </c>
      <c r="H361" s="65">
        <v>68126.753700000001</v>
      </c>
      <c r="I361" s="50">
        <v>50.784999999999997</v>
      </c>
      <c r="J361" s="65">
        <v>134147.28969999999</v>
      </c>
      <c r="K361" s="65">
        <v>134147.28969999999</v>
      </c>
      <c r="L361" s="50">
        <v>100</v>
      </c>
      <c r="M361" t="s">
        <v>2296</v>
      </c>
      <c r="N361" t="s">
        <v>2347</v>
      </c>
    </row>
    <row r="362" spans="1:14">
      <c r="A362" t="s">
        <v>3275</v>
      </c>
      <c r="B362" t="s">
        <v>3276</v>
      </c>
      <c r="C362" s="40">
        <v>45362</v>
      </c>
      <c r="D362" s="65">
        <v>18261.8</v>
      </c>
      <c r="E362" s="50">
        <v>11.539</v>
      </c>
      <c r="F362" s="65">
        <v>27757.936000000002</v>
      </c>
      <c r="G362" s="65">
        <v>158261.79999999999</v>
      </c>
      <c r="H362" s="65">
        <v>35500</v>
      </c>
      <c r="I362" s="50">
        <v>22.4312</v>
      </c>
      <c r="J362" s="65">
        <v>158261.79999999999</v>
      </c>
      <c r="K362" s="65">
        <v>53761.8</v>
      </c>
      <c r="L362" s="50">
        <v>33.970199999999998</v>
      </c>
      <c r="N362" t="s">
        <v>2336</v>
      </c>
    </row>
    <row r="363" spans="1:14">
      <c r="A363" t="s">
        <v>713</v>
      </c>
      <c r="B363" t="s">
        <v>714</v>
      </c>
      <c r="C363" s="40">
        <v>45358</v>
      </c>
      <c r="D363" s="65">
        <v>162</v>
      </c>
      <c r="E363" s="50">
        <v>0.80130000000000001</v>
      </c>
      <c r="F363" s="65">
        <v>3207.6</v>
      </c>
      <c r="G363" s="65">
        <v>20216</v>
      </c>
      <c r="H363" s="65">
        <v>5054</v>
      </c>
      <c r="I363" s="50">
        <v>25</v>
      </c>
      <c r="J363" s="65">
        <v>20216</v>
      </c>
      <c r="K363" s="65">
        <v>5216</v>
      </c>
      <c r="L363" s="50">
        <v>25.801300000000001</v>
      </c>
      <c r="M363" t="s">
        <v>2318</v>
      </c>
      <c r="N363" t="s">
        <v>2340</v>
      </c>
    </row>
    <row r="364" spans="1:14">
      <c r="A364" t="s">
        <v>1018</v>
      </c>
      <c r="B364" t="s">
        <v>1019</v>
      </c>
      <c r="C364" s="40">
        <v>45356</v>
      </c>
      <c r="D364" s="65">
        <v>1248.52</v>
      </c>
      <c r="E364" s="50">
        <v>3.3369</v>
      </c>
      <c r="F364" s="65">
        <v>18777.7408</v>
      </c>
      <c r="G364" s="65">
        <v>37415.769500000002</v>
      </c>
      <c r="H364" s="65">
        <v>21606.483899999999</v>
      </c>
      <c r="I364" s="50">
        <v>57.747</v>
      </c>
      <c r="J364" s="65">
        <v>37415.769500000002</v>
      </c>
      <c r="K364" s="65">
        <v>22855.0039</v>
      </c>
      <c r="L364" s="50">
        <v>61.0839</v>
      </c>
      <c r="M364" t="s">
        <v>2296</v>
      </c>
      <c r="N364" t="s">
        <v>2328</v>
      </c>
    </row>
    <row r="365" spans="1:14">
      <c r="A365" t="s">
        <v>3277</v>
      </c>
      <c r="B365" t="s">
        <v>3278</v>
      </c>
      <c r="C365" s="40">
        <v>45350</v>
      </c>
      <c r="D365" s="65">
        <v>36000</v>
      </c>
      <c r="E365" s="50">
        <v>33.316000000000003</v>
      </c>
      <c r="F365" s="65">
        <v>42480</v>
      </c>
      <c r="G365" s="65">
        <v>108056.289</v>
      </c>
      <c r="H365" s="65">
        <v>72056.289000000004</v>
      </c>
      <c r="I365" s="50">
        <v>66.683999999999997</v>
      </c>
      <c r="J365" s="65">
        <v>108056.289</v>
      </c>
      <c r="K365" s="65">
        <v>108056.289</v>
      </c>
      <c r="L365" s="50">
        <v>100</v>
      </c>
      <c r="M365" t="s">
        <v>2323</v>
      </c>
      <c r="N365" t="s">
        <v>2353</v>
      </c>
    </row>
    <row r="366" spans="1:14">
      <c r="A366" t="s">
        <v>3221</v>
      </c>
      <c r="B366" t="s">
        <v>3222</v>
      </c>
      <c r="C366" s="40">
        <v>45342</v>
      </c>
      <c r="D366" s="65">
        <v>31545.772799999999</v>
      </c>
      <c r="E366" s="50">
        <v>11.9451</v>
      </c>
      <c r="F366" s="65">
        <v>1482.6513216000001</v>
      </c>
      <c r="G366" s="65">
        <v>264089.50630000001</v>
      </c>
      <c r="H366" s="65">
        <v>232543.7335</v>
      </c>
      <c r="I366" s="50">
        <v>88.054900000000004</v>
      </c>
      <c r="J366" s="65">
        <v>264089.50630000001</v>
      </c>
      <c r="K366" s="65">
        <v>264089.50630000001</v>
      </c>
      <c r="L366" s="50">
        <v>100</v>
      </c>
      <c r="M366" t="s">
        <v>2296</v>
      </c>
      <c r="N366" t="s">
        <v>2326</v>
      </c>
    </row>
    <row r="367" spans="1:14">
      <c r="A367" t="s">
        <v>234</v>
      </c>
      <c r="B367" t="s">
        <v>235</v>
      </c>
      <c r="C367" s="40">
        <v>45341</v>
      </c>
      <c r="D367" s="65">
        <v>7459.1088</v>
      </c>
      <c r="E367" s="50">
        <v>13.259</v>
      </c>
      <c r="F367" s="65">
        <v>202887.75936</v>
      </c>
      <c r="G367" s="65">
        <v>56256.983699999997</v>
      </c>
      <c r="H367" s="65">
        <v>10567.525100000001</v>
      </c>
      <c r="I367" s="50">
        <v>18.784400000000002</v>
      </c>
      <c r="J367" s="65">
        <v>56256.983699999997</v>
      </c>
      <c r="K367" s="65">
        <v>18026.633900000001</v>
      </c>
      <c r="L367" s="50">
        <v>32.043399999999998</v>
      </c>
      <c r="M367" t="s">
        <v>2311</v>
      </c>
      <c r="N367" t="s">
        <v>2327</v>
      </c>
    </row>
    <row r="368" spans="1:14">
      <c r="A368" t="s">
        <v>583</v>
      </c>
      <c r="B368" t="s">
        <v>584</v>
      </c>
      <c r="C368" s="40">
        <v>45340</v>
      </c>
      <c r="D368" s="65">
        <v>76408.330100000006</v>
      </c>
      <c r="E368" s="50">
        <v>42.214500000000001</v>
      </c>
      <c r="F368" s="65">
        <v>102387.16233399999</v>
      </c>
      <c r="G368" s="65">
        <v>181000</v>
      </c>
      <c r="H368" s="65">
        <v>104591.66989999999</v>
      </c>
      <c r="I368" s="50">
        <v>57.785499999999999</v>
      </c>
      <c r="J368" s="65">
        <v>181000</v>
      </c>
      <c r="K368" s="65">
        <v>181000</v>
      </c>
      <c r="L368" s="50">
        <v>100</v>
      </c>
      <c r="M368" t="s">
        <v>2298</v>
      </c>
      <c r="N368" t="s">
        <v>2327</v>
      </c>
    </row>
    <row r="369" spans="1:14">
      <c r="A369" t="s">
        <v>3279</v>
      </c>
      <c r="B369" t="s">
        <v>3280</v>
      </c>
      <c r="C369" s="40">
        <v>45313</v>
      </c>
      <c r="D369" s="65">
        <v>151.43790000000001</v>
      </c>
      <c r="E369" s="50">
        <v>1.6199999999999999E-2</v>
      </c>
      <c r="F369" s="65">
        <v>83.290845000000004</v>
      </c>
      <c r="G369" s="65">
        <v>932999.92059999995</v>
      </c>
      <c r="H369" s="65">
        <v>932848.48270000005</v>
      </c>
      <c r="I369" s="50">
        <v>99.983800000000002</v>
      </c>
      <c r="J369" s="65">
        <v>932999.92059999995</v>
      </c>
      <c r="K369" s="65">
        <v>932999.92059999995</v>
      </c>
      <c r="L369" s="50">
        <v>100</v>
      </c>
      <c r="M369" t="s">
        <v>2296</v>
      </c>
      <c r="N369" t="s">
        <v>2328</v>
      </c>
    </row>
    <row r="370" spans="1:14">
      <c r="A370" t="s">
        <v>842</v>
      </c>
      <c r="B370" t="s">
        <v>843</v>
      </c>
      <c r="C370" s="40">
        <v>45309</v>
      </c>
      <c r="D370" s="65">
        <v>1753.2</v>
      </c>
      <c r="E370" s="50">
        <v>3.3883999999999999</v>
      </c>
      <c r="F370" s="65">
        <v>1420.0920000000001</v>
      </c>
      <c r="G370" s="65">
        <v>51741.4</v>
      </c>
      <c r="H370" s="65">
        <v>49988.2</v>
      </c>
      <c r="I370" s="50">
        <v>96.611599999999996</v>
      </c>
      <c r="J370" s="65">
        <v>51741.4</v>
      </c>
      <c r="K370" s="65">
        <v>51741.4</v>
      </c>
      <c r="L370" s="50">
        <v>100</v>
      </c>
      <c r="M370" t="s">
        <v>2306</v>
      </c>
      <c r="N370" t="s">
        <v>2324</v>
      </c>
    </row>
    <row r="371" spans="1:14">
      <c r="A371" t="s">
        <v>501</v>
      </c>
      <c r="B371" t="s">
        <v>502</v>
      </c>
      <c r="C371" s="40">
        <v>45303</v>
      </c>
      <c r="D371" s="65">
        <v>135.13</v>
      </c>
      <c r="E371" s="50">
        <v>0.2571</v>
      </c>
      <c r="F371" s="65">
        <v>791.86180000000002</v>
      </c>
      <c r="G371" s="65">
        <v>52567.198700000001</v>
      </c>
      <c r="H371" s="65">
        <v>52302.548699999999</v>
      </c>
      <c r="I371" s="50">
        <v>99.496499999999997</v>
      </c>
      <c r="J371" s="65">
        <v>52567.198700000001</v>
      </c>
      <c r="K371" s="65">
        <v>52437.678699999997</v>
      </c>
      <c r="L371" s="50">
        <v>99.753600000000006</v>
      </c>
      <c r="M371" t="s">
        <v>2309</v>
      </c>
      <c r="N371" t="s">
        <v>2327</v>
      </c>
    </row>
    <row r="372" spans="1:14">
      <c r="A372" t="s">
        <v>546</v>
      </c>
      <c r="B372" t="s">
        <v>547</v>
      </c>
      <c r="C372" s="40">
        <v>45302</v>
      </c>
      <c r="D372" s="65">
        <v>867.7</v>
      </c>
      <c r="E372" s="50">
        <v>3.9586000000000001</v>
      </c>
      <c r="F372" s="65">
        <v>92410.05</v>
      </c>
      <c r="G372" s="65">
        <v>21919.549900000002</v>
      </c>
      <c r="H372" s="65">
        <v>11794.7405</v>
      </c>
      <c r="I372" s="50">
        <v>53.809199999999997</v>
      </c>
      <c r="J372" s="65">
        <v>21919.549900000002</v>
      </c>
      <c r="K372" s="65">
        <v>12662.440500000001</v>
      </c>
      <c r="L372" s="50">
        <v>57.767800000000001</v>
      </c>
      <c r="M372" t="s">
        <v>2296</v>
      </c>
      <c r="N372" t="s">
        <v>2328</v>
      </c>
    </row>
    <row r="373" spans="1:14">
      <c r="A373" t="s">
        <v>3281</v>
      </c>
      <c r="B373" t="s">
        <v>3282</v>
      </c>
      <c r="C373" s="40">
        <v>45301</v>
      </c>
      <c r="D373" s="65">
        <v>25100</v>
      </c>
      <c r="E373" s="50">
        <v>1.5323</v>
      </c>
      <c r="F373" s="65">
        <v>1480.9</v>
      </c>
      <c r="G373" s="65">
        <v>1638100.7955</v>
      </c>
      <c r="H373" s="65">
        <v>1613000.7955</v>
      </c>
      <c r="I373" s="50">
        <v>98.467699999999994</v>
      </c>
      <c r="J373" s="65">
        <v>1638100.7955</v>
      </c>
      <c r="K373" s="65">
        <v>1638100.7955</v>
      </c>
      <c r="L373" s="50">
        <v>100</v>
      </c>
      <c r="M373" t="s">
        <v>2294</v>
      </c>
      <c r="N373" t="s">
        <v>2329</v>
      </c>
    </row>
    <row r="374" spans="1:14">
      <c r="A374" t="s">
        <v>544</v>
      </c>
      <c r="B374" t="s">
        <v>545</v>
      </c>
      <c r="C374" s="40">
        <v>45301</v>
      </c>
      <c r="D374" s="65">
        <v>1482.3</v>
      </c>
      <c r="E374" s="50">
        <v>4.9147999999999996</v>
      </c>
      <c r="F374" s="65">
        <v>3794.6880000000001</v>
      </c>
      <c r="G374" s="65">
        <v>30160</v>
      </c>
      <c r="H374" s="65">
        <v>6077.7</v>
      </c>
      <c r="I374" s="50">
        <v>20.151499999999999</v>
      </c>
      <c r="J374" s="65">
        <v>30160</v>
      </c>
      <c r="K374" s="65">
        <v>7560</v>
      </c>
      <c r="L374" s="50">
        <v>25.066299999999998</v>
      </c>
      <c r="M374" t="s">
        <v>2325</v>
      </c>
      <c r="N374" t="s">
        <v>2313</v>
      </c>
    </row>
    <row r="375" spans="1:14">
      <c r="A375" t="s">
        <v>442</v>
      </c>
      <c r="B375" t="s">
        <v>443</v>
      </c>
      <c r="C375" s="40">
        <v>45290</v>
      </c>
      <c r="D375" s="65">
        <v>2364.6999999999998</v>
      </c>
      <c r="E375" s="50">
        <v>3.2511000000000001</v>
      </c>
      <c r="F375" s="65">
        <v>30835.687999999998</v>
      </c>
      <c r="G375" s="65">
        <v>72735.479099999997</v>
      </c>
      <c r="H375" s="65">
        <v>70370.7791</v>
      </c>
      <c r="I375" s="50">
        <v>96.748900000000006</v>
      </c>
      <c r="J375" s="65">
        <v>72735.479099999997</v>
      </c>
      <c r="K375" s="65">
        <v>72735.479099999997</v>
      </c>
      <c r="L375" s="50">
        <v>100</v>
      </c>
      <c r="M375" t="s">
        <v>2292</v>
      </c>
      <c r="N375" t="s">
        <v>2326</v>
      </c>
    </row>
    <row r="376" spans="1:14">
      <c r="A376" t="s">
        <v>1000</v>
      </c>
      <c r="B376" t="s">
        <v>1001</v>
      </c>
      <c r="C376" s="40">
        <v>45289</v>
      </c>
      <c r="D376" s="65">
        <v>5480.65</v>
      </c>
      <c r="E376" s="50">
        <v>14.049300000000001</v>
      </c>
      <c r="F376" s="65">
        <v>109064.935</v>
      </c>
      <c r="G376" s="65">
        <v>39010.035000000003</v>
      </c>
      <c r="H376" s="65">
        <v>33529.385000000002</v>
      </c>
      <c r="I376" s="50">
        <v>85.950699999999998</v>
      </c>
      <c r="J376" s="65">
        <v>39010.035000000003</v>
      </c>
      <c r="K376" s="65">
        <v>39010.035000000003</v>
      </c>
      <c r="L376" s="50">
        <v>100</v>
      </c>
      <c r="M376" t="s">
        <v>2296</v>
      </c>
      <c r="N376" t="s">
        <v>2328</v>
      </c>
    </row>
    <row r="377" spans="1:14">
      <c r="A377" t="s">
        <v>309</v>
      </c>
      <c r="B377" t="s">
        <v>310</v>
      </c>
      <c r="C377" s="40">
        <v>45288</v>
      </c>
      <c r="D377" s="65">
        <v>501.44</v>
      </c>
      <c r="E377" s="50">
        <v>0.7843</v>
      </c>
      <c r="F377" s="65">
        <v>4156.9376000000002</v>
      </c>
      <c r="G377" s="65">
        <v>63934.345200000003</v>
      </c>
      <c r="H377" s="65">
        <v>50901.286800000002</v>
      </c>
      <c r="I377" s="50">
        <v>79.614900000000006</v>
      </c>
      <c r="J377" s="65">
        <v>63934.345200000003</v>
      </c>
      <c r="K377" s="65">
        <v>51402.726799999997</v>
      </c>
      <c r="L377" s="50">
        <v>80.399199999999993</v>
      </c>
      <c r="M377" t="s">
        <v>2296</v>
      </c>
      <c r="N377" t="s">
        <v>2326</v>
      </c>
    </row>
    <row r="378" spans="1:14">
      <c r="A378" t="s">
        <v>3281</v>
      </c>
      <c r="B378" t="s">
        <v>3282</v>
      </c>
      <c r="C378" s="40">
        <v>45286</v>
      </c>
      <c r="D378" s="65">
        <v>81800</v>
      </c>
      <c r="E378" s="50">
        <v>4.9935999999999998</v>
      </c>
      <c r="F378" s="65">
        <v>4826.2</v>
      </c>
      <c r="G378" s="65">
        <v>1638100.7955</v>
      </c>
      <c r="H378" s="65">
        <v>1531200.7955</v>
      </c>
      <c r="I378" s="50">
        <v>93.474199999999996</v>
      </c>
      <c r="J378" s="65">
        <v>1638100.7955</v>
      </c>
      <c r="K378" s="65">
        <v>1613000.7955</v>
      </c>
      <c r="L378" s="50">
        <v>98.467699999999994</v>
      </c>
      <c r="M378" t="s">
        <v>2294</v>
      </c>
      <c r="N378" t="s">
        <v>2329</v>
      </c>
    </row>
    <row r="379" spans="1:14">
      <c r="A379" t="s">
        <v>3281</v>
      </c>
      <c r="B379" t="s">
        <v>3282</v>
      </c>
      <c r="C379" s="40">
        <v>45281</v>
      </c>
      <c r="D379" s="65">
        <v>166100</v>
      </c>
      <c r="E379" s="50">
        <v>10.139799999999999</v>
      </c>
      <c r="F379" s="65">
        <v>9301.6</v>
      </c>
      <c r="G379" s="65">
        <v>1638100.7955</v>
      </c>
      <c r="H379" s="65">
        <v>1365100.7955</v>
      </c>
      <c r="I379" s="50">
        <v>83.334400000000002</v>
      </c>
      <c r="J379" s="65">
        <v>1638100.7955</v>
      </c>
      <c r="K379" s="65">
        <v>1531200.7955</v>
      </c>
      <c r="L379" s="50">
        <v>93.474199999999996</v>
      </c>
      <c r="M379" t="s">
        <v>2294</v>
      </c>
      <c r="N379" t="s">
        <v>2329</v>
      </c>
    </row>
    <row r="380" spans="1:14">
      <c r="A380" t="s">
        <v>3283</v>
      </c>
      <c r="B380" t="s">
        <v>3284</v>
      </c>
      <c r="C380" s="40">
        <v>45275</v>
      </c>
      <c r="D380" s="65">
        <v>4666.6666999999998</v>
      </c>
      <c r="E380" s="50">
        <v>2.3809999999999998</v>
      </c>
      <c r="F380" s="65">
        <v>3546.6666919999998</v>
      </c>
      <c r="G380" s="65">
        <v>196000</v>
      </c>
      <c r="H380" s="65">
        <v>191333.3333</v>
      </c>
      <c r="I380" s="50">
        <v>97.619</v>
      </c>
      <c r="J380" s="65">
        <v>196000</v>
      </c>
      <c r="K380" s="65">
        <v>196000</v>
      </c>
      <c r="L380" s="50">
        <v>100</v>
      </c>
      <c r="M380" t="s">
        <v>2307</v>
      </c>
      <c r="N380" t="s">
        <v>3285</v>
      </c>
    </row>
    <row r="381" spans="1:14">
      <c r="A381" t="s">
        <v>3286</v>
      </c>
      <c r="B381" t="s">
        <v>3287</v>
      </c>
      <c r="C381" s="40">
        <v>45272</v>
      </c>
      <c r="D381" s="65">
        <v>1390.28</v>
      </c>
      <c r="E381" s="50">
        <v>16.666699999999999</v>
      </c>
      <c r="F381" s="65">
        <v>528.30640000000005</v>
      </c>
      <c r="G381" s="65">
        <v>8341.68</v>
      </c>
      <c r="H381" s="65">
        <v>6951.4</v>
      </c>
      <c r="I381" s="50">
        <v>83.333299999999994</v>
      </c>
      <c r="J381" s="65">
        <v>8341.68</v>
      </c>
      <c r="K381" s="65">
        <v>8341.68</v>
      </c>
      <c r="L381" s="50">
        <v>100</v>
      </c>
      <c r="M381" t="s">
        <v>2305</v>
      </c>
      <c r="N381" t="s">
        <v>2335</v>
      </c>
    </row>
    <row r="382" spans="1:14">
      <c r="A382" t="s">
        <v>947</v>
      </c>
      <c r="B382" t="s">
        <v>948</v>
      </c>
      <c r="C382" s="40">
        <v>45272</v>
      </c>
      <c r="D382" s="65">
        <v>830.38</v>
      </c>
      <c r="E382" s="50">
        <v>2.7313000000000001</v>
      </c>
      <c r="F382" s="65">
        <v>12123.548000000001</v>
      </c>
      <c r="G382" s="65">
        <v>30402.446499999998</v>
      </c>
      <c r="H382" s="65">
        <v>29572.066500000001</v>
      </c>
      <c r="I382" s="50">
        <v>97.268699999999995</v>
      </c>
      <c r="J382" s="65">
        <v>30402.446499999998</v>
      </c>
      <c r="K382" s="65">
        <v>30402.446499999998</v>
      </c>
      <c r="L382" s="50">
        <v>100</v>
      </c>
      <c r="M382" t="s">
        <v>2296</v>
      </c>
      <c r="N382" t="s">
        <v>2328</v>
      </c>
    </row>
    <row r="383" spans="1:14">
      <c r="A383" t="s">
        <v>3288</v>
      </c>
      <c r="B383" t="s">
        <v>3289</v>
      </c>
      <c r="C383" s="40">
        <v>45268</v>
      </c>
      <c r="D383" s="65">
        <v>3005.6</v>
      </c>
      <c r="E383" s="50">
        <v>2.3730000000000002</v>
      </c>
      <c r="F383" s="65">
        <v>10429.432000000001</v>
      </c>
      <c r="G383" s="65">
        <v>126655.887</v>
      </c>
      <c r="H383" s="65">
        <v>123650.287</v>
      </c>
      <c r="I383" s="50">
        <v>97.626999999999995</v>
      </c>
      <c r="J383" s="65">
        <v>126655.887</v>
      </c>
      <c r="K383" s="65">
        <v>126655.887</v>
      </c>
      <c r="L383" s="50">
        <v>100</v>
      </c>
      <c r="M383" t="s">
        <v>2292</v>
      </c>
      <c r="N383" t="s">
        <v>2326</v>
      </c>
    </row>
    <row r="384" spans="1:14">
      <c r="A384" t="s">
        <v>3257</v>
      </c>
      <c r="B384" t="s">
        <v>3258</v>
      </c>
      <c r="C384" s="40">
        <v>45260</v>
      </c>
      <c r="D384" s="65">
        <v>398.4</v>
      </c>
      <c r="E384" s="50">
        <v>0.78480000000000005</v>
      </c>
      <c r="F384" s="65">
        <v>80.078400000000002</v>
      </c>
      <c r="G384" s="65">
        <v>50763.199999999997</v>
      </c>
      <c r="H384" s="65">
        <v>50000</v>
      </c>
      <c r="I384" s="50">
        <v>98.496499999999997</v>
      </c>
      <c r="J384" s="65">
        <v>50763.199999999997</v>
      </c>
      <c r="K384" s="65">
        <v>50398.400000000001</v>
      </c>
      <c r="L384" s="50">
        <v>99.281400000000005</v>
      </c>
      <c r="M384" t="s">
        <v>2318</v>
      </c>
      <c r="N384" t="s">
        <v>2345</v>
      </c>
    </row>
    <row r="385" spans="1:14">
      <c r="A385" t="s">
        <v>348</v>
      </c>
      <c r="B385" t="s">
        <v>349</v>
      </c>
      <c r="C385" s="40">
        <v>45255</v>
      </c>
      <c r="D385" s="65">
        <v>24374.5</v>
      </c>
      <c r="E385" s="50">
        <v>7.6235999999999997</v>
      </c>
      <c r="F385" s="65">
        <v>87260.71</v>
      </c>
      <c r="G385" s="65">
        <v>319724.40000000002</v>
      </c>
      <c r="H385" s="65">
        <v>295349.90000000002</v>
      </c>
      <c r="I385" s="50">
        <v>92.376400000000004</v>
      </c>
      <c r="J385" s="65">
        <v>319724.40000000002</v>
      </c>
      <c r="K385" s="65">
        <v>319724.40000000002</v>
      </c>
      <c r="L385" s="50">
        <v>100</v>
      </c>
      <c r="M385" t="s">
        <v>2297</v>
      </c>
      <c r="N385" t="s">
        <v>2332</v>
      </c>
    </row>
    <row r="386" spans="1:14">
      <c r="A386" t="s">
        <v>579</v>
      </c>
      <c r="B386" t="s">
        <v>580</v>
      </c>
      <c r="C386" s="40">
        <v>45255</v>
      </c>
      <c r="D386" s="65">
        <v>1538.1</v>
      </c>
      <c r="E386" s="50">
        <v>2.6783999999999999</v>
      </c>
      <c r="F386" s="65">
        <v>11412.701999999999</v>
      </c>
      <c r="G386" s="65">
        <v>57425.902999999998</v>
      </c>
      <c r="H386" s="65">
        <v>55887.803</v>
      </c>
      <c r="I386" s="50">
        <v>97.321600000000004</v>
      </c>
      <c r="J386" s="65">
        <v>57425.902999999998</v>
      </c>
      <c r="K386" s="65">
        <v>57425.902999999998</v>
      </c>
      <c r="L386" s="50">
        <v>100</v>
      </c>
      <c r="M386" t="s">
        <v>2298</v>
      </c>
      <c r="N386" t="s">
        <v>2327</v>
      </c>
    </row>
    <row r="387" spans="1:14">
      <c r="A387" t="s">
        <v>3290</v>
      </c>
      <c r="B387" t="s">
        <v>3291</v>
      </c>
      <c r="C387" s="40">
        <v>45247</v>
      </c>
      <c r="D387" s="65">
        <v>4162.9318999999996</v>
      </c>
      <c r="E387" s="50">
        <v>9.7780000000000005</v>
      </c>
      <c r="F387" s="65">
        <v>17609.201937000002</v>
      </c>
      <c r="G387" s="65">
        <v>42574.26</v>
      </c>
      <c r="H387" s="65">
        <v>13221.112300000001</v>
      </c>
      <c r="I387" s="50">
        <v>31.054200000000002</v>
      </c>
      <c r="J387" s="65">
        <v>42574.26</v>
      </c>
      <c r="K387" s="65">
        <v>17384.0442</v>
      </c>
      <c r="L387" s="50">
        <v>40.832299999999996</v>
      </c>
      <c r="M387" t="s">
        <v>2292</v>
      </c>
      <c r="N387" t="s">
        <v>2326</v>
      </c>
    </row>
    <row r="388" spans="1:14">
      <c r="A388" t="s">
        <v>3292</v>
      </c>
      <c r="B388" t="s">
        <v>3293</v>
      </c>
      <c r="C388" s="40">
        <v>45245</v>
      </c>
      <c r="D388" s="65">
        <v>34600</v>
      </c>
      <c r="E388" s="50">
        <v>6.8569000000000004</v>
      </c>
      <c r="F388" s="65">
        <v>28372</v>
      </c>
      <c r="G388" s="65">
        <v>504604.75</v>
      </c>
      <c r="H388" s="65">
        <v>470004.75</v>
      </c>
      <c r="I388" s="50">
        <v>93.143100000000004</v>
      </c>
      <c r="J388" s="65">
        <v>504604.75</v>
      </c>
      <c r="K388" s="65">
        <v>504604.75</v>
      </c>
      <c r="L388" s="50">
        <v>100</v>
      </c>
      <c r="M388" t="s">
        <v>2306</v>
      </c>
      <c r="N388" t="s">
        <v>2324</v>
      </c>
    </row>
    <row r="389" spans="1:14">
      <c r="A389" t="s">
        <v>1012</v>
      </c>
      <c r="B389" t="s">
        <v>1013</v>
      </c>
      <c r="C389" s="40">
        <v>45238</v>
      </c>
      <c r="D389" s="65">
        <v>478.64</v>
      </c>
      <c r="E389" s="50">
        <v>2.3641999999999999</v>
      </c>
      <c r="F389" s="65">
        <v>16393.419999999998</v>
      </c>
      <c r="G389" s="65">
        <v>20244.903200000001</v>
      </c>
      <c r="H389" s="65">
        <v>13793.3336</v>
      </c>
      <c r="I389" s="50">
        <v>68.132400000000004</v>
      </c>
      <c r="J389" s="65">
        <v>20244.903200000001</v>
      </c>
      <c r="K389" s="65">
        <v>14271.973599999999</v>
      </c>
      <c r="L389" s="50">
        <v>70.496600000000001</v>
      </c>
      <c r="M389" t="s">
        <v>2296</v>
      </c>
      <c r="N389" t="s">
        <v>2328</v>
      </c>
    </row>
    <row r="390" spans="1:14">
      <c r="A390" t="s">
        <v>844</v>
      </c>
      <c r="B390" t="s">
        <v>845</v>
      </c>
      <c r="C390" s="40">
        <v>45226</v>
      </c>
      <c r="D390" s="65">
        <v>3450.4749999999999</v>
      </c>
      <c r="E390" s="50">
        <v>5.6829000000000001</v>
      </c>
      <c r="F390" s="65">
        <v>13767.39525</v>
      </c>
      <c r="G390" s="65">
        <v>60717.095000000001</v>
      </c>
      <c r="H390" s="65">
        <v>57266.62</v>
      </c>
      <c r="I390" s="50">
        <v>94.317099999999996</v>
      </c>
      <c r="J390" s="65">
        <v>60717.095000000001</v>
      </c>
      <c r="K390" s="65">
        <v>60717.095000000001</v>
      </c>
      <c r="L390" s="50">
        <v>100</v>
      </c>
      <c r="M390" t="s">
        <v>2292</v>
      </c>
      <c r="N390" t="s">
        <v>2326</v>
      </c>
    </row>
    <row r="391" spans="1:14">
      <c r="A391" t="s">
        <v>369</v>
      </c>
      <c r="B391" t="s">
        <v>370</v>
      </c>
      <c r="C391" s="40">
        <v>45225</v>
      </c>
      <c r="D391" s="65">
        <v>7891.1180000000004</v>
      </c>
      <c r="E391" s="50">
        <v>2.4121999999999999</v>
      </c>
      <c r="F391" s="65">
        <v>85066.252040000007</v>
      </c>
      <c r="G391" s="65">
        <v>327133.10499999998</v>
      </c>
      <c r="H391" s="65">
        <v>93245.587</v>
      </c>
      <c r="I391" s="50">
        <v>28.503900000000002</v>
      </c>
      <c r="J391" s="65">
        <v>327133.10499999998</v>
      </c>
      <c r="K391" s="65">
        <v>101136.705</v>
      </c>
      <c r="L391" s="50">
        <v>30.9161</v>
      </c>
      <c r="M391" t="s">
        <v>2304</v>
      </c>
      <c r="N391" t="s">
        <v>2336</v>
      </c>
    </row>
    <row r="392" spans="1:14">
      <c r="A392" t="s">
        <v>3294</v>
      </c>
      <c r="B392" t="s">
        <v>3295</v>
      </c>
      <c r="C392" s="40">
        <v>45211</v>
      </c>
      <c r="D392" s="65">
        <v>11592.880300000001</v>
      </c>
      <c r="E392" s="50">
        <v>9.0280000000000005</v>
      </c>
      <c r="F392" s="65">
        <v>23185.760600000001</v>
      </c>
      <c r="G392" s="65">
        <v>128410.8673</v>
      </c>
      <c r="H392" s="65">
        <v>116817.98699999999</v>
      </c>
      <c r="I392" s="50">
        <v>90.971999999999994</v>
      </c>
      <c r="J392" s="65">
        <v>128410.8673</v>
      </c>
      <c r="K392" s="65">
        <v>128410.8673</v>
      </c>
      <c r="L392" s="50">
        <v>100</v>
      </c>
      <c r="M392" t="s">
        <v>2296</v>
      </c>
      <c r="N392" t="s">
        <v>2328</v>
      </c>
    </row>
    <row r="393" spans="1:14">
      <c r="A393" t="s">
        <v>719</v>
      </c>
      <c r="B393" t="s">
        <v>720</v>
      </c>
      <c r="C393" s="40">
        <v>45200</v>
      </c>
      <c r="D393" s="65">
        <v>24868.35</v>
      </c>
      <c r="E393" s="50">
        <v>96.311700000000002</v>
      </c>
      <c r="F393" s="65">
        <v>340199.02799999999</v>
      </c>
      <c r="G393" s="65">
        <v>25820.7</v>
      </c>
      <c r="H393" s="65">
        <v>952.35</v>
      </c>
      <c r="I393" s="50">
        <v>3.6882999999999999</v>
      </c>
      <c r="J393" s="65">
        <v>25820.7</v>
      </c>
      <c r="K393" s="65">
        <v>25820.7</v>
      </c>
      <c r="L393" s="50">
        <v>100</v>
      </c>
      <c r="M393" t="s">
        <v>2296</v>
      </c>
      <c r="N393" t="s">
        <v>2328</v>
      </c>
    </row>
    <row r="394" spans="1:14">
      <c r="A394" t="s">
        <v>836</v>
      </c>
      <c r="B394" t="s">
        <v>837</v>
      </c>
      <c r="C394" s="40">
        <v>45199</v>
      </c>
      <c r="D394" s="65">
        <v>9740.2000000000007</v>
      </c>
      <c r="E394" s="50">
        <v>9.7401999999999997</v>
      </c>
      <c r="F394" s="65">
        <v>11493.436</v>
      </c>
      <c r="G394" s="65">
        <v>100000</v>
      </c>
      <c r="H394" s="65">
        <v>90259.8</v>
      </c>
      <c r="I394" s="50">
        <v>90.259799999999998</v>
      </c>
      <c r="J394" s="65">
        <v>100000</v>
      </c>
      <c r="K394" s="65">
        <v>100000</v>
      </c>
      <c r="L394" s="50">
        <v>100</v>
      </c>
      <c r="M394" t="s">
        <v>2301</v>
      </c>
      <c r="N394" t="s">
        <v>2337</v>
      </c>
    </row>
    <row r="395" spans="1:14">
      <c r="A395" t="s">
        <v>521</v>
      </c>
      <c r="B395" t="s">
        <v>522</v>
      </c>
      <c r="C395" s="40">
        <v>45198</v>
      </c>
      <c r="D395" s="65">
        <v>3549.7</v>
      </c>
      <c r="E395" s="50">
        <v>7.0994000000000002</v>
      </c>
      <c r="F395" s="65">
        <v>11004.07</v>
      </c>
      <c r="G395" s="65">
        <v>50000</v>
      </c>
      <c r="H395" s="65">
        <v>46450.3</v>
      </c>
      <c r="I395" s="50">
        <v>92.900599999999997</v>
      </c>
      <c r="J395" s="65">
        <v>50000</v>
      </c>
      <c r="K395" s="65">
        <v>50000</v>
      </c>
      <c r="L395" s="50">
        <v>100</v>
      </c>
      <c r="M395" t="s">
        <v>2321</v>
      </c>
      <c r="N395" t="s">
        <v>2351</v>
      </c>
    </row>
    <row r="396" spans="1:14">
      <c r="A396" t="s">
        <v>434</v>
      </c>
      <c r="B396" t="s">
        <v>435</v>
      </c>
      <c r="C396" s="40">
        <v>45193</v>
      </c>
      <c r="D396" s="65">
        <v>1350</v>
      </c>
      <c r="E396" s="50">
        <v>2.2997000000000001</v>
      </c>
      <c r="F396" s="65">
        <v>8329.5</v>
      </c>
      <c r="G396" s="65">
        <v>58703.821900000003</v>
      </c>
      <c r="H396" s="65">
        <v>57353.821900000003</v>
      </c>
      <c r="I396" s="50">
        <v>97.700299999999999</v>
      </c>
      <c r="J396" s="65">
        <v>58703.821900000003</v>
      </c>
      <c r="K396" s="65">
        <v>58703.821900000003</v>
      </c>
      <c r="L396" s="50">
        <v>100</v>
      </c>
      <c r="M396" t="s">
        <v>2292</v>
      </c>
      <c r="N396" t="s">
        <v>2326</v>
      </c>
    </row>
    <row r="397" spans="1:14">
      <c r="A397" t="s">
        <v>527</v>
      </c>
      <c r="B397" t="s">
        <v>528</v>
      </c>
      <c r="C397" s="40">
        <v>45183</v>
      </c>
      <c r="D397" s="65">
        <v>1990</v>
      </c>
      <c r="E397" s="50">
        <v>3.5217999999999998</v>
      </c>
      <c r="F397" s="65">
        <v>29850</v>
      </c>
      <c r="G397" s="65">
        <v>56505.073799999998</v>
      </c>
      <c r="H397" s="65">
        <v>54515.073799999998</v>
      </c>
      <c r="I397" s="50">
        <v>96.478200000000001</v>
      </c>
      <c r="J397" s="65">
        <v>56505.073799999998</v>
      </c>
      <c r="K397" s="65">
        <v>56505.073799999998</v>
      </c>
      <c r="L397" s="50">
        <v>100</v>
      </c>
      <c r="M397" t="s">
        <v>2298</v>
      </c>
      <c r="N397" t="s">
        <v>2327</v>
      </c>
    </row>
    <row r="398" spans="1:14">
      <c r="A398" t="s">
        <v>509</v>
      </c>
      <c r="B398" t="s">
        <v>510</v>
      </c>
      <c r="C398" s="40">
        <v>45179</v>
      </c>
      <c r="D398" s="65">
        <v>2031.7</v>
      </c>
      <c r="E398" s="50">
        <v>4.3590999999999998</v>
      </c>
      <c r="F398" s="65">
        <v>31531.984</v>
      </c>
      <c r="G398" s="65">
        <v>46608.7</v>
      </c>
      <c r="H398" s="65">
        <v>44577</v>
      </c>
      <c r="I398" s="50">
        <v>95.640900000000002</v>
      </c>
      <c r="J398" s="65">
        <v>46608.7</v>
      </c>
      <c r="K398" s="65">
        <v>46608.7</v>
      </c>
      <c r="L398" s="50">
        <v>100</v>
      </c>
      <c r="M398" t="s">
        <v>2298</v>
      </c>
      <c r="N398" t="s">
        <v>2327</v>
      </c>
    </row>
    <row r="399" spans="1:14">
      <c r="A399" t="s">
        <v>397</v>
      </c>
      <c r="B399" t="s">
        <v>398</v>
      </c>
      <c r="C399" s="40">
        <v>45178</v>
      </c>
      <c r="D399" s="65">
        <v>2350.3000000000002</v>
      </c>
      <c r="E399" s="50">
        <v>1.6861999999999999</v>
      </c>
      <c r="F399" s="65">
        <v>4959.1329999999998</v>
      </c>
      <c r="G399" s="65">
        <v>139387.61040000001</v>
      </c>
      <c r="H399" s="65">
        <v>50392.892399999997</v>
      </c>
      <c r="I399" s="50">
        <v>36.153100000000002</v>
      </c>
      <c r="J399" s="65">
        <v>139387.61040000001</v>
      </c>
      <c r="K399" s="65">
        <v>52743.1924</v>
      </c>
      <c r="L399" s="50">
        <v>37.839199999999998</v>
      </c>
      <c r="M399" t="s">
        <v>2321</v>
      </c>
      <c r="N399" t="s">
        <v>2351</v>
      </c>
    </row>
    <row r="400" spans="1:14">
      <c r="A400" t="s">
        <v>3296</v>
      </c>
      <c r="B400" t="s">
        <v>3297</v>
      </c>
      <c r="C400" s="40">
        <v>45167</v>
      </c>
      <c r="D400" s="65">
        <v>4156.5600000000004</v>
      </c>
      <c r="E400" s="50">
        <v>6.9096000000000002</v>
      </c>
      <c r="F400" s="65">
        <v>1371.6648</v>
      </c>
      <c r="G400" s="65">
        <v>60156.56</v>
      </c>
      <c r="H400" s="65">
        <v>56000</v>
      </c>
      <c r="I400" s="50">
        <v>93.090400000000002</v>
      </c>
      <c r="J400" s="65">
        <v>60156.56</v>
      </c>
      <c r="K400" s="65">
        <v>60156.56</v>
      </c>
      <c r="L400" s="50">
        <v>100</v>
      </c>
      <c r="M400" t="s">
        <v>2314</v>
      </c>
      <c r="N400" t="s">
        <v>2350</v>
      </c>
    </row>
    <row r="401" spans="1:14">
      <c r="A401" t="s">
        <v>3298</v>
      </c>
      <c r="B401" t="s">
        <v>3299</v>
      </c>
      <c r="C401" s="40">
        <v>45140</v>
      </c>
      <c r="D401" s="65">
        <v>58750</v>
      </c>
      <c r="E401" s="50">
        <v>12.301</v>
      </c>
      <c r="F401" s="65">
        <v>3231.25</v>
      </c>
      <c r="G401" s="65">
        <v>477601.95899999997</v>
      </c>
      <c r="H401" s="65">
        <v>418851.95899999997</v>
      </c>
      <c r="I401" s="50">
        <v>87.698999999999998</v>
      </c>
      <c r="J401" s="65">
        <v>477601.95899999997</v>
      </c>
      <c r="K401" s="65">
        <v>477601.95899999997</v>
      </c>
      <c r="L401" s="50">
        <v>100</v>
      </c>
      <c r="M401" t="s">
        <v>2318</v>
      </c>
      <c r="N401" t="s">
        <v>2354</v>
      </c>
    </row>
    <row r="402" spans="1:14">
      <c r="A402" t="s">
        <v>3177</v>
      </c>
      <c r="B402" t="s">
        <v>3178</v>
      </c>
      <c r="C402" s="40">
        <v>45139</v>
      </c>
      <c r="D402" s="65">
        <v>2250</v>
      </c>
      <c r="E402" s="50">
        <v>7.7630999999999997</v>
      </c>
      <c r="F402" s="65">
        <v>55012.5</v>
      </c>
      <c r="G402" s="65">
        <v>28983.121500000001</v>
      </c>
      <c r="H402" s="65">
        <v>26733.121500000001</v>
      </c>
      <c r="I402" s="50">
        <v>92.236900000000006</v>
      </c>
      <c r="J402" s="65">
        <v>28983.121500000001</v>
      </c>
      <c r="K402" s="65">
        <v>28983.121500000001</v>
      </c>
      <c r="L402" s="50">
        <v>100</v>
      </c>
      <c r="M402" t="s">
        <v>2296</v>
      </c>
      <c r="N402" t="s">
        <v>2328</v>
      </c>
    </row>
    <row r="403" spans="1:14">
      <c r="A403" t="s">
        <v>3300</v>
      </c>
      <c r="B403" t="s">
        <v>3301</v>
      </c>
      <c r="C403" s="40">
        <v>45134</v>
      </c>
      <c r="D403" s="65">
        <v>11900</v>
      </c>
      <c r="E403" s="50">
        <v>4.2011000000000003</v>
      </c>
      <c r="F403" s="65">
        <v>1041250</v>
      </c>
      <c r="G403" s="65">
        <v>283262.34999999998</v>
      </c>
      <c r="H403" s="65">
        <v>271362.34999999998</v>
      </c>
      <c r="I403" s="50">
        <v>95.798900000000003</v>
      </c>
      <c r="J403" s="65">
        <v>283262.34999999998</v>
      </c>
      <c r="K403" s="65">
        <v>283262.34999999998</v>
      </c>
      <c r="L403" s="50">
        <v>100</v>
      </c>
      <c r="M403" t="s">
        <v>2314</v>
      </c>
      <c r="N403" t="s">
        <v>2350</v>
      </c>
    </row>
    <row r="404" spans="1:14">
      <c r="A404" t="s">
        <v>664</v>
      </c>
      <c r="B404" t="s">
        <v>665</v>
      </c>
      <c r="C404" s="40">
        <v>45126</v>
      </c>
      <c r="D404" s="65">
        <v>3794.4</v>
      </c>
      <c r="E404" s="50">
        <v>4.3520000000000003</v>
      </c>
      <c r="F404" s="65">
        <v>18175.175999999999</v>
      </c>
      <c r="G404" s="65">
        <v>87188.1</v>
      </c>
      <c r="H404" s="65">
        <v>83393.7</v>
      </c>
      <c r="I404" s="50">
        <v>95.647999999999996</v>
      </c>
      <c r="J404" s="65">
        <v>87188.1</v>
      </c>
      <c r="K404" s="65">
        <v>87188.1</v>
      </c>
      <c r="L404" s="50">
        <v>100</v>
      </c>
      <c r="M404" t="s">
        <v>2308</v>
      </c>
      <c r="N404" t="s">
        <v>2344</v>
      </c>
    </row>
    <row r="405" spans="1:14">
      <c r="A405" t="s">
        <v>662</v>
      </c>
      <c r="B405" t="s">
        <v>663</v>
      </c>
      <c r="C405" s="40">
        <v>45124</v>
      </c>
      <c r="D405" s="65">
        <v>2647.8</v>
      </c>
      <c r="E405" s="50">
        <v>8.8260000000000005</v>
      </c>
      <c r="F405" s="65">
        <v>3097.9259999999999</v>
      </c>
      <c r="G405" s="65">
        <v>30000</v>
      </c>
      <c r="H405" s="65">
        <v>27352.2</v>
      </c>
      <c r="I405" s="50">
        <v>91.174000000000007</v>
      </c>
      <c r="J405" s="65">
        <v>30000</v>
      </c>
      <c r="K405" s="65">
        <v>30000</v>
      </c>
      <c r="L405" s="50">
        <v>100</v>
      </c>
      <c r="M405" t="s">
        <v>2306</v>
      </c>
      <c r="N405" t="s">
        <v>2324</v>
      </c>
    </row>
    <row r="406" spans="1:14">
      <c r="A406" t="s">
        <v>497</v>
      </c>
      <c r="B406" t="s">
        <v>498</v>
      </c>
      <c r="C406" s="40">
        <v>45123</v>
      </c>
      <c r="D406" s="65">
        <v>2169.6999999999998</v>
      </c>
      <c r="E406" s="50">
        <v>9.1679999999999993</v>
      </c>
      <c r="F406" s="65">
        <v>40573.39</v>
      </c>
      <c r="G406" s="65">
        <v>23666.106800000001</v>
      </c>
      <c r="H406" s="65">
        <v>21496.406800000001</v>
      </c>
      <c r="I406" s="50">
        <v>90.831999999999994</v>
      </c>
      <c r="J406" s="65">
        <v>23666.106800000001</v>
      </c>
      <c r="K406" s="65">
        <v>23666.106800000001</v>
      </c>
      <c r="L406" s="50">
        <v>100</v>
      </c>
      <c r="M406" t="s">
        <v>2292</v>
      </c>
      <c r="N406" t="s">
        <v>2326</v>
      </c>
    </row>
    <row r="407" spans="1:14">
      <c r="A407" t="s">
        <v>337</v>
      </c>
      <c r="B407" t="s">
        <v>338</v>
      </c>
      <c r="C407" s="40">
        <v>45123</v>
      </c>
      <c r="D407" s="65">
        <v>2678.55</v>
      </c>
      <c r="E407" s="50">
        <v>1.6861999999999999</v>
      </c>
      <c r="F407" s="65">
        <v>14437.3845</v>
      </c>
      <c r="G407" s="65">
        <v>158854.39999999999</v>
      </c>
      <c r="H407" s="65">
        <v>115583.1105</v>
      </c>
      <c r="I407" s="50">
        <v>72.760400000000004</v>
      </c>
      <c r="J407" s="65">
        <v>158854.39999999999</v>
      </c>
      <c r="K407" s="65">
        <v>118261.6605</v>
      </c>
      <c r="L407" s="50">
        <v>74.446600000000004</v>
      </c>
      <c r="M407" t="s">
        <v>2304</v>
      </c>
      <c r="N407" t="s">
        <v>2347</v>
      </c>
    </row>
    <row r="408" spans="1:14">
      <c r="A408" t="s">
        <v>655</v>
      </c>
      <c r="B408" t="s">
        <v>656</v>
      </c>
      <c r="C408" s="40">
        <v>45119</v>
      </c>
      <c r="D408" s="65">
        <v>646.04</v>
      </c>
      <c r="E408" s="50">
        <v>25.218399999999999</v>
      </c>
      <c r="F408" s="65">
        <v>25001.748</v>
      </c>
      <c r="G408" s="65">
        <v>2561.7829999999999</v>
      </c>
      <c r="H408" s="65">
        <v>1915.7429999999999</v>
      </c>
      <c r="I408" s="50">
        <v>74.781599999999997</v>
      </c>
      <c r="J408" s="65">
        <v>2561.7829999999999</v>
      </c>
      <c r="K408" s="65">
        <v>2561.7829999999999</v>
      </c>
      <c r="L408" s="50">
        <v>100</v>
      </c>
      <c r="M408" t="s">
        <v>2297</v>
      </c>
      <c r="N408" t="s">
        <v>2335</v>
      </c>
    </row>
    <row r="409" spans="1:14">
      <c r="A409" t="s">
        <v>3302</v>
      </c>
      <c r="B409" t="s">
        <v>3303</v>
      </c>
      <c r="C409" s="40">
        <v>45108</v>
      </c>
      <c r="D409" s="65">
        <v>10538.397499999999</v>
      </c>
      <c r="E409" s="50">
        <v>13.2799</v>
      </c>
      <c r="F409" s="65">
        <v>61965.777300000002</v>
      </c>
      <c r="G409" s="65">
        <v>79356.228000000003</v>
      </c>
      <c r="H409" s="65">
        <v>68817.830499999996</v>
      </c>
      <c r="I409" s="50">
        <v>86.720100000000002</v>
      </c>
      <c r="J409" s="65">
        <v>79356.228000000003</v>
      </c>
      <c r="K409" s="65">
        <v>79356.228000000003</v>
      </c>
      <c r="L409" s="50">
        <v>100</v>
      </c>
      <c r="M409" t="s">
        <v>2296</v>
      </c>
      <c r="N409" t="s">
        <v>2328</v>
      </c>
    </row>
    <row r="410" spans="1:14">
      <c r="A410" t="s">
        <v>417</v>
      </c>
      <c r="B410" t="s">
        <v>418</v>
      </c>
      <c r="C410" s="40">
        <v>45107</v>
      </c>
      <c r="D410" s="65">
        <v>2430.8000000000002</v>
      </c>
      <c r="E410" s="50">
        <v>3.4702999999999999</v>
      </c>
      <c r="F410" s="65">
        <v>7438.2479999999996</v>
      </c>
      <c r="G410" s="65">
        <v>70046.311199999996</v>
      </c>
      <c r="H410" s="65">
        <v>67615.511199999994</v>
      </c>
      <c r="I410" s="50">
        <v>96.529700000000005</v>
      </c>
      <c r="J410" s="65">
        <v>70046.311199999996</v>
      </c>
      <c r="K410" s="65">
        <v>70046.311199999996</v>
      </c>
      <c r="L410" s="50">
        <v>100</v>
      </c>
      <c r="M410" t="s">
        <v>2304</v>
      </c>
      <c r="N410" t="s">
        <v>2347</v>
      </c>
    </row>
    <row r="411" spans="1:14">
      <c r="A411" t="s">
        <v>3304</v>
      </c>
      <c r="B411" t="s">
        <v>3305</v>
      </c>
      <c r="C411" s="40">
        <v>45107</v>
      </c>
      <c r="D411" s="65">
        <v>65000</v>
      </c>
      <c r="E411" s="50">
        <v>14.154</v>
      </c>
      <c r="F411" s="65">
        <v>910</v>
      </c>
      <c r="G411" s="65">
        <v>459232.6397</v>
      </c>
      <c r="H411" s="65">
        <v>394232.6397</v>
      </c>
      <c r="I411" s="50">
        <v>85.846000000000004</v>
      </c>
      <c r="J411" s="65">
        <v>459232.6397</v>
      </c>
      <c r="K411" s="65">
        <v>459232.6397</v>
      </c>
      <c r="L411" s="50">
        <v>100</v>
      </c>
      <c r="M411" t="s">
        <v>2301</v>
      </c>
      <c r="N411" t="s">
        <v>2351</v>
      </c>
    </row>
    <row r="412" spans="1:14">
      <c r="A412" t="s">
        <v>3306</v>
      </c>
      <c r="B412" t="s">
        <v>3307</v>
      </c>
      <c r="C412" s="40">
        <v>45107</v>
      </c>
      <c r="D412" s="65">
        <v>550.18799999999999</v>
      </c>
      <c r="E412" s="50">
        <v>0.57120000000000004</v>
      </c>
      <c r="F412" s="65">
        <v>467.65980000000002</v>
      </c>
      <c r="G412" s="65">
        <v>96323.115000000005</v>
      </c>
      <c r="H412" s="65">
        <v>95772.926999999996</v>
      </c>
      <c r="I412" s="50">
        <v>99.428799999999995</v>
      </c>
      <c r="J412" s="65">
        <v>96323.115000000005</v>
      </c>
      <c r="K412" s="65">
        <v>96323.115000000005</v>
      </c>
      <c r="L412" s="50">
        <v>100</v>
      </c>
      <c r="M412" t="s">
        <v>2292</v>
      </c>
      <c r="N412" t="s">
        <v>2326</v>
      </c>
    </row>
    <row r="413" spans="1:14">
      <c r="A413" t="s">
        <v>729</v>
      </c>
      <c r="B413" t="s">
        <v>730</v>
      </c>
      <c r="C413" s="40">
        <v>45107</v>
      </c>
      <c r="D413" s="65">
        <v>759.4</v>
      </c>
      <c r="E413" s="50">
        <v>1.4911000000000001</v>
      </c>
      <c r="F413" s="65">
        <v>12378.22</v>
      </c>
      <c r="G413" s="65">
        <v>50927.809399999998</v>
      </c>
      <c r="H413" s="65">
        <v>50168.409399999997</v>
      </c>
      <c r="I413" s="50">
        <v>98.508899999999997</v>
      </c>
      <c r="J413" s="65">
        <v>50927.809399999998</v>
      </c>
      <c r="K413" s="65">
        <v>50927.809399999998</v>
      </c>
      <c r="L413" s="50">
        <v>100</v>
      </c>
      <c r="M413" t="s">
        <v>2296</v>
      </c>
      <c r="N413" t="s">
        <v>2328</v>
      </c>
    </row>
    <row r="414" spans="1:14">
      <c r="A414" t="s">
        <v>815</v>
      </c>
      <c r="B414" t="s">
        <v>816</v>
      </c>
      <c r="C414" s="40">
        <v>45106</v>
      </c>
      <c r="D414" s="65">
        <v>146.56</v>
      </c>
      <c r="E414" s="50">
        <v>0.36770000000000003</v>
      </c>
      <c r="F414" s="65">
        <v>15242.24</v>
      </c>
      <c r="G414" s="65">
        <v>39853.816800000001</v>
      </c>
      <c r="H414" s="65">
        <v>39707.256800000003</v>
      </c>
      <c r="I414" s="50">
        <v>99.632300000000001</v>
      </c>
      <c r="J414" s="65">
        <v>39853.816800000001</v>
      </c>
      <c r="K414" s="65">
        <v>39853.816800000001</v>
      </c>
      <c r="L414" s="50">
        <v>100</v>
      </c>
      <c r="M414" t="s">
        <v>2308</v>
      </c>
      <c r="N414" t="s">
        <v>2344</v>
      </c>
    </row>
    <row r="415" spans="1:14">
      <c r="A415" t="s">
        <v>935</v>
      </c>
      <c r="B415" t="s">
        <v>936</v>
      </c>
      <c r="C415" s="40">
        <v>45106</v>
      </c>
      <c r="D415" s="65">
        <v>5632</v>
      </c>
      <c r="E415" s="50">
        <v>5.9283999999999999</v>
      </c>
      <c r="F415" s="65">
        <v>2393.6</v>
      </c>
      <c r="G415" s="65">
        <v>95000</v>
      </c>
      <c r="H415" s="65">
        <v>89368</v>
      </c>
      <c r="I415" s="50">
        <v>94.071600000000004</v>
      </c>
      <c r="J415" s="65">
        <v>95000</v>
      </c>
      <c r="K415" s="65">
        <v>95000</v>
      </c>
      <c r="L415" s="50">
        <v>100</v>
      </c>
      <c r="M415" t="s">
        <v>2292</v>
      </c>
      <c r="N415" t="s">
        <v>2326</v>
      </c>
    </row>
    <row r="416" spans="1:14">
      <c r="A416" t="s">
        <v>620</v>
      </c>
      <c r="B416" t="s">
        <v>621</v>
      </c>
      <c r="C416" s="40">
        <v>45100</v>
      </c>
      <c r="D416" s="65">
        <v>3568.15</v>
      </c>
      <c r="E416" s="50">
        <v>4.3106</v>
      </c>
      <c r="F416" s="65">
        <v>35003.551500000001</v>
      </c>
      <c r="G416" s="65">
        <v>82776.993700000006</v>
      </c>
      <c r="H416" s="65">
        <v>79208.843699999998</v>
      </c>
      <c r="I416" s="50">
        <v>95.689400000000006</v>
      </c>
      <c r="J416" s="65">
        <v>82776.993700000006</v>
      </c>
      <c r="K416" s="65">
        <v>82776.993700000006</v>
      </c>
      <c r="L416" s="50">
        <v>100</v>
      </c>
      <c r="M416" t="s">
        <v>2292</v>
      </c>
      <c r="N416" t="s">
        <v>2326</v>
      </c>
    </row>
    <row r="417" spans="1:14">
      <c r="A417" t="s">
        <v>834</v>
      </c>
      <c r="B417" t="s">
        <v>835</v>
      </c>
      <c r="C417" s="40">
        <v>45092</v>
      </c>
      <c r="D417" s="65">
        <v>6000</v>
      </c>
      <c r="E417" s="50">
        <v>6</v>
      </c>
      <c r="F417" s="65">
        <v>2310</v>
      </c>
      <c r="G417" s="65">
        <v>100000</v>
      </c>
      <c r="H417" s="65">
        <v>94000</v>
      </c>
      <c r="I417" s="50">
        <v>94</v>
      </c>
      <c r="J417" s="65">
        <v>100000</v>
      </c>
      <c r="K417" s="65">
        <v>100000</v>
      </c>
      <c r="L417" s="50">
        <v>100</v>
      </c>
      <c r="M417" t="s">
        <v>2300</v>
      </c>
      <c r="N417" t="s">
        <v>2333</v>
      </c>
    </row>
    <row r="418" spans="1:14">
      <c r="A418" t="s">
        <v>405</v>
      </c>
      <c r="B418" t="s">
        <v>406</v>
      </c>
      <c r="C418" s="40">
        <v>45092</v>
      </c>
      <c r="D418" s="65">
        <v>5455.02</v>
      </c>
      <c r="E418" s="50">
        <v>2.3201999999999998</v>
      </c>
      <c r="F418" s="65">
        <v>47731.425000000003</v>
      </c>
      <c r="G418" s="65">
        <v>235114.55780000001</v>
      </c>
      <c r="H418" s="65">
        <v>229659.53779999999</v>
      </c>
      <c r="I418" s="50">
        <v>97.6798</v>
      </c>
      <c r="J418" s="65">
        <v>235114.55780000001</v>
      </c>
      <c r="K418" s="65">
        <v>235114.55780000001</v>
      </c>
      <c r="L418" s="50">
        <v>100</v>
      </c>
      <c r="M418" t="s">
        <v>2304</v>
      </c>
      <c r="N418" t="s">
        <v>2336</v>
      </c>
    </row>
    <row r="419" spans="1:14">
      <c r="A419" t="s">
        <v>811</v>
      </c>
      <c r="B419" t="s">
        <v>812</v>
      </c>
      <c r="C419" s="40">
        <v>45089</v>
      </c>
      <c r="D419" s="65">
        <v>2100</v>
      </c>
      <c r="E419" s="50">
        <v>9.3332999999999995</v>
      </c>
      <c r="F419" s="65">
        <v>4137</v>
      </c>
      <c r="G419" s="65">
        <v>22500</v>
      </c>
      <c r="H419" s="65">
        <v>20400</v>
      </c>
      <c r="I419" s="50">
        <v>90.666700000000006</v>
      </c>
      <c r="J419" s="65">
        <v>22500</v>
      </c>
      <c r="K419" s="65">
        <v>22500</v>
      </c>
      <c r="L419" s="50">
        <v>100</v>
      </c>
      <c r="M419" t="s">
        <v>2298</v>
      </c>
      <c r="N419" t="s">
        <v>2340</v>
      </c>
    </row>
    <row r="420" spans="1:14">
      <c r="A420" t="s">
        <v>562</v>
      </c>
      <c r="B420" t="s">
        <v>563</v>
      </c>
      <c r="C420" s="40">
        <v>45089</v>
      </c>
      <c r="D420" s="65">
        <v>630.44000000000005</v>
      </c>
      <c r="E420" s="50">
        <v>4.2606000000000002</v>
      </c>
      <c r="F420" s="65">
        <v>24429.55</v>
      </c>
      <c r="G420" s="65">
        <v>14797.036899999999</v>
      </c>
      <c r="H420" s="65">
        <v>14166.5969</v>
      </c>
      <c r="I420" s="50">
        <v>95.739400000000003</v>
      </c>
      <c r="J420" s="65">
        <v>14797.036899999999</v>
      </c>
      <c r="K420" s="65">
        <v>14797.036899999999</v>
      </c>
      <c r="L420" s="50">
        <v>100</v>
      </c>
      <c r="M420" t="s">
        <v>2292</v>
      </c>
      <c r="N420" t="s">
        <v>2326</v>
      </c>
    </row>
    <row r="421" spans="1:14">
      <c r="A421" t="s">
        <v>290</v>
      </c>
      <c r="B421" t="s">
        <v>291</v>
      </c>
      <c r="C421" s="40">
        <v>45078</v>
      </c>
      <c r="D421" s="65">
        <v>16108.36</v>
      </c>
      <c r="E421" s="50">
        <v>10.3529</v>
      </c>
      <c r="F421" s="65">
        <v>188145.64480000001</v>
      </c>
      <c r="G421" s="65">
        <v>155593.13500000001</v>
      </c>
      <c r="H421" s="65">
        <v>7707.9</v>
      </c>
      <c r="I421" s="50">
        <v>4.9539</v>
      </c>
      <c r="J421" s="65">
        <v>155593.13500000001</v>
      </c>
      <c r="K421" s="65">
        <v>23816.26</v>
      </c>
      <c r="L421" s="50">
        <v>15.306800000000001</v>
      </c>
      <c r="M421" t="s">
        <v>2307</v>
      </c>
      <c r="N421" t="s">
        <v>2341</v>
      </c>
    </row>
    <row r="422" spans="1:14">
      <c r="A422" t="s">
        <v>3197</v>
      </c>
      <c r="B422" t="s">
        <v>3198</v>
      </c>
      <c r="C422" s="40">
        <v>45077</v>
      </c>
      <c r="D422" s="65">
        <v>562.5</v>
      </c>
      <c r="F422" s="65">
        <v>2255.625</v>
      </c>
      <c r="G422" s="65">
        <v>64290</v>
      </c>
      <c r="H422" s="65">
        <v>63727.5</v>
      </c>
      <c r="I422" s="50">
        <v>99.125100000000003</v>
      </c>
      <c r="K422" s="65">
        <v>64290</v>
      </c>
      <c r="M422" t="s">
        <v>2306</v>
      </c>
      <c r="N422" t="s">
        <v>2324</v>
      </c>
    </row>
    <row r="423" spans="1:14">
      <c r="A423" t="s">
        <v>3308</v>
      </c>
      <c r="B423" t="s">
        <v>3309</v>
      </c>
      <c r="C423" s="40">
        <v>45070</v>
      </c>
      <c r="D423" s="65">
        <v>20908.2</v>
      </c>
      <c r="E423" s="50">
        <v>1.0922000000000001</v>
      </c>
      <c r="F423" s="65">
        <v>2132.6363999999999</v>
      </c>
      <c r="G423" s="65">
        <v>1914317.9879999999</v>
      </c>
      <c r="H423" s="65">
        <v>1893409.7879999999</v>
      </c>
      <c r="I423" s="50">
        <v>98.907799999999995</v>
      </c>
      <c r="J423" s="65">
        <v>1914317.9879999999</v>
      </c>
      <c r="K423" s="65">
        <v>1914317.9879999999</v>
      </c>
      <c r="L423" s="50">
        <v>100</v>
      </c>
      <c r="M423" t="s">
        <v>2310</v>
      </c>
      <c r="N423" t="s">
        <v>2343</v>
      </c>
    </row>
    <row r="424" spans="1:14">
      <c r="A424" t="s">
        <v>459</v>
      </c>
      <c r="B424" t="s">
        <v>460</v>
      </c>
      <c r="C424" s="40">
        <v>45057</v>
      </c>
      <c r="D424" s="65">
        <v>2256.9499999999998</v>
      </c>
      <c r="E424" s="50">
        <v>4.5138999999999996</v>
      </c>
      <c r="F424" s="65">
        <v>10178.844499999999</v>
      </c>
      <c r="G424" s="65">
        <v>50000</v>
      </c>
      <c r="H424" s="65">
        <v>47743.05</v>
      </c>
      <c r="I424" s="50">
        <v>95.486099999999993</v>
      </c>
      <c r="J424" s="65">
        <v>50000</v>
      </c>
      <c r="K424" s="65">
        <v>50000</v>
      </c>
      <c r="L424" s="50">
        <v>100</v>
      </c>
      <c r="M424" t="s">
        <v>2311</v>
      </c>
      <c r="N424" t="s">
        <v>2338</v>
      </c>
    </row>
    <row r="425" spans="1:14">
      <c r="A425" t="s">
        <v>603</v>
      </c>
      <c r="B425" t="s">
        <v>604</v>
      </c>
      <c r="C425" s="40">
        <v>45055</v>
      </c>
      <c r="D425" s="65">
        <v>510.2</v>
      </c>
      <c r="E425" s="50">
        <v>0.63780000000000003</v>
      </c>
      <c r="F425" s="65">
        <v>219.386</v>
      </c>
      <c r="G425" s="65">
        <v>80000</v>
      </c>
      <c r="H425" s="65">
        <v>79489.8</v>
      </c>
      <c r="I425" s="50">
        <v>99.362200000000001</v>
      </c>
      <c r="J425" s="65">
        <v>80000</v>
      </c>
      <c r="K425" s="65">
        <v>80000</v>
      </c>
      <c r="L425" s="50">
        <v>100</v>
      </c>
      <c r="M425" t="s">
        <v>2308</v>
      </c>
      <c r="N425" t="s">
        <v>2344</v>
      </c>
    </row>
    <row r="426" spans="1:14">
      <c r="A426" t="s">
        <v>856</v>
      </c>
      <c r="B426" t="s">
        <v>857</v>
      </c>
      <c r="C426" s="40">
        <v>45054</v>
      </c>
      <c r="D426" s="65">
        <v>667.6</v>
      </c>
      <c r="E426" s="50">
        <v>1.9253</v>
      </c>
      <c r="F426" s="65">
        <v>18025.2</v>
      </c>
      <c r="G426" s="65">
        <v>34674.9997</v>
      </c>
      <c r="H426" s="65">
        <v>34007.399700000002</v>
      </c>
      <c r="I426" s="50">
        <v>98.074700000000007</v>
      </c>
      <c r="J426" s="65">
        <v>34674.9997</v>
      </c>
      <c r="K426" s="65">
        <v>34674.9997</v>
      </c>
      <c r="L426" s="50">
        <v>100</v>
      </c>
      <c r="M426" t="s">
        <v>2292</v>
      </c>
      <c r="N426" t="s">
        <v>2326</v>
      </c>
    </row>
    <row r="427" spans="1:14">
      <c r="A427" t="s">
        <v>438</v>
      </c>
      <c r="B427" t="s">
        <v>439</v>
      </c>
      <c r="C427" s="40">
        <v>45050</v>
      </c>
      <c r="D427" s="65">
        <v>96900</v>
      </c>
      <c r="E427" s="50">
        <v>97.386899999999997</v>
      </c>
      <c r="F427" s="65">
        <v>3052350</v>
      </c>
      <c r="G427" s="65">
        <v>99500</v>
      </c>
      <c r="H427" s="65">
        <v>2600</v>
      </c>
      <c r="I427" s="50">
        <v>2.6131000000000002</v>
      </c>
      <c r="J427" s="65">
        <v>99500</v>
      </c>
      <c r="K427" s="65">
        <v>99500</v>
      </c>
      <c r="L427" s="50">
        <v>100</v>
      </c>
      <c r="M427" t="s">
        <v>2292</v>
      </c>
      <c r="N427" t="s">
        <v>2342</v>
      </c>
    </row>
    <row r="428" spans="1:14">
      <c r="A428" t="s">
        <v>3310</v>
      </c>
      <c r="B428" t="s">
        <v>3311</v>
      </c>
      <c r="C428" s="40">
        <v>45049</v>
      </c>
      <c r="D428" s="65">
        <v>2727.5</v>
      </c>
      <c r="E428" s="50">
        <v>5.2667999999999999</v>
      </c>
      <c r="F428" s="65">
        <v>2427.4749999999999</v>
      </c>
      <c r="G428" s="65">
        <v>51786.803599999999</v>
      </c>
      <c r="H428" s="65">
        <v>49059.303599999999</v>
      </c>
      <c r="I428" s="50">
        <v>94.733199999999997</v>
      </c>
      <c r="J428" s="65">
        <v>51786.803599999999</v>
      </c>
      <c r="K428" s="65">
        <v>51786.803599999999</v>
      </c>
      <c r="L428" s="50">
        <v>100</v>
      </c>
      <c r="M428" t="s">
        <v>2298</v>
      </c>
      <c r="N428" t="s">
        <v>2340</v>
      </c>
    </row>
    <row r="429" spans="1:14">
      <c r="A429" t="s">
        <v>3312</v>
      </c>
      <c r="B429" t="s">
        <v>3313</v>
      </c>
      <c r="C429" s="40">
        <v>45036</v>
      </c>
      <c r="D429" s="65">
        <v>2754.3</v>
      </c>
      <c r="E429" s="50">
        <v>6.0194999999999999</v>
      </c>
      <c r="F429" s="65">
        <v>78910.695000000007</v>
      </c>
      <c r="G429" s="65">
        <v>45756.260300000002</v>
      </c>
      <c r="H429" s="65">
        <v>43001.960299999999</v>
      </c>
      <c r="I429" s="50">
        <v>93.980500000000006</v>
      </c>
      <c r="J429" s="65">
        <v>45756.260300000002</v>
      </c>
      <c r="K429" s="65">
        <v>45756.260300000002</v>
      </c>
      <c r="L429" s="50">
        <v>100</v>
      </c>
      <c r="N429" t="s">
        <v>2326</v>
      </c>
    </row>
    <row r="430" spans="1:14">
      <c r="A430" t="s">
        <v>3314</v>
      </c>
      <c r="B430" t="s">
        <v>3315</v>
      </c>
      <c r="C430" s="40">
        <v>45035</v>
      </c>
      <c r="D430" s="65">
        <v>2083.5</v>
      </c>
      <c r="E430" s="50">
        <v>4.0769000000000002</v>
      </c>
      <c r="F430" s="65">
        <v>82923.3</v>
      </c>
      <c r="G430" s="65">
        <v>51105.381099999999</v>
      </c>
      <c r="H430" s="65">
        <v>49021.881099999999</v>
      </c>
      <c r="I430" s="50">
        <v>95.923100000000005</v>
      </c>
      <c r="J430" s="65">
        <v>51105.381099999999</v>
      </c>
      <c r="K430" s="65">
        <v>51105.381099999999</v>
      </c>
      <c r="L430" s="50">
        <v>100</v>
      </c>
      <c r="M430" t="s">
        <v>2299</v>
      </c>
      <c r="N430" t="s">
        <v>2346</v>
      </c>
    </row>
    <row r="431" spans="1:14">
      <c r="A431" t="s">
        <v>583</v>
      </c>
      <c r="B431" t="s">
        <v>584</v>
      </c>
      <c r="C431" s="40">
        <v>45034</v>
      </c>
      <c r="D431" s="65">
        <v>8238.1</v>
      </c>
      <c r="E431" s="50">
        <v>4.5514000000000001</v>
      </c>
      <c r="F431" s="65">
        <v>13675.245999999999</v>
      </c>
      <c r="G431" s="65">
        <v>181000</v>
      </c>
      <c r="H431" s="65">
        <v>172761.9</v>
      </c>
      <c r="I431" s="50">
        <v>95.448599999999999</v>
      </c>
      <c r="J431" s="65">
        <v>181000</v>
      </c>
      <c r="K431" s="65">
        <v>181000</v>
      </c>
      <c r="L431" s="50">
        <v>100</v>
      </c>
      <c r="M431" t="s">
        <v>2298</v>
      </c>
      <c r="N431" t="s">
        <v>2327</v>
      </c>
    </row>
    <row r="432" spans="1:14">
      <c r="A432" t="s">
        <v>3292</v>
      </c>
      <c r="B432" t="s">
        <v>3293</v>
      </c>
      <c r="C432" s="40">
        <v>45034</v>
      </c>
      <c r="D432" s="65">
        <v>21950</v>
      </c>
      <c r="E432" s="50">
        <v>4.6702000000000004</v>
      </c>
      <c r="F432" s="65">
        <v>39071</v>
      </c>
      <c r="G432" s="65">
        <v>470004.75</v>
      </c>
      <c r="H432" s="65">
        <v>448054.75</v>
      </c>
      <c r="I432" s="50">
        <v>95.329800000000006</v>
      </c>
      <c r="J432" s="65">
        <v>470004.75</v>
      </c>
      <c r="K432" s="65">
        <v>470004.75</v>
      </c>
      <c r="L432" s="50">
        <v>100</v>
      </c>
      <c r="M432" t="s">
        <v>2306</v>
      </c>
      <c r="N432" t="s">
        <v>2324</v>
      </c>
    </row>
    <row r="433" spans="1:14">
      <c r="A433" t="s">
        <v>3316</v>
      </c>
      <c r="B433" t="s">
        <v>3317</v>
      </c>
      <c r="C433" s="40">
        <v>45033</v>
      </c>
      <c r="D433" s="65">
        <v>6800</v>
      </c>
      <c r="E433" s="50">
        <v>5.0538999999999996</v>
      </c>
      <c r="F433" s="65">
        <v>99688</v>
      </c>
      <c r="G433" s="65">
        <v>134548.98639999999</v>
      </c>
      <c r="H433" s="65">
        <v>127748.98639999999</v>
      </c>
      <c r="I433" s="50">
        <v>94.946100000000001</v>
      </c>
      <c r="J433" s="65">
        <v>134548.98639999999</v>
      </c>
      <c r="K433" s="65">
        <v>134548.98639999999</v>
      </c>
      <c r="L433" s="50">
        <v>100</v>
      </c>
      <c r="M433" t="s">
        <v>2311</v>
      </c>
      <c r="N433" t="s">
        <v>2338</v>
      </c>
    </row>
    <row r="434" spans="1:14">
      <c r="A434" t="s">
        <v>911</v>
      </c>
      <c r="B434" t="s">
        <v>912</v>
      </c>
      <c r="C434" s="40">
        <v>45033</v>
      </c>
      <c r="D434" s="65">
        <v>2343.6</v>
      </c>
      <c r="E434" s="50">
        <v>2.3435999999999999</v>
      </c>
      <c r="F434" s="65">
        <v>1288.98</v>
      </c>
      <c r="G434" s="65">
        <v>100000</v>
      </c>
      <c r="H434" s="65">
        <v>97656.4</v>
      </c>
      <c r="I434" s="50">
        <v>97.656400000000005</v>
      </c>
      <c r="J434" s="65">
        <v>100000</v>
      </c>
      <c r="K434" s="65">
        <v>100000</v>
      </c>
      <c r="L434" s="50">
        <v>100</v>
      </c>
      <c r="M434" t="s">
        <v>2308</v>
      </c>
      <c r="N434" t="s">
        <v>2344</v>
      </c>
    </row>
    <row r="435" spans="1:14">
      <c r="A435" t="s">
        <v>3310</v>
      </c>
      <c r="B435" t="s">
        <v>3311</v>
      </c>
      <c r="C435" s="40">
        <v>45033</v>
      </c>
      <c r="D435" s="65">
        <v>3093.1597999999999</v>
      </c>
      <c r="E435" s="50">
        <v>5.9729000000000001</v>
      </c>
      <c r="F435" s="65">
        <v>2598.2542319999998</v>
      </c>
      <c r="G435" s="65">
        <v>51786.803599999999</v>
      </c>
      <c r="H435" s="65">
        <v>45966.143799999998</v>
      </c>
      <c r="I435" s="50">
        <v>88.760300000000001</v>
      </c>
      <c r="J435" s="65">
        <v>51786.803599999999</v>
      </c>
      <c r="K435" s="65">
        <v>49059.303599999999</v>
      </c>
      <c r="L435" s="50">
        <v>94.733199999999997</v>
      </c>
      <c r="M435" t="s">
        <v>2298</v>
      </c>
      <c r="N435" t="s">
        <v>2340</v>
      </c>
    </row>
    <row r="436" spans="1:14">
      <c r="A436" t="s">
        <v>3187</v>
      </c>
      <c r="B436" t="s">
        <v>3188</v>
      </c>
      <c r="C436" s="40">
        <v>45031</v>
      </c>
      <c r="D436" s="65">
        <v>60869.565199999997</v>
      </c>
      <c r="E436" s="50">
        <v>13.107100000000001</v>
      </c>
      <c r="F436" s="65">
        <v>343913.04337999999</v>
      </c>
      <c r="G436" s="65">
        <v>464399.73080000002</v>
      </c>
      <c r="H436" s="65">
        <v>366644.91970000003</v>
      </c>
      <c r="I436" s="50">
        <v>78.950299999999999</v>
      </c>
      <c r="J436" s="65">
        <v>464399.73080000002</v>
      </c>
      <c r="K436" s="65">
        <v>427514.48489999998</v>
      </c>
      <c r="L436" s="50">
        <v>92.057400000000001</v>
      </c>
      <c r="M436" t="s">
        <v>2309</v>
      </c>
      <c r="N436" t="s">
        <v>2351</v>
      </c>
    </row>
    <row r="437" spans="1:14">
      <c r="A437" t="s">
        <v>3318</v>
      </c>
      <c r="B437" t="s">
        <v>3319</v>
      </c>
      <c r="C437" s="40">
        <v>45028</v>
      </c>
      <c r="D437" s="65">
        <v>8000</v>
      </c>
      <c r="E437" s="50">
        <v>6.9336000000000002</v>
      </c>
      <c r="F437" s="65">
        <v>73520</v>
      </c>
      <c r="G437" s="65">
        <v>115379.59</v>
      </c>
      <c r="H437" s="65">
        <v>107379.59</v>
      </c>
      <c r="I437" s="50">
        <v>93.066400000000002</v>
      </c>
      <c r="J437" s="65">
        <v>115379.59</v>
      </c>
      <c r="K437" s="65">
        <v>115379.59</v>
      </c>
      <c r="L437" s="50">
        <v>100</v>
      </c>
      <c r="M437" t="s">
        <v>2297</v>
      </c>
      <c r="N437" t="s">
        <v>2332</v>
      </c>
    </row>
    <row r="438" spans="1:14">
      <c r="A438" t="s">
        <v>3320</v>
      </c>
      <c r="B438" t="s">
        <v>3321</v>
      </c>
      <c r="C438" s="40">
        <v>45028</v>
      </c>
      <c r="D438" s="65">
        <v>141994.28760000001</v>
      </c>
      <c r="E438" s="50">
        <v>16.666699999999999</v>
      </c>
      <c r="F438" s="65">
        <v>13631.451609600001</v>
      </c>
      <c r="G438" s="65">
        <v>851965.72569999995</v>
      </c>
      <c r="H438" s="65">
        <v>709971.43810000003</v>
      </c>
      <c r="I438" s="50">
        <v>83.333299999999994</v>
      </c>
      <c r="J438" s="65">
        <v>851965.72569999995</v>
      </c>
      <c r="K438" s="65">
        <v>851965.72569999995</v>
      </c>
      <c r="L438" s="50">
        <v>100</v>
      </c>
      <c r="M438" t="s">
        <v>2307</v>
      </c>
      <c r="N438" t="s">
        <v>3285</v>
      </c>
    </row>
    <row r="439" spans="1:14">
      <c r="A439" t="s">
        <v>986</v>
      </c>
      <c r="B439" t="s">
        <v>987</v>
      </c>
      <c r="C439" s="40">
        <v>45026</v>
      </c>
      <c r="D439" s="65">
        <v>564.66</v>
      </c>
      <c r="E439" s="50">
        <v>1.3535999999999999</v>
      </c>
      <c r="F439" s="65">
        <v>22021.74</v>
      </c>
      <c r="G439" s="65">
        <v>41716.728999999999</v>
      </c>
      <c r="H439" s="65">
        <v>12594.403200000001</v>
      </c>
      <c r="I439" s="50">
        <v>30.190300000000001</v>
      </c>
      <c r="J439" s="65">
        <v>41716.728999999999</v>
      </c>
      <c r="K439" s="65">
        <v>13159.063200000001</v>
      </c>
      <c r="L439" s="50">
        <v>31.543900000000001</v>
      </c>
      <c r="M439" t="s">
        <v>2292</v>
      </c>
      <c r="N439" t="s">
        <v>2326</v>
      </c>
    </row>
    <row r="440" spans="1:14">
      <c r="A440" t="s">
        <v>787</v>
      </c>
      <c r="B440" t="s">
        <v>788</v>
      </c>
      <c r="C440" s="40">
        <v>45026</v>
      </c>
      <c r="D440" s="65">
        <v>4000</v>
      </c>
      <c r="E440" s="50">
        <v>4</v>
      </c>
      <c r="F440" s="65">
        <v>2040</v>
      </c>
      <c r="G440" s="65">
        <v>100000</v>
      </c>
      <c r="H440" s="65">
        <v>96000</v>
      </c>
      <c r="I440" s="50">
        <v>96</v>
      </c>
      <c r="J440" s="65">
        <v>100000</v>
      </c>
      <c r="K440" s="65">
        <v>100000</v>
      </c>
      <c r="L440" s="50">
        <v>100</v>
      </c>
      <c r="M440" t="s">
        <v>2305</v>
      </c>
      <c r="N440" t="s">
        <v>2348</v>
      </c>
    </row>
    <row r="441" spans="1:14">
      <c r="A441" t="s">
        <v>3322</v>
      </c>
      <c r="B441" t="s">
        <v>3323</v>
      </c>
      <c r="C441" s="40">
        <v>45026</v>
      </c>
      <c r="D441" s="65">
        <v>25000</v>
      </c>
      <c r="E441" s="50">
        <v>9.0908999999999995</v>
      </c>
      <c r="F441" s="65">
        <v>4825</v>
      </c>
      <c r="G441" s="65">
        <v>275000</v>
      </c>
      <c r="H441" s="65">
        <v>250000</v>
      </c>
      <c r="I441" s="50">
        <v>90.909099999999995</v>
      </c>
      <c r="J441" s="65">
        <v>275000</v>
      </c>
      <c r="K441" s="65">
        <v>275000</v>
      </c>
      <c r="L441" s="50">
        <v>100</v>
      </c>
      <c r="M441" t="s">
        <v>2299</v>
      </c>
      <c r="N441" t="s">
        <v>2330</v>
      </c>
    </row>
    <row r="442" spans="1:14">
      <c r="A442" t="s">
        <v>275</v>
      </c>
      <c r="B442" t="s">
        <v>276</v>
      </c>
      <c r="C442" s="40">
        <v>45022</v>
      </c>
      <c r="D442" s="65">
        <v>14933.14</v>
      </c>
      <c r="E442" s="50">
        <v>8.4258000000000006</v>
      </c>
      <c r="F442" s="65">
        <v>287910.93920000002</v>
      </c>
      <c r="G442" s="65">
        <v>177230.18580000001</v>
      </c>
      <c r="H442" s="65">
        <v>11651.39</v>
      </c>
      <c r="I442" s="50">
        <v>6.5742000000000003</v>
      </c>
      <c r="J442" s="65">
        <v>177230.18580000001</v>
      </c>
      <c r="K442" s="65">
        <v>26584.53</v>
      </c>
      <c r="L442" s="50">
        <v>15</v>
      </c>
      <c r="M442" t="s">
        <v>2297</v>
      </c>
      <c r="N442" t="s">
        <v>2335</v>
      </c>
    </row>
    <row r="443" spans="1:14">
      <c r="A443" t="s">
        <v>3324</v>
      </c>
      <c r="B443" t="s">
        <v>3325</v>
      </c>
      <c r="C443" s="40">
        <v>45020</v>
      </c>
      <c r="D443" s="65">
        <v>7031.4794000000002</v>
      </c>
      <c r="E443" s="50">
        <v>0.96450000000000002</v>
      </c>
      <c r="F443" s="65">
        <v>13711.384830000001</v>
      </c>
      <c r="G443" s="65">
        <v>728994.85719999997</v>
      </c>
      <c r="H443" s="65">
        <v>721963.37780000002</v>
      </c>
      <c r="I443" s="50">
        <v>99.035499999999999</v>
      </c>
      <c r="J443" s="65">
        <v>728994.85719999997</v>
      </c>
      <c r="K443" s="65">
        <v>728994.85719999997</v>
      </c>
      <c r="L443" s="50">
        <v>100</v>
      </c>
      <c r="M443" t="s">
        <v>2297</v>
      </c>
      <c r="N443" t="s">
        <v>2329</v>
      </c>
    </row>
    <row r="444" spans="1:14">
      <c r="A444" t="s">
        <v>3310</v>
      </c>
      <c r="B444" t="s">
        <v>3311</v>
      </c>
      <c r="C444" s="40">
        <v>45016</v>
      </c>
      <c r="D444" s="65">
        <v>215.05369999999999</v>
      </c>
      <c r="E444" s="50">
        <v>0.4153</v>
      </c>
      <c r="F444" s="65">
        <v>172.04295999999999</v>
      </c>
      <c r="G444" s="65">
        <v>51786.803599999999</v>
      </c>
      <c r="H444" s="65">
        <v>45751.090100000001</v>
      </c>
      <c r="I444" s="50">
        <v>88.345100000000002</v>
      </c>
      <c r="J444" s="65">
        <v>51786.803599999999</v>
      </c>
      <c r="K444" s="65">
        <v>45966.143799999998</v>
      </c>
      <c r="L444" s="50">
        <v>88.760300000000001</v>
      </c>
      <c r="M444" t="s">
        <v>2298</v>
      </c>
      <c r="N444" t="s">
        <v>2340</v>
      </c>
    </row>
    <row r="445" spans="1:14">
      <c r="A445" t="s">
        <v>268</v>
      </c>
      <c r="B445" t="s">
        <v>269</v>
      </c>
      <c r="C445" s="40">
        <v>45014</v>
      </c>
      <c r="D445" s="65">
        <v>4383.3999999999996</v>
      </c>
      <c r="E445" s="50">
        <v>3.7195999999999998</v>
      </c>
      <c r="F445" s="65">
        <v>146405.56</v>
      </c>
      <c r="G445" s="65">
        <v>117846.87</v>
      </c>
      <c r="H445" s="65">
        <v>8421.4699999999993</v>
      </c>
      <c r="I445" s="50">
        <v>7.1460999999999997</v>
      </c>
      <c r="J445" s="65">
        <v>117846.87</v>
      </c>
      <c r="K445" s="65">
        <v>12804.87</v>
      </c>
      <c r="L445" s="50">
        <v>10.8657</v>
      </c>
      <c r="M445" t="s">
        <v>2306</v>
      </c>
      <c r="N445" t="s">
        <v>2324</v>
      </c>
    </row>
    <row r="446" spans="1:14">
      <c r="A446" t="s">
        <v>311</v>
      </c>
      <c r="B446" t="s">
        <v>312</v>
      </c>
      <c r="C446" s="40">
        <v>45014</v>
      </c>
      <c r="D446" s="65">
        <v>4930.0600000000004</v>
      </c>
      <c r="E446" s="50">
        <v>4.3144</v>
      </c>
      <c r="F446" s="65">
        <v>184384.24400000001</v>
      </c>
      <c r="G446" s="65">
        <v>114270.6059</v>
      </c>
      <c r="H446" s="65">
        <v>87285.328500000003</v>
      </c>
      <c r="I446" s="50">
        <v>76.384799999999998</v>
      </c>
      <c r="J446" s="65">
        <v>114270.6059</v>
      </c>
      <c r="K446" s="65">
        <v>92215.388500000001</v>
      </c>
      <c r="L446" s="50">
        <v>80.699100000000001</v>
      </c>
      <c r="M446" t="s">
        <v>2300</v>
      </c>
      <c r="N446" t="s">
        <v>2333</v>
      </c>
    </row>
    <row r="447" spans="1:14">
      <c r="A447" t="s">
        <v>3326</v>
      </c>
      <c r="B447" t="s">
        <v>3327</v>
      </c>
      <c r="C447" s="40">
        <v>45013</v>
      </c>
      <c r="D447" s="65">
        <v>84000</v>
      </c>
      <c r="E447" s="50">
        <v>8.0668000000000006</v>
      </c>
      <c r="F447" s="65">
        <v>61320</v>
      </c>
      <c r="G447" s="65">
        <v>1041307.8372</v>
      </c>
      <c r="H447" s="65">
        <v>957307.83719999995</v>
      </c>
      <c r="I447" s="50">
        <v>91.933199999999999</v>
      </c>
      <c r="J447" s="65">
        <v>1041307.8372</v>
      </c>
      <c r="K447" s="65">
        <v>1041307.8372</v>
      </c>
      <c r="L447" s="50">
        <v>100</v>
      </c>
      <c r="M447" t="s">
        <v>2306</v>
      </c>
      <c r="N447" t="s">
        <v>2324</v>
      </c>
    </row>
    <row r="448" spans="1:14">
      <c r="A448" t="s">
        <v>703</v>
      </c>
      <c r="B448" t="s">
        <v>704</v>
      </c>
      <c r="C448" s="40">
        <v>45011</v>
      </c>
      <c r="D448" s="65">
        <v>3867</v>
      </c>
      <c r="E448" s="50">
        <v>6.1871999999999998</v>
      </c>
      <c r="F448" s="65">
        <v>1276.1099999999999</v>
      </c>
      <c r="G448" s="65">
        <v>62500</v>
      </c>
      <c r="H448" s="65">
        <v>58633</v>
      </c>
      <c r="I448" s="50">
        <v>93.812799999999996</v>
      </c>
      <c r="J448" s="65">
        <v>62500</v>
      </c>
      <c r="K448" s="65">
        <v>62500</v>
      </c>
      <c r="L448" s="50">
        <v>100</v>
      </c>
      <c r="M448" t="s">
        <v>2298</v>
      </c>
      <c r="N448" t="s">
        <v>2327</v>
      </c>
    </row>
    <row r="449" spans="1:14">
      <c r="A449" t="s">
        <v>3328</v>
      </c>
      <c r="B449" t="s">
        <v>3329</v>
      </c>
      <c r="C449" s="40">
        <v>45002</v>
      </c>
      <c r="D449" s="65">
        <v>39830.437899999997</v>
      </c>
      <c r="E449" s="50">
        <v>9.1669</v>
      </c>
      <c r="F449" s="65">
        <v>20711.827708000001</v>
      </c>
      <c r="G449" s="65">
        <v>434501.49739999999</v>
      </c>
      <c r="H449" s="65">
        <v>394671.05949999997</v>
      </c>
      <c r="I449" s="50">
        <v>90.833100000000002</v>
      </c>
      <c r="J449" s="65">
        <v>434501.49739999999</v>
      </c>
      <c r="K449" s="65">
        <v>434501.49739999999</v>
      </c>
      <c r="L449" s="50">
        <v>100</v>
      </c>
      <c r="M449" t="s">
        <v>2292</v>
      </c>
      <c r="N449" t="s">
        <v>2326</v>
      </c>
    </row>
    <row r="450" spans="1:14">
      <c r="A450" t="s">
        <v>3185</v>
      </c>
      <c r="B450" t="s">
        <v>3186</v>
      </c>
      <c r="C450" s="40">
        <v>45001</v>
      </c>
      <c r="D450" s="65">
        <v>4000</v>
      </c>
      <c r="E450" s="50">
        <v>8.9385999999999992</v>
      </c>
      <c r="F450" s="65">
        <v>32240</v>
      </c>
      <c r="G450" s="65">
        <v>44749.96</v>
      </c>
      <c r="H450" s="65">
        <v>40749.96</v>
      </c>
      <c r="I450" s="50">
        <v>91.061400000000006</v>
      </c>
      <c r="J450" s="65">
        <v>44749.96</v>
      </c>
      <c r="K450" s="65">
        <v>44749.96</v>
      </c>
      <c r="L450" s="50">
        <v>100</v>
      </c>
      <c r="M450" t="s">
        <v>2296</v>
      </c>
      <c r="N450" t="s">
        <v>2328</v>
      </c>
    </row>
    <row r="451" spans="1:14">
      <c r="A451" t="s">
        <v>3267</v>
      </c>
      <c r="B451" t="s">
        <v>3268</v>
      </c>
      <c r="C451" s="40">
        <v>45001</v>
      </c>
      <c r="D451" s="65">
        <v>197000</v>
      </c>
      <c r="E451" s="50">
        <v>7.4249000000000001</v>
      </c>
      <c r="F451" s="65">
        <v>23640</v>
      </c>
      <c r="G451" s="65">
        <v>2653219.6730999998</v>
      </c>
      <c r="H451" s="65">
        <v>2456219.6730999998</v>
      </c>
      <c r="I451" s="50">
        <v>92.575100000000006</v>
      </c>
      <c r="J451" s="65">
        <v>2653219.6730999998</v>
      </c>
      <c r="K451" s="65">
        <v>2653219.6730999998</v>
      </c>
      <c r="L451" s="50">
        <v>100</v>
      </c>
      <c r="M451" t="s">
        <v>2297</v>
      </c>
      <c r="N451" t="s">
        <v>2335</v>
      </c>
    </row>
    <row r="452" spans="1:14">
      <c r="A452" t="s">
        <v>409</v>
      </c>
      <c r="B452" t="s">
        <v>410</v>
      </c>
      <c r="C452" s="40">
        <v>44999</v>
      </c>
      <c r="D452" s="65">
        <v>67257.703699999998</v>
      </c>
      <c r="E452" s="50">
        <v>50.1372</v>
      </c>
      <c r="F452" s="65">
        <v>494344.122195</v>
      </c>
      <c r="G452" s="65">
        <v>134147.28969999999</v>
      </c>
      <c r="H452" s="65">
        <v>869.05</v>
      </c>
      <c r="I452" s="50">
        <v>0.64780000000000004</v>
      </c>
      <c r="J452" s="65">
        <v>134147.28969999999</v>
      </c>
      <c r="K452" s="65">
        <v>68126.753700000001</v>
      </c>
      <c r="L452" s="50">
        <v>50.784999999999997</v>
      </c>
      <c r="M452" t="s">
        <v>2296</v>
      </c>
      <c r="N452" t="s">
        <v>2347</v>
      </c>
    </row>
    <row r="453" spans="1:14">
      <c r="A453" t="s">
        <v>3169</v>
      </c>
      <c r="B453" t="s">
        <v>3170</v>
      </c>
      <c r="C453" s="40">
        <v>44991</v>
      </c>
      <c r="D453" s="65">
        <v>4500</v>
      </c>
      <c r="E453" s="50">
        <v>2.5891999999999999</v>
      </c>
      <c r="F453" s="65">
        <v>118800</v>
      </c>
      <c r="G453" s="65">
        <v>173802.08910000001</v>
      </c>
      <c r="H453" s="65">
        <v>169302.08910000001</v>
      </c>
      <c r="I453" s="50">
        <v>97.410799999999995</v>
      </c>
      <c r="J453" s="65">
        <v>173802.08910000001</v>
      </c>
      <c r="K453" s="65">
        <v>173802.08910000001</v>
      </c>
      <c r="L453" s="50">
        <v>100</v>
      </c>
      <c r="M453" t="s">
        <v>2306</v>
      </c>
      <c r="N453" t="s">
        <v>2324</v>
      </c>
    </row>
    <row r="454" spans="1:14">
      <c r="A454" t="s">
        <v>2359</v>
      </c>
      <c r="B454" t="s">
        <v>2360</v>
      </c>
      <c r="C454" s="40">
        <v>44990</v>
      </c>
      <c r="D454" s="65">
        <v>510.23</v>
      </c>
      <c r="E454" s="50">
        <v>0.3639</v>
      </c>
      <c r="F454" s="65">
        <v>14694.624</v>
      </c>
      <c r="G454" s="65">
        <v>140210.64060000001</v>
      </c>
      <c r="H454" s="65">
        <v>92733.188500000004</v>
      </c>
      <c r="I454" s="50">
        <v>66.138499999999993</v>
      </c>
      <c r="J454" s="65">
        <v>140210.64060000001</v>
      </c>
      <c r="K454" s="65">
        <v>93243.4185</v>
      </c>
      <c r="L454" s="50">
        <v>66.502399999999994</v>
      </c>
      <c r="N454" t="s">
        <v>2347</v>
      </c>
    </row>
    <row r="455" spans="1:14">
      <c r="A455" t="s">
        <v>3330</v>
      </c>
      <c r="B455" t="s">
        <v>3331</v>
      </c>
      <c r="C455" s="40">
        <v>44988</v>
      </c>
      <c r="D455" s="65">
        <v>28600</v>
      </c>
      <c r="E455" s="50">
        <v>42.723799999999997</v>
      </c>
      <c r="F455" s="65">
        <v>3918.2</v>
      </c>
      <c r="G455" s="65">
        <v>66941.539399999994</v>
      </c>
      <c r="H455" s="65">
        <v>38341.539400000001</v>
      </c>
      <c r="I455" s="50">
        <v>57.276200000000003</v>
      </c>
      <c r="J455" s="65">
        <v>66941.539399999994</v>
      </c>
      <c r="K455" s="65">
        <v>66941.539399999994</v>
      </c>
      <c r="L455" s="50">
        <v>100</v>
      </c>
      <c r="M455" t="s">
        <v>2297</v>
      </c>
      <c r="N455" t="s">
        <v>2329</v>
      </c>
    </row>
    <row r="456" spans="1:14">
      <c r="A456" t="s">
        <v>3332</v>
      </c>
      <c r="B456" t="s">
        <v>3333</v>
      </c>
      <c r="C456" s="40">
        <v>44988</v>
      </c>
      <c r="D456" s="65">
        <v>9817</v>
      </c>
      <c r="E456" s="50">
        <v>8.3050999999999995</v>
      </c>
      <c r="F456" s="65">
        <v>804.99400000000003</v>
      </c>
      <c r="G456" s="65">
        <v>118204.2</v>
      </c>
      <c r="H456" s="65">
        <v>108387.2</v>
      </c>
      <c r="I456" s="50">
        <v>91.694900000000004</v>
      </c>
      <c r="J456" s="65">
        <v>118204.2</v>
      </c>
      <c r="K456" s="65">
        <v>118204.2</v>
      </c>
      <c r="L456" s="50">
        <v>100</v>
      </c>
      <c r="M456" t="s">
        <v>2309</v>
      </c>
      <c r="N456" t="s">
        <v>2330</v>
      </c>
    </row>
    <row r="457" spans="1:14">
      <c r="A457" t="s">
        <v>680</v>
      </c>
      <c r="B457" t="s">
        <v>681</v>
      </c>
      <c r="C457" s="40">
        <v>44986</v>
      </c>
      <c r="D457" s="65">
        <v>1547.85</v>
      </c>
      <c r="E457" s="50">
        <v>3.8755000000000002</v>
      </c>
      <c r="F457" s="65">
        <v>41095.417500000003</v>
      </c>
      <c r="G457" s="65">
        <v>39939.841999999997</v>
      </c>
      <c r="H457" s="65">
        <v>9530.3420000000006</v>
      </c>
      <c r="I457" s="50">
        <v>23.861699999999999</v>
      </c>
      <c r="J457" s="65">
        <v>39939.841999999997</v>
      </c>
      <c r="K457" s="65">
        <v>11078.191999999999</v>
      </c>
      <c r="L457" s="50">
        <v>27.737200000000001</v>
      </c>
      <c r="M457" t="s">
        <v>2296</v>
      </c>
      <c r="N457" t="s">
        <v>2328</v>
      </c>
    </row>
    <row r="458" spans="1:14">
      <c r="A458" t="s">
        <v>243</v>
      </c>
      <c r="B458" t="s">
        <v>244</v>
      </c>
      <c r="C458" s="40">
        <v>44982</v>
      </c>
      <c r="D458" s="65">
        <v>3944.14</v>
      </c>
      <c r="E458" s="50">
        <v>33.889200000000002</v>
      </c>
      <c r="F458" s="65">
        <v>806182.21600000001</v>
      </c>
      <c r="G458" s="65">
        <v>11638.35</v>
      </c>
      <c r="H458" s="65">
        <v>7694.21</v>
      </c>
      <c r="I458" s="50">
        <v>66.110799999999998</v>
      </c>
      <c r="J458" s="65">
        <v>11638.35</v>
      </c>
      <c r="K458" s="65">
        <v>11638.35</v>
      </c>
      <c r="L458" s="50">
        <v>100</v>
      </c>
      <c r="M458" t="s">
        <v>2309</v>
      </c>
      <c r="N458" t="s">
        <v>2338</v>
      </c>
    </row>
    <row r="459" spans="1:14">
      <c r="A459" t="s">
        <v>674</v>
      </c>
      <c r="B459" t="s">
        <v>675</v>
      </c>
      <c r="C459" s="40">
        <v>44981</v>
      </c>
      <c r="D459" s="65">
        <v>504.45</v>
      </c>
      <c r="E459" s="50">
        <v>4.9922000000000004</v>
      </c>
      <c r="F459" s="65">
        <v>4065.8670000000002</v>
      </c>
      <c r="G459" s="65">
        <v>10104.700000000001</v>
      </c>
      <c r="H459" s="65">
        <v>2100.25</v>
      </c>
      <c r="I459" s="50">
        <v>20.7849</v>
      </c>
      <c r="J459" s="65">
        <v>10104.700000000001</v>
      </c>
      <c r="K459" s="65">
        <v>2604.6999999999998</v>
      </c>
      <c r="L459" s="50">
        <v>25.777100000000001</v>
      </c>
      <c r="M459" t="s">
        <v>2306</v>
      </c>
      <c r="N459" t="s">
        <v>2324</v>
      </c>
    </row>
    <row r="460" spans="1:14">
      <c r="A460" t="s">
        <v>560</v>
      </c>
      <c r="B460" t="s">
        <v>561</v>
      </c>
      <c r="C460" s="40">
        <v>44976</v>
      </c>
      <c r="D460" s="65">
        <v>8392</v>
      </c>
      <c r="E460" s="50">
        <v>8.3907000000000007</v>
      </c>
      <c r="F460" s="65">
        <v>3650.52</v>
      </c>
      <c r="G460" s="65">
        <v>100015</v>
      </c>
      <c r="H460" s="65">
        <v>91623</v>
      </c>
      <c r="I460" s="50">
        <v>91.609300000000005</v>
      </c>
      <c r="J460" s="65">
        <v>100015</v>
      </c>
      <c r="K460" s="65">
        <v>100015</v>
      </c>
      <c r="L460" s="50">
        <v>100</v>
      </c>
      <c r="M460" t="s">
        <v>2304</v>
      </c>
      <c r="N460" t="s">
        <v>2347</v>
      </c>
    </row>
    <row r="461" spans="1:14">
      <c r="A461" t="s">
        <v>594</v>
      </c>
      <c r="B461" t="s">
        <v>595</v>
      </c>
      <c r="C461" s="40">
        <v>44967</v>
      </c>
      <c r="D461" s="65">
        <v>707.18</v>
      </c>
      <c r="E461" s="50">
        <v>1.9619</v>
      </c>
      <c r="F461" s="65">
        <v>21215.4</v>
      </c>
      <c r="G461" s="65">
        <v>36045.882899999997</v>
      </c>
      <c r="H461" s="65">
        <v>35338.702899999997</v>
      </c>
      <c r="I461" s="50">
        <v>98.0381</v>
      </c>
      <c r="J461" s="65">
        <v>36045.882899999997</v>
      </c>
      <c r="K461" s="65">
        <v>36045.882899999997</v>
      </c>
      <c r="L461" s="50">
        <v>100</v>
      </c>
      <c r="M461" t="s">
        <v>2308</v>
      </c>
      <c r="N461" t="s">
        <v>2344</v>
      </c>
    </row>
    <row r="462" spans="1:14">
      <c r="A462" t="s">
        <v>448</v>
      </c>
      <c r="B462" t="s">
        <v>449</v>
      </c>
      <c r="C462" s="40">
        <v>44941</v>
      </c>
      <c r="D462" s="65">
        <v>11335.95</v>
      </c>
      <c r="E462" s="50">
        <v>5.0696000000000003</v>
      </c>
      <c r="F462" s="65">
        <v>10202.355</v>
      </c>
      <c r="G462" s="65">
        <v>223604.25</v>
      </c>
      <c r="H462" s="65">
        <v>49368.3</v>
      </c>
      <c r="I462" s="50">
        <v>22.078399999999998</v>
      </c>
      <c r="J462" s="65">
        <v>223604.25</v>
      </c>
      <c r="K462" s="65">
        <v>60704.25</v>
      </c>
      <c r="L462" s="50">
        <v>27.148099999999999</v>
      </c>
      <c r="M462" t="s">
        <v>2301</v>
      </c>
      <c r="N462" t="s">
        <v>2351</v>
      </c>
    </row>
    <row r="463" spans="1:14">
      <c r="A463" t="s">
        <v>711</v>
      </c>
      <c r="B463" t="s">
        <v>712</v>
      </c>
      <c r="C463" s="40">
        <v>44941</v>
      </c>
      <c r="D463" s="65">
        <v>2777.6</v>
      </c>
      <c r="E463" s="50">
        <v>5.5552000000000001</v>
      </c>
      <c r="F463" s="65">
        <v>3222.0160000000001</v>
      </c>
      <c r="G463" s="65">
        <v>50000</v>
      </c>
      <c r="H463" s="65">
        <v>47222.400000000001</v>
      </c>
      <c r="I463" s="50">
        <v>94.444800000000001</v>
      </c>
      <c r="J463" s="65">
        <v>50000</v>
      </c>
      <c r="K463" s="65">
        <v>50000</v>
      </c>
      <c r="L463" s="50">
        <v>100</v>
      </c>
      <c r="M463" t="s">
        <v>2298</v>
      </c>
      <c r="N463" t="s">
        <v>2327</v>
      </c>
    </row>
    <row r="464" spans="1:14">
      <c r="A464" t="s">
        <v>3334</v>
      </c>
      <c r="B464" t="s">
        <v>3335</v>
      </c>
      <c r="C464" s="40">
        <v>44941</v>
      </c>
      <c r="D464" s="65">
        <v>700</v>
      </c>
      <c r="E464" s="50">
        <v>13.5998</v>
      </c>
      <c r="F464" s="65">
        <v>896</v>
      </c>
      <c r="G464" s="65">
        <v>5147.1198999999997</v>
      </c>
      <c r="H464" s="65">
        <v>4447.1198999999997</v>
      </c>
      <c r="I464" s="50">
        <v>86.400199999999998</v>
      </c>
      <c r="J464" s="65">
        <v>5147.1198999999997</v>
      </c>
      <c r="K464" s="65">
        <v>5147.1198999999997</v>
      </c>
      <c r="L464" s="50">
        <v>100</v>
      </c>
      <c r="M464" t="s">
        <v>2298</v>
      </c>
      <c r="N464" t="s">
        <v>2327</v>
      </c>
    </row>
    <row r="465" spans="1:14">
      <c r="A465" t="s">
        <v>699</v>
      </c>
      <c r="B465" t="s">
        <v>700</v>
      </c>
      <c r="C465" s="40">
        <v>44941</v>
      </c>
      <c r="D465" s="65">
        <v>890.5</v>
      </c>
      <c r="E465" s="50">
        <v>1.5283</v>
      </c>
      <c r="F465" s="65">
        <v>21594.625</v>
      </c>
      <c r="G465" s="65">
        <v>58265.81</v>
      </c>
      <c r="H465" s="65">
        <v>57375.31</v>
      </c>
      <c r="I465" s="50">
        <v>98.471699999999998</v>
      </c>
      <c r="J465" s="65">
        <v>58265.81</v>
      </c>
      <c r="K465" s="65">
        <v>58265.81</v>
      </c>
      <c r="L465" s="50">
        <v>100</v>
      </c>
      <c r="M465" t="s">
        <v>2292</v>
      </c>
      <c r="N465" t="s">
        <v>2326</v>
      </c>
    </row>
    <row r="466" spans="1:14">
      <c r="A466" t="s">
        <v>479</v>
      </c>
      <c r="B466" t="s">
        <v>480</v>
      </c>
      <c r="C466" s="40">
        <v>44939</v>
      </c>
      <c r="D466" s="65">
        <v>3150</v>
      </c>
      <c r="E466" s="50">
        <v>15.539099999999999</v>
      </c>
      <c r="F466" s="65">
        <v>18522</v>
      </c>
      <c r="G466" s="65">
        <v>20271.45</v>
      </c>
      <c r="H466" s="65">
        <v>2121.4499999999998</v>
      </c>
      <c r="I466" s="50">
        <v>10.465199999999999</v>
      </c>
      <c r="J466" s="65">
        <v>20271.45</v>
      </c>
      <c r="K466" s="65">
        <v>5271.45</v>
      </c>
      <c r="L466" s="50">
        <v>26.004300000000001</v>
      </c>
      <c r="M466" t="s">
        <v>2325</v>
      </c>
      <c r="N466" t="s">
        <v>2313</v>
      </c>
    </row>
    <row r="467" spans="1:14">
      <c r="A467" t="s">
        <v>256</v>
      </c>
      <c r="B467" t="s">
        <v>257</v>
      </c>
      <c r="C467" s="40">
        <v>44939</v>
      </c>
      <c r="D467" s="65">
        <v>5978.62</v>
      </c>
      <c r="E467" s="50">
        <v>36.427900000000001</v>
      </c>
      <c r="F467" s="65">
        <v>377549.853</v>
      </c>
      <c r="G467" s="65">
        <v>16412.22</v>
      </c>
      <c r="H467" s="65">
        <v>10433.6</v>
      </c>
      <c r="I467" s="50">
        <v>63.572099999999999</v>
      </c>
      <c r="J467" s="65">
        <v>16412.22</v>
      </c>
      <c r="K467" s="65">
        <v>16412.22</v>
      </c>
      <c r="L467" s="50">
        <v>100</v>
      </c>
      <c r="M467" t="s">
        <v>2307</v>
      </c>
      <c r="N467" t="s">
        <v>2341</v>
      </c>
    </row>
    <row r="468" spans="1:14">
      <c r="A468" t="s">
        <v>826</v>
      </c>
      <c r="B468" t="s">
        <v>827</v>
      </c>
      <c r="C468" s="40">
        <v>44938</v>
      </c>
      <c r="D468" s="65">
        <v>2439.6</v>
      </c>
      <c r="E468" s="50">
        <v>5.4001000000000001</v>
      </c>
      <c r="F468" s="65">
        <v>11392.932000000001</v>
      </c>
      <c r="G468" s="65">
        <v>45177</v>
      </c>
      <c r="H468" s="65">
        <v>42737.4</v>
      </c>
      <c r="I468" s="50">
        <v>94.599900000000005</v>
      </c>
      <c r="J468" s="65">
        <v>45177</v>
      </c>
      <c r="K468" s="65">
        <v>45177</v>
      </c>
      <c r="L468" s="50">
        <v>100</v>
      </c>
      <c r="M468" t="s">
        <v>2298</v>
      </c>
      <c r="N468" t="s">
        <v>2326</v>
      </c>
    </row>
    <row r="469" spans="1:14">
      <c r="A469" t="s">
        <v>830</v>
      </c>
      <c r="B469" t="s">
        <v>831</v>
      </c>
      <c r="C469" s="40">
        <v>44938</v>
      </c>
      <c r="D469" s="65">
        <v>2819.84</v>
      </c>
      <c r="E469" s="50">
        <v>8.0108999999999995</v>
      </c>
      <c r="F469" s="65">
        <v>23066.2912</v>
      </c>
      <c r="G469" s="65">
        <v>35200</v>
      </c>
      <c r="H469" s="65">
        <v>32380.16</v>
      </c>
      <c r="I469" s="50">
        <v>91.989099999999993</v>
      </c>
      <c r="J469" s="65">
        <v>35200</v>
      </c>
      <c r="K469" s="65">
        <v>35200</v>
      </c>
      <c r="L469" s="50">
        <v>100</v>
      </c>
      <c r="M469" t="s">
        <v>2318</v>
      </c>
      <c r="N469" t="s">
        <v>2329</v>
      </c>
    </row>
    <row r="470" spans="1:14">
      <c r="A470" t="s">
        <v>577</v>
      </c>
      <c r="B470" t="s">
        <v>578</v>
      </c>
      <c r="C470" s="40">
        <v>44934</v>
      </c>
      <c r="D470" s="65">
        <v>375</v>
      </c>
      <c r="E470" s="50">
        <v>0.66930000000000001</v>
      </c>
      <c r="F470" s="65">
        <v>1125</v>
      </c>
      <c r="G470" s="65">
        <v>56032.05</v>
      </c>
      <c r="H470" s="65">
        <v>55657.05</v>
      </c>
      <c r="I470" s="50">
        <v>99.330699999999993</v>
      </c>
      <c r="J470" s="65">
        <v>56032.05</v>
      </c>
      <c r="K470" s="65">
        <v>56032.05</v>
      </c>
      <c r="L470" s="50">
        <v>100</v>
      </c>
      <c r="M470" t="s">
        <v>2298</v>
      </c>
      <c r="N470" t="s">
        <v>2327</v>
      </c>
    </row>
    <row r="471" spans="1:14">
      <c r="A471" t="s">
        <v>3336</v>
      </c>
      <c r="B471" t="s">
        <v>3337</v>
      </c>
      <c r="C471" s="40">
        <v>44933</v>
      </c>
      <c r="D471" s="65">
        <v>1500</v>
      </c>
      <c r="E471" s="50">
        <v>2.6467999999999998</v>
      </c>
      <c r="F471" s="65">
        <v>264</v>
      </c>
      <c r="G471" s="65">
        <v>56672.8946</v>
      </c>
      <c r="H471" s="65">
        <v>55172.8946</v>
      </c>
      <c r="I471" s="50">
        <v>97.353200000000001</v>
      </c>
      <c r="J471" s="65">
        <v>56672.8946</v>
      </c>
      <c r="K471" s="65">
        <v>56672.8946</v>
      </c>
      <c r="L471" s="50">
        <v>100</v>
      </c>
      <c r="M471" t="s">
        <v>2310</v>
      </c>
      <c r="N471" t="s">
        <v>2343</v>
      </c>
    </row>
    <row r="472" spans="1:14">
      <c r="A472" t="s">
        <v>434</v>
      </c>
      <c r="B472" t="s">
        <v>435</v>
      </c>
      <c r="C472" s="40">
        <v>44932</v>
      </c>
      <c r="D472" s="65">
        <v>1158.17</v>
      </c>
      <c r="E472" s="50">
        <v>1.9729000000000001</v>
      </c>
      <c r="F472" s="65">
        <v>12971.504000000001</v>
      </c>
      <c r="G472" s="65">
        <v>58703.821900000003</v>
      </c>
      <c r="H472" s="65">
        <v>57545.651899999997</v>
      </c>
      <c r="I472" s="50">
        <v>98.027100000000004</v>
      </c>
      <c r="J472" s="65">
        <v>58703.821900000003</v>
      </c>
      <c r="K472" s="65">
        <v>58703.821900000003</v>
      </c>
      <c r="L472" s="50">
        <v>100</v>
      </c>
      <c r="M472" t="s">
        <v>2292</v>
      </c>
      <c r="N472" t="s">
        <v>2326</v>
      </c>
    </row>
    <row r="473" spans="1:14">
      <c r="A473" t="s">
        <v>3133</v>
      </c>
      <c r="B473" t="s">
        <v>3134</v>
      </c>
      <c r="C473" s="40">
        <v>44927</v>
      </c>
      <c r="D473" s="65">
        <v>2416.0230000000001</v>
      </c>
      <c r="E473" s="50">
        <v>27.4649</v>
      </c>
      <c r="F473" s="65">
        <v>139646.12940000001</v>
      </c>
      <c r="G473" s="65">
        <v>8796.768</v>
      </c>
      <c r="H473" s="65">
        <v>6380.7449999999999</v>
      </c>
      <c r="I473" s="50">
        <v>72.5351</v>
      </c>
      <c r="J473" s="65">
        <v>8796.768</v>
      </c>
      <c r="K473" s="65">
        <v>8796.768</v>
      </c>
      <c r="L473" s="50">
        <v>100</v>
      </c>
      <c r="M473" t="s">
        <v>2296</v>
      </c>
      <c r="N473" t="s">
        <v>2328</v>
      </c>
    </row>
    <row r="474" spans="1:14">
      <c r="A474" t="s">
        <v>3338</v>
      </c>
      <c r="B474" t="s">
        <v>3339</v>
      </c>
      <c r="C474" s="40">
        <v>44926</v>
      </c>
      <c r="D474" s="65">
        <v>2582.6770999999999</v>
      </c>
      <c r="E474" s="50">
        <v>3.3382999999999998</v>
      </c>
      <c r="F474" s="65">
        <v>552.69289939999999</v>
      </c>
      <c r="G474" s="65">
        <v>77365.9139</v>
      </c>
      <c r="H474" s="65">
        <v>74783.236799999999</v>
      </c>
      <c r="I474" s="50">
        <v>96.661699999999996</v>
      </c>
      <c r="J474" s="65">
        <v>77365.9139</v>
      </c>
      <c r="K474" s="65">
        <v>77365.9139</v>
      </c>
      <c r="L474" s="50">
        <v>100</v>
      </c>
      <c r="M474" t="s">
        <v>2297</v>
      </c>
      <c r="N474" t="s">
        <v>2352</v>
      </c>
    </row>
    <row r="475" spans="1:14">
      <c r="A475" t="s">
        <v>3235</v>
      </c>
      <c r="B475" t="s">
        <v>3236</v>
      </c>
      <c r="C475" s="40">
        <v>44925</v>
      </c>
      <c r="D475" s="65">
        <v>953098.18790000002</v>
      </c>
      <c r="E475" s="50">
        <v>28.4771</v>
      </c>
      <c r="F475" s="65">
        <v>2115877.9771380001</v>
      </c>
      <c r="G475" s="65">
        <v>3350070</v>
      </c>
      <c r="H475" s="65">
        <v>1641782.8049000001</v>
      </c>
      <c r="I475" s="50">
        <v>49.007399999999997</v>
      </c>
      <c r="J475" s="65">
        <v>3346892.5</v>
      </c>
      <c r="K475" s="65">
        <v>2594880.9928000001</v>
      </c>
      <c r="L475" s="50">
        <v>77.531099999999995</v>
      </c>
      <c r="M475" t="s">
        <v>2298</v>
      </c>
      <c r="N475" t="s">
        <v>2327</v>
      </c>
    </row>
    <row r="476" spans="1:14">
      <c r="A476" t="s">
        <v>801</v>
      </c>
      <c r="B476" t="s">
        <v>802</v>
      </c>
      <c r="C476" s="40">
        <v>44925</v>
      </c>
      <c r="D476" s="65">
        <v>1407</v>
      </c>
      <c r="E476" s="50">
        <v>8.0861999999999998</v>
      </c>
      <c r="F476" s="65">
        <v>17868.900000000001</v>
      </c>
      <c r="G476" s="65">
        <v>17400.04</v>
      </c>
      <c r="H476" s="65">
        <v>15993.04</v>
      </c>
      <c r="I476" s="50">
        <v>91.913799999999995</v>
      </c>
      <c r="J476" s="65">
        <v>17400.04</v>
      </c>
      <c r="K476" s="65">
        <v>17400.04</v>
      </c>
      <c r="L476" s="50">
        <v>100</v>
      </c>
      <c r="M476" t="s">
        <v>2298</v>
      </c>
      <c r="N476" t="s">
        <v>2327</v>
      </c>
    </row>
    <row r="477" spans="1:14">
      <c r="A477" t="s">
        <v>3340</v>
      </c>
      <c r="B477" t="s">
        <v>3341</v>
      </c>
      <c r="C477" s="40">
        <v>44925</v>
      </c>
      <c r="D477" s="65">
        <v>75930</v>
      </c>
      <c r="E477" s="50">
        <v>9.9899000000000004</v>
      </c>
      <c r="F477" s="65">
        <v>61503.3</v>
      </c>
      <c r="G477" s="65">
        <v>760068.26450000005</v>
      </c>
      <c r="H477" s="65">
        <v>684138.26450000005</v>
      </c>
      <c r="I477" s="50">
        <v>90.010099999999994</v>
      </c>
      <c r="J477" s="65">
        <v>760068.26450000005</v>
      </c>
      <c r="K477" s="65">
        <v>760068.26450000005</v>
      </c>
      <c r="L477" s="50">
        <v>100</v>
      </c>
      <c r="M477" t="s">
        <v>2307</v>
      </c>
      <c r="N477" t="s">
        <v>2341</v>
      </c>
    </row>
    <row r="478" spans="1:14">
      <c r="A478" t="s">
        <v>666</v>
      </c>
      <c r="B478" t="s">
        <v>667</v>
      </c>
      <c r="C478" s="40">
        <v>44919</v>
      </c>
      <c r="D478" s="65">
        <v>2317.3200000000002</v>
      </c>
      <c r="E478" s="50">
        <v>3.7648000000000001</v>
      </c>
      <c r="F478" s="65">
        <v>9802.2636000000002</v>
      </c>
      <c r="G478" s="65">
        <v>61552.798699999999</v>
      </c>
      <c r="H478" s="65">
        <v>59235.4787</v>
      </c>
      <c r="I478" s="50">
        <v>96.235200000000006</v>
      </c>
      <c r="J478" s="65">
        <v>61552.798699999999</v>
      </c>
      <c r="K478" s="65">
        <v>61552.798699999999</v>
      </c>
      <c r="L478" s="50">
        <v>100</v>
      </c>
      <c r="M478" t="s">
        <v>2301</v>
      </c>
      <c r="N478" t="s">
        <v>2351</v>
      </c>
    </row>
    <row r="479" spans="1:14">
      <c r="A479" t="s">
        <v>3342</v>
      </c>
      <c r="B479" t="s">
        <v>3343</v>
      </c>
      <c r="C479" s="40">
        <v>44918</v>
      </c>
      <c r="D479" s="65">
        <v>581000</v>
      </c>
      <c r="E479" s="50">
        <v>45.824800000000003</v>
      </c>
      <c r="F479" s="65">
        <v>1336300</v>
      </c>
      <c r="G479" s="65">
        <v>1267873.55</v>
      </c>
      <c r="H479" s="65">
        <v>686873.55</v>
      </c>
      <c r="I479" s="50">
        <v>54.175199999999997</v>
      </c>
      <c r="J479" s="65">
        <v>1267873.55</v>
      </c>
      <c r="K479" s="65">
        <v>1267873.55</v>
      </c>
      <c r="L479" s="50">
        <v>100</v>
      </c>
      <c r="M479" t="s">
        <v>2320</v>
      </c>
      <c r="N479" t="s">
        <v>2319</v>
      </c>
    </row>
    <row r="480" spans="1:14">
      <c r="A480" t="s">
        <v>939</v>
      </c>
      <c r="B480" t="s">
        <v>940</v>
      </c>
      <c r="C480" s="40">
        <v>44917</v>
      </c>
      <c r="D480" s="65">
        <v>969.28</v>
      </c>
      <c r="E480" s="50">
        <v>4.0515999999999996</v>
      </c>
      <c r="F480" s="65">
        <v>12174.156800000001</v>
      </c>
      <c r="G480" s="65">
        <v>23923.38</v>
      </c>
      <c r="H480" s="65">
        <v>22954.1</v>
      </c>
      <c r="I480" s="50">
        <v>95.948400000000007</v>
      </c>
      <c r="J480" s="65">
        <v>23923.38</v>
      </c>
      <c r="K480" s="65">
        <v>23923.38</v>
      </c>
      <c r="L480" s="50">
        <v>100</v>
      </c>
      <c r="M480" t="s">
        <v>2296</v>
      </c>
      <c r="N480" t="s">
        <v>2326</v>
      </c>
    </row>
    <row r="481" spans="1:14">
      <c r="A481" t="s">
        <v>3344</v>
      </c>
      <c r="B481" t="s">
        <v>3345</v>
      </c>
      <c r="C481" s="40">
        <v>44915</v>
      </c>
      <c r="D481" s="65">
        <v>10000</v>
      </c>
      <c r="E481" s="50">
        <v>4.2210000000000001</v>
      </c>
      <c r="F481" s="65">
        <v>1590</v>
      </c>
      <c r="G481" s="65">
        <v>236911.0999</v>
      </c>
      <c r="H481" s="65">
        <v>226911.0999</v>
      </c>
      <c r="I481" s="50">
        <v>95.778999999999996</v>
      </c>
      <c r="J481" s="65">
        <v>236911.0999</v>
      </c>
      <c r="K481" s="65">
        <v>236911.0999</v>
      </c>
      <c r="L481" s="50">
        <v>100</v>
      </c>
      <c r="N481" t="s">
        <v>3285</v>
      </c>
    </row>
    <row r="482" spans="1:14">
      <c r="A482" t="s">
        <v>3283</v>
      </c>
      <c r="B482" t="s">
        <v>3284</v>
      </c>
      <c r="C482" s="40">
        <v>44910</v>
      </c>
      <c r="D482" s="65">
        <v>4666.6666999999998</v>
      </c>
      <c r="E482" s="50">
        <v>2.3809999999999998</v>
      </c>
      <c r="F482" s="65">
        <v>3780.000027</v>
      </c>
      <c r="G482" s="65">
        <v>196000</v>
      </c>
      <c r="H482" s="65">
        <v>186666.6666</v>
      </c>
      <c r="I482" s="50">
        <v>95.238100000000003</v>
      </c>
      <c r="J482" s="65">
        <v>196000</v>
      </c>
      <c r="K482" s="65">
        <v>191333.3333</v>
      </c>
      <c r="L482" s="50">
        <v>97.619</v>
      </c>
      <c r="M482" t="s">
        <v>2307</v>
      </c>
      <c r="N482" t="s">
        <v>3285</v>
      </c>
    </row>
    <row r="483" spans="1:14">
      <c r="A483" t="s">
        <v>3346</v>
      </c>
      <c r="B483" t="s">
        <v>3347</v>
      </c>
      <c r="C483" s="40">
        <v>44901</v>
      </c>
      <c r="D483" s="65">
        <v>35176.199999999997</v>
      </c>
      <c r="E483" s="50">
        <v>5.173</v>
      </c>
      <c r="F483" s="65">
        <v>8758.8737999999994</v>
      </c>
      <c r="G483" s="65">
        <v>679991.41599999997</v>
      </c>
      <c r="H483" s="65">
        <v>644815.21600000001</v>
      </c>
      <c r="I483" s="50">
        <v>94.826999999999998</v>
      </c>
      <c r="J483" s="65">
        <v>679991.41599999997</v>
      </c>
      <c r="K483" s="65">
        <v>679991.41599999997</v>
      </c>
      <c r="L483" s="50">
        <v>100</v>
      </c>
      <c r="M483" t="s">
        <v>2292</v>
      </c>
      <c r="N483" t="s">
        <v>3348</v>
      </c>
    </row>
    <row r="484" spans="1:14">
      <c r="A484" t="s">
        <v>3326</v>
      </c>
      <c r="B484" t="s">
        <v>3327</v>
      </c>
      <c r="C484" s="40">
        <v>44900</v>
      </c>
      <c r="D484" s="65">
        <v>30492.6</v>
      </c>
      <c r="E484" s="50">
        <v>3.1869000000000001</v>
      </c>
      <c r="F484" s="65">
        <v>41165.01</v>
      </c>
      <c r="G484" s="65">
        <v>956810.70530000003</v>
      </c>
      <c r="H484" s="65">
        <v>926318.10530000005</v>
      </c>
      <c r="I484" s="50">
        <v>96.813100000000006</v>
      </c>
      <c r="J484" s="65">
        <v>956810.70530000003</v>
      </c>
      <c r="K484" s="65">
        <v>956810.70530000003</v>
      </c>
      <c r="L484" s="50">
        <v>100</v>
      </c>
      <c r="M484" t="s">
        <v>2306</v>
      </c>
      <c r="N484" t="s">
        <v>2324</v>
      </c>
    </row>
    <row r="485" spans="1:14">
      <c r="A485" t="s">
        <v>3334</v>
      </c>
      <c r="B485" t="s">
        <v>3335</v>
      </c>
      <c r="C485" s="40">
        <v>44896</v>
      </c>
      <c r="D485" s="65">
        <v>2000</v>
      </c>
      <c r="E485" s="50">
        <v>3.8856999999999999</v>
      </c>
      <c r="F485" s="65">
        <v>264</v>
      </c>
      <c r="G485" s="65">
        <v>51471.1993</v>
      </c>
      <c r="H485" s="65">
        <v>48771.1993</v>
      </c>
      <c r="I485" s="50">
        <v>94.754300000000001</v>
      </c>
      <c r="J485" s="65">
        <v>51471.1993</v>
      </c>
      <c r="K485" s="65">
        <v>50771.1993</v>
      </c>
      <c r="L485" s="50">
        <v>98.64</v>
      </c>
      <c r="M485" t="s">
        <v>2298</v>
      </c>
      <c r="N485" t="s">
        <v>2327</v>
      </c>
    </row>
    <row r="486" spans="1:14">
      <c r="A486" t="s">
        <v>3349</v>
      </c>
      <c r="B486" t="s">
        <v>3350</v>
      </c>
      <c r="C486" s="40">
        <v>44895</v>
      </c>
      <c r="D486" s="65">
        <v>10000</v>
      </c>
      <c r="E486" s="50">
        <v>8.3679000000000006</v>
      </c>
      <c r="F486" s="65">
        <v>700</v>
      </c>
      <c r="G486" s="65">
        <v>119504</v>
      </c>
      <c r="H486" s="65">
        <v>109504</v>
      </c>
      <c r="I486" s="50">
        <v>91.632099999999994</v>
      </c>
      <c r="J486" s="65">
        <v>119504</v>
      </c>
      <c r="K486" s="65">
        <v>119504</v>
      </c>
      <c r="L486" s="50">
        <v>100</v>
      </c>
      <c r="M486" t="s">
        <v>2305</v>
      </c>
      <c r="N486" t="s">
        <v>2339</v>
      </c>
    </row>
    <row r="487" spans="1:14">
      <c r="A487" t="s">
        <v>3351</v>
      </c>
      <c r="B487" t="s">
        <v>3352</v>
      </c>
      <c r="C487" s="40">
        <v>44884</v>
      </c>
      <c r="D487" s="65">
        <v>30000</v>
      </c>
      <c r="E487" s="50">
        <v>9.6699000000000002</v>
      </c>
      <c r="F487" s="65">
        <v>12900</v>
      </c>
      <c r="G487" s="65">
        <v>310240.07299999997</v>
      </c>
      <c r="H487" s="65">
        <v>280240.07299999997</v>
      </c>
      <c r="I487" s="50">
        <v>90.330100000000002</v>
      </c>
      <c r="J487" s="65">
        <v>310240.07299999997</v>
      </c>
      <c r="K487" s="65">
        <v>310240.07299999997</v>
      </c>
      <c r="L487" s="50">
        <v>100</v>
      </c>
      <c r="M487" t="s">
        <v>2306</v>
      </c>
      <c r="N487" t="s">
        <v>2324</v>
      </c>
    </row>
    <row r="488" spans="1:14">
      <c r="A488" t="s">
        <v>639</v>
      </c>
      <c r="B488" t="s">
        <v>640</v>
      </c>
      <c r="C488" s="40">
        <v>44883</v>
      </c>
      <c r="D488" s="65">
        <v>3779.15</v>
      </c>
      <c r="E488" s="50">
        <v>6.0831</v>
      </c>
      <c r="F488" s="65">
        <v>57291.913999999997</v>
      </c>
      <c r="G488" s="65">
        <v>62125.05</v>
      </c>
      <c r="H488" s="65">
        <v>58345.9</v>
      </c>
      <c r="I488" s="50">
        <v>93.916899999999998</v>
      </c>
      <c r="J488" s="65">
        <v>62125.05</v>
      </c>
      <c r="K488" s="65">
        <v>62125.05</v>
      </c>
      <c r="L488" s="50">
        <v>100</v>
      </c>
      <c r="M488" t="s">
        <v>2296</v>
      </c>
      <c r="N488" t="s">
        <v>2326</v>
      </c>
    </row>
    <row r="489" spans="1:14">
      <c r="A489" t="s">
        <v>3281</v>
      </c>
      <c r="B489" t="s">
        <v>3282</v>
      </c>
      <c r="C489" s="40">
        <v>44878</v>
      </c>
      <c r="D489" s="65">
        <v>50000</v>
      </c>
      <c r="E489" s="50">
        <v>3.6461999999999999</v>
      </c>
      <c r="F489" s="65">
        <v>3500</v>
      </c>
      <c r="G489" s="65">
        <v>1371291.1954999999</v>
      </c>
      <c r="H489" s="65">
        <v>1321291.1954999999</v>
      </c>
      <c r="I489" s="50">
        <v>96.353800000000007</v>
      </c>
      <c r="J489" s="65">
        <v>1371291.1954999999</v>
      </c>
      <c r="K489" s="65">
        <v>1371291.1954999999</v>
      </c>
      <c r="L489" s="50">
        <v>100</v>
      </c>
      <c r="M489" t="s">
        <v>2294</v>
      </c>
      <c r="N489" t="s">
        <v>2329</v>
      </c>
    </row>
    <row r="490" spans="1:14">
      <c r="A490" t="s">
        <v>3353</v>
      </c>
      <c r="B490" t="s">
        <v>3354</v>
      </c>
      <c r="C490" s="40">
        <v>44869</v>
      </c>
      <c r="D490" s="65">
        <v>227500</v>
      </c>
      <c r="E490" s="50">
        <v>194.8715</v>
      </c>
      <c r="F490" s="65">
        <v>152425</v>
      </c>
      <c r="G490" s="65">
        <v>116743.5772</v>
      </c>
      <c r="H490" s="65">
        <v>-110756.4228</v>
      </c>
      <c r="I490" s="50">
        <v>-94.871499999999997</v>
      </c>
      <c r="J490" s="65">
        <v>116743.5772</v>
      </c>
      <c r="K490" s="65">
        <v>116743.5772</v>
      </c>
      <c r="L490" s="50">
        <v>100</v>
      </c>
      <c r="M490" t="s">
        <v>2325</v>
      </c>
      <c r="N490" t="s">
        <v>2313</v>
      </c>
    </row>
    <row r="491" spans="1:14">
      <c r="A491" t="s">
        <v>3355</v>
      </c>
      <c r="B491" t="s">
        <v>3356</v>
      </c>
      <c r="C491" s="40">
        <v>44863</v>
      </c>
      <c r="D491" s="65">
        <v>6000</v>
      </c>
      <c r="E491" s="50">
        <v>16.666699999999999</v>
      </c>
      <c r="F491" s="65">
        <v>24060</v>
      </c>
      <c r="G491" s="65">
        <v>36000</v>
      </c>
      <c r="H491" s="65">
        <v>30000</v>
      </c>
      <c r="I491" s="50">
        <v>83.333299999999994</v>
      </c>
      <c r="J491" s="65">
        <v>36000</v>
      </c>
      <c r="K491" s="65">
        <v>36000</v>
      </c>
      <c r="L491" s="50">
        <v>100</v>
      </c>
      <c r="M491" t="s">
        <v>2303</v>
      </c>
      <c r="N491" t="s">
        <v>2337</v>
      </c>
    </row>
    <row r="492" spans="1:14">
      <c r="A492" t="s">
        <v>3131</v>
      </c>
      <c r="B492" t="s">
        <v>3132</v>
      </c>
      <c r="C492" s="40">
        <v>44841</v>
      </c>
      <c r="D492" s="65">
        <v>32568.011699999999</v>
      </c>
      <c r="E492" s="50">
        <v>16.666699999999999</v>
      </c>
      <c r="F492" s="65">
        <v>9770.4035100000001</v>
      </c>
      <c r="G492" s="65">
        <v>195408.07060000001</v>
      </c>
      <c r="H492" s="65">
        <v>162840.0589</v>
      </c>
      <c r="I492" s="50">
        <v>83.333299999999994</v>
      </c>
      <c r="J492" s="65">
        <v>195408.07060000001</v>
      </c>
      <c r="K492" s="65">
        <v>195408.07060000001</v>
      </c>
      <c r="L492" s="50">
        <v>100</v>
      </c>
      <c r="M492" t="s">
        <v>2315</v>
      </c>
      <c r="N492" t="s">
        <v>2341</v>
      </c>
    </row>
    <row r="493" spans="1:14">
      <c r="A493" t="s">
        <v>350</v>
      </c>
      <c r="B493" t="s">
        <v>351</v>
      </c>
      <c r="C493" s="40">
        <v>44834</v>
      </c>
      <c r="D493" s="65">
        <v>4431.62</v>
      </c>
      <c r="E493" s="50">
        <v>13.092599999999999</v>
      </c>
      <c r="F493" s="65">
        <v>88189.237999999998</v>
      </c>
      <c r="G493" s="65">
        <v>33848.265399999997</v>
      </c>
      <c r="H493" s="65">
        <v>29416.645400000001</v>
      </c>
      <c r="I493" s="50">
        <v>86.907399999999996</v>
      </c>
      <c r="J493" s="65">
        <v>33848.265399999997</v>
      </c>
      <c r="K493" s="65">
        <v>33848.265399999997</v>
      </c>
      <c r="L493" s="50">
        <v>100</v>
      </c>
      <c r="M493" t="s">
        <v>2297</v>
      </c>
      <c r="N493" t="s">
        <v>2345</v>
      </c>
    </row>
    <row r="494" spans="1:14">
      <c r="A494" t="s">
        <v>1030</v>
      </c>
      <c r="B494" t="s">
        <v>1031</v>
      </c>
      <c r="C494" s="40">
        <v>44834</v>
      </c>
      <c r="D494" s="65">
        <v>1671.85</v>
      </c>
      <c r="E494" s="50">
        <v>3.4617</v>
      </c>
      <c r="F494" s="65">
        <v>35693.997499999998</v>
      </c>
      <c r="G494" s="65">
        <v>48296.3</v>
      </c>
      <c r="H494" s="65">
        <v>7692.1620000000003</v>
      </c>
      <c r="I494" s="50">
        <v>15.927</v>
      </c>
      <c r="J494" s="65">
        <v>48296.3</v>
      </c>
      <c r="K494" s="65">
        <v>9364.0120000000006</v>
      </c>
      <c r="L494" s="50">
        <v>19.3887</v>
      </c>
      <c r="M494" t="s">
        <v>2296</v>
      </c>
      <c r="N494" t="s">
        <v>2328</v>
      </c>
    </row>
    <row r="495" spans="1:14">
      <c r="A495" t="s">
        <v>3340</v>
      </c>
      <c r="B495" t="s">
        <v>3341</v>
      </c>
      <c r="C495" s="40">
        <v>44834</v>
      </c>
      <c r="D495" s="65">
        <v>24070</v>
      </c>
      <c r="E495" s="50">
        <v>3.1667999999999998</v>
      </c>
      <c r="F495" s="65">
        <v>21903.7</v>
      </c>
      <c r="G495" s="65">
        <v>760068.26450000005</v>
      </c>
      <c r="H495" s="65">
        <v>660068.26450000005</v>
      </c>
      <c r="I495" s="50">
        <v>86.843299999999999</v>
      </c>
      <c r="J495" s="65">
        <v>760068.26450000005</v>
      </c>
      <c r="K495" s="65">
        <v>684138.26450000005</v>
      </c>
      <c r="L495" s="50">
        <v>90.010099999999994</v>
      </c>
      <c r="M495" t="s">
        <v>2307</v>
      </c>
      <c r="N495" t="s">
        <v>2341</v>
      </c>
    </row>
    <row r="496" spans="1:14">
      <c r="A496" t="s">
        <v>3357</v>
      </c>
      <c r="B496" t="s">
        <v>3358</v>
      </c>
      <c r="C496" s="40">
        <v>44828</v>
      </c>
      <c r="D496" s="65">
        <v>20000</v>
      </c>
      <c r="E496" s="50">
        <v>3.2875000000000001</v>
      </c>
      <c r="F496" s="65">
        <v>2020</v>
      </c>
      <c r="G496" s="65">
        <v>608365.61789999995</v>
      </c>
      <c r="H496" s="65">
        <v>588365.61789999995</v>
      </c>
      <c r="I496" s="50">
        <v>96.712500000000006</v>
      </c>
      <c r="J496" s="65">
        <v>608365.61789999995</v>
      </c>
      <c r="K496" s="65">
        <v>608365.61789999995</v>
      </c>
      <c r="L496" s="50">
        <v>100</v>
      </c>
      <c r="M496" t="s">
        <v>2301</v>
      </c>
      <c r="N496" t="s">
        <v>2351</v>
      </c>
    </row>
    <row r="497" spans="1:14">
      <c r="A497" t="s">
        <v>3359</v>
      </c>
      <c r="B497" t="s">
        <v>3360</v>
      </c>
      <c r="C497" s="40">
        <v>44828</v>
      </c>
      <c r="D497" s="65">
        <v>10000</v>
      </c>
      <c r="E497" s="50">
        <v>4.4335000000000004</v>
      </c>
      <c r="F497" s="65">
        <v>20600</v>
      </c>
      <c r="G497" s="65">
        <v>225554.5</v>
      </c>
      <c r="H497" s="65">
        <v>215554.5</v>
      </c>
      <c r="I497" s="50">
        <v>95.566500000000005</v>
      </c>
      <c r="J497" s="65">
        <v>225554.5</v>
      </c>
      <c r="K497" s="65">
        <v>225554.5</v>
      </c>
      <c r="L497" s="50">
        <v>100</v>
      </c>
      <c r="M497" t="s">
        <v>2305</v>
      </c>
      <c r="N497" t="s">
        <v>2339</v>
      </c>
    </row>
    <row r="498" spans="1:14">
      <c r="A498" t="s">
        <v>554</v>
      </c>
      <c r="B498" t="s">
        <v>555</v>
      </c>
      <c r="C498" s="40">
        <v>44826</v>
      </c>
      <c r="D498" s="65">
        <v>3473.65</v>
      </c>
      <c r="E498" s="50">
        <v>5.9726999999999997</v>
      </c>
      <c r="F498" s="65">
        <v>29977.5995</v>
      </c>
      <c r="G498" s="65">
        <v>58159.195</v>
      </c>
      <c r="H498" s="65">
        <v>54685.544999999998</v>
      </c>
      <c r="I498" s="50">
        <v>94.027299999999997</v>
      </c>
      <c r="J498" s="65">
        <v>58159.195</v>
      </c>
      <c r="K498" s="65">
        <v>58159.195</v>
      </c>
      <c r="L498" s="50">
        <v>100</v>
      </c>
      <c r="M498" t="s">
        <v>2292</v>
      </c>
      <c r="N498" t="s">
        <v>2326</v>
      </c>
    </row>
    <row r="499" spans="1:14">
      <c r="A499" t="s">
        <v>3361</v>
      </c>
      <c r="B499" t="s">
        <v>3362</v>
      </c>
      <c r="C499" s="40">
        <v>44820</v>
      </c>
      <c r="D499" s="65">
        <v>19200</v>
      </c>
      <c r="E499" s="50">
        <v>8.0946999999999996</v>
      </c>
      <c r="F499" s="65">
        <v>23808</v>
      </c>
      <c r="G499" s="65">
        <v>237192.72</v>
      </c>
      <c r="H499" s="65">
        <v>217992.72</v>
      </c>
      <c r="I499" s="50">
        <v>91.905299999999997</v>
      </c>
      <c r="J499" s="65">
        <v>237192.72</v>
      </c>
      <c r="K499" s="65">
        <v>237192.72</v>
      </c>
      <c r="L499" s="50">
        <v>100</v>
      </c>
      <c r="M499" t="s">
        <v>2308</v>
      </c>
      <c r="N499" t="s">
        <v>2327</v>
      </c>
    </row>
    <row r="500" spans="1:14">
      <c r="A500" t="s">
        <v>468</v>
      </c>
      <c r="B500" t="s">
        <v>469</v>
      </c>
      <c r="C500" s="40">
        <v>44814</v>
      </c>
      <c r="D500" s="65">
        <v>7940</v>
      </c>
      <c r="E500" s="50">
        <v>8.7812999999999999</v>
      </c>
      <c r="F500" s="65">
        <v>36841.599999999999</v>
      </c>
      <c r="G500" s="65">
        <v>90418.9</v>
      </c>
      <c r="H500" s="65">
        <v>82478.899999999994</v>
      </c>
      <c r="I500" s="50">
        <v>91.218699999999998</v>
      </c>
      <c r="J500" s="65">
        <v>90418.9</v>
      </c>
      <c r="K500" s="65">
        <v>90418.9</v>
      </c>
      <c r="L500" s="50">
        <v>100</v>
      </c>
      <c r="M500" t="s">
        <v>2306</v>
      </c>
      <c r="N500" t="s">
        <v>2324</v>
      </c>
    </row>
    <row r="501" spans="1:14">
      <c r="A501" t="s">
        <v>3363</v>
      </c>
      <c r="B501" t="s">
        <v>3364</v>
      </c>
      <c r="C501" s="40">
        <v>44802</v>
      </c>
      <c r="D501" s="65">
        <v>51767.777699999999</v>
      </c>
      <c r="E501" s="50">
        <v>10</v>
      </c>
      <c r="F501" s="65">
        <v>142361.38867499999</v>
      </c>
      <c r="G501" s="65">
        <v>517677.77769999998</v>
      </c>
      <c r="H501" s="65">
        <v>465910</v>
      </c>
      <c r="I501" s="50">
        <v>90</v>
      </c>
      <c r="J501" s="65">
        <v>517677.77769999998</v>
      </c>
      <c r="K501" s="65">
        <v>517677.77769999998</v>
      </c>
      <c r="L501" s="50">
        <v>100</v>
      </c>
      <c r="M501" t="s">
        <v>2309</v>
      </c>
      <c r="N501" t="s">
        <v>2351</v>
      </c>
    </row>
    <row r="502" spans="1:14">
      <c r="A502" t="s">
        <v>894</v>
      </c>
      <c r="B502" t="s">
        <v>895</v>
      </c>
      <c r="C502" s="40">
        <v>44796</v>
      </c>
      <c r="D502" s="65">
        <v>5464.8</v>
      </c>
      <c r="E502" s="50">
        <v>3.2930999999999999</v>
      </c>
      <c r="F502" s="65">
        <v>37433.879999999997</v>
      </c>
      <c r="G502" s="65">
        <v>165944.48379999999</v>
      </c>
      <c r="H502" s="65">
        <v>155052.8474</v>
      </c>
      <c r="I502" s="50">
        <v>93.436599999999999</v>
      </c>
      <c r="J502" s="65">
        <v>165944.48379999999</v>
      </c>
      <c r="K502" s="65">
        <v>160517.64739999999</v>
      </c>
      <c r="L502" s="50">
        <v>96.729699999999994</v>
      </c>
      <c r="M502" t="s">
        <v>2296</v>
      </c>
      <c r="N502" t="s">
        <v>2328</v>
      </c>
    </row>
    <row r="503" spans="1:14">
      <c r="A503" t="s">
        <v>234</v>
      </c>
      <c r="B503" t="s">
        <v>235</v>
      </c>
      <c r="C503" s="40">
        <v>44791</v>
      </c>
      <c r="D503" s="65">
        <v>2716.97</v>
      </c>
      <c r="E503" s="50">
        <v>4.8296000000000001</v>
      </c>
      <c r="F503" s="65">
        <v>167501.20050000001</v>
      </c>
      <c r="G503" s="65">
        <v>56256.983699999997</v>
      </c>
      <c r="H503" s="65">
        <v>15309.6639</v>
      </c>
      <c r="I503" s="50">
        <v>27.213799999999999</v>
      </c>
      <c r="J503" s="65">
        <v>56256.983699999997</v>
      </c>
      <c r="K503" s="65">
        <v>18026.633900000001</v>
      </c>
      <c r="L503" s="50">
        <v>32.043399999999998</v>
      </c>
      <c r="M503" t="s">
        <v>2311</v>
      </c>
      <c r="N503" t="s">
        <v>2327</v>
      </c>
    </row>
    <row r="504" spans="1:14">
      <c r="A504" t="s">
        <v>3365</v>
      </c>
      <c r="B504" t="s">
        <v>3366</v>
      </c>
      <c r="C504" s="40">
        <v>44770</v>
      </c>
      <c r="D504" s="65">
        <v>5650</v>
      </c>
      <c r="E504" s="50">
        <v>4.6005000000000003</v>
      </c>
      <c r="F504" s="65">
        <v>29097.5</v>
      </c>
      <c r="G504" s="65">
        <v>122812.1</v>
      </c>
      <c r="H504" s="65">
        <v>117162.1</v>
      </c>
      <c r="I504" s="50">
        <v>95.399500000000003</v>
      </c>
      <c r="J504" s="65">
        <v>122812.1</v>
      </c>
      <c r="K504" s="65">
        <v>122812.1</v>
      </c>
      <c r="L504" s="50">
        <v>100</v>
      </c>
      <c r="M504" t="s">
        <v>2303</v>
      </c>
      <c r="N504" t="s">
        <v>2337</v>
      </c>
    </row>
    <row r="505" spans="1:14">
      <c r="A505" t="s">
        <v>527</v>
      </c>
      <c r="B505" t="s">
        <v>528</v>
      </c>
      <c r="C505" s="40">
        <v>44769</v>
      </c>
      <c r="D505" s="65">
        <v>763.53</v>
      </c>
      <c r="E505" s="50">
        <v>1.3651</v>
      </c>
      <c r="F505" s="65">
        <v>13041.0924</v>
      </c>
      <c r="G505" s="65">
        <v>55930.483800000002</v>
      </c>
      <c r="H505" s="65">
        <v>55166.953800000003</v>
      </c>
      <c r="I505" s="50">
        <v>98.634900000000002</v>
      </c>
      <c r="J505" s="65">
        <v>55930.483800000002</v>
      </c>
      <c r="K505" s="65">
        <v>55930.483800000002</v>
      </c>
      <c r="L505" s="50">
        <v>100</v>
      </c>
      <c r="M505" t="s">
        <v>2298</v>
      </c>
      <c r="N505" t="s">
        <v>2327</v>
      </c>
    </row>
    <row r="506" spans="1:14">
      <c r="A506" t="s">
        <v>374</v>
      </c>
      <c r="B506" t="s">
        <v>375</v>
      </c>
      <c r="C506" s="40">
        <v>44756</v>
      </c>
      <c r="D506" s="65">
        <v>6344.74</v>
      </c>
      <c r="E506" s="50">
        <v>50.569400000000002</v>
      </c>
      <c r="F506" s="65">
        <v>210962.60500000001</v>
      </c>
      <c r="G506" s="65">
        <v>12546.6</v>
      </c>
      <c r="H506" s="65">
        <v>6201.86</v>
      </c>
      <c r="I506" s="50">
        <v>49.430599999999998</v>
      </c>
      <c r="J506" s="65">
        <v>12546.6</v>
      </c>
      <c r="K506" s="65">
        <v>12546.6</v>
      </c>
      <c r="L506" s="50">
        <v>100</v>
      </c>
      <c r="M506" t="s">
        <v>2307</v>
      </c>
      <c r="N506" t="s">
        <v>2341</v>
      </c>
    </row>
    <row r="507" spans="1:14">
      <c r="A507" t="s">
        <v>884</v>
      </c>
      <c r="B507" t="s">
        <v>885</v>
      </c>
      <c r="C507" s="40">
        <v>44753</v>
      </c>
      <c r="D507" s="65">
        <v>3278.4</v>
      </c>
      <c r="E507" s="50">
        <v>6.7813999999999997</v>
      </c>
      <c r="F507" s="65">
        <v>3114.48</v>
      </c>
      <c r="G507" s="65">
        <v>48344.2</v>
      </c>
      <c r="H507" s="65">
        <v>45065.8</v>
      </c>
      <c r="I507" s="50">
        <v>93.218599999999995</v>
      </c>
      <c r="J507" s="65">
        <v>48344.2</v>
      </c>
      <c r="K507" s="65">
        <v>48344.2</v>
      </c>
      <c r="L507" s="50">
        <v>100</v>
      </c>
      <c r="M507" t="s">
        <v>2297</v>
      </c>
      <c r="N507" t="s">
        <v>2350</v>
      </c>
    </row>
    <row r="508" spans="1:14">
      <c r="A508" t="s">
        <v>3367</v>
      </c>
      <c r="B508" t="s">
        <v>3368</v>
      </c>
      <c r="C508" s="40">
        <v>44743</v>
      </c>
      <c r="D508" s="65">
        <v>15050</v>
      </c>
      <c r="E508" s="50">
        <v>2.2816000000000001</v>
      </c>
      <c r="F508" s="65">
        <v>257656</v>
      </c>
      <c r="G508" s="65">
        <v>659638.17720000003</v>
      </c>
      <c r="H508" s="65">
        <v>644588.17720000003</v>
      </c>
      <c r="I508" s="50">
        <v>97.718400000000003</v>
      </c>
      <c r="J508" s="65">
        <v>659638.17720000003</v>
      </c>
      <c r="K508" s="65">
        <v>659638.17720000003</v>
      </c>
      <c r="L508" s="50">
        <v>100</v>
      </c>
      <c r="M508" t="s">
        <v>2301</v>
      </c>
      <c r="N508" t="s">
        <v>2351</v>
      </c>
    </row>
    <row r="509" spans="1:14">
      <c r="A509" t="s">
        <v>3314</v>
      </c>
      <c r="B509" t="s">
        <v>3315</v>
      </c>
      <c r="C509" s="40">
        <v>44742</v>
      </c>
      <c r="D509" s="65">
        <v>3757.11</v>
      </c>
      <c r="E509" s="50">
        <v>7.6641000000000004</v>
      </c>
      <c r="F509" s="65">
        <v>165688.55100000001</v>
      </c>
      <c r="G509" s="65">
        <v>49021.881099999999</v>
      </c>
      <c r="H509" s="65">
        <v>45264.771099999998</v>
      </c>
      <c r="I509" s="50">
        <v>92.335899999999995</v>
      </c>
      <c r="J509" s="65">
        <v>49021.881099999999</v>
      </c>
      <c r="K509" s="65">
        <v>49021.881099999999</v>
      </c>
      <c r="L509" s="50">
        <v>100</v>
      </c>
      <c r="M509" t="s">
        <v>2299</v>
      </c>
      <c r="N509" t="s">
        <v>2346</v>
      </c>
    </row>
    <row r="510" spans="1:14">
      <c r="A510" t="s">
        <v>3306</v>
      </c>
      <c r="B510" t="s">
        <v>3307</v>
      </c>
      <c r="C510" s="40">
        <v>44742</v>
      </c>
      <c r="D510" s="65">
        <v>550.18799999999999</v>
      </c>
      <c r="E510" s="50">
        <v>0.57120000000000004</v>
      </c>
      <c r="F510" s="65">
        <v>924.31583999999998</v>
      </c>
      <c r="G510" s="65">
        <v>96323.115000000005</v>
      </c>
      <c r="H510" s="65">
        <v>95222.739000000001</v>
      </c>
      <c r="I510" s="50">
        <v>98.857600000000005</v>
      </c>
      <c r="J510" s="65">
        <v>96323.115000000005</v>
      </c>
      <c r="K510" s="65">
        <v>95772.926999999996</v>
      </c>
      <c r="L510" s="50">
        <v>99.428799999999995</v>
      </c>
      <c r="M510" t="s">
        <v>2292</v>
      </c>
      <c r="N510" t="s">
        <v>2326</v>
      </c>
    </row>
    <row r="511" spans="1:14">
      <c r="A511" t="s">
        <v>3133</v>
      </c>
      <c r="B511" t="s">
        <v>3134</v>
      </c>
      <c r="C511" s="40">
        <v>44742</v>
      </c>
      <c r="D511" s="65">
        <v>338.28</v>
      </c>
      <c r="E511" s="50">
        <v>3.7991999999999999</v>
      </c>
      <c r="F511" s="65">
        <v>28330.95</v>
      </c>
      <c r="G511" s="65">
        <v>8904.0229999999992</v>
      </c>
      <c r="H511" s="65">
        <v>8565.7430000000004</v>
      </c>
      <c r="I511" s="50">
        <v>96.200800000000001</v>
      </c>
      <c r="J511" s="65">
        <v>8904.0229999999992</v>
      </c>
      <c r="K511" s="65">
        <v>8904.0229999999992</v>
      </c>
      <c r="L511" s="50">
        <v>100</v>
      </c>
      <c r="M511" t="s">
        <v>2296</v>
      </c>
      <c r="N511" t="s">
        <v>2328</v>
      </c>
    </row>
    <row r="512" spans="1:14">
      <c r="A512" t="s">
        <v>3235</v>
      </c>
      <c r="B512" t="s">
        <v>3236</v>
      </c>
      <c r="C512" s="40">
        <v>44742</v>
      </c>
      <c r="D512" s="65">
        <v>2328474.8121000002</v>
      </c>
      <c r="E512" s="50">
        <v>69.491399999999999</v>
      </c>
      <c r="F512" s="65">
        <v>7288126.1618729997</v>
      </c>
      <c r="G512" s="65">
        <v>3350740</v>
      </c>
      <c r="H512" s="65">
        <v>69167</v>
      </c>
      <c r="I512" s="50">
        <v>2.0642</v>
      </c>
      <c r="J512" s="65">
        <v>3350740</v>
      </c>
      <c r="K512" s="65">
        <v>2397641.8121000002</v>
      </c>
      <c r="L512" s="50">
        <v>71.555599999999998</v>
      </c>
      <c r="M512" t="s">
        <v>2298</v>
      </c>
      <c r="N512" t="s">
        <v>2327</v>
      </c>
    </row>
    <row r="513" spans="1:14">
      <c r="A513" t="s">
        <v>3369</v>
      </c>
      <c r="B513" t="s">
        <v>3370</v>
      </c>
      <c r="C513" s="40">
        <v>44728</v>
      </c>
      <c r="D513" s="65">
        <v>4870.55</v>
      </c>
      <c r="E513" s="50">
        <v>7.0452000000000004</v>
      </c>
      <c r="F513" s="65">
        <v>20456.310000000001</v>
      </c>
      <c r="G513" s="65">
        <v>69133.05</v>
      </c>
      <c r="H513" s="65">
        <v>64262.5</v>
      </c>
      <c r="I513" s="50">
        <v>92.954800000000006</v>
      </c>
      <c r="J513" s="65">
        <v>69133.05</v>
      </c>
      <c r="K513" s="65">
        <v>69133.05</v>
      </c>
      <c r="L513" s="50">
        <v>100</v>
      </c>
      <c r="M513" t="s">
        <v>2298</v>
      </c>
      <c r="N513" t="s">
        <v>2344</v>
      </c>
    </row>
    <row r="514" spans="1:14">
      <c r="A514" t="s">
        <v>3371</v>
      </c>
      <c r="B514" t="s">
        <v>3372</v>
      </c>
      <c r="C514" s="40">
        <v>44726</v>
      </c>
      <c r="D514" s="65">
        <v>5420.62</v>
      </c>
      <c r="E514" s="50">
        <v>5.8070000000000004</v>
      </c>
      <c r="F514" s="65">
        <v>40925.680999999997</v>
      </c>
      <c r="G514" s="65">
        <v>93345.770699999994</v>
      </c>
      <c r="H514" s="65">
        <v>17713.514200000001</v>
      </c>
      <c r="I514" s="50">
        <v>18.976199999999999</v>
      </c>
      <c r="J514" s="65">
        <v>93345.770699999994</v>
      </c>
      <c r="K514" s="65">
        <v>23134.1342</v>
      </c>
      <c r="L514" s="50">
        <v>24.783300000000001</v>
      </c>
      <c r="M514" t="s">
        <v>2321</v>
      </c>
      <c r="N514" t="s">
        <v>2351</v>
      </c>
    </row>
    <row r="515" spans="1:14">
      <c r="A515" t="s">
        <v>3373</v>
      </c>
      <c r="B515" t="s">
        <v>3374</v>
      </c>
      <c r="C515" s="40">
        <v>44725</v>
      </c>
      <c r="D515" s="65">
        <v>4721.2</v>
      </c>
      <c r="E515" s="50">
        <v>8.9573</v>
      </c>
      <c r="F515" s="65">
        <v>50611.264000000003</v>
      </c>
      <c r="G515" s="65">
        <v>52708.041599999997</v>
      </c>
      <c r="H515" s="65">
        <v>47986.8416</v>
      </c>
      <c r="I515" s="50">
        <v>91.042699999999996</v>
      </c>
      <c r="J515" s="65">
        <v>52708.041599999997</v>
      </c>
      <c r="K515" s="65">
        <v>52708.041599999997</v>
      </c>
      <c r="L515" s="50">
        <v>100</v>
      </c>
      <c r="M515" t="s">
        <v>2292</v>
      </c>
      <c r="N515" t="s">
        <v>2326</v>
      </c>
    </row>
    <row r="516" spans="1:14">
      <c r="A516" t="s">
        <v>3375</v>
      </c>
      <c r="B516" t="s">
        <v>3376</v>
      </c>
      <c r="C516" s="40">
        <v>44722</v>
      </c>
      <c r="D516" s="65">
        <v>3836.9</v>
      </c>
      <c r="E516" s="50">
        <v>9.0451999999999995</v>
      </c>
      <c r="F516" s="65">
        <v>16690.514999999999</v>
      </c>
      <c r="G516" s="65">
        <v>42419.192000000003</v>
      </c>
      <c r="H516" s="65">
        <v>38582.292000000001</v>
      </c>
      <c r="I516" s="50">
        <v>90.954800000000006</v>
      </c>
      <c r="J516" s="65">
        <v>42419.192000000003</v>
      </c>
      <c r="K516" s="65">
        <v>42419.192000000003</v>
      </c>
      <c r="L516" s="50">
        <v>100</v>
      </c>
      <c r="M516" t="s">
        <v>2296</v>
      </c>
      <c r="N516" t="s">
        <v>2328</v>
      </c>
    </row>
    <row r="517" spans="1:14">
      <c r="A517" t="s">
        <v>3377</v>
      </c>
      <c r="B517" t="s">
        <v>3378</v>
      </c>
      <c r="C517" s="40">
        <v>44722</v>
      </c>
      <c r="D517" s="65">
        <v>1124.1300000000001</v>
      </c>
      <c r="E517" s="50">
        <v>4.8791000000000002</v>
      </c>
      <c r="F517" s="65">
        <v>33442.8675</v>
      </c>
      <c r="G517" s="65">
        <v>23039.645799999998</v>
      </c>
      <c r="H517" s="65">
        <v>21915.515800000001</v>
      </c>
      <c r="I517" s="50">
        <v>95.120900000000006</v>
      </c>
      <c r="J517" s="65">
        <v>23039.645799999998</v>
      </c>
      <c r="K517" s="65">
        <v>23039.645799999998</v>
      </c>
      <c r="L517" s="50">
        <v>100</v>
      </c>
      <c r="M517" t="s">
        <v>2292</v>
      </c>
      <c r="N517" t="s">
        <v>2326</v>
      </c>
    </row>
    <row r="518" spans="1:14">
      <c r="A518" t="s">
        <v>3379</v>
      </c>
      <c r="B518" t="s">
        <v>3380</v>
      </c>
      <c r="C518" s="40">
        <v>44720</v>
      </c>
      <c r="D518" s="65">
        <v>110</v>
      </c>
      <c r="E518" s="50">
        <v>0.39839999999999998</v>
      </c>
      <c r="F518" s="65">
        <v>1028.5</v>
      </c>
      <c r="G518" s="65">
        <v>27610</v>
      </c>
      <c r="H518" s="65">
        <v>27500</v>
      </c>
      <c r="I518" s="50">
        <v>99.601600000000005</v>
      </c>
      <c r="J518" s="65">
        <v>27610</v>
      </c>
      <c r="K518" s="65">
        <v>27610</v>
      </c>
      <c r="L518" s="50">
        <v>100</v>
      </c>
      <c r="M518" t="s">
        <v>2321</v>
      </c>
      <c r="N518" t="s">
        <v>2351</v>
      </c>
    </row>
    <row r="519" spans="1:14">
      <c r="A519" t="s">
        <v>3381</v>
      </c>
      <c r="B519" t="s">
        <v>3382</v>
      </c>
      <c r="C519" s="40">
        <v>44714</v>
      </c>
      <c r="D519" s="65">
        <v>1330.35</v>
      </c>
      <c r="E519" s="50">
        <v>6.4034000000000004</v>
      </c>
      <c r="F519" s="65">
        <v>98379.382500000007</v>
      </c>
      <c r="G519" s="65">
        <v>20775.687600000001</v>
      </c>
      <c r="H519" s="65">
        <v>19445.337599999999</v>
      </c>
      <c r="I519" s="50">
        <v>93.596599999999995</v>
      </c>
      <c r="J519" s="65">
        <v>20775.687600000001</v>
      </c>
      <c r="K519" s="65">
        <v>20775.687600000001</v>
      </c>
      <c r="L519" s="50">
        <v>100</v>
      </c>
      <c r="M519" t="s">
        <v>2308</v>
      </c>
      <c r="N519" t="s">
        <v>2344</v>
      </c>
    </row>
    <row r="520" spans="1:14">
      <c r="A520" t="s">
        <v>3383</v>
      </c>
      <c r="B520" t="s">
        <v>3384</v>
      </c>
      <c r="C520" s="40">
        <v>44703</v>
      </c>
      <c r="D520" s="65">
        <v>13800</v>
      </c>
      <c r="E520" s="50">
        <v>16.6281</v>
      </c>
      <c r="F520" s="65">
        <v>5589</v>
      </c>
      <c r="G520" s="65">
        <v>82992.157200000001</v>
      </c>
      <c r="H520" s="65">
        <v>69192.157200000001</v>
      </c>
      <c r="I520" s="50">
        <v>83.371899999999997</v>
      </c>
      <c r="J520" s="65">
        <v>82992.157200000001</v>
      </c>
      <c r="K520" s="65">
        <v>82992.157200000001</v>
      </c>
      <c r="L520" s="50">
        <v>100</v>
      </c>
      <c r="M520" t="s">
        <v>2310</v>
      </c>
      <c r="N520" t="s">
        <v>2343</v>
      </c>
    </row>
    <row r="521" spans="1:14">
      <c r="A521" t="s">
        <v>3385</v>
      </c>
      <c r="B521" t="s">
        <v>3386</v>
      </c>
      <c r="C521" s="40">
        <v>44703</v>
      </c>
      <c r="D521" s="65">
        <v>11434.2857</v>
      </c>
      <c r="E521" s="50">
        <v>1.8715999999999999</v>
      </c>
      <c r="F521" s="65">
        <v>5717.1428500000002</v>
      </c>
      <c r="G521" s="65">
        <v>610925.91390000004</v>
      </c>
      <c r="H521" s="65">
        <v>599491.62820000004</v>
      </c>
      <c r="I521" s="50">
        <v>98.128399999999999</v>
      </c>
      <c r="J521" s="65">
        <v>610925.91390000004</v>
      </c>
      <c r="K521" s="65">
        <v>610925.91390000004</v>
      </c>
      <c r="L521" s="50">
        <v>100</v>
      </c>
      <c r="M521" t="s">
        <v>2310</v>
      </c>
      <c r="N521" t="s">
        <v>2343</v>
      </c>
    </row>
    <row r="522" spans="1:14">
      <c r="A522" t="s">
        <v>3387</v>
      </c>
      <c r="B522" t="s">
        <v>3388</v>
      </c>
      <c r="C522" s="40">
        <v>44692</v>
      </c>
      <c r="D522" s="65">
        <v>700.5</v>
      </c>
      <c r="E522" s="50">
        <v>0.60250000000000004</v>
      </c>
      <c r="F522" s="65">
        <v>2809.0050000000001</v>
      </c>
      <c r="G522" s="65">
        <v>116260.54859999999</v>
      </c>
      <c r="H522" s="65">
        <v>115560.04859999999</v>
      </c>
      <c r="I522" s="50">
        <v>99.397499999999994</v>
      </c>
      <c r="J522" s="65">
        <v>116260.54859999999</v>
      </c>
      <c r="K522" s="65">
        <v>116260.54859999999</v>
      </c>
      <c r="L522" s="50">
        <v>100</v>
      </c>
      <c r="N522" t="s">
        <v>2351</v>
      </c>
    </row>
    <row r="523" spans="1:14">
      <c r="A523" t="s">
        <v>3389</v>
      </c>
      <c r="B523" t="s">
        <v>3390</v>
      </c>
      <c r="C523" s="40">
        <v>44691</v>
      </c>
      <c r="D523" s="65">
        <v>1319.76</v>
      </c>
      <c r="E523" s="50">
        <v>8.9983000000000004</v>
      </c>
      <c r="F523" s="65">
        <v>5833.3392000000003</v>
      </c>
      <c r="G523" s="65">
        <v>14666.72</v>
      </c>
      <c r="H523" s="65">
        <v>2346.96</v>
      </c>
      <c r="I523" s="50">
        <v>16.001899999999999</v>
      </c>
      <c r="J523" s="65">
        <v>14666.72</v>
      </c>
      <c r="K523" s="65">
        <v>3666.72</v>
      </c>
      <c r="L523" s="50">
        <v>25.000299999999999</v>
      </c>
      <c r="M523" t="s">
        <v>2306</v>
      </c>
      <c r="N523" t="s">
        <v>2324</v>
      </c>
    </row>
    <row r="524" spans="1:14">
      <c r="A524" t="s">
        <v>3391</v>
      </c>
      <c r="B524" t="s">
        <v>3392</v>
      </c>
      <c r="C524" s="40">
        <v>44689</v>
      </c>
      <c r="D524" s="65">
        <v>11770</v>
      </c>
      <c r="E524" s="50">
        <v>5.5998999999999999</v>
      </c>
      <c r="F524" s="65">
        <v>29542.7</v>
      </c>
      <c r="G524" s="65">
        <v>210181.60389999999</v>
      </c>
      <c r="H524" s="65">
        <v>198411.60389999999</v>
      </c>
      <c r="I524" s="50">
        <v>94.400099999999995</v>
      </c>
      <c r="J524" s="65">
        <v>210181.60389999999</v>
      </c>
      <c r="K524" s="65">
        <v>210181.60389999999</v>
      </c>
      <c r="L524" s="50">
        <v>100</v>
      </c>
      <c r="M524" t="s">
        <v>2306</v>
      </c>
      <c r="N524" t="s">
        <v>2324</v>
      </c>
    </row>
    <row r="525" spans="1:14">
      <c r="A525" t="s">
        <v>3393</v>
      </c>
      <c r="B525" t="s">
        <v>3394</v>
      </c>
      <c r="C525" s="40">
        <v>44686</v>
      </c>
      <c r="D525" s="65">
        <v>719.87</v>
      </c>
      <c r="E525" s="50">
        <v>6.9507000000000003</v>
      </c>
      <c r="F525" s="65">
        <v>12640.9172</v>
      </c>
      <c r="G525" s="65">
        <v>10356.801299999999</v>
      </c>
      <c r="H525" s="65">
        <v>1873.5418</v>
      </c>
      <c r="I525" s="50">
        <v>18.09</v>
      </c>
      <c r="J525" s="65">
        <v>10356.801299999999</v>
      </c>
      <c r="K525" s="65">
        <v>2593.4117999999999</v>
      </c>
      <c r="L525" s="50">
        <v>25.040700000000001</v>
      </c>
      <c r="M525" t="s">
        <v>2292</v>
      </c>
      <c r="N525" t="s">
        <v>2326</v>
      </c>
    </row>
    <row r="526" spans="1:14">
      <c r="A526" t="s">
        <v>3395</v>
      </c>
      <c r="B526" t="s">
        <v>3396</v>
      </c>
      <c r="C526" s="40">
        <v>44686</v>
      </c>
      <c r="D526" s="65">
        <v>8052.55</v>
      </c>
      <c r="E526" s="50">
        <v>6.9531999999999998</v>
      </c>
      <c r="F526" s="65">
        <v>41873.26</v>
      </c>
      <c r="G526" s="65">
        <v>115811.47229999999</v>
      </c>
      <c r="H526" s="65">
        <v>107758.92230000001</v>
      </c>
      <c r="I526" s="50">
        <v>93.046800000000005</v>
      </c>
      <c r="J526" s="65">
        <v>115811.47229999999</v>
      </c>
      <c r="K526" s="65">
        <v>115811.47229999999</v>
      </c>
      <c r="L526" s="50">
        <v>100</v>
      </c>
      <c r="M526" t="s">
        <v>2296</v>
      </c>
      <c r="N526" t="s">
        <v>2328</v>
      </c>
    </row>
    <row r="527" spans="1:14">
      <c r="A527" t="s">
        <v>3397</v>
      </c>
      <c r="B527" t="s">
        <v>3398</v>
      </c>
      <c r="C527" s="40">
        <v>44683</v>
      </c>
      <c r="D527" s="65">
        <v>1629</v>
      </c>
      <c r="E527" s="50">
        <v>1.6994</v>
      </c>
      <c r="F527" s="65">
        <v>46263.6</v>
      </c>
      <c r="G527" s="65">
        <v>95859.383100000006</v>
      </c>
      <c r="H527" s="65">
        <v>93570.428799999994</v>
      </c>
      <c r="I527" s="50">
        <v>97.612200000000001</v>
      </c>
      <c r="J527" s="65">
        <v>95859.383100000006</v>
      </c>
      <c r="K527" s="65">
        <v>95199.428799999994</v>
      </c>
      <c r="L527" s="50">
        <v>99.311499999999995</v>
      </c>
      <c r="M527" t="s">
        <v>2292</v>
      </c>
      <c r="N527" t="s">
        <v>2326</v>
      </c>
    </row>
    <row r="528" spans="1:14">
      <c r="A528" t="s">
        <v>3399</v>
      </c>
      <c r="B528" t="s">
        <v>3400</v>
      </c>
      <c r="C528" s="40">
        <v>44681</v>
      </c>
      <c r="D528" s="65">
        <v>10109.4</v>
      </c>
      <c r="E528" s="50">
        <v>0.81640000000000001</v>
      </c>
      <c r="F528" s="65">
        <v>4650.3239999999996</v>
      </c>
      <c r="G528" s="65">
        <v>1238282.58</v>
      </c>
      <c r="H528" s="65">
        <v>1228173.18</v>
      </c>
      <c r="I528" s="50">
        <v>99.183599999999998</v>
      </c>
      <c r="J528" s="65">
        <v>1238282.58</v>
      </c>
      <c r="K528" s="65">
        <v>1238282.58</v>
      </c>
      <c r="L528" s="50">
        <v>100</v>
      </c>
      <c r="M528" t="s">
        <v>2301</v>
      </c>
      <c r="N528" t="s">
        <v>2324</v>
      </c>
    </row>
    <row r="529" spans="1:14">
      <c r="A529" t="s">
        <v>3290</v>
      </c>
      <c r="B529" t="s">
        <v>3291</v>
      </c>
      <c r="C529" s="40">
        <v>44670</v>
      </c>
      <c r="D529" s="65">
        <v>3917.13</v>
      </c>
      <c r="E529" s="50">
        <v>9.2006999999999994</v>
      </c>
      <c r="F529" s="65">
        <v>43871.856</v>
      </c>
      <c r="G529" s="65">
        <v>42574.26</v>
      </c>
      <c r="H529" s="65">
        <v>2657.13</v>
      </c>
      <c r="I529" s="50">
        <v>6.2412000000000001</v>
      </c>
      <c r="J529" s="65">
        <v>42574.26</v>
      </c>
      <c r="K529" s="65">
        <v>6574.26</v>
      </c>
      <c r="L529" s="50">
        <v>15.4419</v>
      </c>
      <c r="M529" t="s">
        <v>2292</v>
      </c>
      <c r="N529" t="s">
        <v>2326</v>
      </c>
    </row>
    <row r="530" spans="1:14">
      <c r="A530" t="s">
        <v>3227</v>
      </c>
      <c r="B530" t="s">
        <v>3228</v>
      </c>
      <c r="C530" s="40">
        <v>44670</v>
      </c>
      <c r="D530" s="65">
        <v>45200</v>
      </c>
      <c r="F530" s="65">
        <v>207016</v>
      </c>
      <c r="G530" s="65">
        <v>544888.39110000001</v>
      </c>
      <c r="H530" s="65">
        <v>544888.39110000001</v>
      </c>
      <c r="I530" s="50">
        <v>100</v>
      </c>
      <c r="K530" s="65">
        <v>590088.39110000001</v>
      </c>
      <c r="M530" t="s">
        <v>2306</v>
      </c>
      <c r="N530" t="s">
        <v>2324</v>
      </c>
    </row>
    <row r="531" spans="1:14">
      <c r="A531" t="s">
        <v>3401</v>
      </c>
      <c r="B531" t="s">
        <v>3402</v>
      </c>
      <c r="C531" s="40">
        <v>44664</v>
      </c>
      <c r="D531" s="65">
        <v>7969.8</v>
      </c>
      <c r="E531" s="50">
        <v>11.3566</v>
      </c>
      <c r="F531" s="65">
        <v>34828.025999999998</v>
      </c>
      <c r="G531" s="65">
        <v>70177.434999999998</v>
      </c>
      <c r="H531" s="65">
        <v>62207.635000000002</v>
      </c>
      <c r="I531" s="50">
        <v>88.6434</v>
      </c>
      <c r="J531" s="65">
        <v>70177.434999999998</v>
      </c>
      <c r="K531" s="65">
        <v>70177.434999999998</v>
      </c>
      <c r="L531" s="50">
        <v>100</v>
      </c>
      <c r="M531" t="s">
        <v>2296</v>
      </c>
      <c r="N531" t="s">
        <v>2328</v>
      </c>
    </row>
    <row r="532" spans="1:14">
      <c r="A532" t="s">
        <v>3403</v>
      </c>
      <c r="B532" t="s">
        <v>3404</v>
      </c>
      <c r="C532" s="40">
        <v>44659</v>
      </c>
      <c r="D532" s="65">
        <v>1740.7</v>
      </c>
      <c r="E532" s="50">
        <v>2.9011999999999998</v>
      </c>
      <c r="F532" s="65">
        <v>11401.584999999999</v>
      </c>
      <c r="G532" s="65">
        <v>60000</v>
      </c>
      <c r="H532" s="65">
        <v>58259.3</v>
      </c>
      <c r="I532" s="50">
        <v>97.098799999999997</v>
      </c>
      <c r="J532" s="65">
        <v>60000</v>
      </c>
      <c r="K532" s="65">
        <v>60000</v>
      </c>
      <c r="L532" s="50">
        <v>100</v>
      </c>
      <c r="M532" t="s">
        <v>2308</v>
      </c>
      <c r="N532" t="s">
        <v>2344</v>
      </c>
    </row>
    <row r="533" spans="1:14">
      <c r="A533" t="s">
        <v>3405</v>
      </c>
      <c r="B533" t="s">
        <v>3406</v>
      </c>
      <c r="C533" s="40">
        <v>44658</v>
      </c>
      <c r="D533" s="65">
        <v>3738.9</v>
      </c>
      <c r="E533" s="50">
        <v>2.7892000000000001</v>
      </c>
      <c r="F533" s="65">
        <v>10693.254000000001</v>
      </c>
      <c r="G533" s="65">
        <v>134048.47399999999</v>
      </c>
      <c r="H533" s="65">
        <v>130309.57399999999</v>
      </c>
      <c r="I533" s="50">
        <v>97.210800000000006</v>
      </c>
      <c r="J533" s="65">
        <v>134048.47399999999</v>
      </c>
      <c r="K533" s="65">
        <v>134048.47399999999</v>
      </c>
      <c r="L533" s="50">
        <v>100</v>
      </c>
      <c r="N533" t="s">
        <v>2345</v>
      </c>
    </row>
    <row r="534" spans="1:14">
      <c r="A534" t="s">
        <v>3407</v>
      </c>
      <c r="B534" t="s">
        <v>3408</v>
      </c>
      <c r="C534" s="40">
        <v>44655</v>
      </c>
      <c r="D534" s="65">
        <v>34174.915500000003</v>
      </c>
      <c r="E534" s="50">
        <v>13.0435</v>
      </c>
      <c r="F534" s="65">
        <v>632235.93674999999</v>
      </c>
      <c r="G534" s="65">
        <v>262007.68549999999</v>
      </c>
      <c r="H534" s="65">
        <v>227832.77</v>
      </c>
      <c r="I534" s="50">
        <v>86.956500000000005</v>
      </c>
      <c r="J534" s="65">
        <v>262007.68549999999</v>
      </c>
      <c r="K534" s="65">
        <v>262007.68549999999</v>
      </c>
      <c r="L534" s="50">
        <v>100</v>
      </c>
      <c r="M534" t="s">
        <v>2310</v>
      </c>
      <c r="N534" t="s">
        <v>2343</v>
      </c>
    </row>
    <row r="535" spans="1:14">
      <c r="A535" t="s">
        <v>3409</v>
      </c>
      <c r="B535" t="s">
        <v>3410</v>
      </c>
      <c r="C535" s="40">
        <v>44649</v>
      </c>
      <c r="D535" s="65">
        <v>12626.2</v>
      </c>
      <c r="E535" s="50">
        <v>1.8329</v>
      </c>
      <c r="F535" s="65">
        <v>101009.60000000001</v>
      </c>
      <c r="G535" s="65">
        <v>688854.55099999998</v>
      </c>
      <c r="H535" s="65">
        <v>102182.9</v>
      </c>
      <c r="I535" s="50">
        <v>14.8337</v>
      </c>
      <c r="J535" s="65">
        <v>688854.55099999998</v>
      </c>
      <c r="K535" s="65">
        <v>114809.1</v>
      </c>
      <c r="L535" s="50">
        <v>16.666699999999999</v>
      </c>
      <c r="M535" t="s">
        <v>2320</v>
      </c>
      <c r="N535" t="s">
        <v>2319</v>
      </c>
    </row>
    <row r="536" spans="1:14">
      <c r="A536" t="s">
        <v>3411</v>
      </c>
      <c r="B536" t="s">
        <v>3412</v>
      </c>
      <c r="C536" s="40">
        <v>44649</v>
      </c>
      <c r="D536" s="65">
        <v>2808.3</v>
      </c>
      <c r="E536" s="50">
        <v>6.3060999999999998</v>
      </c>
      <c r="F536" s="65">
        <v>15052.487999999999</v>
      </c>
      <c r="G536" s="65">
        <v>44533.191700000003</v>
      </c>
      <c r="H536" s="65">
        <v>41724.8917</v>
      </c>
      <c r="I536" s="50">
        <v>93.693899999999999</v>
      </c>
      <c r="J536" s="65">
        <v>44533.191700000003</v>
      </c>
      <c r="K536" s="65">
        <v>44533.191700000003</v>
      </c>
      <c r="L536" s="50">
        <v>100</v>
      </c>
      <c r="M536" t="s">
        <v>2296</v>
      </c>
      <c r="N536" t="s">
        <v>2328</v>
      </c>
    </row>
    <row r="537" spans="1:14">
      <c r="A537" t="s">
        <v>3413</v>
      </c>
      <c r="B537" t="s">
        <v>3414</v>
      </c>
      <c r="C537" s="40">
        <v>44644</v>
      </c>
      <c r="D537" s="65">
        <v>3781.9</v>
      </c>
      <c r="E537" s="50">
        <v>7.1818999999999997</v>
      </c>
      <c r="F537" s="65">
        <v>14257.763000000001</v>
      </c>
      <c r="G537" s="65">
        <v>52658.482799999998</v>
      </c>
      <c r="H537" s="65">
        <v>48876.582799999996</v>
      </c>
      <c r="I537" s="50">
        <v>92.818100000000001</v>
      </c>
      <c r="J537" s="65">
        <v>52658.482799999998</v>
      </c>
      <c r="K537" s="65">
        <v>52658.482799999998</v>
      </c>
      <c r="L537" s="50">
        <v>100</v>
      </c>
      <c r="M537" t="s">
        <v>2292</v>
      </c>
      <c r="N537" t="s">
        <v>2326</v>
      </c>
    </row>
    <row r="538" spans="1:14">
      <c r="A538" t="s">
        <v>3415</v>
      </c>
      <c r="B538" t="s">
        <v>3416</v>
      </c>
      <c r="C538" s="40">
        <v>44625</v>
      </c>
      <c r="D538" s="65">
        <v>865.46849999999995</v>
      </c>
      <c r="E538" s="50">
        <v>0.44729999999999998</v>
      </c>
      <c r="F538" s="65">
        <v>2276.182155</v>
      </c>
      <c r="G538" s="65">
        <v>193503.68049999999</v>
      </c>
      <c r="H538" s="65">
        <v>192638.212</v>
      </c>
      <c r="I538" s="50">
        <v>99.552700000000002</v>
      </c>
      <c r="J538" s="65">
        <v>193503.68049999999</v>
      </c>
      <c r="K538" s="65">
        <v>193503.68049999999</v>
      </c>
      <c r="L538" s="50">
        <v>100</v>
      </c>
      <c r="M538" t="s">
        <v>2296</v>
      </c>
      <c r="N538" t="s">
        <v>2328</v>
      </c>
    </row>
    <row r="539" spans="1:14">
      <c r="A539" t="s">
        <v>3417</v>
      </c>
      <c r="B539" t="s">
        <v>3418</v>
      </c>
      <c r="C539" s="40">
        <v>44622</v>
      </c>
      <c r="D539" s="65">
        <v>10800</v>
      </c>
      <c r="E539" s="50">
        <v>13.0435</v>
      </c>
      <c r="F539" s="65">
        <v>20520</v>
      </c>
      <c r="G539" s="65">
        <v>82800</v>
      </c>
      <c r="H539" s="65">
        <v>72000</v>
      </c>
      <c r="I539" s="50">
        <v>86.956500000000005</v>
      </c>
      <c r="J539" s="65">
        <v>82800</v>
      </c>
      <c r="K539" s="65">
        <v>82800</v>
      </c>
      <c r="L539" s="50">
        <v>100</v>
      </c>
      <c r="M539" t="s">
        <v>2315</v>
      </c>
      <c r="N539" t="s">
        <v>2341</v>
      </c>
    </row>
    <row r="540" spans="1:14">
      <c r="A540" t="s">
        <v>3419</v>
      </c>
      <c r="B540" t="s">
        <v>3420</v>
      </c>
      <c r="C540" s="40">
        <v>44616</v>
      </c>
      <c r="D540" s="65">
        <v>3425.9</v>
      </c>
      <c r="E540" s="50">
        <v>10.931800000000001</v>
      </c>
      <c r="F540" s="65">
        <v>36999.72</v>
      </c>
      <c r="G540" s="65">
        <v>31338.917099999999</v>
      </c>
      <c r="H540" s="65">
        <v>27913.017100000001</v>
      </c>
      <c r="I540" s="50">
        <v>89.068200000000004</v>
      </c>
      <c r="J540" s="65">
        <v>31338.917099999999</v>
      </c>
      <c r="K540" s="65">
        <v>31338.917099999999</v>
      </c>
      <c r="L540" s="50">
        <v>100</v>
      </c>
      <c r="M540" t="s">
        <v>2292</v>
      </c>
      <c r="N540" t="s">
        <v>2326</v>
      </c>
    </row>
    <row r="541" spans="1:14">
      <c r="A541" t="s">
        <v>3421</v>
      </c>
      <c r="B541" t="s">
        <v>3422</v>
      </c>
      <c r="C541" s="40">
        <v>44614</v>
      </c>
      <c r="D541" s="65">
        <v>11500</v>
      </c>
      <c r="E541" s="50">
        <v>2.0632000000000001</v>
      </c>
      <c r="F541" s="65">
        <v>217580</v>
      </c>
      <c r="G541" s="65">
        <v>557400</v>
      </c>
      <c r="H541" s="65">
        <v>545900</v>
      </c>
      <c r="I541" s="50">
        <v>97.936800000000005</v>
      </c>
      <c r="J541" s="65">
        <v>557400</v>
      </c>
      <c r="K541" s="65">
        <v>557400</v>
      </c>
      <c r="L541" s="50">
        <v>100</v>
      </c>
      <c r="M541" t="s">
        <v>2309</v>
      </c>
      <c r="N541" t="s">
        <v>2345</v>
      </c>
    </row>
    <row r="542" spans="1:14">
      <c r="A542" t="s">
        <v>3423</v>
      </c>
      <c r="B542" t="s">
        <v>3424</v>
      </c>
      <c r="C542" s="40">
        <v>44612</v>
      </c>
      <c r="D542" s="65">
        <v>300.06</v>
      </c>
      <c r="E542" s="50">
        <v>7.7267000000000001</v>
      </c>
      <c r="F542" s="65">
        <v>16023.204</v>
      </c>
      <c r="G542" s="65">
        <v>3883.4407999999999</v>
      </c>
      <c r="H542" s="65">
        <v>2856.5203999999999</v>
      </c>
      <c r="I542" s="50">
        <v>73.556399999999996</v>
      </c>
      <c r="J542" s="65">
        <v>3883.4407999999999</v>
      </c>
      <c r="K542" s="65">
        <v>3156.5803999999998</v>
      </c>
      <c r="L542" s="50">
        <v>81.283100000000005</v>
      </c>
      <c r="M542" t="s">
        <v>2292</v>
      </c>
      <c r="N542" t="s">
        <v>2326</v>
      </c>
    </row>
    <row r="543" spans="1:14">
      <c r="A543" t="s">
        <v>3227</v>
      </c>
      <c r="B543" t="s">
        <v>3228</v>
      </c>
      <c r="C543" s="40">
        <v>44609</v>
      </c>
      <c r="D543" s="65">
        <v>33500</v>
      </c>
      <c r="E543" s="50">
        <v>6.1479999999999997</v>
      </c>
      <c r="F543" s="65">
        <v>311550</v>
      </c>
      <c r="G543" s="65">
        <v>544888.39110000001</v>
      </c>
      <c r="H543" s="65">
        <v>511388.39110000001</v>
      </c>
      <c r="I543" s="50">
        <v>93.852000000000004</v>
      </c>
      <c r="J543" s="65">
        <v>544888.39110000001</v>
      </c>
      <c r="K543" s="65">
        <v>544888.39110000001</v>
      </c>
      <c r="L543" s="50">
        <v>100</v>
      </c>
      <c r="M543" t="s">
        <v>2306</v>
      </c>
      <c r="N543" t="s">
        <v>2324</v>
      </c>
    </row>
    <row r="544" spans="1:14">
      <c r="A544" t="s">
        <v>3425</v>
      </c>
      <c r="B544" t="s">
        <v>3426</v>
      </c>
      <c r="C544" s="40">
        <v>44602</v>
      </c>
      <c r="D544" s="65">
        <v>21050.799999999999</v>
      </c>
      <c r="E544" s="50">
        <v>14.036899999999999</v>
      </c>
      <c r="F544" s="65">
        <v>266503.12800000003</v>
      </c>
      <c r="G544" s="65">
        <v>149967.3235</v>
      </c>
      <c r="H544" s="65">
        <v>128916.5235</v>
      </c>
      <c r="I544" s="50">
        <v>85.963099999999997</v>
      </c>
      <c r="J544" s="65">
        <v>149967.3235</v>
      </c>
      <c r="K544" s="65">
        <v>149967.3235</v>
      </c>
      <c r="L544" s="50">
        <v>100</v>
      </c>
      <c r="M544" t="s">
        <v>2296</v>
      </c>
      <c r="N544" t="s">
        <v>2328</v>
      </c>
    </row>
    <row r="545" spans="1:14">
      <c r="A545" t="s">
        <v>3427</v>
      </c>
      <c r="B545" t="s">
        <v>3428</v>
      </c>
      <c r="C545" s="40">
        <v>44601</v>
      </c>
      <c r="D545" s="65">
        <v>1586.0465999999999</v>
      </c>
      <c r="E545" s="50">
        <v>3.8765000000000001</v>
      </c>
      <c r="F545" s="65">
        <v>745.44190200000003</v>
      </c>
      <c r="G545" s="65">
        <v>40914.186000000002</v>
      </c>
      <c r="H545" s="65">
        <v>39328.1394</v>
      </c>
      <c r="I545" s="50">
        <v>96.123500000000007</v>
      </c>
      <c r="J545" s="65">
        <v>40914.186000000002</v>
      </c>
      <c r="K545" s="65">
        <v>40914.186000000002</v>
      </c>
      <c r="L545" s="50">
        <v>100</v>
      </c>
      <c r="M545" t="s">
        <v>2314</v>
      </c>
      <c r="N545" t="s">
        <v>2350</v>
      </c>
    </row>
    <row r="546" spans="1:14">
      <c r="A546" t="s">
        <v>3429</v>
      </c>
      <c r="B546" t="s">
        <v>3430</v>
      </c>
      <c r="C546" s="40">
        <v>44581</v>
      </c>
      <c r="D546" s="65">
        <v>115433.0943</v>
      </c>
      <c r="E546" s="50">
        <v>12.5</v>
      </c>
      <c r="F546" s="65">
        <v>264341.78594700003</v>
      </c>
      <c r="G546" s="65">
        <v>923464.75450000004</v>
      </c>
      <c r="H546" s="65">
        <v>808031.66020000004</v>
      </c>
      <c r="I546" s="50">
        <v>87.5</v>
      </c>
      <c r="J546" s="65">
        <v>923464.75450000004</v>
      </c>
      <c r="K546" s="65">
        <v>923464.75450000004</v>
      </c>
      <c r="L546" s="50">
        <v>100</v>
      </c>
      <c r="M546" t="s">
        <v>2308</v>
      </c>
      <c r="N546" t="s">
        <v>2344</v>
      </c>
    </row>
    <row r="547" spans="1:14">
      <c r="A547" t="s">
        <v>3431</v>
      </c>
      <c r="B547" t="s">
        <v>3432</v>
      </c>
      <c r="C547" s="40">
        <v>44577</v>
      </c>
      <c r="D547" s="65">
        <v>2706.5</v>
      </c>
      <c r="E547" s="50">
        <v>2.2709999999999999</v>
      </c>
      <c r="F547" s="65">
        <v>18810.174999999999</v>
      </c>
      <c r="G547" s="65">
        <v>119176.35860000001</v>
      </c>
      <c r="H547" s="65">
        <v>116469.85860000001</v>
      </c>
      <c r="I547" s="50">
        <v>97.728999999999999</v>
      </c>
      <c r="J547" s="65">
        <v>119176.35860000001</v>
      </c>
      <c r="K547" s="65">
        <v>119176.35860000001</v>
      </c>
      <c r="L547" s="50">
        <v>100</v>
      </c>
      <c r="M547" t="s">
        <v>2303</v>
      </c>
      <c r="N547" t="s">
        <v>2337</v>
      </c>
    </row>
    <row r="548" spans="1:14">
      <c r="A548" t="s">
        <v>3433</v>
      </c>
      <c r="B548" t="s">
        <v>3434</v>
      </c>
      <c r="C548" s="40">
        <v>44577</v>
      </c>
      <c r="D548" s="65">
        <v>11112.2</v>
      </c>
      <c r="E548" s="50">
        <v>12.3169</v>
      </c>
      <c r="F548" s="65">
        <v>59450.27</v>
      </c>
      <c r="G548" s="65">
        <v>90219.111999999994</v>
      </c>
      <c r="H548" s="65">
        <v>79106.911999999997</v>
      </c>
      <c r="I548" s="50">
        <v>87.683099999999996</v>
      </c>
      <c r="J548" s="65">
        <v>90219.111999999994</v>
      </c>
      <c r="K548" s="65">
        <v>90219.111999999994</v>
      </c>
      <c r="L548" s="50">
        <v>100</v>
      </c>
      <c r="M548" t="s">
        <v>2292</v>
      </c>
      <c r="N548" t="s">
        <v>2326</v>
      </c>
    </row>
    <row r="549" spans="1:14">
      <c r="A549" t="s">
        <v>3435</v>
      </c>
      <c r="B549" t="s">
        <v>3436</v>
      </c>
      <c r="C549" s="40">
        <v>44577</v>
      </c>
      <c r="D549" s="65">
        <v>6746</v>
      </c>
      <c r="E549" s="50">
        <v>9.6371000000000002</v>
      </c>
      <c r="F549" s="65">
        <v>24757.82</v>
      </c>
      <c r="G549" s="65">
        <v>70000</v>
      </c>
      <c r="H549" s="65">
        <v>63254</v>
      </c>
      <c r="I549" s="50">
        <v>90.362899999999996</v>
      </c>
      <c r="J549" s="65">
        <v>70000</v>
      </c>
      <c r="K549" s="65">
        <v>70000</v>
      </c>
      <c r="L549" s="50">
        <v>100</v>
      </c>
      <c r="M549" t="s">
        <v>2306</v>
      </c>
      <c r="N549" t="s">
        <v>2324</v>
      </c>
    </row>
    <row r="550" spans="1:14">
      <c r="A550" t="s">
        <v>3437</v>
      </c>
      <c r="B550" t="s">
        <v>3438</v>
      </c>
      <c r="C550" s="40">
        <v>44576</v>
      </c>
      <c r="D550" s="65">
        <v>6278.45</v>
      </c>
      <c r="E550" s="50">
        <v>8.8028999999999993</v>
      </c>
      <c r="F550" s="65">
        <v>137498.05499999999</v>
      </c>
      <c r="G550" s="65">
        <v>71322.55</v>
      </c>
      <c r="H550" s="65">
        <v>65044.1</v>
      </c>
      <c r="I550" s="50">
        <v>91.197100000000006</v>
      </c>
      <c r="J550" s="65">
        <v>71322.55</v>
      </c>
      <c r="K550" s="65">
        <v>71322.55</v>
      </c>
      <c r="L550" s="50">
        <v>100</v>
      </c>
      <c r="M550" t="s">
        <v>2292</v>
      </c>
      <c r="N550" t="s">
        <v>2326</v>
      </c>
    </row>
    <row r="551" spans="1:14">
      <c r="A551" t="s">
        <v>3439</v>
      </c>
      <c r="B551" t="s">
        <v>3440</v>
      </c>
      <c r="C551" s="40">
        <v>44576</v>
      </c>
      <c r="D551" s="65">
        <v>3692.3</v>
      </c>
      <c r="E551" s="50">
        <v>3.6311</v>
      </c>
      <c r="F551" s="65">
        <v>11261.514999999999</v>
      </c>
      <c r="G551" s="65">
        <v>101685.1</v>
      </c>
      <c r="H551" s="65">
        <v>97992.8</v>
      </c>
      <c r="I551" s="50">
        <v>96.368899999999996</v>
      </c>
      <c r="J551" s="65">
        <v>101685.1</v>
      </c>
      <c r="K551" s="65">
        <v>101685.1</v>
      </c>
      <c r="L551" s="50">
        <v>100</v>
      </c>
      <c r="M551" t="s">
        <v>2306</v>
      </c>
      <c r="N551" t="s">
        <v>2324</v>
      </c>
    </row>
    <row r="552" spans="1:14">
      <c r="A552" t="s">
        <v>3441</v>
      </c>
      <c r="B552" t="s">
        <v>3442</v>
      </c>
      <c r="C552" s="40">
        <v>44574</v>
      </c>
      <c r="D552" s="65">
        <v>5302.75</v>
      </c>
      <c r="E552" s="50">
        <v>7.3619000000000003</v>
      </c>
      <c r="F552" s="65">
        <v>134159.57500000001</v>
      </c>
      <c r="G552" s="65">
        <v>72029.221600000004</v>
      </c>
      <c r="H552" s="65">
        <v>66726.471600000004</v>
      </c>
      <c r="I552" s="50">
        <v>92.638099999999994</v>
      </c>
      <c r="J552" s="65">
        <v>72029.221600000004</v>
      </c>
      <c r="K552" s="65">
        <v>72029.221600000004</v>
      </c>
      <c r="L552" s="50">
        <v>100</v>
      </c>
      <c r="M552" t="s">
        <v>2296</v>
      </c>
      <c r="N552" t="s">
        <v>2328</v>
      </c>
    </row>
    <row r="553" spans="1:14">
      <c r="A553" t="s">
        <v>3443</v>
      </c>
      <c r="B553" t="s">
        <v>3444</v>
      </c>
      <c r="C553" s="40">
        <v>44573</v>
      </c>
      <c r="D553" s="65">
        <v>779.9</v>
      </c>
      <c r="E553" s="50">
        <v>4.7012</v>
      </c>
      <c r="F553" s="65">
        <v>3509.55</v>
      </c>
      <c r="G553" s="65">
        <v>16589.47</v>
      </c>
      <c r="H553" s="65">
        <v>15809.57</v>
      </c>
      <c r="I553" s="50">
        <v>95.2988</v>
      </c>
      <c r="J553" s="65">
        <v>16589.47</v>
      </c>
      <c r="K553" s="65">
        <v>16589.47</v>
      </c>
      <c r="L553" s="50">
        <v>100</v>
      </c>
      <c r="M553" t="s">
        <v>2311</v>
      </c>
      <c r="N553" t="s">
        <v>2338</v>
      </c>
    </row>
    <row r="554" spans="1:14">
      <c r="A554" t="s">
        <v>3445</v>
      </c>
      <c r="B554" t="s">
        <v>3446</v>
      </c>
      <c r="C554" s="40">
        <v>44570</v>
      </c>
      <c r="D554" s="65">
        <v>1371.9</v>
      </c>
      <c r="E554" s="50">
        <v>3.4651999999999998</v>
      </c>
      <c r="F554" s="65">
        <v>2085.288</v>
      </c>
      <c r="G554" s="65">
        <v>39590.591</v>
      </c>
      <c r="H554" s="65">
        <v>38218.690999999999</v>
      </c>
      <c r="I554" s="50">
        <v>96.534800000000004</v>
      </c>
      <c r="J554" s="65">
        <v>39590.591</v>
      </c>
      <c r="K554" s="65">
        <v>39590.591</v>
      </c>
      <c r="L554" s="50">
        <v>100</v>
      </c>
      <c r="M554" t="s">
        <v>2311</v>
      </c>
      <c r="N554" t="s">
        <v>2338</v>
      </c>
    </row>
    <row r="555" spans="1:14">
      <c r="A555" t="s">
        <v>3447</v>
      </c>
      <c r="B555" t="s">
        <v>3448</v>
      </c>
      <c r="C555" s="40">
        <v>44569</v>
      </c>
      <c r="D555" s="65">
        <v>2440</v>
      </c>
      <c r="E555" s="50">
        <v>5.9401000000000002</v>
      </c>
      <c r="F555" s="65">
        <v>8198.4</v>
      </c>
      <c r="G555" s="65">
        <v>41076.5</v>
      </c>
      <c r="H555" s="65">
        <v>38636.5</v>
      </c>
      <c r="I555" s="50">
        <v>94.059899999999999</v>
      </c>
      <c r="J555" s="65">
        <v>41076.5</v>
      </c>
      <c r="K555" s="65">
        <v>41076.5</v>
      </c>
      <c r="L555" s="50">
        <v>100</v>
      </c>
      <c r="M555" t="s">
        <v>2306</v>
      </c>
      <c r="N555" t="s">
        <v>2324</v>
      </c>
    </row>
    <row r="556" spans="1:14">
      <c r="A556" t="s">
        <v>3449</v>
      </c>
      <c r="B556" t="s">
        <v>3450</v>
      </c>
      <c r="C556" s="40">
        <v>44569</v>
      </c>
      <c r="D556" s="65">
        <v>2767.15</v>
      </c>
      <c r="E556" s="50">
        <v>9.8919999999999995</v>
      </c>
      <c r="F556" s="65">
        <v>81907.64</v>
      </c>
      <c r="G556" s="65">
        <v>27973.5566</v>
      </c>
      <c r="H556" s="65">
        <v>25206.406599999998</v>
      </c>
      <c r="I556" s="50">
        <v>90.108000000000004</v>
      </c>
      <c r="J556" s="65">
        <v>27973.5566</v>
      </c>
      <c r="K556" s="65">
        <v>27973.5566</v>
      </c>
      <c r="L556" s="50">
        <v>100</v>
      </c>
      <c r="M556" t="s">
        <v>2296</v>
      </c>
      <c r="N556" t="s">
        <v>2328</v>
      </c>
    </row>
    <row r="557" spans="1:14">
      <c r="A557" t="s">
        <v>3451</v>
      </c>
      <c r="B557" t="s">
        <v>3452</v>
      </c>
      <c r="C557" s="40">
        <v>44568</v>
      </c>
      <c r="D557" s="65">
        <v>7467.45</v>
      </c>
      <c r="E557" s="50">
        <v>10.5528</v>
      </c>
      <c r="F557" s="65">
        <v>43012.512000000002</v>
      </c>
      <c r="G557" s="65">
        <v>70762.5</v>
      </c>
      <c r="H557" s="65">
        <v>63295.05</v>
      </c>
      <c r="I557" s="50">
        <v>89.447199999999995</v>
      </c>
      <c r="J557" s="65">
        <v>70762.5</v>
      </c>
      <c r="K557" s="65">
        <v>70762.5</v>
      </c>
      <c r="L557" s="50">
        <v>100</v>
      </c>
      <c r="M557" t="s">
        <v>2292</v>
      </c>
      <c r="N557" t="s">
        <v>2326</v>
      </c>
    </row>
    <row r="558" spans="1:14">
      <c r="A558" t="s">
        <v>3453</v>
      </c>
      <c r="B558" t="s">
        <v>3454</v>
      </c>
      <c r="C558" s="40">
        <v>44566</v>
      </c>
      <c r="D558" s="65">
        <v>2635.6</v>
      </c>
      <c r="E558" s="50">
        <v>7.9290000000000003</v>
      </c>
      <c r="F558" s="65">
        <v>65494.66</v>
      </c>
      <c r="G558" s="65">
        <v>33240.100100000003</v>
      </c>
      <c r="H558" s="65">
        <v>10416.399799999999</v>
      </c>
      <c r="I558" s="50">
        <v>31.3368</v>
      </c>
      <c r="J558" s="65">
        <v>33240.100100000003</v>
      </c>
      <c r="K558" s="65">
        <v>13051.9998</v>
      </c>
      <c r="L558" s="50">
        <v>39.265799999999999</v>
      </c>
      <c r="M558" t="s">
        <v>2292</v>
      </c>
      <c r="N558" t="s">
        <v>2326</v>
      </c>
    </row>
    <row r="559" spans="1:14">
      <c r="A559" t="s">
        <v>3455</v>
      </c>
      <c r="B559" t="s">
        <v>3456</v>
      </c>
      <c r="C559" s="40">
        <v>44563</v>
      </c>
      <c r="D559" s="65">
        <v>14681.8</v>
      </c>
      <c r="E559" s="50">
        <v>7.0755999999999997</v>
      </c>
      <c r="F559" s="65">
        <v>53294.934000000001</v>
      </c>
      <c r="G559" s="65">
        <v>207500</v>
      </c>
      <c r="H559" s="65">
        <v>192818.2</v>
      </c>
      <c r="I559" s="50">
        <v>92.924400000000006</v>
      </c>
      <c r="J559" s="65">
        <v>207500</v>
      </c>
      <c r="K559" s="65">
        <v>207500</v>
      </c>
      <c r="L559" s="50">
        <v>100</v>
      </c>
      <c r="M559" t="s">
        <v>2306</v>
      </c>
      <c r="N559" t="s">
        <v>2324</v>
      </c>
    </row>
    <row r="560" spans="1:14">
      <c r="A560" t="s">
        <v>1042</v>
      </c>
    </row>
  </sheetData>
  <phoneticPr fontId="21"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12E77-2F18-447B-87CF-76D4165810A8}">
  <dimension ref="A1:K240"/>
  <sheetViews>
    <sheetView topLeftCell="A115" workbookViewId="0">
      <pane ySplit="2" topLeftCell="A117" activePane="bottomLeft" state="frozen"/>
      <selection activeCell="A115" sqref="A115"/>
      <selection pane="bottomLeft" activeCell="J23" sqref="J23"/>
    </sheetView>
  </sheetViews>
  <sheetFormatPr defaultRowHeight="14.25"/>
  <cols>
    <col min="1" max="1" width="13.33203125" customWidth="1"/>
    <col min="2" max="2" width="19.53125" customWidth="1"/>
    <col min="3" max="6" width="16.86328125" customWidth="1"/>
    <col min="7" max="7" width="10.6640625" customWidth="1"/>
    <col min="8" max="9" width="19.53125" customWidth="1"/>
    <col min="10" max="10" width="16.86328125" customWidth="1"/>
    <col min="11" max="11" width="23.1328125" customWidth="1"/>
  </cols>
  <sheetData>
    <row r="1" spans="1:11">
      <c r="A1" s="79" t="s">
        <v>27</v>
      </c>
      <c r="B1" s="79" t="s">
        <v>2190</v>
      </c>
      <c r="C1" s="79" t="s">
        <v>3564</v>
      </c>
      <c r="D1" s="79" t="s">
        <v>3565</v>
      </c>
      <c r="E1" s="79" t="s">
        <v>3566</v>
      </c>
      <c r="F1" s="79" t="s">
        <v>3567</v>
      </c>
      <c r="G1" s="79" t="s">
        <v>3568</v>
      </c>
      <c r="H1" s="79" t="s">
        <v>3569</v>
      </c>
      <c r="I1" s="79" t="s">
        <v>3570</v>
      </c>
      <c r="J1" s="79" t="s">
        <v>3571</v>
      </c>
      <c r="K1" s="79" t="s">
        <v>3468</v>
      </c>
    </row>
    <row r="2" spans="1:11">
      <c r="A2" t="s">
        <v>2191</v>
      </c>
      <c r="B2" t="s">
        <v>3120</v>
      </c>
      <c r="C2" t="s">
        <v>3572</v>
      </c>
      <c r="D2" t="s">
        <v>3573</v>
      </c>
      <c r="E2" t="s">
        <v>3574</v>
      </c>
      <c r="F2" t="s">
        <v>3575</v>
      </c>
      <c r="G2" t="s">
        <v>3576</v>
      </c>
      <c r="H2" t="s">
        <v>3577</v>
      </c>
      <c r="I2" t="s">
        <v>3578</v>
      </c>
      <c r="J2" t="s">
        <v>3579</v>
      </c>
      <c r="K2" t="s">
        <v>3580</v>
      </c>
    </row>
    <row r="3" spans="1:11">
      <c r="A3" t="s">
        <v>222</v>
      </c>
      <c r="B3" t="s">
        <v>223</v>
      </c>
      <c r="C3" s="40">
        <f>IFERROR(_xlfn.MINIFS('04_ccass_unlocks'!$C$3:$C$560,'04_ccass_unlocks'!$A$3:$A$560,$A3),"")</f>
        <v>45733</v>
      </c>
      <c r="D3" s="50">
        <f>IFERROR(SUMPRODUCT(('04_ccass_unlocks'!$A$3:$A$560=$A3)*('04_ccass_unlocks'!$C$3:$C$560=$C3)*'04_ccass_unlocks'!$E$3:$E$560),"")</f>
        <v>27.5076</v>
      </c>
      <c r="E3" s="50">
        <f>IFERROR(_xlfn.MAXIFS('04_ccass_unlocks'!$E$3:$E$560,'04_ccass_unlocks'!$A$3:$A$560,$A3),"")</f>
        <v>27.5076</v>
      </c>
      <c r="F3" s="40">
        <f>IFERROR(SUMPRODUCT(('04_ccass_unlocks'!$A$3:$A$560=$A3)*('04_ccass_unlocks'!$E$3:$E$560=$E3)*'04_ccass_unlocks'!$C$3:$C$560),"")</f>
        <v>45733</v>
      </c>
      <c r="G3">
        <f>COUNTIF('04_ccass_unlocks'!$A$3:$A$560,$A3)</f>
        <v>1</v>
      </c>
      <c r="H3" s="80">
        <f>SUMIFS('04_ccass_unlocks'!$D$3:$D$560,'04_ccass_unlocks'!$A$3:$A$560,$A3)</f>
        <v>17903.27</v>
      </c>
      <c r="I3" s="65">
        <f>SUMIFS('04_ccass_unlocks'!$F$3:$F$560,'04_ccass_unlocks'!$A$3:$A$560,$A3)</f>
        <v>1305148.3829999999</v>
      </c>
      <c r="J3" s="40">
        <f>IFERROR(_xlfn.MAXIFS('04_ccass_unlocks'!$C$3:$C$560,'04_ccass_unlocks'!$A$3:$A$560,$A3),"")</f>
        <v>45733</v>
      </c>
      <c r="K3" t="s">
        <v>2299</v>
      </c>
    </row>
    <row r="4" spans="1:11">
      <c r="A4" t="s">
        <v>641</v>
      </c>
      <c r="B4" t="s">
        <v>642</v>
      </c>
      <c r="C4" s="40">
        <f>IFERROR(_xlfn.MINIFS('04_ccass_unlocks'!$C$3:$C$560,'04_ccass_unlocks'!$A$3:$A$560,$A4),"")</f>
        <v>45848</v>
      </c>
      <c r="D4" s="50">
        <f>IFERROR(SUMPRODUCT(('04_ccass_unlocks'!$A$3:$A$560=$A4)*('04_ccass_unlocks'!$C$3:$C$560=$C4)*'04_ccass_unlocks'!$E$3:$E$560),"")</f>
        <v>41.8626</v>
      </c>
      <c r="E4" s="50">
        <f>IFERROR(_xlfn.MAXIFS('04_ccass_unlocks'!$E$3:$E$560,'04_ccass_unlocks'!$A$3:$A$560,$A4),"")</f>
        <v>47.921700000000001</v>
      </c>
      <c r="F4" s="40">
        <f>IFERROR(SUMPRODUCT(('04_ccass_unlocks'!$A$3:$A$560=$A4)*('04_ccass_unlocks'!$E$3:$E$560=$E4)*'04_ccass_unlocks'!$C$3:$C$560),"")</f>
        <v>46032</v>
      </c>
      <c r="G4">
        <f>COUNTIF('04_ccass_unlocks'!$A$3:$A$560,$A4)</f>
        <v>2</v>
      </c>
      <c r="H4" s="80">
        <f>SUMIFS('04_ccass_unlocks'!$D$3:$D$560,'04_ccass_unlocks'!$A$3:$A$560,$A4)</f>
        <v>22378.8145</v>
      </c>
      <c r="I4" s="65">
        <f>SUMIFS('04_ccass_unlocks'!$F$3:$F$560,'04_ccass_unlocks'!$A$3:$A$560,$A4)</f>
        <v>2330862.5901100002</v>
      </c>
      <c r="J4" s="40">
        <f>IFERROR(_xlfn.MAXIFS('04_ccass_unlocks'!$C$3:$C$560,'04_ccass_unlocks'!$A$3:$A$560,$A4),"")</f>
        <v>46032</v>
      </c>
      <c r="K4" t="s">
        <v>2299</v>
      </c>
    </row>
    <row r="5" spans="1:11">
      <c r="A5" t="s">
        <v>394</v>
      </c>
      <c r="B5" t="s">
        <v>395</v>
      </c>
      <c r="C5" s="40">
        <f>IFERROR(_xlfn.MINIFS('04_ccass_unlocks'!$C$3:$C$560,'04_ccass_unlocks'!$A$3:$A$560,$A5),"")</f>
        <v>46134</v>
      </c>
      <c r="D5" s="50">
        <f>IFERROR(SUMPRODUCT(('04_ccass_unlocks'!$A$3:$A$560=$A5)*('04_ccass_unlocks'!$C$3:$C$560=$C5)*'04_ccass_unlocks'!$E$3:$E$560),"")</f>
        <v>43.035200000000003</v>
      </c>
      <c r="E5" s="50">
        <f>IFERROR(_xlfn.MAXIFS('04_ccass_unlocks'!$E$3:$E$560,'04_ccass_unlocks'!$A$3:$A$560,$A5),"")</f>
        <v>43.035200000000003</v>
      </c>
      <c r="F5" s="40">
        <f>IFERROR(SUMPRODUCT(('04_ccass_unlocks'!$A$3:$A$560=$A5)*('04_ccass_unlocks'!$E$3:$E$560=$E5)*'04_ccass_unlocks'!$C$3:$C$560),"")</f>
        <v>46134</v>
      </c>
      <c r="G5">
        <f>COUNTIF('04_ccass_unlocks'!$A$3:$A$560,$A5)</f>
        <v>1</v>
      </c>
      <c r="H5" s="80">
        <f>SUMIFS('04_ccass_unlocks'!$D$3:$D$560,'04_ccass_unlocks'!$A$3:$A$560,$A5)</f>
        <v>5813.2</v>
      </c>
      <c r="I5" s="65">
        <f>SUMIFS('04_ccass_unlocks'!$F$3:$F$560,'04_ccass_unlocks'!$A$3:$A$560,$A5)</f>
        <v>81094.14</v>
      </c>
      <c r="J5" s="40">
        <f>IFERROR(_xlfn.MAXIFS('04_ccass_unlocks'!$C$3:$C$560,'04_ccass_unlocks'!$A$3:$A$560,$A5),"")</f>
        <v>46134</v>
      </c>
      <c r="K5" t="s">
        <v>2297</v>
      </c>
    </row>
    <row r="6" spans="1:11">
      <c r="A6" t="s">
        <v>327</v>
      </c>
      <c r="B6" t="s">
        <v>328</v>
      </c>
      <c r="C6" s="40">
        <f>IFERROR(_xlfn.MINIFS('04_ccass_unlocks'!$C$3:$C$560,'04_ccass_unlocks'!$A$3:$A$560,$A6),"")</f>
        <v>45643</v>
      </c>
      <c r="D6" s="50">
        <f>IFERROR(SUMPRODUCT(('04_ccass_unlocks'!$A$3:$A$560=$A6)*('04_ccass_unlocks'!$C$3:$C$560=$C6)*'04_ccass_unlocks'!$E$3:$E$560),"")</f>
        <v>1.9460999999999999</v>
      </c>
      <c r="E6" s="50">
        <f>IFERROR(_xlfn.MAXIFS('04_ccass_unlocks'!$E$3:$E$560,'04_ccass_unlocks'!$A$3:$A$560,$A6),"")</f>
        <v>1.9460999999999999</v>
      </c>
      <c r="F6" s="40">
        <f>IFERROR(SUMPRODUCT(('04_ccass_unlocks'!$A$3:$A$560=$A6)*('04_ccass_unlocks'!$E$3:$E$560=$E6)*'04_ccass_unlocks'!$C$3:$C$560),"")</f>
        <v>45643</v>
      </c>
      <c r="G6">
        <f>COUNTIF('04_ccass_unlocks'!$A$3:$A$560,$A6)</f>
        <v>1</v>
      </c>
      <c r="H6" s="80">
        <f>SUMIFS('04_ccass_unlocks'!$D$3:$D$560,'04_ccass_unlocks'!$A$3:$A$560,$A6)</f>
        <v>4431.0276999999996</v>
      </c>
      <c r="I6" s="65">
        <f>SUMIFS('04_ccass_unlocks'!$F$3:$F$560,'04_ccass_unlocks'!$A$3:$A$560,$A6)</f>
        <v>57780.601208</v>
      </c>
      <c r="J6" s="40">
        <f>IFERROR(_xlfn.MAXIFS('04_ccass_unlocks'!$C$3:$C$560,'04_ccass_unlocks'!$A$3:$A$560,$A6),"")</f>
        <v>45643</v>
      </c>
      <c r="K6" t="s">
        <v>2297</v>
      </c>
    </row>
    <row r="7" spans="1:11">
      <c r="A7" t="s">
        <v>248</v>
      </c>
      <c r="B7" t="s">
        <v>249</v>
      </c>
      <c r="C7" s="40">
        <f>IFERROR(_xlfn.MINIFS('04_ccass_unlocks'!$C$3:$C$560,'04_ccass_unlocks'!$A$3:$A$560,$A7),"")</f>
        <v>46148</v>
      </c>
      <c r="D7" s="50">
        <f>IFERROR(SUMPRODUCT(('04_ccass_unlocks'!$A$3:$A$560=$A7)*('04_ccass_unlocks'!$C$3:$C$560=$C7)*'04_ccass_unlocks'!$E$3:$E$560),"")</f>
        <v>24.382300000000001</v>
      </c>
      <c r="E7" s="50">
        <f>IFERROR(_xlfn.MAXIFS('04_ccass_unlocks'!$E$3:$E$560,'04_ccass_unlocks'!$A$3:$A$560,$A7),"")</f>
        <v>24.382300000000001</v>
      </c>
      <c r="F7" s="40">
        <f>IFERROR(SUMPRODUCT(('04_ccass_unlocks'!$A$3:$A$560=$A7)*('04_ccass_unlocks'!$E$3:$E$560=$E7)*'04_ccass_unlocks'!$C$3:$C$560),"")</f>
        <v>46148</v>
      </c>
      <c r="G7">
        <f>COUNTIF('04_ccass_unlocks'!$A$3:$A$560,$A7)</f>
        <v>1</v>
      </c>
      <c r="H7" s="80">
        <f>SUMIFS('04_ccass_unlocks'!$D$3:$D$560,'04_ccass_unlocks'!$A$3:$A$560,$A7)</f>
        <v>3781.7</v>
      </c>
      <c r="I7" s="65">
        <f>SUMIFS('04_ccass_unlocks'!$F$3:$F$560,'04_ccass_unlocks'!$A$3:$A$560,$A7)</f>
        <v>66444.468999999997</v>
      </c>
      <c r="J7" s="40">
        <f>IFERROR(_xlfn.MAXIFS('04_ccass_unlocks'!$C$3:$C$560,'04_ccass_unlocks'!$A$3:$A$560,$A7),"")</f>
        <v>46148</v>
      </c>
      <c r="K7" t="s">
        <v>2300</v>
      </c>
    </row>
    <row r="8" spans="1:11">
      <c r="A8" t="s">
        <v>678</v>
      </c>
      <c r="B8" t="s">
        <v>679</v>
      </c>
      <c r="C8" s="40">
        <f>IFERROR(_xlfn.MINIFS('04_ccass_unlocks'!$C$3:$C$560,'04_ccass_unlocks'!$A$3:$A$560,$A8),"")</f>
        <v>46035</v>
      </c>
      <c r="D8" s="50">
        <f>IFERROR(SUMPRODUCT(('04_ccass_unlocks'!$A$3:$A$560=$A8)*('04_ccass_unlocks'!$C$3:$C$560=$C8)*'04_ccass_unlocks'!$E$3:$E$560),"")</f>
        <v>74.380099999999999</v>
      </c>
      <c r="E8" s="50">
        <f>IFERROR(_xlfn.MAXIFS('04_ccass_unlocks'!$E$3:$E$560,'04_ccass_unlocks'!$A$3:$A$560,$A8),"")</f>
        <v>74.380099999999999</v>
      </c>
      <c r="F8" s="40">
        <f>IFERROR(SUMPRODUCT(('04_ccass_unlocks'!$A$3:$A$560=$A8)*('04_ccass_unlocks'!$E$3:$E$560=$E8)*'04_ccass_unlocks'!$C$3:$C$560),"")</f>
        <v>46035</v>
      </c>
      <c r="G8">
        <f>COUNTIF('04_ccass_unlocks'!$A$3:$A$560,$A8)</f>
        <v>1</v>
      </c>
      <c r="H8" s="80">
        <f>SUMIFS('04_ccass_unlocks'!$D$3:$D$560,'04_ccass_unlocks'!$A$3:$A$560,$A8)</f>
        <v>71404.92</v>
      </c>
      <c r="I8" s="65">
        <f>SUMIFS('04_ccass_unlocks'!$F$3:$F$560,'04_ccass_unlocks'!$A$3:$A$560,$A8)</f>
        <v>79973.510399999999</v>
      </c>
      <c r="J8" s="40">
        <f>IFERROR(_xlfn.MAXIFS('04_ccass_unlocks'!$C$3:$C$560,'04_ccass_unlocks'!$A$3:$A$560,$A8),"")</f>
        <v>46035</v>
      </c>
      <c r="K8" t="s">
        <v>2300</v>
      </c>
    </row>
    <row r="9" spans="1:11">
      <c r="A9" t="s">
        <v>468</v>
      </c>
      <c r="B9" t="s">
        <v>469</v>
      </c>
      <c r="C9" s="40">
        <f>IFERROR(_xlfn.MINIFS('04_ccass_unlocks'!$C$3:$C$560,'04_ccass_unlocks'!$A$3:$A$560,$A9),"")</f>
        <v>44814</v>
      </c>
      <c r="D9" s="50">
        <f>IFERROR(SUMPRODUCT(('04_ccass_unlocks'!$A$3:$A$560=$A9)*('04_ccass_unlocks'!$C$3:$C$560=$C9)*'04_ccass_unlocks'!$E$3:$E$560),"")</f>
        <v>8.7812999999999999</v>
      </c>
      <c r="E9" s="50">
        <f>IFERROR(_xlfn.MAXIFS('04_ccass_unlocks'!$E$3:$E$560,'04_ccass_unlocks'!$A$3:$A$560,$A9),"")</f>
        <v>8.7812999999999999</v>
      </c>
      <c r="F9" s="40">
        <f>IFERROR(SUMPRODUCT(('04_ccass_unlocks'!$A$3:$A$560=$A9)*('04_ccass_unlocks'!$E$3:$E$560=$E9)*'04_ccass_unlocks'!$C$3:$C$560),"")</f>
        <v>44814</v>
      </c>
      <c r="G9">
        <f>COUNTIF('04_ccass_unlocks'!$A$3:$A$560,$A9)</f>
        <v>1</v>
      </c>
      <c r="H9" s="80">
        <f>SUMIFS('04_ccass_unlocks'!$D$3:$D$560,'04_ccass_unlocks'!$A$3:$A$560,$A9)</f>
        <v>7940</v>
      </c>
      <c r="I9" s="65">
        <f>SUMIFS('04_ccass_unlocks'!$F$3:$F$560,'04_ccass_unlocks'!$A$3:$A$560,$A9)</f>
        <v>36841.599999999999</v>
      </c>
      <c r="J9" s="40">
        <f>IFERROR(_xlfn.MAXIFS('04_ccass_unlocks'!$C$3:$C$560,'04_ccass_unlocks'!$A$3:$A$560,$A9),"")</f>
        <v>44814</v>
      </c>
      <c r="K9" t="s">
        <v>2306</v>
      </c>
    </row>
    <row r="10" spans="1:11">
      <c r="A10" t="s">
        <v>631</v>
      </c>
      <c r="B10" t="s">
        <v>632</v>
      </c>
      <c r="C10" s="40">
        <f>IFERROR(_xlfn.MINIFS('04_ccass_unlocks'!$C$3:$C$560,'04_ccass_unlocks'!$A$3:$A$560,$A10),"")</f>
        <v>45619</v>
      </c>
      <c r="D10" s="50">
        <f>IFERROR(SUMPRODUCT(('04_ccass_unlocks'!$A$3:$A$560=$A10)*('04_ccass_unlocks'!$C$3:$C$560=$C10)*'04_ccass_unlocks'!$E$3:$E$560),"")</f>
        <v>53.230699999999999</v>
      </c>
      <c r="E10" s="50">
        <f>IFERROR(_xlfn.MAXIFS('04_ccass_unlocks'!$E$3:$E$560,'04_ccass_unlocks'!$A$3:$A$560,$A10),"")</f>
        <v>53.230699999999999</v>
      </c>
      <c r="F10" s="40">
        <f>IFERROR(SUMPRODUCT(('04_ccass_unlocks'!$A$3:$A$560=$A10)*('04_ccass_unlocks'!$E$3:$E$560=$E10)*'04_ccass_unlocks'!$C$3:$C$560),"")</f>
        <v>45619</v>
      </c>
      <c r="G10">
        <f>COUNTIF('04_ccass_unlocks'!$A$3:$A$560,$A10)</f>
        <v>3</v>
      </c>
      <c r="H10" s="80">
        <f>SUMIFS('04_ccass_unlocks'!$D$3:$D$560,'04_ccass_unlocks'!$A$3:$A$560,$A10)</f>
        <v>24612.904600000002</v>
      </c>
      <c r="I10" s="65">
        <f>SUMIFS('04_ccass_unlocks'!$F$3:$F$560,'04_ccass_unlocks'!$A$3:$A$560,$A10)</f>
        <v>1759445.8282399999</v>
      </c>
      <c r="J10" s="40">
        <f>IFERROR(_xlfn.MAXIFS('04_ccass_unlocks'!$C$3:$C$560,'04_ccass_unlocks'!$A$3:$A$560,$A10),"")</f>
        <v>45804</v>
      </c>
      <c r="K10" t="s">
        <v>2308</v>
      </c>
    </row>
    <row r="11" spans="1:11">
      <c r="A11" t="s">
        <v>422</v>
      </c>
      <c r="B11" t="s">
        <v>423</v>
      </c>
      <c r="C11" s="40">
        <f>IFERROR(_xlfn.MINIFS('04_ccass_unlocks'!$C$3:$C$560,'04_ccass_unlocks'!$A$3:$A$560,$A11),"")</f>
        <v>46012</v>
      </c>
      <c r="D11" s="50">
        <f>IFERROR(SUMPRODUCT(('04_ccass_unlocks'!$A$3:$A$560=$A11)*('04_ccass_unlocks'!$C$3:$C$560=$C11)*'04_ccass_unlocks'!$E$3:$E$560),"")</f>
        <v>6.4035000000000002</v>
      </c>
      <c r="E11" s="50">
        <f>IFERROR(_xlfn.MAXIFS('04_ccass_unlocks'!$E$3:$E$560,'04_ccass_unlocks'!$A$3:$A$560,$A11),"")</f>
        <v>6.4035000000000002</v>
      </c>
      <c r="F11" s="40">
        <f>IFERROR(SUMPRODUCT(('04_ccass_unlocks'!$A$3:$A$560=$A11)*('04_ccass_unlocks'!$E$3:$E$560=$E11)*'04_ccass_unlocks'!$C$3:$C$560),"")</f>
        <v>46012</v>
      </c>
      <c r="G11">
        <f>COUNTIF('04_ccass_unlocks'!$A$3:$A$560,$A11)</f>
        <v>1</v>
      </c>
      <c r="H11" s="80">
        <f>SUMIFS('04_ccass_unlocks'!$D$3:$D$560,'04_ccass_unlocks'!$A$3:$A$560,$A11)</f>
        <v>7533.8</v>
      </c>
      <c r="I11" s="65">
        <f>SUMIFS('04_ccass_unlocks'!$F$3:$F$560,'04_ccass_unlocks'!$A$3:$A$560,$A11)</f>
        <v>67954.876000000004</v>
      </c>
      <c r="J11" s="40">
        <f>IFERROR(_xlfn.MAXIFS('04_ccass_unlocks'!$C$3:$C$560,'04_ccass_unlocks'!$A$3:$A$560,$A11),"")</f>
        <v>46012</v>
      </c>
      <c r="K11" t="s">
        <v>2309</v>
      </c>
    </row>
    <row r="12" spans="1:11">
      <c r="A12" t="s">
        <v>711</v>
      </c>
      <c r="B12" t="s">
        <v>712</v>
      </c>
      <c r="C12" s="40">
        <f>IFERROR(_xlfn.MINIFS('04_ccass_unlocks'!$C$3:$C$560,'04_ccass_unlocks'!$A$3:$A$560,$A12),"")</f>
        <v>44941</v>
      </c>
      <c r="D12" s="50">
        <f>IFERROR(SUMPRODUCT(('04_ccass_unlocks'!$A$3:$A$560=$A12)*('04_ccass_unlocks'!$C$3:$C$560=$C12)*'04_ccass_unlocks'!$E$3:$E$560),"")</f>
        <v>5.5552000000000001</v>
      </c>
      <c r="E12" s="50">
        <f>IFERROR(_xlfn.MAXIFS('04_ccass_unlocks'!$E$3:$E$560,'04_ccass_unlocks'!$A$3:$A$560,$A12),"")</f>
        <v>5.5552000000000001</v>
      </c>
      <c r="F12" s="40">
        <f>IFERROR(SUMPRODUCT(('04_ccass_unlocks'!$A$3:$A$560=$A12)*('04_ccass_unlocks'!$E$3:$E$560=$E12)*'04_ccass_unlocks'!$C$3:$C$560),"")</f>
        <v>44941</v>
      </c>
      <c r="G12">
        <f>COUNTIF('04_ccass_unlocks'!$A$3:$A$560,$A12)</f>
        <v>1</v>
      </c>
      <c r="H12" s="80">
        <f>SUMIFS('04_ccass_unlocks'!$D$3:$D$560,'04_ccass_unlocks'!$A$3:$A$560,$A12)</f>
        <v>2777.6</v>
      </c>
      <c r="I12" s="65">
        <f>SUMIFS('04_ccass_unlocks'!$F$3:$F$560,'04_ccass_unlocks'!$A$3:$A$560,$A12)</f>
        <v>3222.0160000000001</v>
      </c>
      <c r="J12" s="40">
        <f>IFERROR(_xlfn.MAXIFS('04_ccass_unlocks'!$C$3:$C$560,'04_ccass_unlocks'!$A$3:$A$560,$A12),"")</f>
        <v>44941</v>
      </c>
      <c r="K12" t="s">
        <v>2298</v>
      </c>
    </row>
    <row r="13" spans="1:11">
      <c r="A13" t="s">
        <v>719</v>
      </c>
      <c r="B13" t="s">
        <v>720</v>
      </c>
      <c r="C13" s="40">
        <f>IFERROR(_xlfn.MINIFS('04_ccass_unlocks'!$C$3:$C$560,'04_ccass_unlocks'!$A$3:$A$560,$A13),"")</f>
        <v>45200</v>
      </c>
      <c r="D13" s="50">
        <f>IFERROR(SUMPRODUCT(('04_ccass_unlocks'!$A$3:$A$560=$A13)*('04_ccass_unlocks'!$C$3:$C$560=$C13)*'04_ccass_unlocks'!$E$3:$E$560),"")</f>
        <v>96.311700000000002</v>
      </c>
      <c r="E13" s="50">
        <f>IFERROR(_xlfn.MAXIFS('04_ccass_unlocks'!$E$3:$E$560,'04_ccass_unlocks'!$A$3:$A$560,$A13),"")</f>
        <v>96.311700000000002</v>
      </c>
      <c r="F13" s="40">
        <f>IFERROR(SUMPRODUCT(('04_ccass_unlocks'!$A$3:$A$560=$A13)*('04_ccass_unlocks'!$E$3:$E$560=$E13)*'04_ccass_unlocks'!$C$3:$C$560),"")</f>
        <v>45200</v>
      </c>
      <c r="G13">
        <f>COUNTIF('04_ccass_unlocks'!$A$3:$A$560,$A13)</f>
        <v>1</v>
      </c>
      <c r="H13" s="80">
        <f>SUMIFS('04_ccass_unlocks'!$D$3:$D$560,'04_ccass_unlocks'!$A$3:$A$560,$A13)</f>
        <v>24868.35</v>
      </c>
      <c r="I13" s="65">
        <f>SUMIFS('04_ccass_unlocks'!$F$3:$F$560,'04_ccass_unlocks'!$A$3:$A$560,$A13)</f>
        <v>340199.02799999999</v>
      </c>
      <c r="J13" s="40">
        <f>IFERROR(_xlfn.MAXIFS('04_ccass_unlocks'!$C$3:$C$560,'04_ccass_unlocks'!$A$3:$A$560,$A13),"")</f>
        <v>45200</v>
      </c>
      <c r="K13" t="s">
        <v>2296</v>
      </c>
    </row>
    <row r="14" spans="1:11">
      <c r="A14" t="s">
        <v>596</v>
      </c>
      <c r="B14" t="s">
        <v>597</v>
      </c>
      <c r="C14" s="40">
        <f>IFERROR(_xlfn.MINIFS('04_ccass_unlocks'!$C$3:$C$560,'04_ccass_unlocks'!$A$3:$A$560,$A14),"")</f>
        <v>45463</v>
      </c>
      <c r="D14" s="50">
        <f>IFERROR(SUMPRODUCT(('04_ccass_unlocks'!$A$3:$A$560=$A14)*('04_ccass_unlocks'!$C$3:$C$560=$C14)*'04_ccass_unlocks'!$E$3:$E$560),"")</f>
        <v>7.7362000000000002</v>
      </c>
      <c r="E14" s="50">
        <f>IFERROR(_xlfn.MAXIFS('04_ccass_unlocks'!$E$3:$E$560,'04_ccass_unlocks'!$A$3:$A$560,$A14),"")</f>
        <v>25.627199999999998</v>
      </c>
      <c r="F14" s="40">
        <f>IFERROR(SUMPRODUCT(('04_ccass_unlocks'!$A$3:$A$560=$A14)*('04_ccass_unlocks'!$E$3:$E$560=$E14)*'04_ccass_unlocks'!$C$3:$C$560),"")</f>
        <v>46066</v>
      </c>
      <c r="G14">
        <f>COUNTIF('04_ccass_unlocks'!$A$3:$A$560,$A14)</f>
        <v>2</v>
      </c>
      <c r="H14" s="80">
        <f>SUMIFS('04_ccass_unlocks'!$D$3:$D$560,'04_ccass_unlocks'!$A$3:$A$560,$A14)</f>
        <v>8348.4600000000009</v>
      </c>
      <c r="I14" s="65">
        <f>SUMIFS('04_ccass_unlocks'!$F$3:$F$560,'04_ccass_unlocks'!$A$3:$A$560,$A14)</f>
        <v>148498.7824</v>
      </c>
      <c r="J14" s="40">
        <f>IFERROR(_xlfn.MAXIFS('04_ccass_unlocks'!$C$3:$C$560,'04_ccass_unlocks'!$A$3:$A$560,$A14),"")</f>
        <v>46066</v>
      </c>
      <c r="K14" t="s">
        <v>2298</v>
      </c>
    </row>
    <row r="15" spans="1:11">
      <c r="A15" t="s">
        <v>285</v>
      </c>
      <c r="B15" t="s">
        <v>286</v>
      </c>
      <c r="C15" s="40">
        <f>IFERROR(_xlfn.MINIFS('04_ccass_unlocks'!$C$3:$C$560,'04_ccass_unlocks'!$A$3:$A$560,$A15),"")</f>
        <v>45984</v>
      </c>
      <c r="D15" s="50">
        <f>IFERROR(SUMPRODUCT(('04_ccass_unlocks'!$A$3:$A$560=$A15)*('04_ccass_unlocks'!$C$3:$C$560=$C15)*'04_ccass_unlocks'!$E$3:$E$560),"")</f>
        <v>36.3185</v>
      </c>
      <c r="E15" s="50">
        <f>IFERROR(_xlfn.MAXIFS('04_ccass_unlocks'!$E$3:$E$560,'04_ccass_unlocks'!$A$3:$A$560,$A15),"")</f>
        <v>36.3185</v>
      </c>
      <c r="F15" s="40">
        <f>IFERROR(SUMPRODUCT(('04_ccass_unlocks'!$A$3:$A$560=$A15)*('04_ccass_unlocks'!$E$3:$E$560=$E15)*'04_ccass_unlocks'!$C$3:$C$560),"")</f>
        <v>45984</v>
      </c>
      <c r="G15">
        <f>COUNTIF('04_ccass_unlocks'!$A$3:$A$560,$A15)</f>
        <v>1</v>
      </c>
      <c r="H15" s="80">
        <f>SUMIFS('04_ccass_unlocks'!$D$3:$D$560,'04_ccass_unlocks'!$A$3:$A$560,$A15)</f>
        <v>9377.34</v>
      </c>
      <c r="I15" s="65">
        <f>SUMIFS('04_ccass_unlocks'!$F$3:$F$560,'04_ccass_unlocks'!$A$3:$A$560,$A15)</f>
        <v>618435.57299999997</v>
      </c>
      <c r="J15" s="40">
        <f>IFERROR(_xlfn.MAXIFS('04_ccass_unlocks'!$C$3:$C$560,'04_ccass_unlocks'!$A$3:$A$560,$A15),"")</f>
        <v>45984</v>
      </c>
      <c r="K15" t="s">
        <v>2296</v>
      </c>
    </row>
    <row r="16" spans="1:11">
      <c r="A16" t="s">
        <v>819</v>
      </c>
      <c r="B16" t="s">
        <v>820</v>
      </c>
      <c r="C16" s="40">
        <f>IFERROR(_xlfn.MINIFS('04_ccass_unlocks'!$C$3:$C$560,'04_ccass_unlocks'!$A$3:$A$560,$A16),"")</f>
        <v>46031</v>
      </c>
      <c r="D16" s="50">
        <f>IFERROR(SUMPRODUCT(('04_ccass_unlocks'!$A$3:$A$560=$A16)*('04_ccass_unlocks'!$C$3:$C$560=$C16)*'04_ccass_unlocks'!$E$3:$E$560),"")</f>
        <v>33.845300000000002</v>
      </c>
      <c r="E16" s="50">
        <f>IFERROR(_xlfn.MAXIFS('04_ccass_unlocks'!$E$3:$E$560,'04_ccass_unlocks'!$A$3:$A$560,$A16),"")</f>
        <v>33.845300000000002</v>
      </c>
      <c r="F16" s="40">
        <f>IFERROR(SUMPRODUCT(('04_ccass_unlocks'!$A$3:$A$560=$A16)*('04_ccass_unlocks'!$E$3:$E$560=$E16)*'04_ccass_unlocks'!$C$3:$C$560),"")</f>
        <v>46031</v>
      </c>
      <c r="G16">
        <f>COUNTIF('04_ccass_unlocks'!$A$3:$A$560,$A16)</f>
        <v>1</v>
      </c>
      <c r="H16" s="80">
        <f>SUMIFS('04_ccass_unlocks'!$D$3:$D$560,'04_ccass_unlocks'!$A$3:$A$560,$A16)</f>
        <v>729.57</v>
      </c>
      <c r="I16" s="65">
        <f>SUMIFS('04_ccass_unlocks'!$F$3:$F$560,'04_ccass_unlocks'!$A$3:$A$560,$A16)</f>
        <v>94844.1</v>
      </c>
      <c r="J16" s="40">
        <f>IFERROR(_xlfn.MAXIFS('04_ccass_unlocks'!$C$3:$C$560,'04_ccass_unlocks'!$A$3:$A$560,$A16),"")</f>
        <v>46031</v>
      </c>
      <c r="K16" t="s">
        <v>2295</v>
      </c>
    </row>
    <row r="17" spans="1:11">
      <c r="A17" t="s">
        <v>463</v>
      </c>
      <c r="B17" t="s">
        <v>464</v>
      </c>
      <c r="C17" s="40">
        <f>IFERROR(_xlfn.MINIFS('04_ccass_unlocks'!$C$3:$C$560,'04_ccass_unlocks'!$A$3:$A$560,$A17),"")</f>
        <v>45818</v>
      </c>
      <c r="D17" s="50">
        <f>IFERROR(SUMPRODUCT(('04_ccass_unlocks'!$A$3:$A$560=$A17)*('04_ccass_unlocks'!$C$3:$C$560=$C17)*'04_ccass_unlocks'!$E$3:$E$560),"")</f>
        <v>5.3277999999999999</v>
      </c>
      <c r="E17" s="50">
        <f>IFERROR(_xlfn.MAXIFS('04_ccass_unlocks'!$E$3:$E$560,'04_ccass_unlocks'!$A$3:$A$560,$A17),"")</f>
        <v>35.0184</v>
      </c>
      <c r="F17" s="40">
        <f>IFERROR(SUMPRODUCT(('04_ccass_unlocks'!$A$3:$A$560=$A17)*('04_ccass_unlocks'!$E$3:$E$560=$E17)*'04_ccass_unlocks'!$C$3:$C$560),"")</f>
        <v>46001</v>
      </c>
      <c r="G17">
        <f>COUNTIF('04_ccass_unlocks'!$A$3:$A$560,$A17)</f>
        <v>2</v>
      </c>
      <c r="H17" s="80">
        <f>SUMIFS('04_ccass_unlocks'!$D$3:$D$560,'04_ccass_unlocks'!$A$3:$A$560,$A17)</f>
        <v>19777.14</v>
      </c>
      <c r="I17" s="65">
        <f>SUMIFS('04_ccass_unlocks'!$F$3:$F$560,'04_ccass_unlocks'!$A$3:$A$560,$A17)</f>
        <v>1755676.3810000001</v>
      </c>
      <c r="J17" s="40">
        <f>IFERROR(_xlfn.MAXIFS('04_ccass_unlocks'!$C$3:$C$560,'04_ccass_unlocks'!$A$3:$A$560,$A17),"")</f>
        <v>46001</v>
      </c>
      <c r="K17" t="s">
        <v>2292</v>
      </c>
    </row>
    <row r="18" spans="1:11">
      <c r="A18" t="s">
        <v>791</v>
      </c>
      <c r="B18" t="s">
        <v>792</v>
      </c>
      <c r="C18" s="40">
        <f>IFERROR(_xlfn.MINIFS('04_ccass_unlocks'!$C$3:$C$560,'04_ccass_unlocks'!$A$3:$A$560,$A18),"")</f>
        <v>46060</v>
      </c>
      <c r="D18" s="50">
        <f>IFERROR(SUMPRODUCT(('04_ccass_unlocks'!$A$3:$A$560=$A18)*('04_ccass_unlocks'!$C$3:$C$560=$C18)*'04_ccass_unlocks'!$E$3:$E$560),"")</f>
        <v>0.89980000000000004</v>
      </c>
      <c r="E18" s="50">
        <f>IFERROR(_xlfn.MAXIFS('04_ccass_unlocks'!$E$3:$E$560,'04_ccass_unlocks'!$A$3:$A$560,$A18),"")</f>
        <v>0.89980000000000004</v>
      </c>
      <c r="F18" s="40">
        <f>IFERROR(SUMPRODUCT(('04_ccass_unlocks'!$A$3:$A$560=$A18)*('04_ccass_unlocks'!$E$3:$E$560=$E18)*'04_ccass_unlocks'!$C$3:$C$560),"")</f>
        <v>46060</v>
      </c>
      <c r="G18">
        <f>COUNTIF('04_ccass_unlocks'!$A$3:$A$560,$A18)</f>
        <v>1</v>
      </c>
      <c r="H18" s="80">
        <f>SUMIFS('04_ccass_unlocks'!$D$3:$D$560,'04_ccass_unlocks'!$A$3:$A$560,$A18)</f>
        <v>350.62</v>
      </c>
      <c r="I18" s="65">
        <f>SUMIFS('04_ccass_unlocks'!$F$3:$F$560,'04_ccass_unlocks'!$A$3:$A$560,$A18)</f>
        <v>7096.5487999999996</v>
      </c>
      <c r="J18" s="40">
        <f>IFERROR(_xlfn.MAXIFS('04_ccass_unlocks'!$C$3:$C$560,'04_ccass_unlocks'!$A$3:$A$560,$A18),"")</f>
        <v>46060</v>
      </c>
      <c r="K18" t="s">
        <v>2297</v>
      </c>
    </row>
    <row r="19" spans="1:11">
      <c r="A19" t="s">
        <v>755</v>
      </c>
      <c r="B19" t="s">
        <v>756</v>
      </c>
      <c r="C19" s="40">
        <f>IFERROR(_xlfn.MINIFS('04_ccass_unlocks'!$C$3:$C$560,'04_ccass_unlocks'!$A$3:$A$560,$A19),"")</f>
        <v>45667</v>
      </c>
      <c r="D19" s="50">
        <f>IFERROR(SUMPRODUCT(('04_ccass_unlocks'!$A$3:$A$560=$A19)*('04_ccass_unlocks'!$C$3:$C$560=$C19)*'04_ccass_unlocks'!$E$3:$E$560),"")</f>
        <v>15.8225</v>
      </c>
      <c r="E19" s="50">
        <f>IFERROR(_xlfn.MAXIFS('04_ccass_unlocks'!$E$3:$E$560,'04_ccass_unlocks'!$A$3:$A$560,$A19),"")</f>
        <v>67.907799999999995</v>
      </c>
      <c r="F19" s="40">
        <f>IFERROR(SUMPRODUCT(('04_ccass_unlocks'!$A$3:$A$560=$A19)*('04_ccass_unlocks'!$E$3:$E$560=$E19)*'04_ccass_unlocks'!$C$3:$C$560),"")</f>
        <v>45848</v>
      </c>
      <c r="G19">
        <f>COUNTIF('04_ccass_unlocks'!$A$3:$A$560,$A19)</f>
        <v>2</v>
      </c>
      <c r="H19" s="80">
        <f>SUMIFS('04_ccass_unlocks'!$D$3:$D$560,'04_ccass_unlocks'!$A$3:$A$560,$A19)</f>
        <v>41865.151400000002</v>
      </c>
      <c r="I19" s="65">
        <f>SUMIFS('04_ccass_unlocks'!$F$3:$F$560,'04_ccass_unlocks'!$A$3:$A$560,$A19)</f>
        <v>41311.363844</v>
      </c>
      <c r="J19" s="40">
        <f>IFERROR(_xlfn.MAXIFS('04_ccass_unlocks'!$C$3:$C$560,'04_ccass_unlocks'!$A$3:$A$560,$A19),"")</f>
        <v>45848</v>
      </c>
      <c r="K19" t="s">
        <v>2323</v>
      </c>
    </row>
    <row r="20" spans="1:11">
      <c r="A20" t="s">
        <v>643</v>
      </c>
      <c r="B20" t="s">
        <v>644</v>
      </c>
      <c r="C20" s="40">
        <f>IFERROR(_xlfn.MINIFS('04_ccass_unlocks'!$C$3:$C$560,'04_ccass_unlocks'!$A$3:$A$560,$A20),"")</f>
        <v>45660</v>
      </c>
      <c r="D20" s="50">
        <f>IFERROR(SUMPRODUCT(('04_ccass_unlocks'!$A$3:$A$560=$A20)*('04_ccass_unlocks'!$C$3:$C$560=$C20)*'04_ccass_unlocks'!$E$3:$E$560),"")</f>
        <v>1.98</v>
      </c>
      <c r="E20" s="50">
        <f>IFERROR(_xlfn.MAXIFS('04_ccass_unlocks'!$E$3:$E$560,'04_ccass_unlocks'!$A$3:$A$560,$A20),"")</f>
        <v>8.7821999999999996</v>
      </c>
      <c r="F20" s="40">
        <f>IFERROR(SUMPRODUCT(('04_ccass_unlocks'!$A$3:$A$560=$A20)*('04_ccass_unlocks'!$E$3:$E$560=$E20)*'04_ccass_unlocks'!$C$3:$C$560),"")</f>
        <v>45841</v>
      </c>
      <c r="G20">
        <f>COUNTIF('04_ccass_unlocks'!$A$3:$A$560,$A20)</f>
        <v>2</v>
      </c>
      <c r="H20" s="80">
        <f>SUMIFS('04_ccass_unlocks'!$D$3:$D$560,'04_ccass_unlocks'!$A$3:$A$560,$A20)</f>
        <v>717.48</v>
      </c>
      <c r="I20" s="65">
        <f>SUMIFS('04_ccass_unlocks'!$F$3:$F$560,'04_ccass_unlocks'!$A$3:$A$560,$A20)</f>
        <v>7056.1211999999996</v>
      </c>
      <c r="J20" s="40">
        <f>IFERROR(_xlfn.MAXIFS('04_ccass_unlocks'!$C$3:$C$560,'04_ccass_unlocks'!$A$3:$A$560,$A20),"")</f>
        <v>45841</v>
      </c>
      <c r="K20" t="s">
        <v>2306</v>
      </c>
    </row>
    <row r="21" spans="1:11">
      <c r="A21" t="s">
        <v>360</v>
      </c>
      <c r="B21" t="s">
        <v>361</v>
      </c>
      <c r="C21" s="40">
        <f>IFERROR(_xlfn.MINIFS('04_ccass_unlocks'!$C$3:$C$560,'04_ccass_unlocks'!$A$3:$A$560,$A21),"")</f>
        <v>45881</v>
      </c>
      <c r="D21" s="50">
        <f>IFERROR(SUMPRODUCT(('04_ccass_unlocks'!$A$3:$A$560=$A21)*('04_ccass_unlocks'!$C$3:$C$560=$C21)*'04_ccass_unlocks'!$E$3:$E$560),"")</f>
        <v>21.078900000000001</v>
      </c>
      <c r="E21" s="50">
        <f>IFERROR(_xlfn.MAXIFS('04_ccass_unlocks'!$E$3:$E$560,'04_ccass_unlocks'!$A$3:$A$560,$A21),"")</f>
        <v>72.671400000000006</v>
      </c>
      <c r="F21" s="40">
        <f>IFERROR(SUMPRODUCT(('04_ccass_unlocks'!$A$3:$A$560=$A21)*('04_ccass_unlocks'!$E$3:$E$560=$E21)*'04_ccass_unlocks'!$C$3:$C$560),"")</f>
        <v>46065</v>
      </c>
      <c r="G21">
        <f>COUNTIF('04_ccass_unlocks'!$A$3:$A$560,$A21)</f>
        <v>2</v>
      </c>
      <c r="H21" s="80">
        <f>SUMIFS('04_ccass_unlocks'!$D$3:$D$560,'04_ccass_unlocks'!$A$3:$A$560,$A21)</f>
        <v>222955.62600000002</v>
      </c>
      <c r="I21" s="65">
        <f>SUMIFS('04_ccass_unlocks'!$F$3:$F$560,'04_ccass_unlocks'!$A$3:$A$560,$A21)</f>
        <v>6172059.1485759998</v>
      </c>
      <c r="J21" s="40">
        <f>IFERROR(_xlfn.MAXIFS('04_ccass_unlocks'!$C$3:$C$560,'04_ccass_unlocks'!$A$3:$A$560,$A21),"")</f>
        <v>46065</v>
      </c>
      <c r="K21" t="s">
        <v>2304</v>
      </c>
    </row>
    <row r="22" spans="1:11">
      <c r="A22" t="s">
        <v>455</v>
      </c>
      <c r="B22" t="s">
        <v>456</v>
      </c>
      <c r="C22" s="40">
        <f>IFERROR(_xlfn.MINIFS('04_ccass_unlocks'!$C$3:$C$560,'04_ccass_unlocks'!$A$3:$A$560,$A22),"")</f>
        <v>45677</v>
      </c>
      <c r="D22" s="50">
        <f>IFERROR(SUMPRODUCT(('04_ccass_unlocks'!$A$3:$A$560=$A22)*('04_ccass_unlocks'!$C$3:$C$560=$C22)*'04_ccass_unlocks'!$E$3:$E$560),"")</f>
        <v>6.2031999999999998</v>
      </c>
      <c r="E22" s="50">
        <f>IFERROR(_xlfn.MAXIFS('04_ccass_unlocks'!$E$3:$E$560,'04_ccass_unlocks'!$A$3:$A$560,$A22),"")</f>
        <v>6.2031999999999998</v>
      </c>
      <c r="F22" s="40">
        <f>IFERROR(SUMPRODUCT(('04_ccass_unlocks'!$A$3:$A$560=$A22)*('04_ccass_unlocks'!$E$3:$E$560=$E22)*'04_ccass_unlocks'!$C$3:$C$560),"")</f>
        <v>45677</v>
      </c>
      <c r="G22">
        <f>COUNTIF('04_ccass_unlocks'!$A$3:$A$560,$A22)</f>
        <v>1</v>
      </c>
      <c r="H22" s="80">
        <f>SUMIFS('04_ccass_unlocks'!$D$3:$D$560,'04_ccass_unlocks'!$A$3:$A$560,$A22)</f>
        <v>810.1019</v>
      </c>
      <c r="I22" s="65">
        <f>SUMIFS('04_ccass_unlocks'!$F$3:$F$560,'04_ccass_unlocks'!$A$3:$A$560,$A22)</f>
        <v>64322.090859999997</v>
      </c>
      <c r="J22" s="40">
        <f>IFERROR(_xlfn.MAXIFS('04_ccass_unlocks'!$C$3:$C$560,'04_ccass_unlocks'!$A$3:$A$560,$A22),"")</f>
        <v>45677</v>
      </c>
      <c r="K22" t="s">
        <v>2309</v>
      </c>
    </row>
    <row r="23" spans="1:11">
      <c r="A23" t="s">
        <v>927</v>
      </c>
      <c r="B23" t="s">
        <v>928</v>
      </c>
      <c r="C23" s="40">
        <f>IFERROR(_xlfn.MINIFS('04_ccass_unlocks'!$C$3:$C$560,'04_ccass_unlocks'!$A$3:$A$560,$A23),"")</f>
        <v>45694</v>
      </c>
      <c r="D23" s="50">
        <f>IFERROR(SUMPRODUCT(('04_ccass_unlocks'!$A$3:$A$560=$A23)*('04_ccass_unlocks'!$C$3:$C$560=$C23)*'04_ccass_unlocks'!$E$3:$E$560),"")</f>
        <v>4.6776</v>
      </c>
      <c r="E23" s="50">
        <f>IFERROR(_xlfn.MAXIFS('04_ccass_unlocks'!$E$3:$E$560,'04_ccass_unlocks'!$A$3:$A$560,$A23),"")</f>
        <v>4.6776</v>
      </c>
      <c r="F23" s="40">
        <f>IFERROR(SUMPRODUCT(('04_ccass_unlocks'!$A$3:$A$560=$A23)*('04_ccass_unlocks'!$E$3:$E$560=$E23)*'04_ccass_unlocks'!$C$3:$C$560),"")</f>
        <v>45694</v>
      </c>
      <c r="G23">
        <f>COUNTIF('04_ccass_unlocks'!$A$3:$A$560,$A23)</f>
        <v>1</v>
      </c>
      <c r="H23" s="80">
        <f>SUMIFS('04_ccass_unlocks'!$D$3:$D$560,'04_ccass_unlocks'!$A$3:$A$560,$A23)</f>
        <v>660.45</v>
      </c>
      <c r="I23" s="65">
        <f>SUMIFS('04_ccass_unlocks'!$F$3:$F$560,'04_ccass_unlocks'!$A$3:$A$560,$A23)</f>
        <v>7951.8180000000002</v>
      </c>
      <c r="J23" s="40">
        <f>IFERROR(_xlfn.MAXIFS('04_ccass_unlocks'!$C$3:$C$560,'04_ccass_unlocks'!$A$3:$A$560,$A23),"")</f>
        <v>45694</v>
      </c>
      <c r="K23" t="s">
        <v>2317</v>
      </c>
    </row>
    <row r="24" spans="1:11">
      <c r="A24" t="s">
        <v>787</v>
      </c>
      <c r="B24" t="s">
        <v>788</v>
      </c>
      <c r="C24" s="40">
        <f>IFERROR(_xlfn.MINIFS('04_ccass_unlocks'!$C$3:$C$560,'04_ccass_unlocks'!$A$3:$A$560,$A24),"")</f>
        <v>45026</v>
      </c>
      <c r="D24" s="50">
        <f>IFERROR(SUMPRODUCT(('04_ccass_unlocks'!$A$3:$A$560=$A24)*('04_ccass_unlocks'!$C$3:$C$560=$C24)*'04_ccass_unlocks'!$E$3:$E$560),"")</f>
        <v>4</v>
      </c>
      <c r="E24" s="50">
        <f>IFERROR(_xlfn.MAXIFS('04_ccass_unlocks'!$E$3:$E$560,'04_ccass_unlocks'!$A$3:$A$560,$A24),"")</f>
        <v>4</v>
      </c>
      <c r="F24" s="40">
        <f>IFERROR(SUMPRODUCT(('04_ccass_unlocks'!$A$3:$A$560=$A24)*('04_ccass_unlocks'!$E$3:$E$560=$E24)*'04_ccass_unlocks'!$C$3:$C$560),"")</f>
        <v>45026</v>
      </c>
      <c r="G24">
        <f>COUNTIF('04_ccass_unlocks'!$A$3:$A$560,$A24)</f>
        <v>1</v>
      </c>
      <c r="H24" s="80">
        <f>SUMIFS('04_ccass_unlocks'!$D$3:$D$560,'04_ccass_unlocks'!$A$3:$A$560,$A24)</f>
        <v>4000</v>
      </c>
      <c r="I24" s="65">
        <f>SUMIFS('04_ccass_unlocks'!$F$3:$F$560,'04_ccass_unlocks'!$A$3:$A$560,$A24)</f>
        <v>2040</v>
      </c>
      <c r="J24" s="40">
        <f>IFERROR(_xlfn.MAXIFS('04_ccass_unlocks'!$C$3:$C$560,'04_ccass_unlocks'!$A$3:$A$560,$A24),"")</f>
        <v>45026</v>
      </c>
      <c r="K24" t="s">
        <v>2305</v>
      </c>
    </row>
    <row r="25" spans="1:11">
      <c r="A25" t="s">
        <v>511</v>
      </c>
      <c r="B25" t="s">
        <v>512</v>
      </c>
      <c r="C25" s="40">
        <f>IFERROR(_xlfn.MINIFS('04_ccass_unlocks'!$C$3:$C$560,'04_ccass_unlocks'!$A$3:$A$560,$A25),"")</f>
        <v>45638</v>
      </c>
      <c r="D25" s="50">
        <f>IFERROR(SUMPRODUCT(('04_ccass_unlocks'!$A$3:$A$560=$A25)*('04_ccass_unlocks'!$C$3:$C$560=$C25)*'04_ccass_unlocks'!$E$3:$E$560),"")</f>
        <v>2.7606000000000002</v>
      </c>
      <c r="E25" s="50">
        <f>IFERROR(_xlfn.MAXIFS('04_ccass_unlocks'!$E$3:$E$560,'04_ccass_unlocks'!$A$3:$A$560,$A25),"")</f>
        <v>2.7606000000000002</v>
      </c>
      <c r="F25" s="40">
        <f>IFERROR(SUMPRODUCT(('04_ccass_unlocks'!$A$3:$A$560=$A25)*('04_ccass_unlocks'!$E$3:$E$560=$E25)*'04_ccass_unlocks'!$C$3:$C$560),"")</f>
        <v>45638</v>
      </c>
      <c r="G25">
        <f>COUNTIF('04_ccass_unlocks'!$A$3:$A$560,$A25)</f>
        <v>1</v>
      </c>
      <c r="H25" s="80">
        <f>SUMIFS('04_ccass_unlocks'!$D$3:$D$560,'04_ccass_unlocks'!$A$3:$A$560,$A25)</f>
        <v>1285.04</v>
      </c>
      <c r="I25" s="65">
        <f>SUMIFS('04_ccass_unlocks'!$F$3:$F$560,'04_ccass_unlocks'!$A$3:$A$560,$A25)</f>
        <v>10820.0368</v>
      </c>
      <c r="J25" s="40">
        <f>IFERROR(_xlfn.MAXIFS('04_ccass_unlocks'!$C$3:$C$560,'04_ccass_unlocks'!$A$3:$A$560,$A25),"")</f>
        <v>45638</v>
      </c>
      <c r="K25" t="s">
        <v>2304</v>
      </c>
    </row>
    <row r="26" spans="1:11">
      <c r="A26" t="s">
        <v>246</v>
      </c>
      <c r="B26" t="s">
        <v>247</v>
      </c>
      <c r="C26" s="40">
        <f>IFERROR(_xlfn.MINIFS('04_ccass_unlocks'!$C$3:$C$560,'04_ccass_unlocks'!$A$3:$A$560,$A26),"")</f>
        <v>45409</v>
      </c>
      <c r="D26" s="50">
        <f>IFERROR(SUMPRODUCT(('04_ccass_unlocks'!$A$3:$A$560=$A26)*('04_ccass_unlocks'!$C$3:$C$560=$C26)*'04_ccass_unlocks'!$E$3:$E$560),"")</f>
        <v>1.4779</v>
      </c>
      <c r="E26" s="50">
        <f>IFERROR(_xlfn.MAXIFS('04_ccass_unlocks'!$E$3:$E$560,'04_ccass_unlocks'!$A$3:$A$560,$A26),"")</f>
        <v>1.4779</v>
      </c>
      <c r="F26" s="40">
        <f>IFERROR(SUMPRODUCT(('04_ccass_unlocks'!$A$3:$A$560=$A26)*('04_ccass_unlocks'!$E$3:$E$560=$E26)*'04_ccass_unlocks'!$C$3:$C$560),"")</f>
        <v>45409</v>
      </c>
      <c r="G26">
        <f>COUNTIF('04_ccass_unlocks'!$A$3:$A$560,$A26)</f>
        <v>1</v>
      </c>
      <c r="H26" s="80">
        <f>SUMIFS('04_ccass_unlocks'!$D$3:$D$560,'04_ccass_unlocks'!$A$3:$A$560,$A26)</f>
        <v>13023.1</v>
      </c>
      <c r="I26" s="65">
        <f>SUMIFS('04_ccass_unlocks'!$F$3:$F$560,'04_ccass_unlocks'!$A$3:$A$560,$A26)</f>
        <v>82957.146999999997</v>
      </c>
      <c r="J26" s="40">
        <f>IFERROR(_xlfn.MAXIFS('04_ccass_unlocks'!$C$3:$C$560,'04_ccass_unlocks'!$A$3:$A$560,$A26),"")</f>
        <v>45409</v>
      </c>
      <c r="K26" t="s">
        <v>2321</v>
      </c>
    </row>
    <row r="27" spans="1:11">
      <c r="A27" t="s">
        <v>1018</v>
      </c>
      <c r="B27" t="s">
        <v>1019</v>
      </c>
      <c r="C27" s="40">
        <f>IFERROR(_xlfn.MINIFS('04_ccass_unlocks'!$C$3:$C$560,'04_ccass_unlocks'!$A$3:$A$560,$A27),"")</f>
        <v>45356</v>
      </c>
      <c r="D27" s="50">
        <f>IFERROR(SUMPRODUCT(('04_ccass_unlocks'!$A$3:$A$560=$A27)*('04_ccass_unlocks'!$C$3:$C$560=$C27)*'04_ccass_unlocks'!$E$3:$E$560),"")</f>
        <v>3.3369</v>
      </c>
      <c r="E27" s="50">
        <f>IFERROR(_xlfn.MAXIFS('04_ccass_unlocks'!$E$3:$E$560,'04_ccass_unlocks'!$A$3:$A$560,$A27),"")</f>
        <v>10.590999999999999</v>
      </c>
      <c r="F27" s="40">
        <f>IFERROR(SUMPRODUCT(('04_ccass_unlocks'!$A$3:$A$560=$A27)*('04_ccass_unlocks'!$E$3:$E$560=$E27)*'04_ccass_unlocks'!$C$3:$C$560),"")</f>
        <v>46038</v>
      </c>
      <c r="G27">
        <f>COUNTIF('04_ccass_unlocks'!$A$3:$A$560,$A27)</f>
        <v>2</v>
      </c>
      <c r="H27" s="80">
        <f>SUMIFS('04_ccass_unlocks'!$D$3:$D$560,'04_ccass_unlocks'!$A$3:$A$560,$A27)</f>
        <v>5818.6299999999992</v>
      </c>
      <c r="I27" s="65">
        <f>SUMIFS('04_ccass_unlocks'!$F$3:$F$560,'04_ccass_unlocks'!$A$3:$A$560,$A27)</f>
        <v>47249.526100000003</v>
      </c>
      <c r="J27" s="40">
        <f>IFERROR(_xlfn.MAXIFS('04_ccass_unlocks'!$C$3:$C$560,'04_ccass_unlocks'!$A$3:$A$560,$A27),"")</f>
        <v>46038</v>
      </c>
      <c r="K27" t="s">
        <v>2296</v>
      </c>
    </row>
    <row r="28" spans="1:11">
      <c r="A28" t="s">
        <v>299</v>
      </c>
      <c r="B28" t="s">
        <v>300</v>
      </c>
      <c r="C28" s="40">
        <f>IFERROR(_xlfn.MINIFS('04_ccass_unlocks'!$C$3:$C$560,'04_ccass_unlocks'!$A$3:$A$560,$A28),"")</f>
        <v>46029</v>
      </c>
      <c r="D28" s="50">
        <f>IFERROR(SUMPRODUCT(('04_ccass_unlocks'!$A$3:$A$560=$A28)*('04_ccass_unlocks'!$C$3:$C$560=$C28)*'04_ccass_unlocks'!$E$3:$E$560),"")</f>
        <v>28.6251</v>
      </c>
      <c r="E28" s="50">
        <f>IFERROR(_xlfn.MAXIFS('04_ccass_unlocks'!$E$3:$E$560,'04_ccass_unlocks'!$A$3:$A$560,$A28),"")</f>
        <v>28.6251</v>
      </c>
      <c r="F28" s="40">
        <f>IFERROR(SUMPRODUCT(('04_ccass_unlocks'!$A$3:$A$560=$A28)*('04_ccass_unlocks'!$E$3:$E$560=$E28)*'04_ccass_unlocks'!$C$3:$C$560),"")</f>
        <v>46029</v>
      </c>
      <c r="G28">
        <f>COUNTIF('04_ccass_unlocks'!$A$3:$A$560,$A28)</f>
        <v>1</v>
      </c>
      <c r="H28" s="80">
        <f>SUMIFS('04_ccass_unlocks'!$D$3:$D$560,'04_ccass_unlocks'!$A$3:$A$560,$A28)</f>
        <v>36525.764000000003</v>
      </c>
      <c r="I28" s="65">
        <f>SUMIFS('04_ccass_unlocks'!$F$3:$F$560,'04_ccass_unlocks'!$A$3:$A$560,$A28)</f>
        <v>1406241.9140000001</v>
      </c>
      <c r="J28" s="40">
        <f>IFERROR(_xlfn.MAXIFS('04_ccass_unlocks'!$C$3:$C$560,'04_ccass_unlocks'!$A$3:$A$560,$A28),"")</f>
        <v>46029</v>
      </c>
      <c r="K28" t="s">
        <v>2317</v>
      </c>
    </row>
    <row r="29" spans="1:11">
      <c r="A29" t="s">
        <v>243</v>
      </c>
      <c r="B29" t="s">
        <v>244</v>
      </c>
      <c r="C29" s="40">
        <f>IFERROR(_xlfn.MINIFS('04_ccass_unlocks'!$C$3:$C$560,'04_ccass_unlocks'!$A$3:$A$560,$A29),"")</f>
        <v>44982</v>
      </c>
      <c r="D29" s="50">
        <f>IFERROR(SUMPRODUCT(('04_ccass_unlocks'!$A$3:$A$560=$A29)*('04_ccass_unlocks'!$C$3:$C$560=$C29)*'04_ccass_unlocks'!$E$3:$E$560),"")</f>
        <v>33.889200000000002</v>
      </c>
      <c r="E29" s="50">
        <f>IFERROR(_xlfn.MAXIFS('04_ccass_unlocks'!$E$3:$E$560,'04_ccass_unlocks'!$A$3:$A$560,$A29),"")</f>
        <v>33.889200000000002</v>
      </c>
      <c r="F29" s="40">
        <f>IFERROR(SUMPRODUCT(('04_ccass_unlocks'!$A$3:$A$560=$A29)*('04_ccass_unlocks'!$E$3:$E$560=$E29)*'04_ccass_unlocks'!$C$3:$C$560),"")</f>
        <v>44982</v>
      </c>
      <c r="G29">
        <f>COUNTIF('04_ccass_unlocks'!$A$3:$A$560,$A29)</f>
        <v>1</v>
      </c>
      <c r="H29" s="80">
        <f>SUMIFS('04_ccass_unlocks'!$D$3:$D$560,'04_ccass_unlocks'!$A$3:$A$560,$A29)</f>
        <v>3944.14</v>
      </c>
      <c r="I29" s="65">
        <f>SUMIFS('04_ccass_unlocks'!$F$3:$F$560,'04_ccass_unlocks'!$A$3:$A$560,$A29)</f>
        <v>806182.21600000001</v>
      </c>
      <c r="J29" s="40">
        <f>IFERROR(_xlfn.MAXIFS('04_ccass_unlocks'!$C$3:$C$560,'04_ccass_unlocks'!$A$3:$A$560,$A29),"")</f>
        <v>44982</v>
      </c>
      <c r="K29" t="s">
        <v>2309</v>
      </c>
    </row>
    <row r="30" spans="1:11">
      <c r="A30" t="s">
        <v>984</v>
      </c>
      <c r="B30" t="s">
        <v>985</v>
      </c>
      <c r="C30" s="40">
        <f>IFERROR(_xlfn.MINIFS('04_ccass_unlocks'!$C$3:$C$560,'04_ccass_unlocks'!$A$3:$A$560,$A30),"")</f>
        <v>45388</v>
      </c>
      <c r="D30" s="50">
        <f>IFERROR(SUMPRODUCT(('04_ccass_unlocks'!$A$3:$A$560=$A30)*('04_ccass_unlocks'!$C$3:$C$560=$C30)*'04_ccass_unlocks'!$E$3:$E$560),"")</f>
        <v>43.034100000000002</v>
      </c>
      <c r="E30" s="50">
        <f>IFERROR(_xlfn.MAXIFS('04_ccass_unlocks'!$E$3:$E$560,'04_ccass_unlocks'!$A$3:$A$560,$A30),"")</f>
        <v>43.034100000000002</v>
      </c>
      <c r="F30" s="40">
        <f>IFERROR(SUMPRODUCT(('04_ccass_unlocks'!$A$3:$A$560=$A30)*('04_ccass_unlocks'!$E$3:$E$560=$E30)*'04_ccass_unlocks'!$C$3:$C$560),"")</f>
        <v>45388</v>
      </c>
      <c r="G30">
        <f>COUNTIF('04_ccass_unlocks'!$A$3:$A$560,$A30)</f>
        <v>1</v>
      </c>
      <c r="H30" s="80">
        <f>SUMIFS('04_ccass_unlocks'!$D$3:$D$560,'04_ccass_unlocks'!$A$3:$A$560,$A30)</f>
        <v>7456</v>
      </c>
      <c r="I30" s="65">
        <f>SUMIFS('04_ccass_unlocks'!$F$3:$F$560,'04_ccass_unlocks'!$A$3:$A$560,$A30)</f>
        <v>24082.880000000001</v>
      </c>
      <c r="J30" s="40">
        <f>IFERROR(_xlfn.MAXIFS('04_ccass_unlocks'!$C$3:$C$560,'04_ccass_unlocks'!$A$3:$A$560,$A30),"")</f>
        <v>45388</v>
      </c>
      <c r="K30" t="s">
        <v>2310</v>
      </c>
    </row>
    <row r="31" spans="1:11">
      <c r="A31" t="s">
        <v>775</v>
      </c>
      <c r="B31" t="s">
        <v>776</v>
      </c>
      <c r="C31" s="40">
        <f>IFERROR(_xlfn.MINIFS('04_ccass_unlocks'!$C$3:$C$560,'04_ccass_unlocks'!$A$3:$A$560,$A31),"")</f>
        <v>46148</v>
      </c>
      <c r="D31" s="50">
        <f>IFERROR(SUMPRODUCT(('04_ccass_unlocks'!$A$3:$A$560=$A31)*('04_ccass_unlocks'!$C$3:$C$560=$C31)*'04_ccass_unlocks'!$E$3:$E$560),"")</f>
        <v>1.5469999999999999</v>
      </c>
      <c r="E31" s="50">
        <f>IFERROR(_xlfn.MAXIFS('04_ccass_unlocks'!$E$3:$E$560,'04_ccass_unlocks'!$A$3:$A$560,$A31),"")</f>
        <v>1.5469999999999999</v>
      </c>
      <c r="F31" s="40">
        <f>IFERROR(SUMPRODUCT(('04_ccass_unlocks'!$A$3:$A$560=$A31)*('04_ccass_unlocks'!$E$3:$E$560=$E31)*'04_ccass_unlocks'!$C$3:$C$560),"")</f>
        <v>46148</v>
      </c>
      <c r="G31">
        <f>COUNTIF('04_ccass_unlocks'!$A$3:$A$560,$A31)</f>
        <v>1</v>
      </c>
      <c r="H31" s="80">
        <f>SUMIFS('04_ccass_unlocks'!$D$3:$D$560,'04_ccass_unlocks'!$A$3:$A$560,$A31)</f>
        <v>670.7</v>
      </c>
      <c r="I31" s="65">
        <f>SUMIFS('04_ccass_unlocks'!$F$3:$F$560,'04_ccass_unlocks'!$A$3:$A$560,$A31)</f>
        <v>52750.555</v>
      </c>
      <c r="J31" s="40">
        <f>IFERROR(_xlfn.MAXIFS('04_ccass_unlocks'!$C$3:$C$560,'04_ccass_unlocks'!$A$3:$A$560,$A31),"")</f>
        <v>46148</v>
      </c>
      <c r="K31" t="s">
        <v>2298</v>
      </c>
    </row>
    <row r="32" spans="1:11">
      <c r="A32" t="s">
        <v>282</v>
      </c>
      <c r="B32" t="s">
        <v>283</v>
      </c>
      <c r="C32" s="40">
        <f>IFERROR(_xlfn.MINIFS('04_ccass_unlocks'!$C$3:$C$560,'04_ccass_unlocks'!$A$3:$A$560,$A32),"")</f>
        <v>46014</v>
      </c>
      <c r="D32" s="50">
        <f>IFERROR(SUMPRODUCT(('04_ccass_unlocks'!$A$3:$A$560=$A32)*('04_ccass_unlocks'!$C$3:$C$560=$C32)*'04_ccass_unlocks'!$E$3:$E$560),"")</f>
        <v>41.063800000000001</v>
      </c>
      <c r="E32" s="50">
        <f>IFERROR(_xlfn.MAXIFS('04_ccass_unlocks'!$E$3:$E$560,'04_ccass_unlocks'!$A$3:$A$560,$A32),"")</f>
        <v>41.063800000000001</v>
      </c>
      <c r="F32" s="40">
        <f>IFERROR(SUMPRODUCT(('04_ccass_unlocks'!$A$3:$A$560=$A32)*('04_ccass_unlocks'!$E$3:$E$560=$E32)*'04_ccass_unlocks'!$C$3:$C$560),"")</f>
        <v>46014</v>
      </c>
      <c r="G32">
        <f>COUNTIF('04_ccass_unlocks'!$A$3:$A$560,$A32)</f>
        <v>1</v>
      </c>
      <c r="H32" s="80">
        <f>SUMIFS('04_ccass_unlocks'!$D$3:$D$560,'04_ccass_unlocks'!$A$3:$A$560,$A32)</f>
        <v>19568.400000000001</v>
      </c>
      <c r="I32" s="65">
        <f>SUMIFS('04_ccass_unlocks'!$F$3:$F$560,'04_ccass_unlocks'!$A$3:$A$560,$A32)</f>
        <v>647714.04</v>
      </c>
      <c r="J32" s="40">
        <f>IFERROR(_xlfn.MAXIFS('04_ccass_unlocks'!$C$3:$C$560,'04_ccass_unlocks'!$A$3:$A$560,$A32),"")</f>
        <v>46014</v>
      </c>
      <c r="K32" t="s">
        <v>2297</v>
      </c>
    </row>
    <row r="33" spans="1:11">
      <c r="A33" t="s">
        <v>295</v>
      </c>
      <c r="B33" t="s">
        <v>296</v>
      </c>
      <c r="C33" s="40">
        <f>IFERROR(_xlfn.MINIFS('04_ccass_unlocks'!$C$3:$C$560,'04_ccass_unlocks'!$A$3:$A$560,$A33),"")</f>
        <v>45903</v>
      </c>
      <c r="D33" s="50">
        <f>IFERROR(SUMPRODUCT(('04_ccass_unlocks'!$A$3:$A$560=$A33)*('04_ccass_unlocks'!$C$3:$C$560=$C33)*'04_ccass_unlocks'!$E$3:$E$560),"")</f>
        <v>2.0264000000000002</v>
      </c>
      <c r="E33" s="50">
        <f>IFERROR(_xlfn.MAXIFS('04_ccass_unlocks'!$E$3:$E$560,'04_ccass_unlocks'!$A$3:$A$560,$A33),"")</f>
        <v>34.5779</v>
      </c>
      <c r="F33" s="40">
        <f>IFERROR(SUMPRODUCT(('04_ccass_unlocks'!$A$3:$A$560=$A33)*('04_ccass_unlocks'!$E$3:$E$560=$E33)*'04_ccass_unlocks'!$C$3:$C$560),"")</f>
        <v>46084</v>
      </c>
      <c r="G33">
        <f>COUNTIF('04_ccass_unlocks'!$A$3:$A$560,$A33)</f>
        <v>2</v>
      </c>
      <c r="H33" s="80">
        <f>SUMIFS('04_ccass_unlocks'!$D$3:$D$560,'04_ccass_unlocks'!$A$3:$A$560,$A33)</f>
        <v>13895.685800000001</v>
      </c>
      <c r="I33" s="65">
        <f>SUMIFS('04_ccass_unlocks'!$F$3:$F$560,'04_ccass_unlocks'!$A$3:$A$560,$A33)</f>
        <v>4690977.7017200002</v>
      </c>
      <c r="J33" s="40">
        <f>IFERROR(_xlfn.MAXIFS('04_ccass_unlocks'!$C$3:$C$560,'04_ccass_unlocks'!$A$3:$A$560,$A33),"")</f>
        <v>46084</v>
      </c>
      <c r="K33" t="s">
        <v>2304</v>
      </c>
    </row>
    <row r="34" spans="1:11">
      <c r="A34" t="s">
        <v>1000</v>
      </c>
      <c r="B34" t="s">
        <v>1001</v>
      </c>
      <c r="C34" s="40">
        <f>IFERROR(_xlfn.MINIFS('04_ccass_unlocks'!$C$3:$C$560,'04_ccass_unlocks'!$A$3:$A$560,$A34),"")</f>
        <v>45289</v>
      </c>
      <c r="D34" s="50">
        <f>IFERROR(SUMPRODUCT(('04_ccass_unlocks'!$A$3:$A$560=$A34)*('04_ccass_unlocks'!$C$3:$C$560=$C34)*'04_ccass_unlocks'!$E$3:$E$560),"")</f>
        <v>14.049300000000001</v>
      </c>
      <c r="E34" s="50">
        <f>IFERROR(_xlfn.MAXIFS('04_ccass_unlocks'!$E$3:$E$560,'04_ccass_unlocks'!$A$3:$A$560,$A34),"")</f>
        <v>14.049300000000001</v>
      </c>
      <c r="F34" s="40">
        <f>IFERROR(SUMPRODUCT(('04_ccass_unlocks'!$A$3:$A$560=$A34)*('04_ccass_unlocks'!$E$3:$E$560=$E34)*'04_ccass_unlocks'!$C$3:$C$560),"")</f>
        <v>45289</v>
      </c>
      <c r="G34">
        <f>COUNTIF('04_ccass_unlocks'!$A$3:$A$560,$A34)</f>
        <v>2</v>
      </c>
      <c r="H34" s="80">
        <f>SUMIFS('04_ccass_unlocks'!$D$3:$D$560,'04_ccass_unlocks'!$A$3:$A$560,$A34)</f>
        <v>7244.25</v>
      </c>
      <c r="I34" s="65">
        <f>SUMIFS('04_ccass_unlocks'!$F$3:$F$560,'04_ccass_unlocks'!$A$3:$A$560,$A34)</f>
        <v>130898.303</v>
      </c>
      <c r="J34" s="40">
        <f>IFERROR(_xlfn.MAXIFS('04_ccass_unlocks'!$C$3:$C$560,'04_ccass_unlocks'!$A$3:$A$560,$A34),"")</f>
        <v>45713</v>
      </c>
      <c r="K34" t="s">
        <v>2296</v>
      </c>
    </row>
    <row r="35" spans="1:11">
      <c r="A35" t="s">
        <v>527</v>
      </c>
      <c r="B35" t="s">
        <v>528</v>
      </c>
      <c r="C35" s="40">
        <f>IFERROR(_xlfn.MINIFS('04_ccass_unlocks'!$C$3:$C$560,'04_ccass_unlocks'!$A$3:$A$560,$A35),"")</f>
        <v>44769</v>
      </c>
      <c r="D35" s="50">
        <f>IFERROR(SUMPRODUCT(('04_ccass_unlocks'!$A$3:$A$560=$A35)*('04_ccass_unlocks'!$C$3:$C$560=$C35)*'04_ccass_unlocks'!$E$3:$E$560),"")</f>
        <v>1.3651</v>
      </c>
      <c r="E35" s="50">
        <f>IFERROR(_xlfn.MAXIFS('04_ccass_unlocks'!$E$3:$E$560,'04_ccass_unlocks'!$A$3:$A$560,$A35),"")</f>
        <v>3.5217999999999998</v>
      </c>
      <c r="F35" s="40">
        <f>IFERROR(SUMPRODUCT(('04_ccass_unlocks'!$A$3:$A$560=$A35)*('04_ccass_unlocks'!$E$3:$E$560=$E35)*'04_ccass_unlocks'!$C$3:$C$560),"")</f>
        <v>45183</v>
      </c>
      <c r="G35">
        <f>COUNTIF('04_ccass_unlocks'!$A$3:$A$560,$A35)</f>
        <v>2</v>
      </c>
      <c r="H35" s="80">
        <f>SUMIFS('04_ccass_unlocks'!$D$3:$D$560,'04_ccass_unlocks'!$A$3:$A$560,$A35)</f>
        <v>2753.5299999999997</v>
      </c>
      <c r="I35" s="65">
        <f>SUMIFS('04_ccass_unlocks'!$F$3:$F$560,'04_ccass_unlocks'!$A$3:$A$560,$A35)</f>
        <v>42891.092400000001</v>
      </c>
      <c r="J35" s="40">
        <f>IFERROR(_xlfn.MAXIFS('04_ccass_unlocks'!$C$3:$C$560,'04_ccass_unlocks'!$A$3:$A$560,$A35),"")</f>
        <v>45183</v>
      </c>
      <c r="K35" t="s">
        <v>2298</v>
      </c>
    </row>
    <row r="36" spans="1:11">
      <c r="A36" t="s">
        <v>674</v>
      </c>
      <c r="B36" t="s">
        <v>675</v>
      </c>
      <c r="C36" s="40">
        <f>IFERROR(_xlfn.MINIFS('04_ccass_unlocks'!$C$3:$C$560,'04_ccass_unlocks'!$A$3:$A$560,$A36),"")</f>
        <v>44981</v>
      </c>
      <c r="D36" s="50">
        <f>IFERROR(SUMPRODUCT(('04_ccass_unlocks'!$A$3:$A$560=$A36)*('04_ccass_unlocks'!$C$3:$C$560=$C36)*'04_ccass_unlocks'!$E$3:$E$560),"")</f>
        <v>4.9922000000000004</v>
      </c>
      <c r="E36" s="50">
        <f>IFERROR(_xlfn.MAXIFS('04_ccass_unlocks'!$E$3:$E$560,'04_ccass_unlocks'!$A$3:$A$560,$A36),"")</f>
        <v>4.9922000000000004</v>
      </c>
      <c r="F36" s="40">
        <f>IFERROR(SUMPRODUCT(('04_ccass_unlocks'!$A$3:$A$560=$A36)*('04_ccass_unlocks'!$E$3:$E$560=$E36)*'04_ccass_unlocks'!$C$3:$C$560),"")</f>
        <v>44981</v>
      </c>
      <c r="G36">
        <f>COUNTIF('04_ccass_unlocks'!$A$3:$A$560,$A36)</f>
        <v>1</v>
      </c>
      <c r="H36" s="80">
        <f>SUMIFS('04_ccass_unlocks'!$D$3:$D$560,'04_ccass_unlocks'!$A$3:$A$560,$A36)</f>
        <v>504.45</v>
      </c>
      <c r="I36" s="65">
        <f>SUMIFS('04_ccass_unlocks'!$F$3:$F$560,'04_ccass_unlocks'!$A$3:$A$560,$A36)</f>
        <v>4065.8670000000002</v>
      </c>
      <c r="J36" s="40">
        <f>IFERROR(_xlfn.MAXIFS('04_ccass_unlocks'!$C$3:$C$560,'04_ccass_unlocks'!$A$3:$A$560,$A36),"")</f>
        <v>44981</v>
      </c>
      <c r="K36" t="s">
        <v>2306</v>
      </c>
    </row>
    <row r="37" spans="1:11">
      <c r="A37" t="s">
        <v>894</v>
      </c>
      <c r="B37" t="s">
        <v>895</v>
      </c>
      <c r="C37" s="40">
        <f>IFERROR(_xlfn.MINIFS('04_ccass_unlocks'!$C$3:$C$560,'04_ccass_unlocks'!$A$3:$A$560,$A37),"")</f>
        <v>44796</v>
      </c>
      <c r="D37" s="50">
        <f>IFERROR(SUMPRODUCT(('04_ccass_unlocks'!$A$3:$A$560=$A37)*('04_ccass_unlocks'!$C$3:$C$560=$C37)*'04_ccass_unlocks'!$E$3:$E$560),"")</f>
        <v>3.2930999999999999</v>
      </c>
      <c r="E37" s="50">
        <f>IFERROR(_xlfn.MAXIFS('04_ccass_unlocks'!$E$3:$E$560,'04_ccass_unlocks'!$A$3:$A$560,$A37),"")</f>
        <v>3.2930999999999999</v>
      </c>
      <c r="F37" s="40">
        <f>IFERROR(SUMPRODUCT(('04_ccass_unlocks'!$A$3:$A$560=$A37)*('04_ccass_unlocks'!$E$3:$E$560=$E37)*'04_ccass_unlocks'!$C$3:$C$560),"")</f>
        <v>44796</v>
      </c>
      <c r="G37">
        <f>COUNTIF('04_ccass_unlocks'!$A$3:$A$560,$A37)</f>
        <v>1</v>
      </c>
      <c r="H37" s="80">
        <f>SUMIFS('04_ccass_unlocks'!$D$3:$D$560,'04_ccass_unlocks'!$A$3:$A$560,$A37)</f>
        <v>5464.8</v>
      </c>
      <c r="I37" s="65">
        <f>SUMIFS('04_ccass_unlocks'!$F$3:$F$560,'04_ccass_unlocks'!$A$3:$A$560,$A37)</f>
        <v>37433.879999999997</v>
      </c>
      <c r="J37" s="40">
        <f>IFERROR(_xlfn.MAXIFS('04_ccass_unlocks'!$C$3:$C$560,'04_ccass_unlocks'!$A$3:$A$560,$A37),"")</f>
        <v>44796</v>
      </c>
      <c r="K37" t="s">
        <v>2296</v>
      </c>
    </row>
    <row r="38" spans="1:11">
      <c r="A38" t="s">
        <v>801</v>
      </c>
      <c r="B38" t="s">
        <v>802</v>
      </c>
      <c r="C38" s="40">
        <f>IFERROR(_xlfn.MINIFS('04_ccass_unlocks'!$C$3:$C$560,'04_ccass_unlocks'!$A$3:$A$560,$A38),"")</f>
        <v>44925</v>
      </c>
      <c r="D38" s="50">
        <f>IFERROR(SUMPRODUCT(('04_ccass_unlocks'!$A$3:$A$560=$A38)*('04_ccass_unlocks'!$C$3:$C$560=$C38)*'04_ccass_unlocks'!$E$3:$E$560),"")</f>
        <v>8.0861999999999998</v>
      </c>
      <c r="E38" s="50">
        <f>IFERROR(_xlfn.MAXIFS('04_ccass_unlocks'!$E$3:$E$560,'04_ccass_unlocks'!$A$3:$A$560,$A38),"")</f>
        <v>8.0861999999999998</v>
      </c>
      <c r="F38" s="40">
        <f>IFERROR(SUMPRODUCT(('04_ccass_unlocks'!$A$3:$A$560=$A38)*('04_ccass_unlocks'!$E$3:$E$560=$E38)*'04_ccass_unlocks'!$C$3:$C$560),"")</f>
        <v>44925</v>
      </c>
      <c r="G38">
        <f>COUNTIF('04_ccass_unlocks'!$A$3:$A$560,$A38)</f>
        <v>1</v>
      </c>
      <c r="H38" s="80">
        <f>SUMIFS('04_ccass_unlocks'!$D$3:$D$560,'04_ccass_unlocks'!$A$3:$A$560,$A38)</f>
        <v>1407</v>
      </c>
      <c r="I38" s="65">
        <f>SUMIFS('04_ccass_unlocks'!$F$3:$F$560,'04_ccass_unlocks'!$A$3:$A$560,$A38)</f>
        <v>17868.900000000001</v>
      </c>
      <c r="J38" s="40">
        <f>IFERROR(_xlfn.MAXIFS('04_ccass_unlocks'!$C$3:$C$560,'04_ccass_unlocks'!$A$3:$A$560,$A38),"")</f>
        <v>44925</v>
      </c>
      <c r="K38" t="s">
        <v>2298</v>
      </c>
    </row>
    <row r="39" spans="1:11">
      <c r="A39" t="s">
        <v>699</v>
      </c>
      <c r="B39" t="s">
        <v>700</v>
      </c>
      <c r="C39" s="40">
        <f>IFERROR(_xlfn.MINIFS('04_ccass_unlocks'!$C$3:$C$560,'04_ccass_unlocks'!$A$3:$A$560,$A39),"")</f>
        <v>44941</v>
      </c>
      <c r="D39" s="50">
        <f>IFERROR(SUMPRODUCT(('04_ccass_unlocks'!$A$3:$A$560=$A39)*('04_ccass_unlocks'!$C$3:$C$560=$C39)*'04_ccass_unlocks'!$E$3:$E$560),"")</f>
        <v>1.5283</v>
      </c>
      <c r="E39" s="50">
        <f>IFERROR(_xlfn.MAXIFS('04_ccass_unlocks'!$E$3:$E$560,'04_ccass_unlocks'!$A$3:$A$560,$A39),"")</f>
        <v>1.5283</v>
      </c>
      <c r="F39" s="40">
        <f>IFERROR(SUMPRODUCT(('04_ccass_unlocks'!$A$3:$A$560=$A39)*('04_ccass_unlocks'!$E$3:$E$560=$E39)*'04_ccass_unlocks'!$C$3:$C$560),"")</f>
        <v>44941</v>
      </c>
      <c r="G39">
        <f>COUNTIF('04_ccass_unlocks'!$A$3:$A$560,$A39)</f>
        <v>1</v>
      </c>
      <c r="H39" s="80">
        <f>SUMIFS('04_ccass_unlocks'!$D$3:$D$560,'04_ccass_unlocks'!$A$3:$A$560,$A39)</f>
        <v>890.5</v>
      </c>
      <c r="I39" s="65">
        <f>SUMIFS('04_ccass_unlocks'!$F$3:$F$560,'04_ccass_unlocks'!$A$3:$A$560,$A39)</f>
        <v>21594.625</v>
      </c>
      <c r="J39" s="40">
        <f>IFERROR(_xlfn.MAXIFS('04_ccass_unlocks'!$C$3:$C$560,'04_ccass_unlocks'!$A$3:$A$560,$A39),"")</f>
        <v>44941</v>
      </c>
      <c r="K39" t="s">
        <v>2292</v>
      </c>
    </row>
    <row r="40" spans="1:11">
      <c r="A40" t="s">
        <v>1030</v>
      </c>
      <c r="B40" t="s">
        <v>1031</v>
      </c>
      <c r="C40" s="40">
        <f>IFERROR(_xlfn.MINIFS('04_ccass_unlocks'!$C$3:$C$560,'04_ccass_unlocks'!$A$3:$A$560,$A40),"")</f>
        <v>44834</v>
      </c>
      <c r="D40" s="50">
        <f>IFERROR(SUMPRODUCT(('04_ccass_unlocks'!$A$3:$A$560=$A40)*('04_ccass_unlocks'!$C$3:$C$560=$C40)*'04_ccass_unlocks'!$E$3:$E$560),"")</f>
        <v>3.4617</v>
      </c>
      <c r="E40" s="50">
        <f>IFERROR(_xlfn.MAXIFS('04_ccass_unlocks'!$E$3:$E$560,'04_ccass_unlocks'!$A$3:$A$560,$A40),"")</f>
        <v>3.4617</v>
      </c>
      <c r="F40" s="40">
        <f>IFERROR(SUMPRODUCT(('04_ccass_unlocks'!$A$3:$A$560=$A40)*('04_ccass_unlocks'!$E$3:$E$560=$E40)*'04_ccass_unlocks'!$C$3:$C$560),"")</f>
        <v>44834</v>
      </c>
      <c r="G40">
        <f>COUNTIF('04_ccass_unlocks'!$A$3:$A$560,$A40)</f>
        <v>1</v>
      </c>
      <c r="H40" s="80">
        <f>SUMIFS('04_ccass_unlocks'!$D$3:$D$560,'04_ccass_unlocks'!$A$3:$A$560,$A40)</f>
        <v>1671.85</v>
      </c>
      <c r="I40" s="65">
        <f>SUMIFS('04_ccass_unlocks'!$F$3:$F$560,'04_ccass_unlocks'!$A$3:$A$560,$A40)</f>
        <v>35693.997499999998</v>
      </c>
      <c r="J40" s="40">
        <f>IFERROR(_xlfn.MAXIFS('04_ccass_unlocks'!$C$3:$C$560,'04_ccass_unlocks'!$A$3:$A$560,$A40),"")</f>
        <v>44834</v>
      </c>
      <c r="K40" t="s">
        <v>2296</v>
      </c>
    </row>
    <row r="41" spans="1:11">
      <c r="A41" t="s">
        <v>925</v>
      </c>
      <c r="B41" t="s">
        <v>926</v>
      </c>
      <c r="C41" s="40">
        <f>IFERROR(_xlfn.MINIFS('04_ccass_unlocks'!$C$3:$C$560,'04_ccass_unlocks'!$A$3:$A$560,$A41),"")</f>
        <v>45639</v>
      </c>
      <c r="D41" s="50">
        <f>IFERROR(SUMPRODUCT(('04_ccass_unlocks'!$A$3:$A$560=$A41)*('04_ccass_unlocks'!$C$3:$C$560=$C41)*'04_ccass_unlocks'!$E$3:$E$560),"")</f>
        <v>35.722200000000001</v>
      </c>
      <c r="E41" s="50">
        <f>IFERROR(_xlfn.MAXIFS('04_ccass_unlocks'!$E$3:$E$560,'04_ccass_unlocks'!$A$3:$A$560,$A41),"")</f>
        <v>35.722200000000001</v>
      </c>
      <c r="F41" s="40">
        <f>IFERROR(SUMPRODUCT(('04_ccass_unlocks'!$A$3:$A$560=$A41)*('04_ccass_unlocks'!$E$3:$E$560=$E41)*'04_ccass_unlocks'!$C$3:$C$560),"")</f>
        <v>45639</v>
      </c>
      <c r="G41">
        <f>COUNTIF('04_ccass_unlocks'!$A$3:$A$560,$A41)</f>
        <v>2</v>
      </c>
      <c r="H41" s="80">
        <f>SUMIFS('04_ccass_unlocks'!$D$3:$D$560,'04_ccass_unlocks'!$A$3:$A$560,$A41)</f>
        <v>255243.25780000002</v>
      </c>
      <c r="I41" s="65">
        <f>SUMIFS('04_ccass_unlocks'!$F$3:$F$560,'04_ccass_unlocks'!$A$3:$A$560,$A41)</f>
        <v>1100304.6581379999</v>
      </c>
      <c r="J41" s="40">
        <f>IFERROR(_xlfn.MAXIFS('04_ccass_unlocks'!$C$3:$C$560,'04_ccass_unlocks'!$A$3:$A$560,$A41),"")</f>
        <v>45784</v>
      </c>
      <c r="K41" t="s">
        <v>2296</v>
      </c>
    </row>
    <row r="42" spans="1:11">
      <c r="A42" t="s">
        <v>290</v>
      </c>
      <c r="B42" t="s">
        <v>291</v>
      </c>
      <c r="C42" s="40">
        <f>IFERROR(_xlfn.MINIFS('04_ccass_unlocks'!$C$3:$C$560,'04_ccass_unlocks'!$A$3:$A$560,$A42),"")</f>
        <v>45078</v>
      </c>
      <c r="D42" s="50">
        <f>IFERROR(SUMPRODUCT(('04_ccass_unlocks'!$A$3:$A$560=$A42)*('04_ccass_unlocks'!$C$3:$C$560=$C42)*'04_ccass_unlocks'!$E$3:$E$560),"")</f>
        <v>10.3529</v>
      </c>
      <c r="E42" s="50">
        <f>IFERROR(_xlfn.MAXIFS('04_ccass_unlocks'!$E$3:$E$560,'04_ccass_unlocks'!$A$3:$A$560,$A42),"")</f>
        <v>10.3529</v>
      </c>
      <c r="F42" s="40">
        <f>IFERROR(SUMPRODUCT(('04_ccass_unlocks'!$A$3:$A$560=$A42)*('04_ccass_unlocks'!$E$3:$E$560=$E42)*'04_ccass_unlocks'!$C$3:$C$560),"")</f>
        <v>45078</v>
      </c>
      <c r="G42">
        <f>COUNTIF('04_ccass_unlocks'!$A$3:$A$560,$A42)</f>
        <v>1</v>
      </c>
      <c r="H42" s="80">
        <f>SUMIFS('04_ccass_unlocks'!$D$3:$D$560,'04_ccass_unlocks'!$A$3:$A$560,$A42)</f>
        <v>16108.36</v>
      </c>
      <c r="I42" s="65">
        <f>SUMIFS('04_ccass_unlocks'!$F$3:$F$560,'04_ccass_unlocks'!$A$3:$A$560,$A42)</f>
        <v>188145.64480000001</v>
      </c>
      <c r="J42" s="40">
        <f>IFERROR(_xlfn.MAXIFS('04_ccass_unlocks'!$C$3:$C$560,'04_ccass_unlocks'!$A$3:$A$560,$A42),"")</f>
        <v>45078</v>
      </c>
      <c r="K42" t="s">
        <v>2307</v>
      </c>
    </row>
    <row r="43" spans="1:11">
      <c r="A43" t="s">
        <v>666</v>
      </c>
      <c r="B43" t="s">
        <v>667</v>
      </c>
      <c r="C43" s="40">
        <f>IFERROR(_xlfn.MINIFS('04_ccass_unlocks'!$C$3:$C$560,'04_ccass_unlocks'!$A$3:$A$560,$A43),"")</f>
        <v>44919</v>
      </c>
      <c r="D43" s="50">
        <f>IFERROR(SUMPRODUCT(('04_ccass_unlocks'!$A$3:$A$560=$A43)*('04_ccass_unlocks'!$C$3:$C$560=$C43)*'04_ccass_unlocks'!$E$3:$E$560),"")</f>
        <v>3.7648000000000001</v>
      </c>
      <c r="E43" s="50">
        <f>IFERROR(_xlfn.MAXIFS('04_ccass_unlocks'!$E$3:$E$560,'04_ccass_unlocks'!$A$3:$A$560,$A43),"")</f>
        <v>3.7648000000000001</v>
      </c>
      <c r="F43" s="40">
        <f>IFERROR(SUMPRODUCT(('04_ccass_unlocks'!$A$3:$A$560=$A43)*('04_ccass_unlocks'!$E$3:$E$560=$E43)*'04_ccass_unlocks'!$C$3:$C$560),"")</f>
        <v>44919</v>
      </c>
      <c r="G43">
        <f>COUNTIF('04_ccass_unlocks'!$A$3:$A$560,$A43)</f>
        <v>1</v>
      </c>
      <c r="H43" s="80">
        <f>SUMIFS('04_ccass_unlocks'!$D$3:$D$560,'04_ccass_unlocks'!$A$3:$A$560,$A43)</f>
        <v>2317.3200000000002</v>
      </c>
      <c r="I43" s="65">
        <f>SUMIFS('04_ccass_unlocks'!$F$3:$F$560,'04_ccass_unlocks'!$A$3:$A$560,$A43)</f>
        <v>9802.2636000000002</v>
      </c>
      <c r="J43" s="40">
        <f>IFERROR(_xlfn.MAXIFS('04_ccass_unlocks'!$C$3:$C$560,'04_ccass_unlocks'!$A$3:$A$560,$A43),"")</f>
        <v>44919</v>
      </c>
      <c r="K43" t="s">
        <v>2301</v>
      </c>
    </row>
    <row r="44" spans="1:11">
      <c r="A44" t="s">
        <v>318</v>
      </c>
      <c r="B44" t="s">
        <v>319</v>
      </c>
      <c r="C44" s="40">
        <f>IFERROR(_xlfn.MINIFS('04_ccass_unlocks'!$C$3:$C$560,'04_ccass_unlocks'!$A$3:$A$560,$A44),"")</f>
        <v>46111</v>
      </c>
      <c r="D44" s="50">
        <f>IFERROR(SUMPRODUCT(('04_ccass_unlocks'!$A$3:$A$560=$A44)*('04_ccass_unlocks'!$C$3:$C$560=$C44)*'04_ccass_unlocks'!$E$3:$E$560),"")</f>
        <v>6.5073999999999996</v>
      </c>
      <c r="E44" s="50">
        <f>IFERROR(_xlfn.MAXIFS('04_ccass_unlocks'!$E$3:$E$560,'04_ccass_unlocks'!$A$3:$A$560,$A44),"")</f>
        <v>6.5073999999999996</v>
      </c>
      <c r="F44" s="40">
        <f>IFERROR(SUMPRODUCT(('04_ccass_unlocks'!$A$3:$A$560=$A44)*('04_ccass_unlocks'!$E$3:$E$560=$E44)*'04_ccass_unlocks'!$C$3:$C$560),"")</f>
        <v>46111</v>
      </c>
      <c r="G44">
        <f>COUNTIF('04_ccass_unlocks'!$A$3:$A$560,$A44)</f>
        <v>1</v>
      </c>
      <c r="H44" s="80">
        <f>SUMIFS('04_ccass_unlocks'!$D$3:$D$560,'04_ccass_unlocks'!$A$3:$A$560,$A44)</f>
        <v>17416.14</v>
      </c>
      <c r="I44" s="65">
        <f>SUMIFS('04_ccass_unlocks'!$F$3:$F$560,'04_ccass_unlocks'!$A$3:$A$560,$A44)</f>
        <v>3100072.92</v>
      </c>
      <c r="J44" s="40">
        <f>IFERROR(_xlfn.MAXIFS('04_ccass_unlocks'!$C$3:$C$560,'04_ccass_unlocks'!$A$3:$A$560,$A44),"")</f>
        <v>46111</v>
      </c>
      <c r="K44" t="s">
        <v>2315</v>
      </c>
    </row>
    <row r="45" spans="1:11">
      <c r="A45" t="s">
        <v>884</v>
      </c>
      <c r="B45" t="s">
        <v>885</v>
      </c>
      <c r="C45" s="40">
        <f>IFERROR(_xlfn.MINIFS('04_ccass_unlocks'!$C$3:$C$560,'04_ccass_unlocks'!$A$3:$A$560,$A45),"")</f>
        <v>44753</v>
      </c>
      <c r="D45" s="50">
        <f>IFERROR(SUMPRODUCT(('04_ccass_unlocks'!$A$3:$A$560=$A45)*('04_ccass_unlocks'!$C$3:$C$560=$C45)*'04_ccass_unlocks'!$E$3:$E$560),"")</f>
        <v>6.7813999999999997</v>
      </c>
      <c r="E45" s="50">
        <f>IFERROR(_xlfn.MAXIFS('04_ccass_unlocks'!$E$3:$E$560,'04_ccass_unlocks'!$A$3:$A$560,$A45),"")</f>
        <v>6.7813999999999997</v>
      </c>
      <c r="F45" s="40">
        <f>IFERROR(SUMPRODUCT(('04_ccass_unlocks'!$A$3:$A$560=$A45)*('04_ccass_unlocks'!$E$3:$E$560=$E45)*'04_ccass_unlocks'!$C$3:$C$560),"")</f>
        <v>44753</v>
      </c>
      <c r="G45">
        <f>COUNTIF('04_ccass_unlocks'!$A$3:$A$560,$A45)</f>
        <v>1</v>
      </c>
      <c r="H45" s="80">
        <f>SUMIFS('04_ccass_unlocks'!$D$3:$D$560,'04_ccass_unlocks'!$A$3:$A$560,$A45)</f>
        <v>3278.4</v>
      </c>
      <c r="I45" s="65">
        <f>SUMIFS('04_ccass_unlocks'!$F$3:$F$560,'04_ccass_unlocks'!$A$3:$A$560,$A45)</f>
        <v>3114.48</v>
      </c>
      <c r="J45" s="40">
        <f>IFERROR(_xlfn.MAXIFS('04_ccass_unlocks'!$C$3:$C$560,'04_ccass_unlocks'!$A$3:$A$560,$A45),"")</f>
        <v>44753</v>
      </c>
      <c r="K45" t="s">
        <v>2297</v>
      </c>
    </row>
    <row r="46" spans="1:11">
      <c r="A46" t="s">
        <v>503</v>
      </c>
      <c r="B46" t="s">
        <v>504</v>
      </c>
      <c r="C46" s="40">
        <f>IFERROR(_xlfn.MINIFS('04_ccass_unlocks'!$C$3:$C$560,'04_ccass_unlocks'!$A$3:$A$560,$A46),"")</f>
        <v>45429</v>
      </c>
      <c r="D46" s="50">
        <f>IFERROR(SUMPRODUCT(('04_ccass_unlocks'!$A$3:$A$560=$A46)*('04_ccass_unlocks'!$C$3:$C$560=$C46)*'04_ccass_unlocks'!$E$3:$E$560),"")</f>
        <v>9.5114999999999998</v>
      </c>
      <c r="E46" s="50">
        <f>IFERROR(_xlfn.MAXIFS('04_ccass_unlocks'!$E$3:$E$560,'04_ccass_unlocks'!$A$3:$A$560,$A46),"")</f>
        <v>9.5114999999999998</v>
      </c>
      <c r="F46" s="40">
        <f>IFERROR(SUMPRODUCT(('04_ccass_unlocks'!$A$3:$A$560=$A46)*('04_ccass_unlocks'!$E$3:$E$560=$E46)*'04_ccass_unlocks'!$C$3:$C$560),"")</f>
        <v>45429</v>
      </c>
      <c r="G46">
        <f>COUNTIF('04_ccass_unlocks'!$A$3:$A$560,$A46)</f>
        <v>1</v>
      </c>
      <c r="H46" s="80">
        <f>SUMIFS('04_ccass_unlocks'!$D$3:$D$560,'04_ccass_unlocks'!$A$3:$A$560,$A46)</f>
        <v>11391</v>
      </c>
      <c r="I46" s="65">
        <f>SUMIFS('04_ccass_unlocks'!$F$3:$F$560,'04_ccass_unlocks'!$A$3:$A$560,$A46)</f>
        <v>193191.36</v>
      </c>
      <c r="J46" s="40">
        <f>IFERROR(_xlfn.MAXIFS('04_ccass_unlocks'!$C$3:$C$560,'04_ccass_unlocks'!$A$3:$A$560,$A46),"")</f>
        <v>45429</v>
      </c>
      <c r="K46" t="s">
        <v>2296</v>
      </c>
    </row>
    <row r="47" spans="1:11">
      <c r="A47" t="s">
        <v>842</v>
      </c>
      <c r="B47" t="s">
        <v>843</v>
      </c>
      <c r="C47" s="40">
        <f>IFERROR(_xlfn.MINIFS('04_ccass_unlocks'!$C$3:$C$560,'04_ccass_unlocks'!$A$3:$A$560,$A47),"")</f>
        <v>45309</v>
      </c>
      <c r="D47" s="50">
        <f>IFERROR(SUMPRODUCT(('04_ccass_unlocks'!$A$3:$A$560=$A47)*('04_ccass_unlocks'!$C$3:$C$560=$C47)*'04_ccass_unlocks'!$E$3:$E$560),"")</f>
        <v>3.3883999999999999</v>
      </c>
      <c r="E47" s="50">
        <f>IFERROR(_xlfn.MAXIFS('04_ccass_unlocks'!$E$3:$E$560,'04_ccass_unlocks'!$A$3:$A$560,$A47),"")</f>
        <v>3.3883999999999999</v>
      </c>
      <c r="F47" s="40">
        <f>IFERROR(SUMPRODUCT(('04_ccass_unlocks'!$A$3:$A$560=$A47)*('04_ccass_unlocks'!$E$3:$E$560=$E47)*'04_ccass_unlocks'!$C$3:$C$560),"")</f>
        <v>45309</v>
      </c>
      <c r="G47">
        <f>COUNTIF('04_ccass_unlocks'!$A$3:$A$560,$A47)</f>
        <v>1</v>
      </c>
      <c r="H47" s="80">
        <f>SUMIFS('04_ccass_unlocks'!$D$3:$D$560,'04_ccass_unlocks'!$A$3:$A$560,$A47)</f>
        <v>1753.2</v>
      </c>
      <c r="I47" s="65">
        <f>SUMIFS('04_ccass_unlocks'!$F$3:$F$560,'04_ccass_unlocks'!$A$3:$A$560,$A47)</f>
        <v>1420.0920000000001</v>
      </c>
      <c r="J47" s="40">
        <f>IFERROR(_xlfn.MAXIFS('04_ccass_unlocks'!$C$3:$C$560,'04_ccass_unlocks'!$A$3:$A$560,$A47),"")</f>
        <v>45309</v>
      </c>
      <c r="K47" t="s">
        <v>2306</v>
      </c>
    </row>
    <row r="48" spans="1:11">
      <c r="A48" t="s">
        <v>856</v>
      </c>
      <c r="B48" t="s">
        <v>857</v>
      </c>
      <c r="C48" s="40">
        <f>IFERROR(_xlfn.MINIFS('04_ccass_unlocks'!$C$3:$C$560,'04_ccass_unlocks'!$A$3:$A$560,$A48),"")</f>
        <v>45054</v>
      </c>
      <c r="D48" s="50">
        <f>IFERROR(SUMPRODUCT(('04_ccass_unlocks'!$A$3:$A$560=$A48)*('04_ccass_unlocks'!$C$3:$C$560=$C48)*'04_ccass_unlocks'!$E$3:$E$560),"")</f>
        <v>1.9253</v>
      </c>
      <c r="E48" s="50">
        <f>IFERROR(_xlfn.MAXIFS('04_ccass_unlocks'!$E$3:$E$560,'04_ccass_unlocks'!$A$3:$A$560,$A48),"")</f>
        <v>1.9253</v>
      </c>
      <c r="F48" s="40">
        <f>IFERROR(SUMPRODUCT(('04_ccass_unlocks'!$A$3:$A$560=$A48)*('04_ccass_unlocks'!$E$3:$E$560=$E48)*'04_ccass_unlocks'!$C$3:$C$560),"")</f>
        <v>45054</v>
      </c>
      <c r="G48">
        <f>COUNTIF('04_ccass_unlocks'!$A$3:$A$560,$A48)</f>
        <v>1</v>
      </c>
      <c r="H48" s="80">
        <f>SUMIFS('04_ccass_unlocks'!$D$3:$D$560,'04_ccass_unlocks'!$A$3:$A$560,$A48)</f>
        <v>667.6</v>
      </c>
      <c r="I48" s="65">
        <f>SUMIFS('04_ccass_unlocks'!$F$3:$F$560,'04_ccass_unlocks'!$A$3:$A$560,$A48)</f>
        <v>18025.2</v>
      </c>
      <c r="J48" s="40">
        <f>IFERROR(_xlfn.MAXIFS('04_ccass_unlocks'!$C$3:$C$560,'04_ccass_unlocks'!$A$3:$A$560,$A48),"")</f>
        <v>45054</v>
      </c>
      <c r="K48" t="s">
        <v>2292</v>
      </c>
    </row>
    <row r="49" spans="1:11">
      <c r="A49" t="s">
        <v>664</v>
      </c>
      <c r="B49" t="s">
        <v>665</v>
      </c>
      <c r="C49" s="40">
        <f>IFERROR(_xlfn.MINIFS('04_ccass_unlocks'!$C$3:$C$560,'04_ccass_unlocks'!$A$3:$A$560,$A49),"")</f>
        <v>45126</v>
      </c>
      <c r="D49" s="50">
        <f>IFERROR(SUMPRODUCT(('04_ccass_unlocks'!$A$3:$A$560=$A49)*('04_ccass_unlocks'!$C$3:$C$560=$C49)*'04_ccass_unlocks'!$E$3:$E$560),"")</f>
        <v>4.3520000000000003</v>
      </c>
      <c r="E49" s="50">
        <f>IFERROR(_xlfn.MAXIFS('04_ccass_unlocks'!$E$3:$E$560,'04_ccass_unlocks'!$A$3:$A$560,$A49),"")</f>
        <v>4.3520000000000003</v>
      </c>
      <c r="F49" s="40">
        <f>IFERROR(SUMPRODUCT(('04_ccass_unlocks'!$A$3:$A$560=$A49)*('04_ccass_unlocks'!$E$3:$E$560=$E49)*'04_ccass_unlocks'!$C$3:$C$560),"")</f>
        <v>45126</v>
      </c>
      <c r="G49">
        <f>COUNTIF('04_ccass_unlocks'!$A$3:$A$560,$A49)</f>
        <v>1</v>
      </c>
      <c r="H49" s="80">
        <f>SUMIFS('04_ccass_unlocks'!$D$3:$D$560,'04_ccass_unlocks'!$A$3:$A$560,$A49)</f>
        <v>3794.4</v>
      </c>
      <c r="I49" s="65">
        <f>SUMIFS('04_ccass_unlocks'!$F$3:$F$560,'04_ccass_unlocks'!$A$3:$A$560,$A49)</f>
        <v>18175.175999999999</v>
      </c>
      <c r="J49" s="40">
        <f>IFERROR(_xlfn.MAXIFS('04_ccass_unlocks'!$C$3:$C$560,'04_ccass_unlocks'!$A$3:$A$560,$A49),"")</f>
        <v>45126</v>
      </c>
      <c r="K49" t="s">
        <v>2308</v>
      </c>
    </row>
    <row r="50" spans="1:11">
      <c r="A50" t="s">
        <v>680</v>
      </c>
      <c r="B50" t="s">
        <v>681</v>
      </c>
      <c r="C50" s="40">
        <f>IFERROR(_xlfn.MINIFS('04_ccass_unlocks'!$C$3:$C$560,'04_ccass_unlocks'!$A$3:$A$560,$A50),"")</f>
        <v>44986</v>
      </c>
      <c r="D50" s="50">
        <f>IFERROR(SUMPRODUCT(('04_ccass_unlocks'!$A$3:$A$560=$A50)*('04_ccass_unlocks'!$C$3:$C$560=$C50)*'04_ccass_unlocks'!$E$3:$E$560),"")</f>
        <v>3.8755000000000002</v>
      </c>
      <c r="E50" s="50">
        <f>IFERROR(_xlfn.MAXIFS('04_ccass_unlocks'!$E$3:$E$560,'04_ccass_unlocks'!$A$3:$A$560,$A50),"")</f>
        <v>3.8755000000000002</v>
      </c>
      <c r="F50" s="40">
        <f>IFERROR(SUMPRODUCT(('04_ccass_unlocks'!$A$3:$A$560=$A50)*('04_ccass_unlocks'!$E$3:$E$560=$E50)*'04_ccass_unlocks'!$C$3:$C$560),"")</f>
        <v>44986</v>
      </c>
      <c r="G50">
        <f>COUNTIF('04_ccass_unlocks'!$A$3:$A$560,$A50)</f>
        <v>1</v>
      </c>
      <c r="H50" s="80">
        <f>SUMIFS('04_ccass_unlocks'!$D$3:$D$560,'04_ccass_unlocks'!$A$3:$A$560,$A50)</f>
        <v>1547.85</v>
      </c>
      <c r="I50" s="65">
        <f>SUMIFS('04_ccass_unlocks'!$F$3:$F$560,'04_ccass_unlocks'!$A$3:$A$560,$A50)</f>
        <v>41095.417500000003</v>
      </c>
      <c r="J50" s="40">
        <f>IFERROR(_xlfn.MAXIFS('04_ccass_unlocks'!$C$3:$C$560,'04_ccass_unlocks'!$A$3:$A$560,$A50),"")</f>
        <v>44986</v>
      </c>
      <c r="K50" t="s">
        <v>2296</v>
      </c>
    </row>
    <row r="51" spans="1:11">
      <c r="A51" t="s">
        <v>560</v>
      </c>
      <c r="B51" t="s">
        <v>561</v>
      </c>
      <c r="C51" s="40">
        <f>IFERROR(_xlfn.MINIFS('04_ccass_unlocks'!$C$3:$C$560,'04_ccass_unlocks'!$A$3:$A$560,$A51),"")</f>
        <v>44976</v>
      </c>
      <c r="D51" s="50">
        <f>IFERROR(SUMPRODUCT(('04_ccass_unlocks'!$A$3:$A$560=$A51)*('04_ccass_unlocks'!$C$3:$C$560=$C51)*'04_ccass_unlocks'!$E$3:$E$560),"")</f>
        <v>8.3907000000000007</v>
      </c>
      <c r="E51" s="50">
        <f>IFERROR(_xlfn.MAXIFS('04_ccass_unlocks'!$E$3:$E$560,'04_ccass_unlocks'!$A$3:$A$560,$A51),"")</f>
        <v>8.3907000000000007</v>
      </c>
      <c r="F51" s="40">
        <f>IFERROR(SUMPRODUCT(('04_ccass_unlocks'!$A$3:$A$560=$A51)*('04_ccass_unlocks'!$E$3:$E$560=$E51)*'04_ccass_unlocks'!$C$3:$C$560),"")</f>
        <v>44976</v>
      </c>
      <c r="G51">
        <f>COUNTIF('04_ccass_unlocks'!$A$3:$A$560,$A51)</f>
        <v>1</v>
      </c>
      <c r="H51" s="80">
        <f>SUMIFS('04_ccass_unlocks'!$D$3:$D$560,'04_ccass_unlocks'!$A$3:$A$560,$A51)</f>
        <v>8392</v>
      </c>
      <c r="I51" s="65">
        <f>SUMIFS('04_ccass_unlocks'!$F$3:$F$560,'04_ccass_unlocks'!$A$3:$A$560,$A51)</f>
        <v>3650.52</v>
      </c>
      <c r="J51" s="40">
        <f>IFERROR(_xlfn.MAXIFS('04_ccass_unlocks'!$C$3:$C$560,'04_ccass_unlocks'!$A$3:$A$560,$A51),"")</f>
        <v>44976</v>
      </c>
      <c r="K51" t="s">
        <v>2304</v>
      </c>
    </row>
    <row r="52" spans="1:11">
      <c r="A52" t="s">
        <v>639</v>
      </c>
      <c r="B52" t="s">
        <v>640</v>
      </c>
      <c r="C52" s="40">
        <f>IFERROR(_xlfn.MINIFS('04_ccass_unlocks'!$C$3:$C$560,'04_ccass_unlocks'!$A$3:$A$560,$A52),"")</f>
        <v>44883</v>
      </c>
      <c r="D52" s="50">
        <f>IFERROR(SUMPRODUCT(('04_ccass_unlocks'!$A$3:$A$560=$A52)*('04_ccass_unlocks'!$C$3:$C$560=$C52)*'04_ccass_unlocks'!$E$3:$E$560),"")</f>
        <v>6.0831</v>
      </c>
      <c r="E52" s="50">
        <f>IFERROR(_xlfn.MAXIFS('04_ccass_unlocks'!$E$3:$E$560,'04_ccass_unlocks'!$A$3:$A$560,$A52),"")</f>
        <v>6.0831</v>
      </c>
      <c r="F52" s="40">
        <f>IFERROR(SUMPRODUCT(('04_ccass_unlocks'!$A$3:$A$560=$A52)*('04_ccass_unlocks'!$E$3:$E$560=$E52)*'04_ccass_unlocks'!$C$3:$C$560),"")</f>
        <v>44883</v>
      </c>
      <c r="G52">
        <f>COUNTIF('04_ccass_unlocks'!$A$3:$A$560,$A52)</f>
        <v>1</v>
      </c>
      <c r="H52" s="80">
        <f>SUMIFS('04_ccass_unlocks'!$D$3:$D$560,'04_ccass_unlocks'!$A$3:$A$560,$A52)</f>
        <v>3779.15</v>
      </c>
      <c r="I52" s="65">
        <f>SUMIFS('04_ccass_unlocks'!$F$3:$F$560,'04_ccass_unlocks'!$A$3:$A$560,$A52)</f>
        <v>57291.913999999997</v>
      </c>
      <c r="J52" s="40">
        <f>IFERROR(_xlfn.MAXIFS('04_ccass_unlocks'!$C$3:$C$560,'04_ccass_unlocks'!$A$3:$A$560,$A52),"")</f>
        <v>44883</v>
      </c>
      <c r="K52" t="s">
        <v>2296</v>
      </c>
    </row>
    <row r="53" spans="1:11">
      <c r="A53" t="s">
        <v>703</v>
      </c>
      <c r="B53" t="s">
        <v>704</v>
      </c>
      <c r="C53" s="40">
        <f>IFERROR(_xlfn.MINIFS('04_ccass_unlocks'!$C$3:$C$560,'04_ccass_unlocks'!$A$3:$A$560,$A53),"")</f>
        <v>45011</v>
      </c>
      <c r="D53" s="50">
        <f>IFERROR(SUMPRODUCT(('04_ccass_unlocks'!$A$3:$A$560=$A53)*('04_ccass_unlocks'!$C$3:$C$560=$C53)*'04_ccass_unlocks'!$E$3:$E$560),"")</f>
        <v>6.1871999999999998</v>
      </c>
      <c r="E53" s="50">
        <f>IFERROR(_xlfn.MAXIFS('04_ccass_unlocks'!$E$3:$E$560,'04_ccass_unlocks'!$A$3:$A$560,$A53),"")</f>
        <v>6.1871999999999998</v>
      </c>
      <c r="F53" s="40">
        <f>IFERROR(SUMPRODUCT(('04_ccass_unlocks'!$A$3:$A$560=$A53)*('04_ccass_unlocks'!$E$3:$E$560=$E53)*'04_ccass_unlocks'!$C$3:$C$560),"")</f>
        <v>45011</v>
      </c>
      <c r="G53">
        <f>COUNTIF('04_ccass_unlocks'!$A$3:$A$560,$A53)</f>
        <v>1</v>
      </c>
      <c r="H53" s="80">
        <f>SUMIFS('04_ccass_unlocks'!$D$3:$D$560,'04_ccass_unlocks'!$A$3:$A$560,$A53)</f>
        <v>3867</v>
      </c>
      <c r="I53" s="65">
        <f>SUMIFS('04_ccass_unlocks'!$F$3:$F$560,'04_ccass_unlocks'!$A$3:$A$560,$A53)</f>
        <v>1276.1099999999999</v>
      </c>
      <c r="J53" s="40">
        <f>IFERROR(_xlfn.MAXIFS('04_ccass_unlocks'!$C$3:$C$560,'04_ccass_unlocks'!$A$3:$A$560,$A53),"")</f>
        <v>45011</v>
      </c>
      <c r="K53" t="s">
        <v>2298</v>
      </c>
    </row>
    <row r="54" spans="1:11">
      <c r="A54" t="s">
        <v>826</v>
      </c>
      <c r="B54" t="s">
        <v>827</v>
      </c>
      <c r="C54" s="40">
        <f>IFERROR(_xlfn.MINIFS('04_ccass_unlocks'!$C$3:$C$560,'04_ccass_unlocks'!$A$3:$A$560,$A54),"")</f>
        <v>44938</v>
      </c>
      <c r="D54" s="50">
        <f>IFERROR(SUMPRODUCT(('04_ccass_unlocks'!$A$3:$A$560=$A54)*('04_ccass_unlocks'!$C$3:$C$560=$C54)*'04_ccass_unlocks'!$E$3:$E$560),"")</f>
        <v>5.4001000000000001</v>
      </c>
      <c r="E54" s="50">
        <f>IFERROR(_xlfn.MAXIFS('04_ccass_unlocks'!$E$3:$E$560,'04_ccass_unlocks'!$A$3:$A$560,$A54),"")</f>
        <v>5.4001000000000001</v>
      </c>
      <c r="F54" s="40">
        <f>IFERROR(SUMPRODUCT(('04_ccass_unlocks'!$A$3:$A$560=$A54)*('04_ccass_unlocks'!$E$3:$E$560=$E54)*'04_ccass_unlocks'!$C$3:$C$560),"")</f>
        <v>44938</v>
      </c>
      <c r="G54">
        <f>COUNTIF('04_ccass_unlocks'!$A$3:$A$560,$A54)</f>
        <v>1</v>
      </c>
      <c r="H54" s="80">
        <f>SUMIFS('04_ccass_unlocks'!$D$3:$D$560,'04_ccass_unlocks'!$A$3:$A$560,$A54)</f>
        <v>2439.6</v>
      </c>
      <c r="I54" s="65">
        <f>SUMIFS('04_ccass_unlocks'!$F$3:$F$560,'04_ccass_unlocks'!$A$3:$A$560,$A54)</f>
        <v>11392.932000000001</v>
      </c>
      <c r="J54" s="40">
        <f>IFERROR(_xlfn.MAXIFS('04_ccass_unlocks'!$C$3:$C$560,'04_ccass_unlocks'!$A$3:$A$560,$A54),"")</f>
        <v>44938</v>
      </c>
      <c r="K54" t="s">
        <v>2298</v>
      </c>
    </row>
    <row r="55" spans="1:11">
      <c r="A55" t="s">
        <v>438</v>
      </c>
      <c r="B55" t="s">
        <v>439</v>
      </c>
      <c r="C55" s="40">
        <f>IFERROR(_xlfn.MINIFS('04_ccass_unlocks'!$C$3:$C$560,'04_ccass_unlocks'!$A$3:$A$560,$A55),"")</f>
        <v>45050</v>
      </c>
      <c r="D55" s="50">
        <f>IFERROR(SUMPRODUCT(('04_ccass_unlocks'!$A$3:$A$560=$A55)*('04_ccass_unlocks'!$C$3:$C$560=$C55)*'04_ccass_unlocks'!$E$3:$E$560),"")</f>
        <v>97.386899999999997</v>
      </c>
      <c r="E55" s="50">
        <f>IFERROR(_xlfn.MAXIFS('04_ccass_unlocks'!$E$3:$E$560,'04_ccass_unlocks'!$A$3:$A$560,$A55),"")</f>
        <v>97.386899999999997</v>
      </c>
      <c r="F55" s="40">
        <f>IFERROR(SUMPRODUCT(('04_ccass_unlocks'!$A$3:$A$560=$A55)*('04_ccass_unlocks'!$E$3:$E$560=$E55)*'04_ccass_unlocks'!$C$3:$C$560),"")</f>
        <v>45050</v>
      </c>
      <c r="G55">
        <f>COUNTIF('04_ccass_unlocks'!$A$3:$A$560,$A55)</f>
        <v>3</v>
      </c>
      <c r="H55" s="80">
        <f>SUMIFS('04_ccass_unlocks'!$D$3:$D$560,'04_ccass_unlocks'!$A$3:$A$560,$A55)</f>
        <v>103722</v>
      </c>
      <c r="I55" s="65">
        <f>SUMIFS('04_ccass_unlocks'!$F$3:$F$560,'04_ccass_unlocks'!$A$3:$A$560,$A55)</f>
        <v>3384652.9</v>
      </c>
      <c r="J55" s="40">
        <f>IFERROR(_xlfn.MAXIFS('04_ccass_unlocks'!$C$3:$C$560,'04_ccass_unlocks'!$A$3:$A$560,$A55),"")</f>
        <v>45865</v>
      </c>
      <c r="K55" t="s">
        <v>2292</v>
      </c>
    </row>
    <row r="56" spans="1:11">
      <c r="A56" t="s">
        <v>497</v>
      </c>
      <c r="B56" t="s">
        <v>498</v>
      </c>
      <c r="C56" s="40">
        <f>IFERROR(_xlfn.MINIFS('04_ccass_unlocks'!$C$3:$C$560,'04_ccass_unlocks'!$A$3:$A$560,$A56),"")</f>
        <v>45123</v>
      </c>
      <c r="D56" s="50">
        <f>IFERROR(SUMPRODUCT(('04_ccass_unlocks'!$A$3:$A$560=$A56)*('04_ccass_unlocks'!$C$3:$C$560=$C56)*'04_ccass_unlocks'!$E$3:$E$560),"")</f>
        <v>9.1679999999999993</v>
      </c>
      <c r="E56" s="50">
        <f>IFERROR(_xlfn.MAXIFS('04_ccass_unlocks'!$E$3:$E$560,'04_ccass_unlocks'!$A$3:$A$560,$A56),"")</f>
        <v>9.1679999999999993</v>
      </c>
      <c r="F56" s="40">
        <f>IFERROR(SUMPRODUCT(('04_ccass_unlocks'!$A$3:$A$560=$A56)*('04_ccass_unlocks'!$E$3:$E$560=$E56)*'04_ccass_unlocks'!$C$3:$C$560),"")</f>
        <v>45123</v>
      </c>
      <c r="G56">
        <f>COUNTIF('04_ccass_unlocks'!$A$3:$A$560,$A56)</f>
        <v>1</v>
      </c>
      <c r="H56" s="80">
        <f>SUMIFS('04_ccass_unlocks'!$D$3:$D$560,'04_ccass_unlocks'!$A$3:$A$560,$A56)</f>
        <v>2169.6999999999998</v>
      </c>
      <c r="I56" s="65">
        <f>SUMIFS('04_ccass_unlocks'!$F$3:$F$560,'04_ccass_unlocks'!$A$3:$A$560,$A56)</f>
        <v>40573.39</v>
      </c>
      <c r="J56" s="40">
        <f>IFERROR(_xlfn.MAXIFS('04_ccass_unlocks'!$C$3:$C$560,'04_ccass_unlocks'!$A$3:$A$560,$A56),"")</f>
        <v>45123</v>
      </c>
      <c r="K56" t="s">
        <v>2292</v>
      </c>
    </row>
    <row r="57" spans="1:11">
      <c r="A57" t="s">
        <v>830</v>
      </c>
      <c r="B57" t="s">
        <v>831</v>
      </c>
      <c r="C57" s="40">
        <f>IFERROR(_xlfn.MINIFS('04_ccass_unlocks'!$C$3:$C$560,'04_ccass_unlocks'!$A$3:$A$560,$A57),"")</f>
        <v>44938</v>
      </c>
      <c r="D57" s="50">
        <f>IFERROR(SUMPRODUCT(('04_ccass_unlocks'!$A$3:$A$560=$A57)*('04_ccass_unlocks'!$C$3:$C$560=$C57)*'04_ccass_unlocks'!$E$3:$E$560),"")</f>
        <v>8.0108999999999995</v>
      </c>
      <c r="E57" s="50">
        <f>IFERROR(_xlfn.MAXIFS('04_ccass_unlocks'!$E$3:$E$560,'04_ccass_unlocks'!$A$3:$A$560,$A57),"")</f>
        <v>8.0108999999999995</v>
      </c>
      <c r="F57" s="40">
        <f>IFERROR(SUMPRODUCT(('04_ccass_unlocks'!$A$3:$A$560=$A57)*('04_ccass_unlocks'!$E$3:$E$560=$E57)*'04_ccass_unlocks'!$C$3:$C$560),"")</f>
        <v>44938</v>
      </c>
      <c r="G57">
        <f>COUNTIF('04_ccass_unlocks'!$A$3:$A$560,$A57)</f>
        <v>1</v>
      </c>
      <c r="H57" s="80">
        <f>SUMIFS('04_ccass_unlocks'!$D$3:$D$560,'04_ccass_unlocks'!$A$3:$A$560,$A57)</f>
        <v>2819.84</v>
      </c>
      <c r="I57" s="65">
        <f>SUMIFS('04_ccass_unlocks'!$F$3:$F$560,'04_ccass_unlocks'!$A$3:$A$560,$A57)</f>
        <v>23066.2912</v>
      </c>
      <c r="J57" s="40">
        <f>IFERROR(_xlfn.MAXIFS('04_ccass_unlocks'!$C$3:$C$560,'04_ccass_unlocks'!$A$3:$A$560,$A57),"")</f>
        <v>44938</v>
      </c>
      <c r="K57" t="s">
        <v>2318</v>
      </c>
    </row>
    <row r="58" spans="1:11">
      <c r="A58" t="s">
        <v>577</v>
      </c>
      <c r="B58" t="s">
        <v>578</v>
      </c>
      <c r="C58" s="40">
        <f>IFERROR(_xlfn.MINIFS('04_ccass_unlocks'!$C$3:$C$560,'04_ccass_unlocks'!$A$3:$A$560,$A58),"")</f>
        <v>44934</v>
      </c>
      <c r="D58" s="50">
        <f>IFERROR(SUMPRODUCT(('04_ccass_unlocks'!$A$3:$A$560=$A58)*('04_ccass_unlocks'!$C$3:$C$560=$C58)*'04_ccass_unlocks'!$E$3:$E$560),"")</f>
        <v>0.66930000000000001</v>
      </c>
      <c r="E58" s="50">
        <f>IFERROR(_xlfn.MAXIFS('04_ccass_unlocks'!$E$3:$E$560,'04_ccass_unlocks'!$A$3:$A$560,$A58),"")</f>
        <v>0.66930000000000001</v>
      </c>
      <c r="F58" s="40">
        <f>IFERROR(SUMPRODUCT(('04_ccass_unlocks'!$A$3:$A$560=$A58)*('04_ccass_unlocks'!$E$3:$E$560=$E58)*'04_ccass_unlocks'!$C$3:$C$560),"")</f>
        <v>44934</v>
      </c>
      <c r="G58">
        <f>COUNTIF('04_ccass_unlocks'!$A$3:$A$560,$A58)</f>
        <v>1</v>
      </c>
      <c r="H58" s="80">
        <f>SUMIFS('04_ccass_unlocks'!$D$3:$D$560,'04_ccass_unlocks'!$A$3:$A$560,$A58)</f>
        <v>375</v>
      </c>
      <c r="I58" s="65">
        <f>SUMIFS('04_ccass_unlocks'!$F$3:$F$560,'04_ccass_unlocks'!$A$3:$A$560,$A58)</f>
        <v>1125</v>
      </c>
      <c r="J58" s="40">
        <f>IFERROR(_xlfn.MAXIFS('04_ccass_unlocks'!$C$3:$C$560,'04_ccass_unlocks'!$A$3:$A$560,$A58),"")</f>
        <v>44934</v>
      </c>
      <c r="K58" t="s">
        <v>2298</v>
      </c>
    </row>
    <row r="59" spans="1:11">
      <c r="A59" t="s">
        <v>655</v>
      </c>
      <c r="B59" t="s">
        <v>656</v>
      </c>
      <c r="C59" s="40">
        <f>IFERROR(_xlfn.MINIFS('04_ccass_unlocks'!$C$3:$C$560,'04_ccass_unlocks'!$A$3:$A$560,$A59),"")</f>
        <v>45119</v>
      </c>
      <c r="D59" s="50">
        <f>IFERROR(SUMPRODUCT(('04_ccass_unlocks'!$A$3:$A$560=$A59)*('04_ccass_unlocks'!$C$3:$C$560=$C59)*'04_ccass_unlocks'!$E$3:$E$560),"")</f>
        <v>25.218399999999999</v>
      </c>
      <c r="E59" s="50">
        <f>IFERROR(_xlfn.MAXIFS('04_ccass_unlocks'!$E$3:$E$560,'04_ccass_unlocks'!$A$3:$A$560,$A59),"")</f>
        <v>25.218399999999999</v>
      </c>
      <c r="F59" s="40">
        <f>IFERROR(SUMPRODUCT(('04_ccass_unlocks'!$A$3:$A$560=$A59)*('04_ccass_unlocks'!$E$3:$E$560=$E59)*'04_ccass_unlocks'!$C$3:$C$560),"")</f>
        <v>45119</v>
      </c>
      <c r="G59">
        <f>COUNTIF('04_ccass_unlocks'!$A$3:$A$560,$A59)</f>
        <v>1</v>
      </c>
      <c r="H59" s="80">
        <f>SUMIFS('04_ccass_unlocks'!$D$3:$D$560,'04_ccass_unlocks'!$A$3:$A$560,$A59)</f>
        <v>646.04</v>
      </c>
      <c r="I59" s="65">
        <f>SUMIFS('04_ccass_unlocks'!$F$3:$F$560,'04_ccass_unlocks'!$A$3:$A$560,$A59)</f>
        <v>25001.748</v>
      </c>
      <c r="J59" s="40">
        <f>IFERROR(_xlfn.MAXIFS('04_ccass_unlocks'!$C$3:$C$560,'04_ccass_unlocks'!$A$3:$A$560,$A59),"")</f>
        <v>45119</v>
      </c>
      <c r="K59" t="s">
        <v>2297</v>
      </c>
    </row>
    <row r="60" spans="1:11">
      <c r="A60" t="s">
        <v>562</v>
      </c>
      <c r="B60" t="s">
        <v>563</v>
      </c>
      <c r="C60" s="40">
        <f>IFERROR(_xlfn.MINIFS('04_ccass_unlocks'!$C$3:$C$560,'04_ccass_unlocks'!$A$3:$A$560,$A60),"")</f>
        <v>45089</v>
      </c>
      <c r="D60" s="50">
        <f>IFERROR(SUMPRODUCT(('04_ccass_unlocks'!$A$3:$A$560=$A60)*('04_ccass_unlocks'!$C$3:$C$560=$C60)*'04_ccass_unlocks'!$E$3:$E$560),"")</f>
        <v>4.2606000000000002</v>
      </c>
      <c r="E60" s="50">
        <f>IFERROR(_xlfn.MAXIFS('04_ccass_unlocks'!$E$3:$E$560,'04_ccass_unlocks'!$A$3:$A$560,$A60),"")</f>
        <v>4.2606000000000002</v>
      </c>
      <c r="F60" s="40">
        <f>IFERROR(SUMPRODUCT(('04_ccass_unlocks'!$A$3:$A$560=$A60)*('04_ccass_unlocks'!$E$3:$E$560=$E60)*'04_ccass_unlocks'!$C$3:$C$560),"")</f>
        <v>45089</v>
      </c>
      <c r="G60">
        <f>COUNTIF('04_ccass_unlocks'!$A$3:$A$560,$A60)</f>
        <v>1</v>
      </c>
      <c r="H60" s="80">
        <f>SUMIFS('04_ccass_unlocks'!$D$3:$D$560,'04_ccass_unlocks'!$A$3:$A$560,$A60)</f>
        <v>630.44000000000005</v>
      </c>
      <c r="I60" s="65">
        <f>SUMIFS('04_ccass_unlocks'!$F$3:$F$560,'04_ccass_unlocks'!$A$3:$A$560,$A60)</f>
        <v>24429.55</v>
      </c>
      <c r="J60" s="40">
        <f>IFERROR(_xlfn.MAXIFS('04_ccass_unlocks'!$C$3:$C$560,'04_ccass_unlocks'!$A$3:$A$560,$A60),"")</f>
        <v>45089</v>
      </c>
      <c r="K60" t="s">
        <v>2292</v>
      </c>
    </row>
    <row r="61" spans="1:11">
      <c r="A61" t="s">
        <v>521</v>
      </c>
      <c r="B61" t="s">
        <v>522</v>
      </c>
      <c r="C61" s="40">
        <f>IFERROR(_xlfn.MINIFS('04_ccass_unlocks'!$C$3:$C$560,'04_ccass_unlocks'!$A$3:$A$560,$A61),"")</f>
        <v>45198</v>
      </c>
      <c r="D61" s="50">
        <f>IFERROR(SUMPRODUCT(('04_ccass_unlocks'!$A$3:$A$560=$A61)*('04_ccass_unlocks'!$C$3:$C$560=$C61)*'04_ccass_unlocks'!$E$3:$E$560),"")</f>
        <v>7.0994000000000002</v>
      </c>
      <c r="E61" s="50">
        <f>IFERROR(_xlfn.MAXIFS('04_ccass_unlocks'!$E$3:$E$560,'04_ccass_unlocks'!$A$3:$A$560,$A61),"")</f>
        <v>7.0994000000000002</v>
      </c>
      <c r="F61" s="40">
        <f>IFERROR(SUMPRODUCT(('04_ccass_unlocks'!$A$3:$A$560=$A61)*('04_ccass_unlocks'!$E$3:$E$560=$E61)*'04_ccass_unlocks'!$C$3:$C$560),"")</f>
        <v>45198</v>
      </c>
      <c r="G61">
        <f>COUNTIF('04_ccass_unlocks'!$A$3:$A$560,$A61)</f>
        <v>1</v>
      </c>
      <c r="H61" s="80">
        <f>SUMIFS('04_ccass_unlocks'!$D$3:$D$560,'04_ccass_unlocks'!$A$3:$A$560,$A61)</f>
        <v>3549.7</v>
      </c>
      <c r="I61" s="65">
        <f>SUMIFS('04_ccass_unlocks'!$F$3:$F$560,'04_ccass_unlocks'!$A$3:$A$560,$A61)</f>
        <v>11004.07</v>
      </c>
      <c r="J61" s="40">
        <f>IFERROR(_xlfn.MAXIFS('04_ccass_unlocks'!$C$3:$C$560,'04_ccass_unlocks'!$A$3:$A$560,$A61),"")</f>
        <v>45198</v>
      </c>
      <c r="K61" t="s">
        <v>2321</v>
      </c>
    </row>
    <row r="62" spans="1:11">
      <c r="A62" t="s">
        <v>1034</v>
      </c>
      <c r="B62" t="s">
        <v>1035</v>
      </c>
      <c r="C62" s="40">
        <f>IFERROR(_xlfn.MINIFS('04_ccass_unlocks'!$C$3:$C$560,'04_ccass_unlocks'!$A$3:$A$560,$A62),"")</f>
        <v>45708</v>
      </c>
      <c r="D62" s="50">
        <f>IFERROR(SUMPRODUCT(('04_ccass_unlocks'!$A$3:$A$560=$A62)*('04_ccass_unlocks'!$C$3:$C$560=$C62)*'04_ccass_unlocks'!$E$3:$E$560),"")</f>
        <v>4.5842000000000001</v>
      </c>
      <c r="E62" s="50">
        <f>IFERROR(_xlfn.MAXIFS('04_ccass_unlocks'!$E$3:$E$560,'04_ccass_unlocks'!$A$3:$A$560,$A62),"")</f>
        <v>38.073999999999998</v>
      </c>
      <c r="F62" s="40">
        <f>IFERROR(SUMPRODUCT(('04_ccass_unlocks'!$A$3:$A$560=$A62)*('04_ccass_unlocks'!$E$3:$E$560=$E62)*'04_ccass_unlocks'!$C$3:$C$560),"")</f>
        <v>45889</v>
      </c>
      <c r="G62">
        <f>COUNTIF('04_ccass_unlocks'!$A$3:$A$560,$A62)</f>
        <v>2</v>
      </c>
      <c r="H62" s="80">
        <f>SUMIFS('04_ccass_unlocks'!$D$3:$D$560,'04_ccass_unlocks'!$A$3:$A$560,$A62)</f>
        <v>16170.6173</v>
      </c>
      <c r="I62" s="65">
        <f>SUMIFS('04_ccass_unlocks'!$F$3:$F$560,'04_ccass_unlocks'!$A$3:$A$560,$A62)</f>
        <v>271754.857036</v>
      </c>
      <c r="J62" s="40">
        <f>IFERROR(_xlfn.MAXIFS('04_ccass_unlocks'!$C$3:$C$560,'04_ccass_unlocks'!$A$3:$A$560,$A62),"")</f>
        <v>45889</v>
      </c>
      <c r="K62" t="s">
        <v>2296</v>
      </c>
    </row>
    <row r="63" spans="1:11">
      <c r="A63" t="s">
        <v>337</v>
      </c>
      <c r="B63" t="s">
        <v>338</v>
      </c>
      <c r="C63" s="40">
        <f>IFERROR(_xlfn.MINIFS('04_ccass_unlocks'!$C$3:$C$560,'04_ccass_unlocks'!$A$3:$A$560,$A63),"")</f>
        <v>45123</v>
      </c>
      <c r="D63" s="50">
        <f>IFERROR(SUMPRODUCT(('04_ccass_unlocks'!$A$3:$A$560=$A63)*('04_ccass_unlocks'!$C$3:$C$560=$C63)*'04_ccass_unlocks'!$E$3:$E$560),"")</f>
        <v>1.6861999999999999</v>
      </c>
      <c r="E63" s="50">
        <f>IFERROR(_xlfn.MAXIFS('04_ccass_unlocks'!$E$3:$E$560,'04_ccass_unlocks'!$A$3:$A$560,$A63),"")</f>
        <v>45.0349</v>
      </c>
      <c r="F63" s="40">
        <f>IFERROR(SUMPRODUCT(('04_ccass_unlocks'!$A$3:$A$560=$A63)*('04_ccass_unlocks'!$E$3:$E$560=$E63)*'04_ccass_unlocks'!$C$3:$C$560),"")</f>
        <v>45758</v>
      </c>
      <c r="G63">
        <f>COUNTIF('04_ccass_unlocks'!$A$3:$A$560,$A63)</f>
        <v>2</v>
      </c>
      <c r="H63" s="80">
        <f>SUMIFS('04_ccass_unlocks'!$D$3:$D$560,'04_ccass_unlocks'!$A$3:$A$560,$A63)</f>
        <v>72002.424299999999</v>
      </c>
      <c r="I63" s="65">
        <f>SUMIFS('04_ccass_unlocks'!$F$3:$F$560,'04_ccass_unlocks'!$A$3:$A$560,$A63)</f>
        <v>80988.303828000004</v>
      </c>
      <c r="J63" s="40">
        <f>IFERROR(_xlfn.MAXIFS('04_ccass_unlocks'!$C$3:$C$560,'04_ccass_unlocks'!$A$3:$A$560,$A63),"")</f>
        <v>45758</v>
      </c>
      <c r="K63" t="s">
        <v>2304</v>
      </c>
    </row>
    <row r="64" spans="1:11">
      <c r="A64" t="s">
        <v>844</v>
      </c>
      <c r="B64" t="s">
        <v>845</v>
      </c>
      <c r="C64" s="40">
        <f>IFERROR(_xlfn.MINIFS('04_ccass_unlocks'!$C$3:$C$560,'04_ccass_unlocks'!$A$3:$A$560,$A64),"")</f>
        <v>45226</v>
      </c>
      <c r="D64" s="50">
        <f>IFERROR(SUMPRODUCT(('04_ccass_unlocks'!$A$3:$A$560=$A64)*('04_ccass_unlocks'!$C$3:$C$560=$C64)*'04_ccass_unlocks'!$E$3:$E$560),"")</f>
        <v>5.6829000000000001</v>
      </c>
      <c r="E64" s="50">
        <f>IFERROR(_xlfn.MAXIFS('04_ccass_unlocks'!$E$3:$E$560,'04_ccass_unlocks'!$A$3:$A$560,$A64),"")</f>
        <v>5.6829000000000001</v>
      </c>
      <c r="F64" s="40">
        <f>IFERROR(SUMPRODUCT(('04_ccass_unlocks'!$A$3:$A$560=$A64)*('04_ccass_unlocks'!$E$3:$E$560=$E64)*'04_ccass_unlocks'!$C$3:$C$560),"")</f>
        <v>45226</v>
      </c>
      <c r="G64">
        <f>COUNTIF('04_ccass_unlocks'!$A$3:$A$560,$A64)</f>
        <v>1</v>
      </c>
      <c r="H64" s="80">
        <f>SUMIFS('04_ccass_unlocks'!$D$3:$D$560,'04_ccass_unlocks'!$A$3:$A$560,$A64)</f>
        <v>3450.4749999999999</v>
      </c>
      <c r="I64" s="65">
        <f>SUMIFS('04_ccass_unlocks'!$F$3:$F$560,'04_ccass_unlocks'!$A$3:$A$560,$A64)</f>
        <v>13767.39525</v>
      </c>
      <c r="J64" s="40">
        <f>IFERROR(_xlfn.MAXIFS('04_ccass_unlocks'!$C$3:$C$560,'04_ccass_unlocks'!$A$3:$A$560,$A64),"")</f>
        <v>45226</v>
      </c>
      <c r="K64" t="s">
        <v>2292</v>
      </c>
    </row>
    <row r="65" spans="1:11">
      <c r="A65" t="s">
        <v>579</v>
      </c>
      <c r="B65" t="s">
        <v>580</v>
      </c>
      <c r="C65" s="40">
        <f>IFERROR(_xlfn.MINIFS('04_ccass_unlocks'!$C$3:$C$560,'04_ccass_unlocks'!$A$3:$A$560,$A65),"")</f>
        <v>45255</v>
      </c>
      <c r="D65" s="50">
        <f>IFERROR(SUMPRODUCT(('04_ccass_unlocks'!$A$3:$A$560=$A65)*('04_ccass_unlocks'!$C$3:$C$560=$C65)*'04_ccass_unlocks'!$E$3:$E$560),"")</f>
        <v>2.6783999999999999</v>
      </c>
      <c r="E65" s="50">
        <f>IFERROR(_xlfn.MAXIFS('04_ccass_unlocks'!$E$3:$E$560,'04_ccass_unlocks'!$A$3:$A$560,$A65),"")</f>
        <v>2.6783999999999999</v>
      </c>
      <c r="F65" s="40">
        <f>IFERROR(SUMPRODUCT(('04_ccass_unlocks'!$A$3:$A$560=$A65)*('04_ccass_unlocks'!$E$3:$E$560=$E65)*'04_ccass_unlocks'!$C$3:$C$560),"")</f>
        <v>45255</v>
      </c>
      <c r="G65">
        <f>COUNTIF('04_ccass_unlocks'!$A$3:$A$560,$A65)</f>
        <v>1</v>
      </c>
      <c r="H65" s="80">
        <f>SUMIFS('04_ccass_unlocks'!$D$3:$D$560,'04_ccass_unlocks'!$A$3:$A$560,$A65)</f>
        <v>1538.1</v>
      </c>
      <c r="I65" s="65">
        <f>SUMIFS('04_ccass_unlocks'!$F$3:$F$560,'04_ccass_unlocks'!$A$3:$A$560,$A65)</f>
        <v>11412.701999999999</v>
      </c>
      <c r="J65" s="40">
        <f>IFERROR(_xlfn.MAXIFS('04_ccass_unlocks'!$C$3:$C$560,'04_ccass_unlocks'!$A$3:$A$560,$A65),"")</f>
        <v>45255</v>
      </c>
      <c r="K65" t="s">
        <v>2298</v>
      </c>
    </row>
    <row r="66" spans="1:11">
      <c r="A66" t="s">
        <v>448</v>
      </c>
      <c r="B66" t="s">
        <v>449</v>
      </c>
      <c r="C66" s="40">
        <f>IFERROR(_xlfn.MINIFS('04_ccass_unlocks'!$C$3:$C$560,'04_ccass_unlocks'!$A$3:$A$560,$A66),"")</f>
        <v>44941</v>
      </c>
      <c r="D66" s="50">
        <f>IFERROR(SUMPRODUCT(('04_ccass_unlocks'!$A$3:$A$560=$A66)*('04_ccass_unlocks'!$C$3:$C$560=$C66)*'04_ccass_unlocks'!$E$3:$E$560),"")</f>
        <v>5.0696000000000003</v>
      </c>
      <c r="E66" s="50">
        <f>IFERROR(_xlfn.MAXIFS('04_ccass_unlocks'!$E$3:$E$560,'04_ccass_unlocks'!$A$3:$A$560,$A66),"")</f>
        <v>5.0696000000000003</v>
      </c>
      <c r="F66" s="40">
        <f>IFERROR(SUMPRODUCT(('04_ccass_unlocks'!$A$3:$A$560=$A66)*('04_ccass_unlocks'!$E$3:$E$560=$E66)*'04_ccass_unlocks'!$C$3:$C$560),"")</f>
        <v>44941</v>
      </c>
      <c r="G66">
        <f>COUNTIF('04_ccass_unlocks'!$A$3:$A$560,$A66)</f>
        <v>1</v>
      </c>
      <c r="H66" s="80">
        <f>SUMIFS('04_ccass_unlocks'!$D$3:$D$560,'04_ccass_unlocks'!$A$3:$A$560,$A66)</f>
        <v>11335.95</v>
      </c>
      <c r="I66" s="65">
        <f>SUMIFS('04_ccass_unlocks'!$F$3:$F$560,'04_ccass_unlocks'!$A$3:$A$560,$A66)</f>
        <v>10202.355</v>
      </c>
      <c r="J66" s="40">
        <f>IFERROR(_xlfn.MAXIFS('04_ccass_unlocks'!$C$3:$C$560,'04_ccass_unlocks'!$A$3:$A$560,$A66),"")</f>
        <v>44941</v>
      </c>
      <c r="K66" t="s">
        <v>2301</v>
      </c>
    </row>
    <row r="67" spans="1:11">
      <c r="A67" t="s">
        <v>316</v>
      </c>
      <c r="B67" t="s">
        <v>317</v>
      </c>
      <c r="C67" s="40">
        <f>IFERROR(_xlfn.MINIFS('04_ccass_unlocks'!$C$3:$C$560,'04_ccass_unlocks'!$A$3:$A$560,$A67),"")</f>
        <v>45449</v>
      </c>
      <c r="D67" s="50">
        <f>IFERROR(SUMPRODUCT(('04_ccass_unlocks'!$A$3:$A$560=$A67)*('04_ccass_unlocks'!$C$3:$C$560=$C67)*'04_ccass_unlocks'!$E$3:$E$560),"")</f>
        <v>2.714</v>
      </c>
      <c r="E67" s="50">
        <f>IFERROR(_xlfn.MAXIFS('04_ccass_unlocks'!$E$3:$E$560,'04_ccass_unlocks'!$A$3:$A$560,$A67),"")</f>
        <v>2.714</v>
      </c>
      <c r="F67" s="40">
        <f>IFERROR(SUMPRODUCT(('04_ccass_unlocks'!$A$3:$A$560=$A67)*('04_ccass_unlocks'!$E$3:$E$560=$E67)*'04_ccass_unlocks'!$C$3:$C$560),"")</f>
        <v>45449</v>
      </c>
      <c r="G67">
        <f>COUNTIF('04_ccass_unlocks'!$A$3:$A$560,$A67)</f>
        <v>1</v>
      </c>
      <c r="H67" s="80">
        <f>SUMIFS('04_ccass_unlocks'!$D$3:$D$560,'04_ccass_unlocks'!$A$3:$A$560,$A67)</f>
        <v>1055.3900000000001</v>
      </c>
      <c r="I67" s="65">
        <f>SUMIFS('04_ccass_unlocks'!$F$3:$F$560,'04_ccass_unlocks'!$A$3:$A$560,$A67)</f>
        <v>56568.904000000002</v>
      </c>
      <c r="J67" s="40">
        <f>IFERROR(_xlfn.MAXIFS('04_ccass_unlocks'!$C$3:$C$560,'04_ccass_unlocks'!$A$3:$A$560,$A67),"")</f>
        <v>45449</v>
      </c>
      <c r="K67" t="s">
        <v>2302</v>
      </c>
    </row>
    <row r="68" spans="1:11">
      <c r="A68" t="s">
        <v>459</v>
      </c>
      <c r="B68" t="s">
        <v>460</v>
      </c>
      <c r="C68" s="40">
        <f>IFERROR(_xlfn.MINIFS('04_ccass_unlocks'!$C$3:$C$560,'04_ccass_unlocks'!$A$3:$A$560,$A68),"")</f>
        <v>45057</v>
      </c>
      <c r="D68" s="50">
        <f>IFERROR(SUMPRODUCT(('04_ccass_unlocks'!$A$3:$A$560=$A68)*('04_ccass_unlocks'!$C$3:$C$560=$C68)*'04_ccass_unlocks'!$E$3:$E$560),"")</f>
        <v>4.5138999999999996</v>
      </c>
      <c r="E68" s="50">
        <f>IFERROR(_xlfn.MAXIFS('04_ccass_unlocks'!$E$3:$E$560,'04_ccass_unlocks'!$A$3:$A$560,$A68),"")</f>
        <v>4.5138999999999996</v>
      </c>
      <c r="F68" s="40">
        <f>IFERROR(SUMPRODUCT(('04_ccass_unlocks'!$A$3:$A$560=$A68)*('04_ccass_unlocks'!$E$3:$E$560=$E68)*'04_ccass_unlocks'!$C$3:$C$560),"")</f>
        <v>45057</v>
      </c>
      <c r="G68">
        <f>COUNTIF('04_ccass_unlocks'!$A$3:$A$560,$A68)</f>
        <v>1</v>
      </c>
      <c r="H68" s="80">
        <f>SUMIFS('04_ccass_unlocks'!$D$3:$D$560,'04_ccass_unlocks'!$A$3:$A$560,$A68)</f>
        <v>2256.9499999999998</v>
      </c>
      <c r="I68" s="65">
        <f>SUMIFS('04_ccass_unlocks'!$F$3:$F$560,'04_ccass_unlocks'!$A$3:$A$560,$A68)</f>
        <v>10178.844499999999</v>
      </c>
      <c r="J68" s="40">
        <f>IFERROR(_xlfn.MAXIFS('04_ccass_unlocks'!$C$3:$C$560,'04_ccass_unlocks'!$A$3:$A$560,$A68),"")</f>
        <v>45057</v>
      </c>
      <c r="K68" t="s">
        <v>2311</v>
      </c>
    </row>
    <row r="69" spans="1:11">
      <c r="A69" t="s">
        <v>911</v>
      </c>
      <c r="B69" t="s">
        <v>912</v>
      </c>
      <c r="C69" s="40">
        <f>IFERROR(_xlfn.MINIFS('04_ccass_unlocks'!$C$3:$C$560,'04_ccass_unlocks'!$A$3:$A$560,$A69),"")</f>
        <v>45033</v>
      </c>
      <c r="D69" s="50">
        <f>IFERROR(SUMPRODUCT(('04_ccass_unlocks'!$A$3:$A$560=$A69)*('04_ccass_unlocks'!$C$3:$C$560=$C69)*'04_ccass_unlocks'!$E$3:$E$560),"")</f>
        <v>2.3435999999999999</v>
      </c>
      <c r="E69" s="50">
        <f>IFERROR(_xlfn.MAXIFS('04_ccass_unlocks'!$E$3:$E$560,'04_ccass_unlocks'!$A$3:$A$560,$A69),"")</f>
        <v>2.3435999999999999</v>
      </c>
      <c r="F69" s="40">
        <f>IFERROR(SUMPRODUCT(('04_ccass_unlocks'!$A$3:$A$560=$A69)*('04_ccass_unlocks'!$E$3:$E$560=$E69)*'04_ccass_unlocks'!$C$3:$C$560),"")</f>
        <v>45033</v>
      </c>
      <c r="G69">
        <f>COUNTIF('04_ccass_unlocks'!$A$3:$A$560,$A69)</f>
        <v>1</v>
      </c>
      <c r="H69" s="80">
        <f>SUMIFS('04_ccass_unlocks'!$D$3:$D$560,'04_ccass_unlocks'!$A$3:$A$560,$A69)</f>
        <v>2343.6</v>
      </c>
      <c r="I69" s="65">
        <f>SUMIFS('04_ccass_unlocks'!$F$3:$F$560,'04_ccass_unlocks'!$A$3:$A$560,$A69)</f>
        <v>1288.98</v>
      </c>
      <c r="J69" s="40">
        <f>IFERROR(_xlfn.MAXIFS('04_ccass_unlocks'!$C$3:$C$560,'04_ccass_unlocks'!$A$3:$A$560,$A69),"")</f>
        <v>45033</v>
      </c>
      <c r="K69" t="s">
        <v>2308</v>
      </c>
    </row>
    <row r="70" spans="1:11">
      <c r="A70" t="s">
        <v>417</v>
      </c>
      <c r="B70" t="s">
        <v>418</v>
      </c>
      <c r="C70" s="40">
        <f>IFERROR(_xlfn.MINIFS('04_ccass_unlocks'!$C$3:$C$560,'04_ccass_unlocks'!$A$3:$A$560,$A70),"")</f>
        <v>45107</v>
      </c>
      <c r="D70" s="50">
        <f>IFERROR(SUMPRODUCT(('04_ccass_unlocks'!$A$3:$A$560=$A70)*('04_ccass_unlocks'!$C$3:$C$560=$C70)*'04_ccass_unlocks'!$E$3:$E$560),"")</f>
        <v>3.4702999999999999</v>
      </c>
      <c r="E70" s="50">
        <f>IFERROR(_xlfn.MAXIFS('04_ccass_unlocks'!$E$3:$E$560,'04_ccass_unlocks'!$A$3:$A$560,$A70),"")</f>
        <v>3.4702999999999999</v>
      </c>
      <c r="F70" s="40">
        <f>IFERROR(SUMPRODUCT(('04_ccass_unlocks'!$A$3:$A$560=$A70)*('04_ccass_unlocks'!$E$3:$E$560=$E70)*'04_ccass_unlocks'!$C$3:$C$560),"")</f>
        <v>45107</v>
      </c>
      <c r="G70">
        <f>COUNTIF('04_ccass_unlocks'!$A$3:$A$560,$A70)</f>
        <v>1</v>
      </c>
      <c r="H70" s="80">
        <f>SUMIFS('04_ccass_unlocks'!$D$3:$D$560,'04_ccass_unlocks'!$A$3:$A$560,$A70)</f>
        <v>2430.8000000000002</v>
      </c>
      <c r="I70" s="65">
        <f>SUMIFS('04_ccass_unlocks'!$F$3:$F$560,'04_ccass_unlocks'!$A$3:$A$560,$A70)</f>
        <v>7438.2479999999996</v>
      </c>
      <c r="J70" s="40">
        <f>IFERROR(_xlfn.MAXIFS('04_ccass_unlocks'!$C$3:$C$560,'04_ccass_unlocks'!$A$3:$A$560,$A70),"")</f>
        <v>45107</v>
      </c>
      <c r="K70" t="s">
        <v>2304</v>
      </c>
    </row>
    <row r="71" spans="1:11">
      <c r="A71" t="s">
        <v>935</v>
      </c>
      <c r="B71" t="s">
        <v>936</v>
      </c>
      <c r="C71" s="40">
        <f>IFERROR(_xlfn.MINIFS('04_ccass_unlocks'!$C$3:$C$560,'04_ccass_unlocks'!$A$3:$A$560,$A71),"")</f>
        <v>45106</v>
      </c>
      <c r="D71" s="50">
        <f>IFERROR(SUMPRODUCT(('04_ccass_unlocks'!$A$3:$A$560=$A71)*('04_ccass_unlocks'!$C$3:$C$560=$C71)*'04_ccass_unlocks'!$E$3:$E$560),"")</f>
        <v>5.9283999999999999</v>
      </c>
      <c r="E71" s="50">
        <f>IFERROR(_xlfn.MAXIFS('04_ccass_unlocks'!$E$3:$E$560,'04_ccass_unlocks'!$A$3:$A$560,$A71),"")</f>
        <v>5.9283999999999999</v>
      </c>
      <c r="F71" s="40">
        <f>IFERROR(SUMPRODUCT(('04_ccass_unlocks'!$A$3:$A$560=$A71)*('04_ccass_unlocks'!$E$3:$E$560=$E71)*'04_ccass_unlocks'!$C$3:$C$560),"")</f>
        <v>45106</v>
      </c>
      <c r="G71">
        <f>COUNTIF('04_ccass_unlocks'!$A$3:$A$560,$A71)</f>
        <v>1</v>
      </c>
      <c r="H71" s="80">
        <f>SUMIFS('04_ccass_unlocks'!$D$3:$D$560,'04_ccass_unlocks'!$A$3:$A$560,$A71)</f>
        <v>5632</v>
      </c>
      <c r="I71" s="65">
        <f>SUMIFS('04_ccass_unlocks'!$F$3:$F$560,'04_ccass_unlocks'!$A$3:$A$560,$A71)</f>
        <v>2393.6</v>
      </c>
      <c r="J71" s="40">
        <f>IFERROR(_xlfn.MAXIFS('04_ccass_unlocks'!$C$3:$C$560,'04_ccass_unlocks'!$A$3:$A$560,$A71),"")</f>
        <v>45106</v>
      </c>
      <c r="K71" t="s">
        <v>2292</v>
      </c>
    </row>
    <row r="72" spans="1:11">
      <c r="A72" t="s">
        <v>477</v>
      </c>
      <c r="B72" t="s">
        <v>478</v>
      </c>
      <c r="C72" s="40">
        <f>IFERROR(_xlfn.MINIFS('04_ccass_unlocks'!$C$3:$C$560,'04_ccass_unlocks'!$A$3:$A$560,$A72),"")</f>
        <v>45599</v>
      </c>
      <c r="D72" s="50">
        <f>IFERROR(SUMPRODUCT(('04_ccass_unlocks'!$A$3:$A$560=$A72)*('04_ccass_unlocks'!$C$3:$C$560=$C72)*'04_ccass_unlocks'!$E$3:$E$560),"")</f>
        <v>1.4318</v>
      </c>
      <c r="E72" s="50">
        <f>IFERROR(_xlfn.MAXIFS('04_ccass_unlocks'!$E$3:$E$560,'04_ccass_unlocks'!$A$3:$A$560,$A72),"")</f>
        <v>1.4318</v>
      </c>
      <c r="F72" s="40">
        <f>IFERROR(SUMPRODUCT(('04_ccass_unlocks'!$A$3:$A$560=$A72)*('04_ccass_unlocks'!$E$3:$E$560=$E72)*'04_ccass_unlocks'!$C$3:$C$560),"")</f>
        <v>45599</v>
      </c>
      <c r="G72">
        <f>COUNTIF('04_ccass_unlocks'!$A$3:$A$560,$A72)</f>
        <v>1</v>
      </c>
      <c r="H72" s="80">
        <f>SUMIFS('04_ccass_unlocks'!$D$3:$D$560,'04_ccass_unlocks'!$A$3:$A$560,$A72)</f>
        <v>1116.55</v>
      </c>
      <c r="I72" s="65">
        <f>SUMIFS('04_ccass_unlocks'!$F$3:$F$560,'04_ccass_unlocks'!$A$3:$A$560,$A72)</f>
        <v>12036.409</v>
      </c>
      <c r="J72" s="40">
        <f>IFERROR(_xlfn.MAXIFS('04_ccass_unlocks'!$C$3:$C$560,'04_ccass_unlocks'!$A$3:$A$560,$A72),"")</f>
        <v>45599</v>
      </c>
      <c r="K72" t="s">
        <v>2304</v>
      </c>
    </row>
    <row r="73" spans="1:11">
      <c r="A73" t="s">
        <v>785</v>
      </c>
      <c r="B73" t="s">
        <v>786</v>
      </c>
      <c r="C73" s="40">
        <f>IFERROR(_xlfn.MINIFS('04_ccass_unlocks'!$C$3:$C$560,'04_ccass_unlocks'!$A$3:$A$560,$A73),"")</f>
        <v>45836</v>
      </c>
      <c r="D73" s="50">
        <f>IFERROR(SUMPRODUCT(('04_ccass_unlocks'!$A$3:$A$560=$A73)*('04_ccass_unlocks'!$C$3:$C$560=$C73)*'04_ccass_unlocks'!$E$3:$E$560),"")</f>
        <v>0.17150000000000001</v>
      </c>
      <c r="E73" s="50">
        <f>IFERROR(_xlfn.MAXIFS('04_ccass_unlocks'!$E$3:$E$560,'04_ccass_unlocks'!$A$3:$A$560,$A73),"")</f>
        <v>53.851300000000002</v>
      </c>
      <c r="F73" s="40">
        <f>IFERROR(SUMPRODUCT(('04_ccass_unlocks'!$A$3:$A$560=$A73)*('04_ccass_unlocks'!$E$3:$E$560=$E73)*'04_ccass_unlocks'!$C$3:$C$560),"")</f>
        <v>46018</v>
      </c>
      <c r="G73">
        <f>COUNTIF('04_ccass_unlocks'!$A$3:$A$560,$A73)</f>
        <v>3</v>
      </c>
      <c r="H73" s="80">
        <f>SUMIFS('04_ccass_unlocks'!$D$3:$D$560,'04_ccass_unlocks'!$A$3:$A$560,$A73)</f>
        <v>25836.280900000002</v>
      </c>
      <c r="I73" s="65">
        <f>SUMIFS('04_ccass_unlocks'!$F$3:$F$560,'04_ccass_unlocks'!$A$3:$A$560,$A73)</f>
        <v>370775.26224100002</v>
      </c>
      <c r="J73" s="40">
        <f>IFERROR(_xlfn.MAXIFS('04_ccass_unlocks'!$C$3:$C$560,'04_ccass_unlocks'!$A$3:$A$560,$A73),"")</f>
        <v>46018</v>
      </c>
      <c r="K73" t="s">
        <v>2298</v>
      </c>
    </row>
    <row r="74" spans="1:11">
      <c r="A74" t="s">
        <v>876</v>
      </c>
      <c r="B74" t="s">
        <v>877</v>
      </c>
      <c r="C74" s="40">
        <f>IFERROR(_xlfn.MINIFS('04_ccass_unlocks'!$C$3:$C$560,'04_ccass_unlocks'!$A$3:$A$560,$A74),"")</f>
        <v>45831</v>
      </c>
      <c r="D74" s="50">
        <f>IFERROR(SUMPRODUCT(('04_ccass_unlocks'!$A$3:$A$560=$A74)*('04_ccass_unlocks'!$C$3:$C$560=$C74)*'04_ccass_unlocks'!$E$3:$E$560),"")</f>
        <v>1.179</v>
      </c>
      <c r="E74" s="50">
        <f>IFERROR(_xlfn.MAXIFS('04_ccass_unlocks'!$E$3:$E$560,'04_ccass_unlocks'!$A$3:$A$560,$A74),"")</f>
        <v>71.3352</v>
      </c>
      <c r="F74" s="40">
        <f>IFERROR(SUMPRODUCT(('04_ccass_unlocks'!$A$3:$A$560=$A74)*('04_ccass_unlocks'!$E$3:$E$560=$E74)*'04_ccass_unlocks'!$C$3:$C$560),"")</f>
        <v>46014</v>
      </c>
      <c r="G74">
        <f>COUNTIF('04_ccass_unlocks'!$A$3:$A$560,$A74)</f>
        <v>2</v>
      </c>
      <c r="H74" s="80">
        <f>SUMIFS('04_ccass_unlocks'!$D$3:$D$560,'04_ccass_unlocks'!$A$3:$A$560,$A74)</f>
        <v>31860.8747</v>
      </c>
      <c r="I74" s="65">
        <f>SUMIFS('04_ccass_unlocks'!$F$3:$F$560,'04_ccass_unlocks'!$A$3:$A$560,$A74)</f>
        <v>932979.21483000007</v>
      </c>
      <c r="J74" s="40">
        <f>IFERROR(_xlfn.MAXIFS('04_ccass_unlocks'!$C$3:$C$560,'04_ccass_unlocks'!$A$3:$A$560,$A74),"")</f>
        <v>46014</v>
      </c>
      <c r="K74" t="s">
        <v>2298</v>
      </c>
    </row>
    <row r="75" spans="1:11">
      <c r="A75" t="s">
        <v>777</v>
      </c>
      <c r="B75" t="s">
        <v>778</v>
      </c>
      <c r="C75" s="40">
        <f>IFERROR(_xlfn.MINIFS('04_ccass_unlocks'!$C$3:$C$560,'04_ccass_unlocks'!$A$3:$A$560,$A75),"")</f>
        <v>45589</v>
      </c>
      <c r="D75" s="50">
        <f>IFERROR(SUMPRODUCT(('04_ccass_unlocks'!$A$3:$A$560=$A75)*('04_ccass_unlocks'!$C$3:$C$560=$C75)*'04_ccass_unlocks'!$E$3:$E$560),"")</f>
        <v>64.664299999999997</v>
      </c>
      <c r="E75" s="50">
        <f>IFERROR(_xlfn.MAXIFS('04_ccass_unlocks'!$E$3:$E$560,'04_ccass_unlocks'!$A$3:$A$560,$A75),"")</f>
        <v>64.664299999999997</v>
      </c>
      <c r="F75" s="40">
        <f>IFERROR(SUMPRODUCT(('04_ccass_unlocks'!$A$3:$A$560=$A75)*('04_ccass_unlocks'!$E$3:$E$560=$E75)*'04_ccass_unlocks'!$C$3:$C$560),"")</f>
        <v>45589</v>
      </c>
      <c r="G75">
        <f>COUNTIF('04_ccass_unlocks'!$A$3:$A$560,$A75)</f>
        <v>2</v>
      </c>
      <c r="H75" s="80">
        <f>SUMIFS('04_ccass_unlocks'!$D$3:$D$560,'04_ccass_unlocks'!$A$3:$A$560,$A75)</f>
        <v>143185.04819999999</v>
      </c>
      <c r="I75" s="65">
        <f>SUMIFS('04_ccass_unlocks'!$F$3:$F$560,'04_ccass_unlocks'!$A$3:$A$560,$A75)</f>
        <v>112352.56042550001</v>
      </c>
      <c r="J75" s="40">
        <f>IFERROR(_xlfn.MAXIFS('04_ccass_unlocks'!$C$3:$C$560,'04_ccass_unlocks'!$A$3:$A$560,$A75),"")</f>
        <v>45771</v>
      </c>
      <c r="K75" t="s">
        <v>2298</v>
      </c>
    </row>
    <row r="76" spans="1:11">
      <c r="A76" t="s">
        <v>836</v>
      </c>
      <c r="B76" t="s">
        <v>837</v>
      </c>
      <c r="C76" s="40">
        <f>IFERROR(_xlfn.MINIFS('04_ccass_unlocks'!$C$3:$C$560,'04_ccass_unlocks'!$A$3:$A$560,$A76),"")</f>
        <v>45199</v>
      </c>
      <c r="D76" s="50">
        <f>IFERROR(SUMPRODUCT(('04_ccass_unlocks'!$A$3:$A$560=$A76)*('04_ccass_unlocks'!$C$3:$C$560=$C76)*'04_ccass_unlocks'!$E$3:$E$560),"")</f>
        <v>9.7401999999999997</v>
      </c>
      <c r="E76" s="50">
        <f>IFERROR(_xlfn.MAXIFS('04_ccass_unlocks'!$E$3:$E$560,'04_ccass_unlocks'!$A$3:$A$560,$A76),"")</f>
        <v>9.7401999999999997</v>
      </c>
      <c r="F76" s="40">
        <f>IFERROR(SUMPRODUCT(('04_ccass_unlocks'!$A$3:$A$560=$A76)*('04_ccass_unlocks'!$E$3:$E$560=$E76)*'04_ccass_unlocks'!$C$3:$C$560),"")</f>
        <v>45199</v>
      </c>
      <c r="G76">
        <f>COUNTIF('04_ccass_unlocks'!$A$3:$A$560,$A76)</f>
        <v>1</v>
      </c>
      <c r="H76" s="80">
        <f>SUMIFS('04_ccass_unlocks'!$D$3:$D$560,'04_ccass_unlocks'!$A$3:$A$560,$A76)</f>
        <v>9740.2000000000007</v>
      </c>
      <c r="I76" s="65">
        <f>SUMIFS('04_ccass_unlocks'!$F$3:$F$560,'04_ccass_unlocks'!$A$3:$A$560,$A76)</f>
        <v>11493.436</v>
      </c>
      <c r="J76" s="40">
        <f>IFERROR(_xlfn.MAXIFS('04_ccass_unlocks'!$C$3:$C$560,'04_ccass_unlocks'!$A$3:$A$560,$A76),"")</f>
        <v>45199</v>
      </c>
      <c r="K76" t="s">
        <v>2301</v>
      </c>
    </row>
    <row r="77" spans="1:11">
      <c r="A77" t="s">
        <v>811</v>
      </c>
      <c r="B77" t="s">
        <v>812</v>
      </c>
      <c r="C77" s="40">
        <f>IFERROR(_xlfn.MINIFS('04_ccass_unlocks'!$C$3:$C$560,'04_ccass_unlocks'!$A$3:$A$560,$A77),"")</f>
        <v>45089</v>
      </c>
      <c r="D77" s="50">
        <f>IFERROR(SUMPRODUCT(('04_ccass_unlocks'!$A$3:$A$560=$A77)*('04_ccass_unlocks'!$C$3:$C$560=$C77)*'04_ccass_unlocks'!$E$3:$E$560),"")</f>
        <v>9.3332999999999995</v>
      </c>
      <c r="E77" s="50">
        <f>IFERROR(_xlfn.MAXIFS('04_ccass_unlocks'!$E$3:$E$560,'04_ccass_unlocks'!$A$3:$A$560,$A77),"")</f>
        <v>9.3332999999999995</v>
      </c>
      <c r="F77" s="40">
        <f>IFERROR(SUMPRODUCT(('04_ccass_unlocks'!$A$3:$A$560=$A77)*('04_ccass_unlocks'!$E$3:$E$560=$E77)*'04_ccass_unlocks'!$C$3:$C$560),"")</f>
        <v>45089</v>
      </c>
      <c r="G77">
        <f>COUNTIF('04_ccass_unlocks'!$A$3:$A$560,$A77)</f>
        <v>1</v>
      </c>
      <c r="H77" s="80">
        <f>SUMIFS('04_ccass_unlocks'!$D$3:$D$560,'04_ccass_unlocks'!$A$3:$A$560,$A77)</f>
        <v>2100</v>
      </c>
      <c r="I77" s="65">
        <f>SUMIFS('04_ccass_unlocks'!$F$3:$F$560,'04_ccass_unlocks'!$A$3:$A$560,$A77)</f>
        <v>4137</v>
      </c>
      <c r="J77" s="40">
        <f>IFERROR(_xlfn.MAXIFS('04_ccass_unlocks'!$C$3:$C$560,'04_ccass_unlocks'!$A$3:$A$560,$A77),"")</f>
        <v>45089</v>
      </c>
      <c r="K77" t="s">
        <v>2298</v>
      </c>
    </row>
    <row r="78" spans="1:11">
      <c r="A78" t="s">
        <v>781</v>
      </c>
      <c r="B78" t="s">
        <v>782</v>
      </c>
      <c r="C78" s="40">
        <f>IFERROR(_xlfn.MINIFS('04_ccass_unlocks'!$C$3:$C$560,'04_ccass_unlocks'!$A$3:$A$560,$A78),"")</f>
        <v>45623</v>
      </c>
      <c r="D78" s="50">
        <f>IFERROR(SUMPRODUCT(('04_ccass_unlocks'!$A$3:$A$560=$A78)*('04_ccass_unlocks'!$C$3:$C$560=$C78)*'04_ccass_unlocks'!$E$3:$E$560),"")</f>
        <v>86.188900000000004</v>
      </c>
      <c r="E78" s="50">
        <f>IFERROR(_xlfn.MAXIFS('04_ccass_unlocks'!$E$3:$E$560,'04_ccass_unlocks'!$A$3:$A$560,$A78),"")</f>
        <v>86.188900000000004</v>
      </c>
      <c r="F78" s="40">
        <f>IFERROR(SUMPRODUCT(('04_ccass_unlocks'!$A$3:$A$560=$A78)*('04_ccass_unlocks'!$E$3:$E$560=$E78)*'04_ccass_unlocks'!$C$3:$C$560),"")</f>
        <v>45623</v>
      </c>
      <c r="G78">
        <f>COUNTIF('04_ccass_unlocks'!$A$3:$A$560,$A78)</f>
        <v>2</v>
      </c>
      <c r="H78" s="80">
        <f>SUMIFS('04_ccass_unlocks'!$D$3:$D$560,'04_ccass_unlocks'!$A$3:$A$560,$A78)</f>
        <v>81766.242800000007</v>
      </c>
      <c r="I78" s="65">
        <f>SUMIFS('04_ccass_unlocks'!$F$3:$F$560,'04_ccass_unlocks'!$A$3:$A$560,$A78)</f>
        <v>526410.45103999996</v>
      </c>
      <c r="J78" s="40">
        <f>IFERROR(_xlfn.MAXIFS('04_ccass_unlocks'!$C$3:$C$560,'04_ccass_unlocks'!$A$3:$A$560,$A78),"")</f>
        <v>45803</v>
      </c>
      <c r="K78" t="s">
        <v>2318</v>
      </c>
    </row>
    <row r="79" spans="1:11">
      <c r="A79" t="s">
        <v>401</v>
      </c>
      <c r="B79" t="s">
        <v>402</v>
      </c>
      <c r="C79" s="40">
        <f>IFERROR(_xlfn.MINIFS('04_ccass_unlocks'!$C$3:$C$560,'04_ccass_unlocks'!$A$3:$A$560,$A79),"")</f>
        <v>45394</v>
      </c>
      <c r="D79" s="50">
        <f>IFERROR(SUMPRODUCT(('04_ccass_unlocks'!$A$3:$A$560=$A79)*('04_ccass_unlocks'!$C$3:$C$560=$C79)*'04_ccass_unlocks'!$E$3:$E$560),"")</f>
        <v>14.108499999999999</v>
      </c>
      <c r="E79" s="50">
        <f>IFERROR(_xlfn.MAXIFS('04_ccass_unlocks'!$E$3:$E$560,'04_ccass_unlocks'!$A$3:$A$560,$A79),"")</f>
        <v>14.108499999999999</v>
      </c>
      <c r="F79" s="40">
        <f>IFERROR(SUMPRODUCT(('04_ccass_unlocks'!$A$3:$A$560=$A79)*('04_ccass_unlocks'!$E$3:$E$560=$E79)*'04_ccass_unlocks'!$C$3:$C$560),"")</f>
        <v>45394</v>
      </c>
      <c r="G79">
        <f>COUNTIF('04_ccass_unlocks'!$A$3:$A$560,$A79)</f>
        <v>1</v>
      </c>
      <c r="H79" s="80">
        <f>SUMIFS('04_ccass_unlocks'!$D$3:$D$560,'04_ccass_unlocks'!$A$3:$A$560,$A79)</f>
        <v>6019.65</v>
      </c>
      <c r="I79" s="65">
        <f>SUMIFS('04_ccass_unlocks'!$F$3:$F$560,'04_ccass_unlocks'!$A$3:$A$560,$A79)</f>
        <v>42017.156999999999</v>
      </c>
      <c r="J79" s="40">
        <f>IFERROR(_xlfn.MAXIFS('04_ccass_unlocks'!$C$3:$C$560,'04_ccass_unlocks'!$A$3:$A$560,$A79),"")</f>
        <v>45394</v>
      </c>
      <c r="K79" t="s">
        <v>2300</v>
      </c>
    </row>
    <row r="80" spans="1:11">
      <c r="A80" t="s">
        <v>759</v>
      </c>
      <c r="B80" t="s">
        <v>760</v>
      </c>
      <c r="C80" s="40">
        <f>IFERROR(_xlfn.MINIFS('04_ccass_unlocks'!$C$3:$C$560,'04_ccass_unlocks'!$A$3:$A$560,$A80),"")</f>
        <v>45666</v>
      </c>
      <c r="D80" s="50">
        <f>IFERROR(SUMPRODUCT(('04_ccass_unlocks'!$A$3:$A$560=$A80)*('04_ccass_unlocks'!$C$3:$C$560=$C80)*'04_ccass_unlocks'!$E$3:$E$560),"")</f>
        <v>28.915199999999999</v>
      </c>
      <c r="E80" s="50">
        <f>IFERROR(_xlfn.MAXIFS('04_ccass_unlocks'!$E$3:$E$560,'04_ccass_unlocks'!$A$3:$A$560,$A80),"")</f>
        <v>28.915199999999999</v>
      </c>
      <c r="F80" s="40">
        <f>IFERROR(SUMPRODUCT(('04_ccass_unlocks'!$A$3:$A$560=$A80)*('04_ccass_unlocks'!$E$3:$E$560=$E80)*'04_ccass_unlocks'!$C$3:$C$560),"")</f>
        <v>45666</v>
      </c>
      <c r="G80">
        <f>COUNTIF('04_ccass_unlocks'!$A$3:$A$560,$A80)</f>
        <v>1</v>
      </c>
      <c r="H80" s="80">
        <f>SUMIFS('04_ccass_unlocks'!$D$3:$D$560,'04_ccass_unlocks'!$A$3:$A$560,$A80)</f>
        <v>20713.082399999999</v>
      </c>
      <c r="I80" s="65">
        <f>SUMIFS('04_ccass_unlocks'!$F$3:$F$560,'04_ccass_unlocks'!$A$3:$A$560,$A80)</f>
        <v>175232.677104</v>
      </c>
      <c r="J80" s="40">
        <f>IFERROR(_xlfn.MAXIFS('04_ccass_unlocks'!$C$3:$C$560,'04_ccass_unlocks'!$A$3:$A$560,$A80),"")</f>
        <v>45666</v>
      </c>
      <c r="K80" t="s">
        <v>2292</v>
      </c>
    </row>
    <row r="81" spans="1:11">
      <c r="A81" t="s">
        <v>662</v>
      </c>
      <c r="B81" t="s">
        <v>663</v>
      </c>
      <c r="C81" s="40">
        <f>IFERROR(_xlfn.MINIFS('04_ccass_unlocks'!$C$3:$C$560,'04_ccass_unlocks'!$A$3:$A$560,$A81),"")</f>
        <v>45124</v>
      </c>
      <c r="D81" s="50">
        <f>IFERROR(SUMPRODUCT(('04_ccass_unlocks'!$A$3:$A$560=$A81)*('04_ccass_unlocks'!$C$3:$C$560=$C81)*'04_ccass_unlocks'!$E$3:$E$560),"")</f>
        <v>8.8260000000000005</v>
      </c>
      <c r="E81" s="50">
        <f>IFERROR(_xlfn.MAXIFS('04_ccass_unlocks'!$E$3:$E$560,'04_ccass_unlocks'!$A$3:$A$560,$A81),"")</f>
        <v>8.8260000000000005</v>
      </c>
      <c r="F81" s="40">
        <f>IFERROR(SUMPRODUCT(('04_ccass_unlocks'!$A$3:$A$560=$A81)*('04_ccass_unlocks'!$E$3:$E$560=$E81)*'04_ccass_unlocks'!$C$3:$C$560),"")</f>
        <v>45124</v>
      </c>
      <c r="G81">
        <f>COUNTIF('04_ccass_unlocks'!$A$3:$A$560,$A81)</f>
        <v>1</v>
      </c>
      <c r="H81" s="80">
        <f>SUMIFS('04_ccass_unlocks'!$D$3:$D$560,'04_ccass_unlocks'!$A$3:$A$560,$A81)</f>
        <v>2647.8</v>
      </c>
      <c r="I81" s="65">
        <f>SUMIFS('04_ccass_unlocks'!$F$3:$F$560,'04_ccass_unlocks'!$A$3:$A$560,$A81)</f>
        <v>3097.9259999999999</v>
      </c>
      <c r="J81" s="40">
        <f>IFERROR(_xlfn.MAXIFS('04_ccass_unlocks'!$C$3:$C$560,'04_ccass_unlocks'!$A$3:$A$560,$A81),"")</f>
        <v>45124</v>
      </c>
      <c r="K81" t="s">
        <v>2306</v>
      </c>
    </row>
    <row r="82" spans="1:11">
      <c r="A82" t="s">
        <v>834</v>
      </c>
      <c r="B82" t="s">
        <v>835</v>
      </c>
      <c r="C82" s="40">
        <f>IFERROR(_xlfn.MINIFS('04_ccass_unlocks'!$C$3:$C$560,'04_ccass_unlocks'!$A$3:$A$560,$A82),"")</f>
        <v>45092</v>
      </c>
      <c r="D82" s="50">
        <f>IFERROR(SUMPRODUCT(('04_ccass_unlocks'!$A$3:$A$560=$A82)*('04_ccass_unlocks'!$C$3:$C$560=$C82)*'04_ccass_unlocks'!$E$3:$E$560),"")</f>
        <v>6</v>
      </c>
      <c r="E82" s="50">
        <f>IFERROR(_xlfn.MAXIFS('04_ccass_unlocks'!$E$3:$E$560,'04_ccass_unlocks'!$A$3:$A$560,$A82),"")</f>
        <v>6</v>
      </c>
      <c r="F82" s="40">
        <f>IFERROR(SUMPRODUCT(('04_ccass_unlocks'!$A$3:$A$560=$A82)*('04_ccass_unlocks'!$E$3:$E$560=$E82)*'04_ccass_unlocks'!$C$3:$C$560),"")</f>
        <v>45092</v>
      </c>
      <c r="G82">
        <f>COUNTIF('04_ccass_unlocks'!$A$3:$A$560,$A82)</f>
        <v>1</v>
      </c>
      <c r="H82" s="80">
        <f>SUMIFS('04_ccass_unlocks'!$D$3:$D$560,'04_ccass_unlocks'!$A$3:$A$560,$A82)</f>
        <v>6000</v>
      </c>
      <c r="I82" s="65">
        <f>SUMIFS('04_ccass_unlocks'!$F$3:$F$560,'04_ccass_unlocks'!$A$3:$A$560,$A82)</f>
        <v>2310</v>
      </c>
      <c r="J82" s="40">
        <f>IFERROR(_xlfn.MAXIFS('04_ccass_unlocks'!$C$3:$C$560,'04_ccass_unlocks'!$A$3:$A$560,$A82),"")</f>
        <v>45092</v>
      </c>
      <c r="K82" t="s">
        <v>2300</v>
      </c>
    </row>
    <row r="83" spans="1:11">
      <c r="A83" t="s">
        <v>331</v>
      </c>
      <c r="B83" t="s">
        <v>332</v>
      </c>
      <c r="C83" s="40">
        <f>IFERROR(_xlfn.MINIFS('04_ccass_unlocks'!$C$3:$C$560,'04_ccass_unlocks'!$A$3:$A$560,$A83),"")</f>
        <v>45770</v>
      </c>
      <c r="D83" s="50">
        <f>IFERROR(SUMPRODUCT(('04_ccass_unlocks'!$A$3:$A$560=$A83)*('04_ccass_unlocks'!$C$3:$C$560=$C83)*'04_ccass_unlocks'!$E$3:$E$560),"")</f>
        <v>6.9215999999999998</v>
      </c>
      <c r="E83" s="50">
        <f>IFERROR(_xlfn.MAXIFS('04_ccass_unlocks'!$E$3:$E$560,'04_ccass_unlocks'!$A$3:$A$560,$A83),"")</f>
        <v>83.396000000000001</v>
      </c>
      <c r="F83" s="40">
        <f>IFERROR(SUMPRODUCT(('04_ccass_unlocks'!$A$3:$A$560=$A83)*('04_ccass_unlocks'!$E$3:$E$560=$E83)*'04_ccass_unlocks'!$C$3:$C$560),"")</f>
        <v>45953</v>
      </c>
      <c r="G83">
        <f>COUNTIF('04_ccass_unlocks'!$A$3:$A$560,$A83)</f>
        <v>2</v>
      </c>
      <c r="H83" s="80">
        <f>SUMIFS('04_ccass_unlocks'!$D$3:$D$560,'04_ccass_unlocks'!$A$3:$A$560,$A83)</f>
        <v>216599.28</v>
      </c>
      <c r="I83" s="65">
        <f>SUMIFS('04_ccass_unlocks'!$F$3:$F$560,'04_ccass_unlocks'!$A$3:$A$560,$A83)</f>
        <v>2416357.5743999998</v>
      </c>
      <c r="J83" s="40">
        <f>IFERROR(_xlfn.MAXIFS('04_ccass_unlocks'!$C$3:$C$560,'04_ccass_unlocks'!$A$3:$A$560,$A83),"")</f>
        <v>45953</v>
      </c>
      <c r="K83" t="s">
        <v>2304</v>
      </c>
    </row>
    <row r="84" spans="1:11">
      <c r="A84" t="s">
        <v>352</v>
      </c>
      <c r="B84" t="s">
        <v>353</v>
      </c>
      <c r="C84" s="40">
        <f>IFERROR(_xlfn.MINIFS('04_ccass_unlocks'!$C$3:$C$560,'04_ccass_unlocks'!$A$3:$A$560,$A84),"")</f>
        <v>45777</v>
      </c>
      <c r="D84" s="50">
        <f>IFERROR(SUMPRODUCT(('04_ccass_unlocks'!$A$3:$A$560=$A84)*('04_ccass_unlocks'!$C$3:$C$560=$C84)*'04_ccass_unlocks'!$E$3:$E$560),"")</f>
        <v>20</v>
      </c>
      <c r="E84" s="50">
        <f>IFERROR(_xlfn.MAXIFS('04_ccass_unlocks'!$E$3:$E$560,'04_ccass_unlocks'!$A$3:$A$560,$A84),"")</f>
        <v>20</v>
      </c>
      <c r="F84" s="40">
        <f>IFERROR(SUMPRODUCT(('04_ccass_unlocks'!$A$3:$A$560=$A84)*('04_ccass_unlocks'!$E$3:$E$560=$E84)*'04_ccass_unlocks'!$C$3:$C$560),"")</f>
        <v>45777</v>
      </c>
      <c r="G84">
        <f>COUNTIF('04_ccass_unlocks'!$A$3:$A$560,$A84)</f>
        <v>1</v>
      </c>
      <c r="H84" s="80">
        <f>SUMIFS('04_ccass_unlocks'!$D$3:$D$560,'04_ccass_unlocks'!$A$3:$A$560,$A84)</f>
        <v>2000</v>
      </c>
      <c r="I84" s="65">
        <f>SUMIFS('04_ccass_unlocks'!$F$3:$F$560,'04_ccass_unlocks'!$A$3:$A$560,$A84)</f>
        <v>9380</v>
      </c>
      <c r="J84" s="40">
        <f>IFERROR(_xlfn.MAXIFS('04_ccass_unlocks'!$C$3:$C$560,'04_ccass_unlocks'!$A$3:$A$560,$A84),"")</f>
        <v>45777</v>
      </c>
      <c r="K84" t="s">
        <v>2297</v>
      </c>
    </row>
    <row r="85" spans="1:11">
      <c r="A85" t="s">
        <v>882</v>
      </c>
      <c r="B85" t="s">
        <v>883</v>
      </c>
      <c r="C85" s="40">
        <f>IFERROR(_xlfn.MINIFS('04_ccass_unlocks'!$C$3:$C$560,'04_ccass_unlocks'!$A$3:$A$560,$A85),"")</f>
        <v>45670</v>
      </c>
      <c r="D85" s="50">
        <f>IFERROR(SUMPRODUCT(('04_ccass_unlocks'!$A$3:$A$560=$A85)*('04_ccass_unlocks'!$C$3:$C$560=$C85)*'04_ccass_unlocks'!$E$3:$E$560),"")</f>
        <v>75</v>
      </c>
      <c r="E85" s="50">
        <f>IFERROR(_xlfn.MAXIFS('04_ccass_unlocks'!$E$3:$E$560,'04_ccass_unlocks'!$A$3:$A$560,$A85),"")</f>
        <v>75</v>
      </c>
      <c r="F85" s="40">
        <f>IFERROR(SUMPRODUCT(('04_ccass_unlocks'!$A$3:$A$560=$A85)*('04_ccass_unlocks'!$E$3:$E$560=$E85)*'04_ccass_unlocks'!$C$3:$C$560),"")</f>
        <v>45670</v>
      </c>
      <c r="G85">
        <f>COUNTIF('04_ccass_unlocks'!$A$3:$A$560,$A85)</f>
        <v>1</v>
      </c>
      <c r="H85" s="80">
        <f>SUMIFS('04_ccass_unlocks'!$D$3:$D$560,'04_ccass_unlocks'!$A$3:$A$560,$A85)</f>
        <v>37500</v>
      </c>
      <c r="I85" s="65">
        <f>SUMIFS('04_ccass_unlocks'!$F$3:$F$560,'04_ccass_unlocks'!$A$3:$A$560,$A85)</f>
        <v>480000</v>
      </c>
      <c r="J85" s="40">
        <f>IFERROR(_xlfn.MAXIFS('04_ccass_unlocks'!$C$3:$C$560,'04_ccass_unlocks'!$A$3:$A$560,$A85),"")</f>
        <v>45670</v>
      </c>
      <c r="K85" t="s">
        <v>2316</v>
      </c>
    </row>
    <row r="86" spans="1:11">
      <c r="A86" t="s">
        <v>809</v>
      </c>
      <c r="B86" t="s">
        <v>810</v>
      </c>
      <c r="C86" s="40">
        <f>IFERROR(_xlfn.MINIFS('04_ccass_unlocks'!$C$3:$C$560,'04_ccass_unlocks'!$A$3:$A$560,$A86),"")</f>
        <v>45654</v>
      </c>
      <c r="D86" s="50">
        <f>IFERROR(SUMPRODUCT(('04_ccass_unlocks'!$A$3:$A$560=$A86)*('04_ccass_unlocks'!$C$3:$C$560=$C86)*'04_ccass_unlocks'!$E$3:$E$560),"")</f>
        <v>7.6538000000000004</v>
      </c>
      <c r="E86" s="50">
        <f>IFERROR(_xlfn.MAXIFS('04_ccass_unlocks'!$E$3:$E$560,'04_ccass_unlocks'!$A$3:$A$560,$A86),"")</f>
        <v>90.386300000000006</v>
      </c>
      <c r="F86" s="40">
        <f>IFERROR(SUMPRODUCT(('04_ccass_unlocks'!$A$3:$A$560=$A86)*('04_ccass_unlocks'!$E$3:$E$560=$E86)*'04_ccass_unlocks'!$C$3:$C$560),"")</f>
        <v>45836</v>
      </c>
      <c r="G86">
        <f>COUNTIF('04_ccass_unlocks'!$A$3:$A$560,$A86)</f>
        <v>2</v>
      </c>
      <c r="H86" s="80">
        <f>SUMIFS('04_ccass_unlocks'!$D$3:$D$560,'04_ccass_unlocks'!$A$3:$A$560,$A86)</f>
        <v>4913.5950000000003</v>
      </c>
      <c r="I86" s="65">
        <f>SUMIFS('04_ccass_unlocks'!$F$3:$F$560,'04_ccass_unlocks'!$A$3:$A$560,$A86)</f>
        <v>324370.40999999997</v>
      </c>
      <c r="J86" s="40">
        <f>IFERROR(_xlfn.MAXIFS('04_ccass_unlocks'!$C$3:$C$560,'04_ccass_unlocks'!$A$3:$A$560,$A86),"")</f>
        <v>45836</v>
      </c>
      <c r="K86" t="s">
        <v>2298</v>
      </c>
    </row>
    <row r="87" spans="1:11">
      <c r="A87" t="s">
        <v>1012</v>
      </c>
      <c r="B87" t="s">
        <v>1013</v>
      </c>
      <c r="C87" s="40">
        <f>IFERROR(_xlfn.MINIFS('04_ccass_unlocks'!$C$3:$C$560,'04_ccass_unlocks'!$A$3:$A$560,$A87),"")</f>
        <v>45238</v>
      </c>
      <c r="D87" s="50">
        <f>IFERROR(SUMPRODUCT(('04_ccass_unlocks'!$A$3:$A$560=$A87)*('04_ccass_unlocks'!$C$3:$C$560=$C87)*'04_ccass_unlocks'!$E$3:$E$560),"")</f>
        <v>2.3641999999999999</v>
      </c>
      <c r="E87" s="50">
        <f>IFERROR(_xlfn.MAXIFS('04_ccass_unlocks'!$E$3:$E$560,'04_ccass_unlocks'!$A$3:$A$560,$A87),"")</f>
        <v>2.3641999999999999</v>
      </c>
      <c r="F87" s="40">
        <f>IFERROR(SUMPRODUCT(('04_ccass_unlocks'!$A$3:$A$560=$A87)*('04_ccass_unlocks'!$E$3:$E$560=$E87)*'04_ccass_unlocks'!$C$3:$C$560),"")</f>
        <v>45238</v>
      </c>
      <c r="G87">
        <f>COUNTIF('04_ccass_unlocks'!$A$3:$A$560,$A87)</f>
        <v>1</v>
      </c>
      <c r="H87" s="80">
        <f>SUMIFS('04_ccass_unlocks'!$D$3:$D$560,'04_ccass_unlocks'!$A$3:$A$560,$A87)</f>
        <v>478.64</v>
      </c>
      <c r="I87" s="65">
        <f>SUMIFS('04_ccass_unlocks'!$F$3:$F$560,'04_ccass_unlocks'!$A$3:$A$560,$A87)</f>
        <v>16393.419999999998</v>
      </c>
      <c r="J87" s="40">
        <f>IFERROR(_xlfn.MAXIFS('04_ccass_unlocks'!$C$3:$C$560,'04_ccass_unlocks'!$A$3:$A$560,$A87),"")</f>
        <v>45238</v>
      </c>
      <c r="K87" t="s">
        <v>2296</v>
      </c>
    </row>
    <row r="88" spans="1:11">
      <c r="A88" t="s">
        <v>544</v>
      </c>
      <c r="B88" t="s">
        <v>545</v>
      </c>
      <c r="C88" s="40">
        <f>IFERROR(_xlfn.MINIFS('04_ccass_unlocks'!$C$3:$C$560,'04_ccass_unlocks'!$A$3:$A$560,$A88),"")</f>
        <v>45301</v>
      </c>
      <c r="D88" s="50">
        <f>IFERROR(SUMPRODUCT(('04_ccass_unlocks'!$A$3:$A$560=$A88)*('04_ccass_unlocks'!$C$3:$C$560=$C88)*'04_ccass_unlocks'!$E$3:$E$560),"")</f>
        <v>4.9147999999999996</v>
      </c>
      <c r="E88" s="50">
        <f>IFERROR(_xlfn.MAXIFS('04_ccass_unlocks'!$E$3:$E$560,'04_ccass_unlocks'!$A$3:$A$560,$A88),"")</f>
        <v>4.9147999999999996</v>
      </c>
      <c r="F88" s="40">
        <f>IFERROR(SUMPRODUCT(('04_ccass_unlocks'!$A$3:$A$560=$A88)*('04_ccass_unlocks'!$E$3:$E$560=$E88)*'04_ccass_unlocks'!$C$3:$C$560),"")</f>
        <v>45301</v>
      </c>
      <c r="G88">
        <f>COUNTIF('04_ccass_unlocks'!$A$3:$A$560,$A88)</f>
        <v>1</v>
      </c>
      <c r="H88" s="80">
        <f>SUMIFS('04_ccass_unlocks'!$D$3:$D$560,'04_ccass_unlocks'!$A$3:$A$560,$A88)</f>
        <v>1482.3</v>
      </c>
      <c r="I88" s="65">
        <f>SUMIFS('04_ccass_unlocks'!$F$3:$F$560,'04_ccass_unlocks'!$A$3:$A$560,$A88)</f>
        <v>3794.6880000000001</v>
      </c>
      <c r="J88" s="40">
        <f>IFERROR(_xlfn.MAXIFS('04_ccass_unlocks'!$C$3:$C$560,'04_ccass_unlocks'!$A$3:$A$560,$A88),"")</f>
        <v>45301</v>
      </c>
      <c r="K88" t="s">
        <v>2325</v>
      </c>
    </row>
    <row r="89" spans="1:11">
      <c r="A89" t="s">
        <v>397</v>
      </c>
      <c r="B89" t="s">
        <v>398</v>
      </c>
      <c r="C89" s="40">
        <f>IFERROR(_xlfn.MINIFS('04_ccass_unlocks'!$C$3:$C$560,'04_ccass_unlocks'!$A$3:$A$560,$A89),"")</f>
        <v>45178</v>
      </c>
      <c r="D89" s="50">
        <f>IFERROR(SUMPRODUCT(('04_ccass_unlocks'!$A$3:$A$560=$A89)*('04_ccass_unlocks'!$C$3:$C$560=$C89)*'04_ccass_unlocks'!$E$3:$E$560),"")</f>
        <v>1.6861999999999999</v>
      </c>
      <c r="E89" s="50">
        <f>IFERROR(_xlfn.MAXIFS('04_ccass_unlocks'!$E$3:$E$560,'04_ccass_unlocks'!$A$3:$A$560,$A89),"")</f>
        <v>1.6861999999999999</v>
      </c>
      <c r="F89" s="40">
        <f>IFERROR(SUMPRODUCT(('04_ccass_unlocks'!$A$3:$A$560=$A89)*('04_ccass_unlocks'!$E$3:$E$560=$E89)*'04_ccass_unlocks'!$C$3:$C$560),"")</f>
        <v>45178</v>
      </c>
      <c r="G89">
        <f>COUNTIF('04_ccass_unlocks'!$A$3:$A$560,$A89)</f>
        <v>1</v>
      </c>
      <c r="H89" s="80">
        <f>SUMIFS('04_ccass_unlocks'!$D$3:$D$560,'04_ccass_unlocks'!$A$3:$A$560,$A89)</f>
        <v>2350.3000000000002</v>
      </c>
      <c r="I89" s="65">
        <f>SUMIFS('04_ccass_unlocks'!$F$3:$F$560,'04_ccass_unlocks'!$A$3:$A$560,$A89)</f>
        <v>4959.1329999999998</v>
      </c>
      <c r="J89" s="40">
        <f>IFERROR(_xlfn.MAXIFS('04_ccass_unlocks'!$C$3:$C$560,'04_ccass_unlocks'!$A$3:$A$560,$A89),"")</f>
        <v>45178</v>
      </c>
      <c r="K89" t="s">
        <v>2321</v>
      </c>
    </row>
    <row r="90" spans="1:11">
      <c r="A90" t="s">
        <v>899</v>
      </c>
      <c r="B90" t="s">
        <v>900</v>
      </c>
      <c r="C90" s="40">
        <f>IFERROR(_xlfn.MINIFS('04_ccass_unlocks'!$C$3:$C$560,'04_ccass_unlocks'!$A$3:$A$560,$A90),"")</f>
        <v>45631</v>
      </c>
      <c r="D90" s="50">
        <f>IFERROR(SUMPRODUCT(('04_ccass_unlocks'!$A$3:$A$560=$A90)*('04_ccass_unlocks'!$C$3:$C$560=$C90)*'04_ccass_unlocks'!$E$3:$E$560),"")</f>
        <v>75</v>
      </c>
      <c r="E90" s="50">
        <f>IFERROR(_xlfn.MAXIFS('04_ccass_unlocks'!$E$3:$E$560,'04_ccass_unlocks'!$A$3:$A$560,$A90),"")</f>
        <v>75</v>
      </c>
      <c r="F90" s="40">
        <f>IFERROR(SUMPRODUCT(('04_ccass_unlocks'!$A$3:$A$560=$A90)*('04_ccass_unlocks'!$E$3:$E$560=$E90)*'04_ccass_unlocks'!$C$3:$C$560),"")</f>
        <v>45631</v>
      </c>
      <c r="G90">
        <f>COUNTIF('04_ccass_unlocks'!$A$3:$A$560,$A90)</f>
        <v>1</v>
      </c>
      <c r="H90" s="80">
        <f>SUMIFS('04_ccass_unlocks'!$D$3:$D$560,'04_ccass_unlocks'!$A$3:$A$560,$A90)</f>
        <v>37500</v>
      </c>
      <c r="I90" s="65">
        <f>SUMIFS('04_ccass_unlocks'!$F$3:$F$560,'04_ccass_unlocks'!$A$3:$A$560,$A90)</f>
        <v>69000</v>
      </c>
      <c r="J90" s="40">
        <f>IFERROR(_xlfn.MAXIFS('04_ccass_unlocks'!$C$3:$C$560,'04_ccass_unlocks'!$A$3:$A$560,$A90),"")</f>
        <v>45631</v>
      </c>
      <c r="K90" t="s">
        <v>2310</v>
      </c>
    </row>
    <row r="91" spans="1:11">
      <c r="A91" t="s">
        <v>947</v>
      </c>
      <c r="B91" t="s">
        <v>948</v>
      </c>
      <c r="C91" s="40">
        <f>IFERROR(_xlfn.MINIFS('04_ccass_unlocks'!$C$3:$C$560,'04_ccass_unlocks'!$A$3:$A$560,$A91),"")</f>
        <v>45272</v>
      </c>
      <c r="D91" s="50">
        <f>IFERROR(SUMPRODUCT(('04_ccass_unlocks'!$A$3:$A$560=$A91)*('04_ccass_unlocks'!$C$3:$C$560=$C91)*'04_ccass_unlocks'!$E$3:$E$560),"")</f>
        <v>2.7313000000000001</v>
      </c>
      <c r="E91" s="50">
        <f>IFERROR(_xlfn.MAXIFS('04_ccass_unlocks'!$E$3:$E$560,'04_ccass_unlocks'!$A$3:$A$560,$A91),"")</f>
        <v>2.7313000000000001</v>
      </c>
      <c r="F91" s="40">
        <f>IFERROR(SUMPRODUCT(('04_ccass_unlocks'!$A$3:$A$560=$A91)*('04_ccass_unlocks'!$E$3:$E$560=$E91)*'04_ccass_unlocks'!$C$3:$C$560),"")</f>
        <v>45272</v>
      </c>
      <c r="G91">
        <f>COUNTIF('04_ccass_unlocks'!$A$3:$A$560,$A91)</f>
        <v>1</v>
      </c>
      <c r="H91" s="80">
        <f>SUMIFS('04_ccass_unlocks'!$D$3:$D$560,'04_ccass_unlocks'!$A$3:$A$560,$A91)</f>
        <v>830.38</v>
      </c>
      <c r="I91" s="65">
        <f>SUMIFS('04_ccass_unlocks'!$F$3:$F$560,'04_ccass_unlocks'!$A$3:$A$560,$A91)</f>
        <v>12123.548000000001</v>
      </c>
      <c r="J91" s="40">
        <f>IFERROR(_xlfn.MAXIFS('04_ccass_unlocks'!$C$3:$C$560,'04_ccass_unlocks'!$A$3:$A$560,$A91),"")</f>
        <v>45272</v>
      </c>
      <c r="K91" t="s">
        <v>2296</v>
      </c>
    </row>
    <row r="92" spans="1:11">
      <c r="A92" t="s">
        <v>828</v>
      </c>
      <c r="B92" t="s">
        <v>829</v>
      </c>
      <c r="C92" s="40">
        <f>IFERROR(_xlfn.MINIFS('04_ccass_unlocks'!$C$3:$C$560,'04_ccass_unlocks'!$A$3:$A$560,$A92),"")</f>
        <v>45648</v>
      </c>
      <c r="D92" s="50">
        <f>IFERROR(SUMPRODUCT(('04_ccass_unlocks'!$A$3:$A$560=$A92)*('04_ccass_unlocks'!$C$3:$C$560=$C92)*'04_ccass_unlocks'!$E$3:$E$560),"")</f>
        <v>9.9</v>
      </c>
      <c r="E92" s="50">
        <f>IFERROR(_xlfn.MAXIFS('04_ccass_unlocks'!$E$3:$E$560,'04_ccass_unlocks'!$A$3:$A$560,$A92),"")</f>
        <v>9.9</v>
      </c>
      <c r="F92" s="40">
        <f>IFERROR(SUMPRODUCT(('04_ccass_unlocks'!$A$3:$A$560=$A92)*('04_ccass_unlocks'!$E$3:$E$560=$E92)*'04_ccass_unlocks'!$C$3:$C$560),"")</f>
        <v>45648</v>
      </c>
      <c r="G92">
        <f>COUNTIF('04_ccass_unlocks'!$A$3:$A$560,$A92)</f>
        <v>1</v>
      </c>
      <c r="H92" s="80">
        <f>SUMIFS('04_ccass_unlocks'!$D$3:$D$560,'04_ccass_unlocks'!$A$3:$A$560,$A92)</f>
        <v>19800</v>
      </c>
      <c r="I92" s="65">
        <f>SUMIFS('04_ccass_unlocks'!$F$3:$F$560,'04_ccass_unlocks'!$A$3:$A$560,$A92)</f>
        <v>16434</v>
      </c>
      <c r="J92" s="40">
        <f>IFERROR(_xlfn.MAXIFS('04_ccass_unlocks'!$C$3:$C$560,'04_ccass_unlocks'!$A$3:$A$560,$A92),"")</f>
        <v>45648</v>
      </c>
      <c r="K92" t="s">
        <v>2315</v>
      </c>
    </row>
    <row r="93" spans="1:11">
      <c r="A93" t="s">
        <v>651</v>
      </c>
      <c r="B93" t="s">
        <v>652</v>
      </c>
      <c r="C93" s="40">
        <f>IFERROR(_xlfn.MINIFS('04_ccass_unlocks'!$C$3:$C$560,'04_ccass_unlocks'!$A$3:$A$560,$A93),"")</f>
        <v>45667</v>
      </c>
      <c r="D93" s="50">
        <f>IFERROR(SUMPRODUCT(('04_ccass_unlocks'!$A$3:$A$560=$A93)*('04_ccass_unlocks'!$C$3:$C$560=$C93)*'04_ccass_unlocks'!$E$3:$E$560),"")</f>
        <v>4.9398999999999997</v>
      </c>
      <c r="E93" s="50">
        <f>IFERROR(_xlfn.MAXIFS('04_ccass_unlocks'!$E$3:$E$560,'04_ccass_unlocks'!$A$3:$A$560,$A93),"")</f>
        <v>24.2818</v>
      </c>
      <c r="F93" s="40">
        <f>IFERROR(SUMPRODUCT(('04_ccass_unlocks'!$A$3:$A$560=$A93)*('04_ccass_unlocks'!$E$3:$E$560=$E93)*'04_ccass_unlocks'!$C$3:$C$560),"")</f>
        <v>45848</v>
      </c>
      <c r="G93">
        <f>COUNTIF('04_ccass_unlocks'!$A$3:$A$560,$A93)</f>
        <v>2</v>
      </c>
      <c r="H93" s="80">
        <f>SUMIFS('04_ccass_unlocks'!$D$3:$D$560,'04_ccass_unlocks'!$A$3:$A$560,$A93)</f>
        <v>1038.0772999999999</v>
      </c>
      <c r="I93" s="65">
        <f>SUMIFS('04_ccass_unlocks'!$F$3:$F$560,'04_ccass_unlocks'!$A$3:$A$560,$A93)</f>
        <v>96182.276710000006</v>
      </c>
      <c r="J93" s="40">
        <f>IFERROR(_xlfn.MAXIFS('04_ccass_unlocks'!$C$3:$C$560,'04_ccass_unlocks'!$A$3:$A$560,$A93),"")</f>
        <v>45848</v>
      </c>
      <c r="K93" t="s">
        <v>2298</v>
      </c>
    </row>
    <row r="94" spans="1:11">
      <c r="A94" t="s">
        <v>1028</v>
      </c>
      <c r="B94" t="s">
        <v>1029</v>
      </c>
      <c r="C94" s="40">
        <f>IFERROR(_xlfn.MINIFS('04_ccass_unlocks'!$C$3:$C$560,'04_ccass_unlocks'!$A$3:$A$560,$A94),"")</f>
        <v>45376</v>
      </c>
      <c r="D94" s="50">
        <f>IFERROR(SUMPRODUCT(('04_ccass_unlocks'!$A$3:$A$560=$A94)*('04_ccass_unlocks'!$C$3:$C$560=$C94)*'04_ccass_unlocks'!$E$3:$E$560),"")</f>
        <v>3.3601999999999999</v>
      </c>
      <c r="E94" s="50">
        <f>IFERROR(_xlfn.MAXIFS('04_ccass_unlocks'!$E$3:$E$560,'04_ccass_unlocks'!$A$3:$A$560,$A94),"")</f>
        <v>3.3601999999999999</v>
      </c>
      <c r="F94" s="40">
        <f>IFERROR(SUMPRODUCT(('04_ccass_unlocks'!$A$3:$A$560=$A94)*('04_ccass_unlocks'!$E$3:$E$560=$E94)*'04_ccass_unlocks'!$C$3:$C$560),"")</f>
        <v>45376</v>
      </c>
      <c r="G94">
        <f>COUNTIF('04_ccass_unlocks'!$A$3:$A$560,$A94)</f>
        <v>1</v>
      </c>
      <c r="H94" s="80">
        <f>SUMIFS('04_ccass_unlocks'!$D$3:$D$560,'04_ccass_unlocks'!$A$3:$A$560,$A94)</f>
        <v>651.38</v>
      </c>
      <c r="I94" s="65">
        <f>SUMIFS('04_ccass_unlocks'!$F$3:$F$560,'04_ccass_unlocks'!$A$3:$A$560,$A94)</f>
        <v>5145.902</v>
      </c>
      <c r="J94" s="40">
        <f>IFERROR(_xlfn.MAXIFS('04_ccass_unlocks'!$C$3:$C$560,'04_ccass_unlocks'!$A$3:$A$560,$A94),"")</f>
        <v>45376</v>
      </c>
      <c r="K94" t="s">
        <v>2296</v>
      </c>
    </row>
    <row r="95" spans="1:11">
      <c r="A95" t="s">
        <v>933</v>
      </c>
      <c r="B95" t="s">
        <v>934</v>
      </c>
      <c r="C95" s="40">
        <f>IFERROR(_xlfn.MINIFS('04_ccass_unlocks'!$C$3:$C$560,'04_ccass_unlocks'!$A$3:$A$560,$A95),"")</f>
        <v>45563</v>
      </c>
      <c r="D95" s="50">
        <f>IFERROR(SUMPRODUCT(('04_ccass_unlocks'!$A$3:$A$560=$A95)*('04_ccass_unlocks'!$C$3:$C$560=$C95)*'04_ccass_unlocks'!$E$3:$E$560),"")</f>
        <v>25.2727</v>
      </c>
      <c r="E95" s="50">
        <f>IFERROR(_xlfn.MAXIFS('04_ccass_unlocks'!$E$3:$E$560,'04_ccass_unlocks'!$A$3:$A$560,$A95),"")</f>
        <v>54.7273</v>
      </c>
      <c r="F95" s="40">
        <f>IFERROR(SUMPRODUCT(('04_ccass_unlocks'!$A$3:$A$560=$A95)*('04_ccass_unlocks'!$E$3:$E$560=$E95)*'04_ccass_unlocks'!$C$3:$C$560),"")</f>
        <v>45744</v>
      </c>
      <c r="G95">
        <f>COUNTIF('04_ccass_unlocks'!$A$3:$A$560,$A95)</f>
        <v>2</v>
      </c>
      <c r="H95" s="80">
        <f>SUMIFS('04_ccass_unlocks'!$D$3:$D$560,'04_ccass_unlocks'!$A$3:$A$560,$A95)</f>
        <v>40000</v>
      </c>
      <c r="I95" s="65">
        <f>SUMIFS('04_ccass_unlocks'!$F$3:$F$560,'04_ccass_unlocks'!$A$3:$A$560,$A95)</f>
        <v>38316.364699999998</v>
      </c>
      <c r="J95" s="40">
        <f>IFERROR(_xlfn.MAXIFS('04_ccass_unlocks'!$C$3:$C$560,'04_ccass_unlocks'!$A$3:$A$560,$A95),"")</f>
        <v>45744</v>
      </c>
      <c r="K95" t="s">
        <v>2302</v>
      </c>
    </row>
    <row r="96" spans="1:11">
      <c r="A96" t="s">
        <v>618</v>
      </c>
      <c r="B96" t="s">
        <v>619</v>
      </c>
      <c r="C96" s="40">
        <f>IFERROR(_xlfn.MINIFS('04_ccass_unlocks'!$C$3:$C$560,'04_ccass_unlocks'!$A$3:$A$560,$A96),"")</f>
        <v>45478</v>
      </c>
      <c r="D96" s="50">
        <f>IFERROR(SUMPRODUCT(('04_ccass_unlocks'!$A$3:$A$560=$A96)*('04_ccass_unlocks'!$C$3:$C$560=$C96)*'04_ccass_unlocks'!$E$3:$E$560),"")</f>
        <v>4.0285000000000002</v>
      </c>
      <c r="E96" s="50">
        <f>IFERROR(_xlfn.MAXIFS('04_ccass_unlocks'!$E$3:$E$560,'04_ccass_unlocks'!$A$3:$A$560,$A96),"")</f>
        <v>4.0285000000000002</v>
      </c>
      <c r="F96" s="40">
        <f>IFERROR(SUMPRODUCT(('04_ccass_unlocks'!$A$3:$A$560=$A96)*('04_ccass_unlocks'!$E$3:$E$560=$E96)*'04_ccass_unlocks'!$C$3:$C$560),"")</f>
        <v>45478</v>
      </c>
      <c r="G96">
        <f>COUNTIF('04_ccass_unlocks'!$A$3:$A$560,$A96)</f>
        <v>1</v>
      </c>
      <c r="H96" s="80">
        <f>SUMIFS('04_ccass_unlocks'!$D$3:$D$560,'04_ccass_unlocks'!$A$3:$A$560,$A96)</f>
        <v>1816.6</v>
      </c>
      <c r="I96" s="65">
        <f>SUMIFS('04_ccass_unlocks'!$F$3:$F$560,'04_ccass_unlocks'!$A$3:$A$560,$A96)</f>
        <v>29101.932000000001</v>
      </c>
      <c r="J96" s="40">
        <f>IFERROR(_xlfn.MAXIFS('04_ccass_unlocks'!$C$3:$C$560,'04_ccass_unlocks'!$A$3:$A$560,$A96),"")</f>
        <v>45478</v>
      </c>
      <c r="K96" t="s">
        <v>2298</v>
      </c>
    </row>
    <row r="97" spans="1:11">
      <c r="A97" t="s">
        <v>566</v>
      </c>
      <c r="B97" t="s">
        <v>567</v>
      </c>
      <c r="C97" s="40">
        <f>IFERROR(_xlfn.MINIFS('04_ccass_unlocks'!$C$3:$C$560,'04_ccass_unlocks'!$A$3:$A$560,$A97),"")</f>
        <v>45422</v>
      </c>
      <c r="D97" s="50">
        <f>IFERROR(SUMPRODUCT(('04_ccass_unlocks'!$A$3:$A$560=$A97)*('04_ccass_unlocks'!$C$3:$C$560=$C97)*'04_ccass_unlocks'!$E$3:$E$560),"")</f>
        <v>2.1932999999999998</v>
      </c>
      <c r="E97" s="50">
        <f>IFERROR(_xlfn.MAXIFS('04_ccass_unlocks'!$E$3:$E$560,'04_ccass_unlocks'!$A$3:$A$560,$A97),"")</f>
        <v>2.1932999999999998</v>
      </c>
      <c r="F97" s="40">
        <f>IFERROR(SUMPRODUCT(('04_ccass_unlocks'!$A$3:$A$560=$A97)*('04_ccass_unlocks'!$E$3:$E$560=$E97)*'04_ccass_unlocks'!$C$3:$C$560),"")</f>
        <v>45422</v>
      </c>
      <c r="G97">
        <f>COUNTIF('04_ccass_unlocks'!$A$3:$A$560,$A97)</f>
        <v>1</v>
      </c>
      <c r="H97" s="80">
        <f>SUMIFS('04_ccass_unlocks'!$D$3:$D$560,'04_ccass_unlocks'!$A$3:$A$560,$A97)</f>
        <v>763.32</v>
      </c>
      <c r="I97" s="65">
        <f>SUMIFS('04_ccass_unlocks'!$F$3:$F$560,'04_ccass_unlocks'!$A$3:$A$560,$A97)</f>
        <v>11449.8</v>
      </c>
      <c r="J97" s="40">
        <f>IFERROR(_xlfn.MAXIFS('04_ccass_unlocks'!$C$3:$C$560,'04_ccass_unlocks'!$A$3:$A$560,$A97),"")</f>
        <v>45422</v>
      </c>
      <c r="K97" t="s">
        <v>2297</v>
      </c>
    </row>
    <row r="98" spans="1:11">
      <c r="A98" t="s">
        <v>485</v>
      </c>
      <c r="B98" t="s">
        <v>486</v>
      </c>
      <c r="C98" s="40">
        <f>IFERROR(_xlfn.MINIFS('04_ccass_unlocks'!$C$3:$C$560,'04_ccass_unlocks'!$A$3:$A$560,$A98),"")</f>
        <v>45463</v>
      </c>
      <c r="D98" s="50">
        <f>IFERROR(SUMPRODUCT(('04_ccass_unlocks'!$A$3:$A$560=$A98)*('04_ccass_unlocks'!$C$3:$C$560=$C98)*'04_ccass_unlocks'!$E$3:$E$560),"")</f>
        <v>12.738300000000001</v>
      </c>
      <c r="E98" s="50">
        <f>IFERROR(_xlfn.MAXIFS('04_ccass_unlocks'!$E$3:$E$560,'04_ccass_unlocks'!$A$3:$A$560,$A98),"")</f>
        <v>12.738300000000001</v>
      </c>
      <c r="F98" s="40">
        <f>IFERROR(SUMPRODUCT(('04_ccass_unlocks'!$A$3:$A$560=$A98)*('04_ccass_unlocks'!$E$3:$E$560=$E98)*'04_ccass_unlocks'!$C$3:$C$560),"")</f>
        <v>45463</v>
      </c>
      <c r="G98">
        <f>COUNTIF('04_ccass_unlocks'!$A$3:$A$560,$A98)</f>
        <v>1</v>
      </c>
      <c r="H98" s="80">
        <f>SUMIFS('04_ccass_unlocks'!$D$3:$D$560,'04_ccass_unlocks'!$A$3:$A$560,$A98)</f>
        <v>12173.2</v>
      </c>
      <c r="I98" s="65">
        <f>SUMIFS('04_ccass_unlocks'!$F$3:$F$560,'04_ccass_unlocks'!$A$3:$A$560,$A98)</f>
        <v>8277.7759999999998</v>
      </c>
      <c r="J98" s="40">
        <f>IFERROR(_xlfn.MAXIFS('04_ccass_unlocks'!$C$3:$C$560,'04_ccass_unlocks'!$A$3:$A$560,$A98),"")</f>
        <v>45463</v>
      </c>
      <c r="K98" t="s">
        <v>2303</v>
      </c>
    </row>
    <row r="99" spans="1:11">
      <c r="A99" t="s">
        <v>548</v>
      </c>
      <c r="B99" t="s">
        <v>549</v>
      </c>
      <c r="C99" s="40">
        <f>IFERROR(_xlfn.MINIFS('04_ccass_unlocks'!$C$3:$C$560,'04_ccass_unlocks'!$A$3:$A$560,$A99),"")</f>
        <v>45482</v>
      </c>
      <c r="D99" s="50">
        <f>IFERROR(SUMPRODUCT(('04_ccass_unlocks'!$A$3:$A$560=$A99)*('04_ccass_unlocks'!$C$3:$C$560=$C99)*'04_ccass_unlocks'!$E$3:$E$560),"")</f>
        <v>5.9997999999999996</v>
      </c>
      <c r="E99" s="50">
        <f>IFERROR(_xlfn.MAXIFS('04_ccass_unlocks'!$E$3:$E$560,'04_ccass_unlocks'!$A$3:$A$560,$A99),"")</f>
        <v>55.200499999999998</v>
      </c>
      <c r="F99" s="40">
        <f>IFERROR(SUMPRODUCT(('04_ccass_unlocks'!$A$3:$A$560=$A99)*('04_ccass_unlocks'!$E$3:$E$560=$E99)*'04_ccass_unlocks'!$C$3:$C$560),"")</f>
        <v>45666</v>
      </c>
      <c r="G99">
        <f>COUNTIF('04_ccass_unlocks'!$A$3:$A$560,$A99)</f>
        <v>2</v>
      </c>
      <c r="H99" s="80">
        <f>SUMIFS('04_ccass_unlocks'!$D$3:$D$560,'04_ccass_unlocks'!$A$3:$A$560,$A99)</f>
        <v>31505.944</v>
      </c>
      <c r="I99" s="65">
        <f>SUMIFS('04_ccass_unlocks'!$F$3:$F$560,'04_ccass_unlocks'!$A$3:$A$560,$A99)</f>
        <v>19169.176319999999</v>
      </c>
      <c r="J99" s="40">
        <f>IFERROR(_xlfn.MAXIFS('04_ccass_unlocks'!$C$3:$C$560,'04_ccass_unlocks'!$A$3:$A$560,$A99),"")</f>
        <v>45666</v>
      </c>
      <c r="K99" t="s">
        <v>2305</v>
      </c>
    </row>
    <row r="100" spans="1:11">
      <c r="A100" t="s">
        <v>598</v>
      </c>
      <c r="B100" t="s">
        <v>599</v>
      </c>
      <c r="C100" s="40">
        <f>IFERROR(_xlfn.MINIFS('04_ccass_unlocks'!$C$3:$C$560,'04_ccass_unlocks'!$A$3:$A$560,$A100),"")</f>
        <v>45624</v>
      </c>
      <c r="D100" s="50">
        <f>IFERROR(SUMPRODUCT(('04_ccass_unlocks'!$A$3:$A$560=$A100)*('04_ccass_unlocks'!$C$3:$C$560=$C100)*'04_ccass_unlocks'!$E$3:$E$560),"")</f>
        <v>7.7755000000000001</v>
      </c>
      <c r="E100" s="50">
        <f>IFERROR(_xlfn.MAXIFS('04_ccass_unlocks'!$E$3:$E$560,'04_ccass_unlocks'!$A$3:$A$560,$A100),"")</f>
        <v>74.493600000000001</v>
      </c>
      <c r="F100" s="40">
        <f>IFERROR(SUMPRODUCT(('04_ccass_unlocks'!$A$3:$A$560=$A100)*('04_ccass_unlocks'!$E$3:$E$560=$E100)*'04_ccass_unlocks'!$C$3:$C$560),"")</f>
        <v>45805</v>
      </c>
      <c r="G100">
        <f>COUNTIF('04_ccass_unlocks'!$A$3:$A$560,$A100)</f>
        <v>2</v>
      </c>
      <c r="H100" s="80">
        <f>SUMIFS('04_ccass_unlocks'!$D$3:$D$560,'04_ccass_unlocks'!$A$3:$A$560,$A100)</f>
        <v>36439.5</v>
      </c>
      <c r="I100" s="65">
        <f>SUMIFS('04_ccass_unlocks'!$F$3:$F$560,'04_ccass_unlocks'!$A$3:$A$560,$A100)</f>
        <v>100274.15999999999</v>
      </c>
      <c r="J100" s="40">
        <f>IFERROR(_xlfn.MAXIFS('04_ccass_unlocks'!$C$3:$C$560,'04_ccass_unlocks'!$A$3:$A$560,$A100),"")</f>
        <v>45805</v>
      </c>
      <c r="K100" t="s">
        <v>2301</v>
      </c>
    </row>
    <row r="101" spans="1:11">
      <c r="A101" t="s">
        <v>749</v>
      </c>
      <c r="B101" t="s">
        <v>750</v>
      </c>
      <c r="C101" s="40">
        <f>IFERROR(_xlfn.MINIFS('04_ccass_unlocks'!$C$3:$C$560,'04_ccass_unlocks'!$A$3:$A$560,$A101),"")</f>
        <v>45838</v>
      </c>
      <c r="D101" s="50">
        <f>IFERROR(SUMPRODUCT(('04_ccass_unlocks'!$A$3:$A$560=$A101)*('04_ccass_unlocks'!$C$3:$C$560=$C101)*'04_ccass_unlocks'!$E$3:$E$560),"")</f>
        <v>2.7648000000000001</v>
      </c>
      <c r="E101" s="50">
        <f>IFERROR(_xlfn.MAXIFS('04_ccass_unlocks'!$E$3:$E$560,'04_ccass_unlocks'!$A$3:$A$560,$A101),"")</f>
        <v>14.48</v>
      </c>
      <c r="F101" s="40">
        <f>IFERROR(SUMPRODUCT(('04_ccass_unlocks'!$A$3:$A$560=$A101)*('04_ccass_unlocks'!$E$3:$E$560=$E101)*'04_ccass_unlocks'!$C$3:$C$560),"")</f>
        <v>46021</v>
      </c>
      <c r="G101">
        <f>COUNTIF('04_ccass_unlocks'!$A$3:$A$560,$A101)</f>
        <v>2</v>
      </c>
      <c r="H101" s="80">
        <f>SUMIFS('04_ccass_unlocks'!$D$3:$D$560,'04_ccass_unlocks'!$A$3:$A$560,$A101)</f>
        <v>2084.5167000000001</v>
      </c>
      <c r="I101" s="65">
        <f>SUMIFS('04_ccass_unlocks'!$F$3:$F$560,'04_ccass_unlocks'!$A$3:$A$560,$A101)</f>
        <v>166547.71583999999</v>
      </c>
      <c r="J101" s="40">
        <f>IFERROR(_xlfn.MAXIFS('04_ccass_unlocks'!$C$3:$C$560,'04_ccass_unlocks'!$A$3:$A$560,$A101),"")</f>
        <v>46021</v>
      </c>
      <c r="K101" t="s">
        <v>2292</v>
      </c>
    </row>
    <row r="102" spans="1:11">
      <c r="A102" t="s">
        <v>362</v>
      </c>
      <c r="B102" t="s">
        <v>363</v>
      </c>
      <c r="C102" s="40">
        <f>IFERROR(_xlfn.MINIFS('04_ccass_unlocks'!$C$3:$C$560,'04_ccass_unlocks'!$A$3:$A$560,$A102),"")</f>
        <v>45669</v>
      </c>
      <c r="D102" s="50">
        <f>IFERROR(SUMPRODUCT(('04_ccass_unlocks'!$A$3:$A$560=$A102)*('04_ccass_unlocks'!$C$3:$C$560=$C102)*'04_ccass_unlocks'!$E$3:$E$560),"")</f>
        <v>8.4562000000000008</v>
      </c>
      <c r="E102" s="50">
        <f>IFERROR(_xlfn.MAXIFS('04_ccass_unlocks'!$E$3:$E$560,'04_ccass_unlocks'!$A$3:$A$560,$A102),"")</f>
        <v>84.965299999999999</v>
      </c>
      <c r="F102" s="40">
        <f>IFERROR(SUMPRODUCT(('04_ccass_unlocks'!$A$3:$A$560=$A102)*('04_ccass_unlocks'!$E$3:$E$560=$E102)*'04_ccass_unlocks'!$C$3:$C$560),"")</f>
        <v>45850</v>
      </c>
      <c r="G102">
        <f>COUNTIF('04_ccass_unlocks'!$A$3:$A$560,$A102)</f>
        <v>2</v>
      </c>
      <c r="H102" s="80">
        <f>SUMIFS('04_ccass_unlocks'!$D$3:$D$560,'04_ccass_unlocks'!$A$3:$A$560,$A102)</f>
        <v>34191.221799999999</v>
      </c>
      <c r="I102" s="65">
        <f>SUMIFS('04_ccass_unlocks'!$F$3:$F$560,'04_ccass_unlocks'!$A$3:$A$560,$A102)</f>
        <v>1554831.2154000001</v>
      </c>
      <c r="J102" s="40">
        <f>IFERROR(_xlfn.MAXIFS('04_ccass_unlocks'!$C$3:$C$560,'04_ccass_unlocks'!$A$3:$A$560,$A102),"")</f>
        <v>45850</v>
      </c>
      <c r="K102" t="s">
        <v>2297</v>
      </c>
    </row>
    <row r="103" spans="1:11">
      <c r="A103" t="s">
        <v>745</v>
      </c>
      <c r="B103" t="s">
        <v>746</v>
      </c>
      <c r="C103" s="40">
        <f>IFERROR(_xlfn.MINIFS('04_ccass_unlocks'!$C$3:$C$560,'04_ccass_unlocks'!$A$3:$A$560,$A103),"")</f>
        <v>46017</v>
      </c>
      <c r="D103" s="50">
        <f>IFERROR(SUMPRODUCT(('04_ccass_unlocks'!$A$3:$A$560=$A103)*('04_ccass_unlocks'!$C$3:$C$560=$C103)*'04_ccass_unlocks'!$E$3:$E$560),"")</f>
        <v>54.142200000000003</v>
      </c>
      <c r="E103" s="50">
        <f>IFERROR(_xlfn.MAXIFS('04_ccass_unlocks'!$E$3:$E$560,'04_ccass_unlocks'!$A$3:$A$560,$A103),"")</f>
        <v>54.142200000000003</v>
      </c>
      <c r="F103" s="40">
        <f>IFERROR(SUMPRODUCT(('04_ccass_unlocks'!$A$3:$A$560=$A103)*('04_ccass_unlocks'!$E$3:$E$560=$E103)*'04_ccass_unlocks'!$C$3:$C$560),"")</f>
        <v>46017</v>
      </c>
      <c r="G103">
        <f>COUNTIF('04_ccass_unlocks'!$A$3:$A$560,$A103)</f>
        <v>1</v>
      </c>
      <c r="H103" s="80">
        <f>SUMIFS('04_ccass_unlocks'!$D$3:$D$560,'04_ccass_unlocks'!$A$3:$A$560,$A103)</f>
        <v>33687.1</v>
      </c>
      <c r="I103" s="65">
        <f>SUMIFS('04_ccass_unlocks'!$F$3:$F$560,'04_ccass_unlocks'!$A$3:$A$560,$A103)</f>
        <v>137443.36799999999</v>
      </c>
      <c r="J103" s="40">
        <f>IFERROR(_xlfn.MAXIFS('04_ccass_unlocks'!$C$3:$C$560,'04_ccass_unlocks'!$A$3:$A$560,$A103),"")</f>
        <v>46017</v>
      </c>
      <c r="K103" t="s">
        <v>2318</v>
      </c>
    </row>
    <row r="104" spans="1:11">
      <c r="A104" t="s">
        <v>994</v>
      </c>
      <c r="B104" t="s">
        <v>995</v>
      </c>
      <c r="C104" s="40">
        <f>IFERROR(_xlfn.MINIFS('04_ccass_unlocks'!$C$3:$C$560,'04_ccass_unlocks'!$A$3:$A$560,$A104),"")</f>
        <v>45555</v>
      </c>
      <c r="D104" s="50">
        <f>IFERROR(SUMPRODUCT(('04_ccass_unlocks'!$A$3:$A$560=$A104)*('04_ccass_unlocks'!$C$3:$C$560=$C104)*'04_ccass_unlocks'!$E$3:$E$560),"")</f>
        <v>4.4508000000000001</v>
      </c>
      <c r="E104" s="50">
        <f>IFERROR(_xlfn.MAXIFS('04_ccass_unlocks'!$E$3:$E$560,'04_ccass_unlocks'!$A$3:$A$560,$A104),"")</f>
        <v>84.805000000000007</v>
      </c>
      <c r="F104" s="40">
        <f>IFERROR(SUMPRODUCT(('04_ccass_unlocks'!$A$3:$A$560=$A104)*('04_ccass_unlocks'!$E$3:$E$560=$E104)*'04_ccass_unlocks'!$C$3:$C$560),"")</f>
        <v>45736</v>
      </c>
      <c r="G104">
        <f>COUNTIF('04_ccass_unlocks'!$A$3:$A$560,$A104)</f>
        <v>2</v>
      </c>
      <c r="H104" s="80">
        <f>SUMIFS('04_ccass_unlocks'!$D$3:$D$560,'04_ccass_unlocks'!$A$3:$A$560,$A104)</f>
        <v>19821.18</v>
      </c>
      <c r="I104" s="65">
        <f>SUMIFS('04_ccass_unlocks'!$F$3:$F$560,'04_ccass_unlocks'!$A$3:$A$560,$A104)</f>
        <v>190748.37039999999</v>
      </c>
      <c r="J104" s="40">
        <f>IFERROR(_xlfn.MAXIFS('04_ccass_unlocks'!$C$3:$C$560,'04_ccass_unlocks'!$A$3:$A$560,$A104),"")</f>
        <v>45736</v>
      </c>
      <c r="K104" t="s">
        <v>2296</v>
      </c>
    </row>
    <row r="105" spans="1:11">
      <c r="A105" t="s">
        <v>381</v>
      </c>
      <c r="B105" t="s">
        <v>382</v>
      </c>
      <c r="C105" s="40">
        <f>IFERROR(_xlfn.MINIFS('04_ccass_unlocks'!$C$3:$C$560,'04_ccass_unlocks'!$A$3:$A$560,$A105),"")</f>
        <v>45778</v>
      </c>
      <c r="D105" s="50">
        <f>IFERROR(SUMPRODUCT(('04_ccass_unlocks'!$A$3:$A$560=$A105)*('04_ccass_unlocks'!$C$3:$C$560=$C105)*'04_ccass_unlocks'!$E$3:$E$560),"")</f>
        <v>16.202500000000001</v>
      </c>
      <c r="E105" s="50">
        <f>IFERROR(_xlfn.MAXIFS('04_ccass_unlocks'!$E$3:$E$560,'04_ccass_unlocks'!$A$3:$A$560,$A105),"")</f>
        <v>74.341200000000001</v>
      </c>
      <c r="F105" s="40">
        <f>IFERROR(SUMPRODUCT(('04_ccass_unlocks'!$A$3:$A$560=$A105)*('04_ccass_unlocks'!$E$3:$E$560=$E105)*'04_ccass_unlocks'!$C$3:$C$560),"")</f>
        <v>45962</v>
      </c>
      <c r="G105">
        <f>COUNTIF('04_ccass_unlocks'!$A$3:$A$560,$A105)</f>
        <v>2</v>
      </c>
      <c r="H105" s="80">
        <f>SUMIFS('04_ccass_unlocks'!$D$3:$D$560,'04_ccass_unlocks'!$A$3:$A$560,$A105)</f>
        <v>150758.1</v>
      </c>
      <c r="I105" s="65">
        <f>SUMIFS('04_ccass_unlocks'!$F$3:$F$560,'04_ccass_unlocks'!$A$3:$A$560,$A105)</f>
        <v>1249753.27764</v>
      </c>
      <c r="J105" s="40">
        <f>IFERROR(_xlfn.MAXIFS('04_ccass_unlocks'!$C$3:$C$560,'04_ccass_unlocks'!$A$3:$A$560,$A105),"")</f>
        <v>45962</v>
      </c>
      <c r="K105" t="s">
        <v>2321</v>
      </c>
    </row>
    <row r="106" spans="1:11">
      <c r="A106" t="s">
        <v>1024</v>
      </c>
      <c r="B106" t="s">
        <v>1025</v>
      </c>
      <c r="C106" s="40">
        <f>IFERROR(_xlfn.MINIFS('04_ccass_unlocks'!$C$3:$C$560,'04_ccass_unlocks'!$A$3:$A$560,$A106),"")</f>
        <v>45648</v>
      </c>
      <c r="D106" s="50">
        <f>IFERROR(SUMPRODUCT(('04_ccass_unlocks'!$A$3:$A$560=$A106)*('04_ccass_unlocks'!$C$3:$C$560=$C106)*'04_ccass_unlocks'!$E$3:$E$560),"")</f>
        <v>1.8431</v>
      </c>
      <c r="E106" s="50">
        <f>IFERROR(_xlfn.MAXIFS('04_ccass_unlocks'!$E$3:$E$560,'04_ccass_unlocks'!$A$3:$A$560,$A106),"")</f>
        <v>1.8431</v>
      </c>
      <c r="F106" s="40">
        <f>IFERROR(SUMPRODUCT(('04_ccass_unlocks'!$A$3:$A$560=$A106)*('04_ccass_unlocks'!$E$3:$E$560=$E106)*'04_ccass_unlocks'!$C$3:$C$560),"")</f>
        <v>45648</v>
      </c>
      <c r="G106">
        <f>COUNTIF('04_ccass_unlocks'!$A$3:$A$560,$A106)</f>
        <v>1</v>
      </c>
      <c r="H106" s="80">
        <f>SUMIFS('04_ccass_unlocks'!$D$3:$D$560,'04_ccass_unlocks'!$A$3:$A$560,$A106)</f>
        <v>948.75</v>
      </c>
      <c r="I106" s="65">
        <f>SUMIFS('04_ccass_unlocks'!$F$3:$F$560,'04_ccass_unlocks'!$A$3:$A$560,$A106)</f>
        <v>1081.575</v>
      </c>
      <c r="J106" s="40">
        <f>IFERROR(_xlfn.MAXIFS('04_ccass_unlocks'!$C$3:$C$560,'04_ccass_unlocks'!$A$3:$A$560,$A106),"")</f>
        <v>45648</v>
      </c>
      <c r="K106" t="s">
        <v>2296</v>
      </c>
    </row>
    <row r="107" spans="1:11">
      <c r="A107" t="s">
        <v>691</v>
      </c>
      <c r="B107" t="s">
        <v>692</v>
      </c>
      <c r="C107" s="40">
        <f>IFERROR(_xlfn.MINIFS('04_ccass_unlocks'!$C$3:$C$560,'04_ccass_unlocks'!$A$3:$A$560,$A107),"")</f>
        <v>45822</v>
      </c>
      <c r="D107" s="50">
        <f>IFERROR(SUMPRODUCT(('04_ccass_unlocks'!$A$3:$A$560=$A107)*('04_ccass_unlocks'!$C$3:$C$560=$C107)*'04_ccass_unlocks'!$E$3:$E$560),"")</f>
        <v>75</v>
      </c>
      <c r="E107" s="50">
        <f>IFERROR(_xlfn.MAXIFS('04_ccass_unlocks'!$E$3:$E$560,'04_ccass_unlocks'!$A$3:$A$560,$A107),"")</f>
        <v>75</v>
      </c>
      <c r="F107" s="40">
        <f>IFERROR(SUMPRODUCT(('04_ccass_unlocks'!$A$3:$A$560=$A107)*('04_ccass_unlocks'!$E$3:$E$560=$E107)*'04_ccass_unlocks'!$C$3:$C$560),"")</f>
        <v>45822</v>
      </c>
      <c r="G107">
        <f>COUNTIF('04_ccass_unlocks'!$A$3:$A$560,$A107)</f>
        <v>1</v>
      </c>
      <c r="H107" s="80">
        <f>SUMIFS('04_ccass_unlocks'!$D$3:$D$560,'04_ccass_unlocks'!$A$3:$A$560,$A107)</f>
        <v>34500</v>
      </c>
      <c r="I107" s="65">
        <f>SUMIFS('04_ccass_unlocks'!$F$3:$F$560,'04_ccass_unlocks'!$A$3:$A$560,$A107)</f>
        <v>135930</v>
      </c>
      <c r="J107" s="40">
        <f>IFERROR(_xlfn.MAXIFS('04_ccass_unlocks'!$C$3:$C$560,'04_ccass_unlocks'!$A$3:$A$560,$A107),"")</f>
        <v>45822</v>
      </c>
      <c r="K107" t="s">
        <v>2298</v>
      </c>
    </row>
    <row r="108" spans="1:11">
      <c r="A108" t="s">
        <v>858</v>
      </c>
      <c r="B108" t="s">
        <v>859</v>
      </c>
      <c r="C108" s="40">
        <f>IFERROR(_xlfn.MINIFS('04_ccass_unlocks'!$C$3:$C$560,'04_ccass_unlocks'!$A$3:$A$560,$A108),"")</f>
        <v>45770</v>
      </c>
      <c r="D108" s="50">
        <f>IFERROR(SUMPRODUCT(('04_ccass_unlocks'!$A$3:$A$560=$A108)*('04_ccass_unlocks'!$C$3:$C$560=$C108)*'04_ccass_unlocks'!$E$3:$E$560),"")</f>
        <v>21.6252</v>
      </c>
      <c r="E108" s="50">
        <f>IFERROR(_xlfn.MAXIFS('04_ccass_unlocks'!$E$3:$E$560,'04_ccass_unlocks'!$A$3:$A$560,$A108),"")</f>
        <v>21.6252</v>
      </c>
      <c r="F108" s="40">
        <f>IFERROR(SUMPRODUCT(('04_ccass_unlocks'!$A$3:$A$560=$A108)*('04_ccass_unlocks'!$E$3:$E$560=$E108)*'04_ccass_unlocks'!$C$3:$C$560),"")</f>
        <v>45770</v>
      </c>
      <c r="G108">
        <f>COUNTIF('04_ccass_unlocks'!$A$3:$A$560,$A108)</f>
        <v>2</v>
      </c>
      <c r="H108" s="80">
        <f>SUMIFS('04_ccass_unlocks'!$D$3:$D$560,'04_ccass_unlocks'!$A$3:$A$560,$A108)</f>
        <v>5101.3809000000001</v>
      </c>
      <c r="I108" s="65">
        <f>SUMIFS('04_ccass_unlocks'!$F$3:$F$560,'04_ccass_unlocks'!$A$3:$A$560,$A108)</f>
        <v>2541.9947979999997</v>
      </c>
      <c r="J108" s="40">
        <f>IFERROR(_xlfn.MAXIFS('04_ccass_unlocks'!$C$3:$C$560,'04_ccass_unlocks'!$A$3:$A$560,$A108),"")</f>
        <v>45772</v>
      </c>
      <c r="K108" t="s">
        <v>2305</v>
      </c>
    </row>
    <row r="109" spans="1:11">
      <c r="A109" t="s">
        <v>507</v>
      </c>
      <c r="B109" t="s">
        <v>508</v>
      </c>
      <c r="C109" s="40">
        <f>IFERROR(_xlfn.MINIFS('04_ccass_unlocks'!$C$3:$C$560,'04_ccass_unlocks'!$A$3:$A$560,$A109),"")</f>
        <v>45465</v>
      </c>
      <c r="D109" s="50">
        <f>IFERROR(SUMPRODUCT(('04_ccass_unlocks'!$A$3:$A$560=$A109)*('04_ccass_unlocks'!$C$3:$C$560=$C109)*'04_ccass_unlocks'!$E$3:$E$560),"")</f>
        <v>7.1215000000000002</v>
      </c>
      <c r="E109" s="50">
        <f>IFERROR(_xlfn.MAXIFS('04_ccass_unlocks'!$E$3:$E$560,'04_ccass_unlocks'!$A$3:$A$560,$A109),"")</f>
        <v>7.1215000000000002</v>
      </c>
      <c r="F109" s="40">
        <f>IFERROR(SUMPRODUCT(('04_ccass_unlocks'!$A$3:$A$560=$A109)*('04_ccass_unlocks'!$E$3:$E$560=$E109)*'04_ccass_unlocks'!$C$3:$C$560),"")</f>
        <v>45465</v>
      </c>
      <c r="G109">
        <f>COUNTIF('04_ccass_unlocks'!$A$3:$A$560,$A109)</f>
        <v>1</v>
      </c>
      <c r="H109" s="80">
        <f>SUMIFS('04_ccass_unlocks'!$D$3:$D$560,'04_ccass_unlocks'!$A$3:$A$560,$A109)</f>
        <v>5554.8</v>
      </c>
      <c r="I109" s="65">
        <f>SUMIFS('04_ccass_unlocks'!$F$3:$F$560,'04_ccass_unlocks'!$A$3:$A$560,$A109)</f>
        <v>2388.5639999999999</v>
      </c>
      <c r="J109" s="40">
        <f>IFERROR(_xlfn.MAXIFS('04_ccass_unlocks'!$C$3:$C$560,'04_ccass_unlocks'!$A$3:$A$560,$A109),"")</f>
        <v>45465</v>
      </c>
      <c r="K109" t="s">
        <v>2321</v>
      </c>
    </row>
    <row r="110" spans="1:11">
      <c r="A110" t="s">
        <v>383</v>
      </c>
      <c r="B110" t="s">
        <v>384</v>
      </c>
      <c r="C110" s="40">
        <f>IFERROR(_xlfn.MINIFS('04_ccass_unlocks'!$C$3:$C$560,'04_ccass_unlocks'!$A$3:$A$560,$A110),"")</f>
        <v>45414</v>
      </c>
      <c r="D110" s="50">
        <f>IFERROR(SUMPRODUCT(('04_ccass_unlocks'!$A$3:$A$560=$A110)*('04_ccass_unlocks'!$C$3:$C$560=$C110)*'04_ccass_unlocks'!$E$3:$E$560),"")</f>
        <v>1.3468</v>
      </c>
      <c r="E110" s="50">
        <f>IFERROR(_xlfn.MAXIFS('04_ccass_unlocks'!$E$3:$E$560,'04_ccass_unlocks'!$A$3:$A$560,$A110),"")</f>
        <v>32.082500000000003</v>
      </c>
      <c r="F110" s="40">
        <f>IFERROR(SUMPRODUCT(('04_ccass_unlocks'!$A$3:$A$560=$A110)*('04_ccass_unlocks'!$E$3:$E$560=$E110)*'04_ccass_unlocks'!$C$3:$C$560),"")</f>
        <v>45980</v>
      </c>
      <c r="G110">
        <f>COUNTIF('04_ccass_unlocks'!$A$3:$A$560,$A110)</f>
        <v>2</v>
      </c>
      <c r="H110" s="80">
        <f>SUMIFS('04_ccass_unlocks'!$D$3:$D$560,'04_ccass_unlocks'!$A$3:$A$560,$A110)</f>
        <v>91842.371599999999</v>
      </c>
      <c r="I110" s="65">
        <f>SUMIFS('04_ccass_unlocks'!$F$3:$F$560,'04_ccass_unlocks'!$A$3:$A$560,$A110)</f>
        <v>366669.308104</v>
      </c>
      <c r="J110" s="40">
        <f>IFERROR(_xlfn.MAXIFS('04_ccass_unlocks'!$C$3:$C$560,'04_ccass_unlocks'!$A$3:$A$560,$A110),"")</f>
        <v>45980</v>
      </c>
      <c r="K110" t="s">
        <v>2304</v>
      </c>
    </row>
    <row r="111" spans="1:11">
      <c r="A111" t="s">
        <v>355</v>
      </c>
      <c r="B111" t="s">
        <v>356</v>
      </c>
      <c r="C111" s="40">
        <f>IFERROR(_xlfn.MINIFS('04_ccass_unlocks'!$C$3:$C$560,'04_ccass_unlocks'!$A$3:$A$560,$A111),"")</f>
        <v>45785</v>
      </c>
      <c r="D111" s="50">
        <f>IFERROR(SUMPRODUCT(('04_ccass_unlocks'!$A$3:$A$560=$A111)*('04_ccass_unlocks'!$C$3:$C$560=$C111)*'04_ccass_unlocks'!$E$3:$E$560),"")</f>
        <v>1.6890000000000001</v>
      </c>
      <c r="E111" s="50">
        <f>IFERROR(_xlfn.MAXIFS('04_ccass_unlocks'!$E$3:$E$560,'04_ccass_unlocks'!$A$3:$A$560,$A111),"")</f>
        <v>47.638800000000003</v>
      </c>
      <c r="F111" s="40">
        <f>IFERROR(SUMPRODUCT(('04_ccass_unlocks'!$A$3:$A$560=$A111)*('04_ccass_unlocks'!$E$3:$E$560=$E111)*'04_ccass_unlocks'!$C$3:$C$560),"")</f>
        <v>45969</v>
      </c>
      <c r="G111">
        <f>COUNTIF('04_ccass_unlocks'!$A$3:$A$560,$A111)</f>
        <v>2</v>
      </c>
      <c r="H111" s="80">
        <f>SUMIFS('04_ccass_unlocks'!$D$3:$D$560,'04_ccass_unlocks'!$A$3:$A$560,$A111)</f>
        <v>20481.211799999997</v>
      </c>
      <c r="I111" s="65">
        <f>SUMIFS('04_ccass_unlocks'!$F$3:$F$560,'04_ccass_unlocks'!$A$3:$A$560,$A111)</f>
        <v>138957.91336800001</v>
      </c>
      <c r="J111" s="40">
        <f>IFERROR(_xlfn.MAXIFS('04_ccass_unlocks'!$C$3:$C$560,'04_ccass_unlocks'!$A$3:$A$560,$A111),"")</f>
        <v>45969</v>
      </c>
      <c r="K111" t="s">
        <v>2311</v>
      </c>
    </row>
    <row r="112" spans="1:11">
      <c r="A112" t="s">
        <v>717</v>
      </c>
      <c r="B112" t="s">
        <v>718</v>
      </c>
      <c r="C112" s="40">
        <f>IFERROR(_xlfn.MINIFS('04_ccass_unlocks'!$C$3:$C$560,'04_ccass_unlocks'!$A$3:$A$560,$A112),"")</f>
        <v>45631</v>
      </c>
      <c r="D112" s="50">
        <f>IFERROR(SUMPRODUCT(('04_ccass_unlocks'!$A$3:$A$560=$A112)*('04_ccass_unlocks'!$C$3:$C$560=$C112)*'04_ccass_unlocks'!$E$3:$E$560),"")</f>
        <v>72.19</v>
      </c>
      <c r="E112" s="50">
        <f>IFERROR(_xlfn.MAXIFS('04_ccass_unlocks'!$E$3:$E$560,'04_ccass_unlocks'!$A$3:$A$560,$A112),"")</f>
        <v>72.19</v>
      </c>
      <c r="F112" s="40">
        <f>IFERROR(SUMPRODUCT(('04_ccass_unlocks'!$A$3:$A$560=$A112)*('04_ccass_unlocks'!$E$3:$E$560=$E112)*'04_ccass_unlocks'!$C$3:$C$560),"")</f>
        <v>45631</v>
      </c>
      <c r="G112">
        <f>COUNTIF('04_ccass_unlocks'!$A$3:$A$560,$A112)</f>
        <v>1</v>
      </c>
      <c r="H112" s="80">
        <f>SUMIFS('04_ccass_unlocks'!$D$3:$D$560,'04_ccass_unlocks'!$A$3:$A$560,$A112)</f>
        <v>117308.75</v>
      </c>
      <c r="I112" s="65">
        <f>SUMIFS('04_ccass_unlocks'!$F$3:$F$560,'04_ccass_unlocks'!$A$3:$A$560,$A112)</f>
        <v>46923.5</v>
      </c>
      <c r="J112" s="40">
        <f>IFERROR(_xlfn.MAXIFS('04_ccass_unlocks'!$C$3:$C$560,'04_ccass_unlocks'!$A$3:$A$560,$A112),"")</f>
        <v>45631</v>
      </c>
      <c r="K112" t="s">
        <v>2318</v>
      </c>
    </row>
    <row r="113" spans="1:11">
      <c r="A113" t="s">
        <v>633</v>
      </c>
      <c r="B113" t="s">
        <v>634</v>
      </c>
      <c r="C113" s="40">
        <f>IFERROR(_xlfn.MINIFS('04_ccass_unlocks'!$C$3:$C$560,'04_ccass_unlocks'!$A$3:$A$560,$A113),"")</f>
        <v>45633</v>
      </c>
      <c r="D113" s="50">
        <f>IFERROR(SUMPRODUCT(('04_ccass_unlocks'!$A$3:$A$560=$A113)*('04_ccass_unlocks'!$C$3:$C$560=$C113)*'04_ccass_unlocks'!$E$3:$E$560),"")</f>
        <v>1.7990999999999999</v>
      </c>
      <c r="E113" s="50">
        <f>IFERROR(_xlfn.MAXIFS('04_ccass_unlocks'!$E$3:$E$560,'04_ccass_unlocks'!$A$3:$A$560,$A113),"")</f>
        <v>49.764899999999997</v>
      </c>
      <c r="F113" s="40">
        <f>IFERROR(SUMPRODUCT(('04_ccass_unlocks'!$A$3:$A$560=$A113)*('04_ccass_unlocks'!$E$3:$E$560=$E113)*'04_ccass_unlocks'!$C$3:$C$560),"")</f>
        <v>45815</v>
      </c>
      <c r="G113">
        <f>COUNTIF('04_ccass_unlocks'!$A$3:$A$560,$A113)</f>
        <v>2</v>
      </c>
      <c r="H113" s="80">
        <f>SUMIFS('04_ccass_unlocks'!$D$3:$D$560,'04_ccass_unlocks'!$A$3:$A$560,$A113)</f>
        <v>18858.089199999999</v>
      </c>
      <c r="I113" s="65">
        <f>SUMIFS('04_ccass_unlocks'!$F$3:$F$560,'04_ccass_unlocks'!$A$3:$A$560,$A113)</f>
        <v>333755.48430000001</v>
      </c>
      <c r="J113" s="40">
        <f>IFERROR(_xlfn.MAXIFS('04_ccass_unlocks'!$C$3:$C$560,'04_ccass_unlocks'!$A$3:$A$560,$A113),"")</f>
        <v>45815</v>
      </c>
      <c r="K113" t="s">
        <v>2292</v>
      </c>
    </row>
    <row r="114" spans="1:11">
      <c r="A114" t="s">
        <v>517</v>
      </c>
      <c r="B114" t="s">
        <v>518</v>
      </c>
      <c r="C114" s="40">
        <f>IFERROR(_xlfn.MINIFS('04_ccass_unlocks'!$C$3:$C$560,'04_ccass_unlocks'!$A$3:$A$560,$A114),"")</f>
        <v>46097</v>
      </c>
      <c r="D114" s="50">
        <f>IFERROR(SUMPRODUCT(('04_ccass_unlocks'!$A$3:$A$560=$A114)*('04_ccass_unlocks'!$C$3:$C$560=$C114)*'04_ccass_unlocks'!$E$3:$E$560),"")</f>
        <v>3.4499</v>
      </c>
      <c r="E114" s="50">
        <f>IFERROR(_xlfn.MAXIFS('04_ccass_unlocks'!$E$3:$E$560,'04_ccass_unlocks'!$A$3:$A$560,$A114),"")</f>
        <v>3.4499</v>
      </c>
      <c r="F114" s="40">
        <f>IFERROR(SUMPRODUCT(('04_ccass_unlocks'!$A$3:$A$560=$A114)*('04_ccass_unlocks'!$E$3:$E$560=$E114)*'04_ccass_unlocks'!$C$3:$C$560),"")</f>
        <v>46097</v>
      </c>
      <c r="G114">
        <f>COUNTIF('04_ccass_unlocks'!$A$3:$A$560,$A114)</f>
        <v>1</v>
      </c>
      <c r="H114" s="80">
        <f>SUMIFS('04_ccass_unlocks'!$D$3:$D$560,'04_ccass_unlocks'!$A$3:$A$560,$A114)</f>
        <v>542.12400000000002</v>
      </c>
      <c r="I114" s="65">
        <f>SUMIFS('04_ccass_unlocks'!$F$3:$F$560,'04_ccass_unlocks'!$A$3:$A$560,$A114)</f>
        <v>104521.50719999999</v>
      </c>
      <c r="J114" s="40">
        <f>IFERROR(_xlfn.MAXIFS('04_ccass_unlocks'!$C$3:$C$560,'04_ccass_unlocks'!$A$3:$A$560,$A114),"")</f>
        <v>46097</v>
      </c>
      <c r="K114" t="s">
        <v>2298</v>
      </c>
    </row>
    <row r="115" spans="1:11">
      <c r="A115" t="s">
        <v>709</v>
      </c>
      <c r="B115" t="s">
        <v>710</v>
      </c>
      <c r="C115" s="40">
        <f>IFERROR(_xlfn.MINIFS('04_ccass_unlocks'!$C$3:$C$560,'04_ccass_unlocks'!$A$3:$A$560,$A115),"")</f>
        <v>45613</v>
      </c>
      <c r="D115" s="50">
        <f>IFERROR(SUMPRODUCT(('04_ccass_unlocks'!$A$3:$A$560=$A115)*('04_ccass_unlocks'!$C$3:$C$560=$C115)*'04_ccass_unlocks'!$E$3:$E$560),"")</f>
        <v>13.085599999999999</v>
      </c>
      <c r="E115" s="50">
        <f>IFERROR(_xlfn.MAXIFS('04_ccass_unlocks'!$E$3:$E$560,'04_ccass_unlocks'!$A$3:$A$560,$A115),"")</f>
        <v>13.085599999999999</v>
      </c>
      <c r="F115" s="40">
        <f>IFERROR(SUMPRODUCT(('04_ccass_unlocks'!$A$3:$A$560=$A115)*('04_ccass_unlocks'!$E$3:$E$560=$E115)*'04_ccass_unlocks'!$C$3:$C$560),"")</f>
        <v>45613</v>
      </c>
      <c r="G115">
        <f>COUNTIF('04_ccass_unlocks'!$A$3:$A$560,$A115)</f>
        <v>1</v>
      </c>
      <c r="H115" s="80">
        <f>SUMIFS('04_ccass_unlocks'!$D$3:$D$560,'04_ccass_unlocks'!$A$3:$A$560,$A115)</f>
        <v>2093.6999999999998</v>
      </c>
      <c r="I115" s="65">
        <f>SUMIFS('04_ccass_unlocks'!$F$3:$F$560,'04_ccass_unlocks'!$A$3:$A$560,$A115)</f>
        <v>6029.8559999999998</v>
      </c>
      <c r="J115" s="40">
        <f>IFERROR(_xlfn.MAXIFS('04_ccass_unlocks'!$C$3:$C$560,'04_ccass_unlocks'!$A$3:$A$560,$A115),"")</f>
        <v>45613</v>
      </c>
      <c r="K115" t="s">
        <v>2306</v>
      </c>
    </row>
    <row r="116" spans="1:11">
      <c r="A116" t="s">
        <v>817</v>
      </c>
      <c r="B116" t="s">
        <v>818</v>
      </c>
      <c r="C116" s="40">
        <f>IFERROR(_xlfn.MINIFS('04_ccass_unlocks'!$C$3:$C$560,'04_ccass_unlocks'!$A$3:$A$560,$A116),"")</f>
        <v>46032</v>
      </c>
      <c r="D116" s="50">
        <f>IFERROR(SUMPRODUCT(('04_ccass_unlocks'!$A$3:$A$560=$A116)*('04_ccass_unlocks'!$C$3:$C$560=$C116)*'04_ccass_unlocks'!$E$3:$E$560),"")</f>
        <v>75</v>
      </c>
      <c r="E116" s="50">
        <f>IFERROR(_xlfn.MAXIFS('04_ccass_unlocks'!$E$3:$E$560,'04_ccass_unlocks'!$A$3:$A$560,$A116),"")</f>
        <v>75</v>
      </c>
      <c r="F116" s="40">
        <f>IFERROR(SUMPRODUCT(('04_ccass_unlocks'!$A$3:$A$560=$A116)*('04_ccass_unlocks'!$E$3:$E$560=$E116)*'04_ccass_unlocks'!$C$3:$C$560),"")</f>
        <v>46032</v>
      </c>
      <c r="G116">
        <f>COUNTIF('04_ccass_unlocks'!$A$3:$A$560,$A116)</f>
        <v>1</v>
      </c>
      <c r="H116" s="80">
        <f>SUMIFS('04_ccass_unlocks'!$D$3:$D$560,'04_ccass_unlocks'!$A$3:$A$560,$A116)</f>
        <v>75000</v>
      </c>
      <c r="I116" s="65">
        <f>SUMIFS('04_ccass_unlocks'!$F$3:$F$560,'04_ccass_unlocks'!$A$3:$A$560,$A116)</f>
        <v>45000</v>
      </c>
      <c r="J116" s="40">
        <f>IFERROR(_xlfn.MAXIFS('04_ccass_unlocks'!$C$3:$C$560,'04_ccass_unlocks'!$A$3:$A$560,$A116),"")</f>
        <v>46032</v>
      </c>
      <c r="K116" t="s">
        <v>2292</v>
      </c>
    </row>
    <row r="117" spans="1:11">
      <c r="A117" t="s">
        <v>743</v>
      </c>
      <c r="B117" t="s">
        <v>744</v>
      </c>
      <c r="C117" s="40">
        <f>IFERROR(_xlfn.MINIFS('04_ccass_unlocks'!$C$3:$C$560,'04_ccass_unlocks'!$A$3:$A$560,$A117),"")</f>
        <v>45672</v>
      </c>
      <c r="D117" s="50">
        <f>IFERROR(SUMPRODUCT(('04_ccass_unlocks'!$A$3:$A$560=$A117)*('04_ccass_unlocks'!$C$3:$C$560=$C117)*'04_ccass_unlocks'!$E$3:$E$560),"")</f>
        <v>5.1071999999999997</v>
      </c>
      <c r="E117" s="50">
        <f>IFERROR(_xlfn.MAXIFS('04_ccass_unlocks'!$E$3:$E$560,'04_ccass_unlocks'!$A$3:$A$560,$A117),"")</f>
        <v>72.644400000000005</v>
      </c>
      <c r="F117" s="40">
        <f>IFERROR(SUMPRODUCT(('04_ccass_unlocks'!$A$3:$A$560=$A117)*('04_ccass_unlocks'!$E$3:$E$560=$E117)*'04_ccass_unlocks'!$C$3:$C$560),"")</f>
        <v>45853</v>
      </c>
      <c r="G117">
        <f>COUNTIF('04_ccass_unlocks'!$A$3:$A$560,$A117)</f>
        <v>2</v>
      </c>
      <c r="H117" s="80">
        <f>SUMIFS('04_ccass_unlocks'!$D$3:$D$560,'04_ccass_unlocks'!$A$3:$A$560,$A117)</f>
        <v>28503.75</v>
      </c>
      <c r="I117" s="65">
        <f>SUMIFS('04_ccass_unlocks'!$F$3:$F$560,'04_ccass_unlocks'!$A$3:$A$560,$A117)</f>
        <v>533511.06299999997</v>
      </c>
      <c r="J117" s="40">
        <f>IFERROR(_xlfn.MAXIFS('04_ccass_unlocks'!$C$3:$C$560,'04_ccass_unlocks'!$A$3:$A$560,$A117),"")</f>
        <v>45853</v>
      </c>
      <c r="K117" t="s">
        <v>2298</v>
      </c>
    </row>
    <row r="118" spans="1:11">
      <c r="A118" t="s">
        <v>866</v>
      </c>
      <c r="B118" t="s">
        <v>867</v>
      </c>
      <c r="C118" s="40">
        <f>IFERROR(_xlfn.MINIFS('04_ccass_unlocks'!$C$3:$C$560,'04_ccass_unlocks'!$A$3:$A$560,$A118),"")</f>
        <v>45696</v>
      </c>
      <c r="D118" s="50">
        <f>IFERROR(SUMPRODUCT(('04_ccass_unlocks'!$A$3:$A$560=$A118)*('04_ccass_unlocks'!$C$3:$C$560=$C118)*'04_ccass_unlocks'!$E$3:$E$560),"")</f>
        <v>19.340599999999998</v>
      </c>
      <c r="E118" s="50">
        <f>IFERROR(_xlfn.MAXIFS('04_ccass_unlocks'!$E$3:$E$560,'04_ccass_unlocks'!$A$3:$A$560,$A118),"")</f>
        <v>19.340599999999998</v>
      </c>
      <c r="F118" s="40">
        <f>IFERROR(SUMPRODUCT(('04_ccass_unlocks'!$A$3:$A$560=$A118)*('04_ccass_unlocks'!$E$3:$E$560=$E118)*'04_ccass_unlocks'!$C$3:$C$560),"")</f>
        <v>45696</v>
      </c>
      <c r="G118">
        <f>COUNTIF('04_ccass_unlocks'!$A$3:$A$560,$A118)</f>
        <v>2</v>
      </c>
      <c r="H118" s="80">
        <f>SUMIFS('04_ccass_unlocks'!$D$3:$D$560,'04_ccass_unlocks'!$A$3:$A$560,$A118)</f>
        <v>16666.777300000002</v>
      </c>
      <c r="I118" s="65">
        <f>SUMIFS('04_ccass_unlocks'!$F$3:$F$560,'04_ccass_unlocks'!$A$3:$A$560,$A118)</f>
        <v>526762.45358800003</v>
      </c>
      <c r="J118" s="40">
        <f>IFERROR(_xlfn.MAXIFS('04_ccass_unlocks'!$C$3:$C$560,'04_ccass_unlocks'!$A$3:$A$560,$A118),"")</f>
        <v>45877</v>
      </c>
      <c r="K118" t="s">
        <v>2298</v>
      </c>
    </row>
    <row r="119" spans="1:11">
      <c r="A119" t="s">
        <v>852</v>
      </c>
      <c r="B119" t="s">
        <v>853</v>
      </c>
      <c r="C119" s="40">
        <f>IFERROR(_xlfn.MINIFS('04_ccass_unlocks'!$C$3:$C$560,'04_ccass_unlocks'!$A$3:$A$560,$A119),"")</f>
        <v>45724</v>
      </c>
      <c r="D119" s="50">
        <f>IFERROR(SUMPRODUCT(('04_ccass_unlocks'!$A$3:$A$560=$A119)*('04_ccass_unlocks'!$C$3:$C$560=$C119)*'04_ccass_unlocks'!$E$3:$E$560),"")</f>
        <v>75</v>
      </c>
      <c r="E119" s="50">
        <f>IFERROR(_xlfn.MAXIFS('04_ccass_unlocks'!$E$3:$E$560,'04_ccass_unlocks'!$A$3:$A$560,$A119),"")</f>
        <v>75</v>
      </c>
      <c r="F119" s="40">
        <f>IFERROR(SUMPRODUCT(('04_ccass_unlocks'!$A$3:$A$560=$A119)*('04_ccass_unlocks'!$E$3:$E$560=$E119)*'04_ccass_unlocks'!$C$3:$C$560),"")</f>
        <v>45724</v>
      </c>
      <c r="G119">
        <f>COUNTIF('04_ccass_unlocks'!$A$3:$A$560,$A119)</f>
        <v>1</v>
      </c>
      <c r="H119" s="80">
        <f>SUMIFS('04_ccass_unlocks'!$D$3:$D$560,'04_ccass_unlocks'!$A$3:$A$560,$A119)</f>
        <v>150000</v>
      </c>
      <c r="I119" s="65">
        <f>SUMIFS('04_ccass_unlocks'!$F$3:$F$560,'04_ccass_unlocks'!$A$3:$A$560,$A119)</f>
        <v>85500</v>
      </c>
      <c r="J119" s="40">
        <f>IFERROR(_xlfn.MAXIFS('04_ccass_unlocks'!$C$3:$C$560,'04_ccass_unlocks'!$A$3:$A$560,$A119),"")</f>
        <v>45724</v>
      </c>
      <c r="K119" t="s">
        <v>2305</v>
      </c>
    </row>
    <row r="120" spans="1:11">
      <c r="A120" t="s">
        <v>848</v>
      </c>
      <c r="B120" t="s">
        <v>849</v>
      </c>
      <c r="C120" s="40">
        <f>IFERROR(_xlfn.MINIFS('04_ccass_unlocks'!$C$3:$C$560,'04_ccass_unlocks'!$A$3:$A$560,$A120),"")</f>
        <v>45561</v>
      </c>
      <c r="D120" s="50">
        <f>IFERROR(SUMPRODUCT(('04_ccass_unlocks'!$A$3:$A$560=$A120)*('04_ccass_unlocks'!$C$3:$C$560=$C120)*'04_ccass_unlocks'!$E$3:$E$560),"")</f>
        <v>12.1935</v>
      </c>
      <c r="E120" s="50">
        <f>IFERROR(_xlfn.MAXIFS('04_ccass_unlocks'!$E$3:$E$560,'04_ccass_unlocks'!$A$3:$A$560,$A120),"")</f>
        <v>72.757599999999996</v>
      </c>
      <c r="F120" s="40">
        <f>IFERROR(SUMPRODUCT(('04_ccass_unlocks'!$A$3:$A$560=$A120)*('04_ccass_unlocks'!$E$3:$E$560=$E120)*'04_ccass_unlocks'!$C$3:$C$560),"")</f>
        <v>45742</v>
      </c>
      <c r="G120">
        <f>COUNTIF('04_ccass_unlocks'!$A$3:$A$560,$A120)</f>
        <v>2</v>
      </c>
      <c r="H120" s="80">
        <f>SUMIFS('04_ccass_unlocks'!$D$3:$D$560,'04_ccass_unlocks'!$A$3:$A$560,$A120)</f>
        <v>68521.066200000001</v>
      </c>
      <c r="I120" s="65">
        <f>SUMIFS('04_ccass_unlocks'!$F$3:$F$560,'04_ccass_unlocks'!$A$3:$A$560,$A120)</f>
        <v>219319.46524799999</v>
      </c>
      <c r="J120" s="40">
        <f>IFERROR(_xlfn.MAXIFS('04_ccass_unlocks'!$C$3:$C$560,'04_ccass_unlocks'!$A$3:$A$560,$A120),"")</f>
        <v>45742</v>
      </c>
      <c r="K120" t="s">
        <v>2309</v>
      </c>
    </row>
    <row r="121" spans="1:11">
      <c r="A121" t="s">
        <v>723</v>
      </c>
      <c r="B121" t="s">
        <v>724</v>
      </c>
      <c r="C121" s="40">
        <f>IFERROR(_xlfn.MINIFS('04_ccass_unlocks'!$C$3:$C$560,'04_ccass_unlocks'!$A$3:$A$560,$A121),"")</f>
        <v>45724</v>
      </c>
      <c r="D121" s="50">
        <f>IFERROR(SUMPRODUCT(('04_ccass_unlocks'!$A$3:$A$560=$A121)*('04_ccass_unlocks'!$C$3:$C$560=$C121)*'04_ccass_unlocks'!$E$3:$E$560),"")</f>
        <v>71.25</v>
      </c>
      <c r="E121" s="50">
        <f>IFERROR(_xlfn.MAXIFS('04_ccass_unlocks'!$E$3:$E$560,'04_ccass_unlocks'!$A$3:$A$560,$A121),"")</f>
        <v>71.25</v>
      </c>
      <c r="F121" s="40">
        <f>IFERROR(SUMPRODUCT(('04_ccass_unlocks'!$A$3:$A$560=$A121)*('04_ccass_unlocks'!$E$3:$E$560=$E121)*'04_ccass_unlocks'!$C$3:$C$560),"")</f>
        <v>45724</v>
      </c>
      <c r="G121">
        <f>COUNTIF('04_ccass_unlocks'!$A$3:$A$560,$A121)</f>
        <v>1</v>
      </c>
      <c r="H121" s="80">
        <f>SUMIFS('04_ccass_unlocks'!$D$3:$D$560,'04_ccass_unlocks'!$A$3:$A$560,$A121)</f>
        <v>35625</v>
      </c>
      <c r="I121" s="65">
        <f>SUMIFS('04_ccass_unlocks'!$F$3:$F$560,'04_ccass_unlocks'!$A$3:$A$560,$A121)</f>
        <v>41681.25</v>
      </c>
      <c r="J121" s="40">
        <f>IFERROR(_xlfn.MAXIFS('04_ccass_unlocks'!$C$3:$C$560,'04_ccass_unlocks'!$A$3:$A$560,$A121),"")</f>
        <v>45724</v>
      </c>
      <c r="K121" t="s">
        <v>2308</v>
      </c>
    </row>
    <row r="122" spans="1:11">
      <c r="A122" t="s">
        <v>870</v>
      </c>
      <c r="B122" t="s">
        <v>871</v>
      </c>
      <c r="C122" s="40">
        <f>IFERROR(_xlfn.MINIFS('04_ccass_unlocks'!$C$3:$C$560,'04_ccass_unlocks'!$A$3:$A$560,$A122),"")</f>
        <v>46090</v>
      </c>
      <c r="D122" s="50">
        <f>IFERROR(SUMPRODUCT(('04_ccass_unlocks'!$A$3:$A$560=$A122)*('04_ccass_unlocks'!$C$3:$C$560=$C122)*'04_ccass_unlocks'!$E$3:$E$560),"")</f>
        <v>6.1417000000000002</v>
      </c>
      <c r="E122" s="50">
        <f>IFERROR(_xlfn.MAXIFS('04_ccass_unlocks'!$E$3:$E$560,'04_ccass_unlocks'!$A$3:$A$560,$A122),"")</f>
        <v>6.1417000000000002</v>
      </c>
      <c r="F122" s="40">
        <f>IFERROR(SUMPRODUCT(('04_ccass_unlocks'!$A$3:$A$560=$A122)*('04_ccass_unlocks'!$E$3:$E$560=$E122)*'04_ccass_unlocks'!$C$3:$C$560),"")</f>
        <v>46090</v>
      </c>
      <c r="G122">
        <f>COUNTIF('04_ccass_unlocks'!$A$3:$A$560,$A122)</f>
        <v>1</v>
      </c>
      <c r="H122" s="80">
        <f>SUMIFS('04_ccass_unlocks'!$D$3:$D$560,'04_ccass_unlocks'!$A$3:$A$560,$A122)</f>
        <v>201.38</v>
      </c>
      <c r="I122" s="65">
        <f>SUMIFS('04_ccass_unlocks'!$F$3:$F$560,'04_ccass_unlocks'!$A$3:$A$560,$A122)</f>
        <v>5920.5720000000001</v>
      </c>
      <c r="J122" s="40">
        <f>IFERROR(_xlfn.MAXIFS('04_ccass_unlocks'!$C$3:$C$560,'04_ccass_unlocks'!$A$3:$A$560,$A122),"")</f>
        <v>46090</v>
      </c>
      <c r="K122" t="s">
        <v>2299</v>
      </c>
    </row>
    <row r="123" spans="1:11">
      <c r="A123" t="s">
        <v>731</v>
      </c>
      <c r="B123" t="s">
        <v>732</v>
      </c>
      <c r="C123" s="40">
        <f>IFERROR(_xlfn.MINIFS('04_ccass_unlocks'!$C$3:$C$560,'04_ccass_unlocks'!$A$3:$A$560,$A123),"")</f>
        <v>45660</v>
      </c>
      <c r="D123" s="50">
        <f>IFERROR(SUMPRODUCT(('04_ccass_unlocks'!$A$3:$A$560=$A123)*('04_ccass_unlocks'!$C$3:$C$560=$C123)*'04_ccass_unlocks'!$E$3:$E$560),"")</f>
        <v>5.3929</v>
      </c>
      <c r="E123" s="50">
        <f>IFERROR(_xlfn.MAXIFS('04_ccass_unlocks'!$E$3:$E$560,'04_ccass_unlocks'!$A$3:$A$560,$A123),"")</f>
        <v>56.163200000000003</v>
      </c>
      <c r="F123" s="40">
        <f>IFERROR(SUMPRODUCT(('04_ccass_unlocks'!$A$3:$A$560=$A123)*('04_ccass_unlocks'!$E$3:$E$560=$E123)*'04_ccass_unlocks'!$C$3:$C$560),"")</f>
        <v>45841</v>
      </c>
      <c r="G123">
        <f>COUNTIF('04_ccass_unlocks'!$A$3:$A$560,$A123)</f>
        <v>2</v>
      </c>
      <c r="H123" s="80">
        <f>SUMIFS('04_ccass_unlocks'!$D$3:$D$560,'04_ccass_unlocks'!$A$3:$A$560,$A123)</f>
        <v>39395.940300000002</v>
      </c>
      <c r="I123" s="65">
        <f>SUMIFS('04_ccass_unlocks'!$F$3:$F$560,'04_ccass_unlocks'!$A$3:$A$560,$A123)</f>
        <v>14694.33833</v>
      </c>
      <c r="J123" s="40">
        <f>IFERROR(_xlfn.MAXIFS('04_ccass_unlocks'!$C$3:$C$560,'04_ccass_unlocks'!$A$3:$A$560,$A123),"")</f>
        <v>45841</v>
      </c>
      <c r="K123" t="s">
        <v>2316</v>
      </c>
    </row>
    <row r="124" spans="1:11">
      <c r="A124" t="s">
        <v>540</v>
      </c>
      <c r="B124" t="s">
        <v>541</v>
      </c>
      <c r="C124" s="40">
        <f>IFERROR(_xlfn.MINIFS('04_ccass_unlocks'!$C$3:$C$560,'04_ccass_unlocks'!$A$3:$A$560,$A124),"")</f>
        <v>45750</v>
      </c>
      <c r="D124" s="50">
        <f>IFERROR(SUMPRODUCT(('04_ccass_unlocks'!$A$3:$A$560=$A124)*('04_ccass_unlocks'!$C$3:$C$560=$C124)*'04_ccass_unlocks'!$E$3:$E$560),"")</f>
        <v>9.7627000000000006</v>
      </c>
      <c r="E124" s="50">
        <f>IFERROR(_xlfn.MAXIFS('04_ccass_unlocks'!$E$3:$E$560,'04_ccass_unlocks'!$A$3:$A$560,$A124),"")</f>
        <v>72.360399999999998</v>
      </c>
      <c r="F124" s="40">
        <f>IFERROR(SUMPRODUCT(('04_ccass_unlocks'!$A$3:$A$560=$A124)*('04_ccass_unlocks'!$E$3:$E$560=$E124)*'04_ccass_unlocks'!$C$3:$C$560),"")</f>
        <v>45933</v>
      </c>
      <c r="G124">
        <f>COUNTIF('04_ccass_unlocks'!$A$3:$A$560,$A124)</f>
        <v>2</v>
      </c>
      <c r="H124" s="80">
        <f>SUMIFS('04_ccass_unlocks'!$D$3:$D$560,'04_ccass_unlocks'!$A$3:$A$560,$A124)</f>
        <v>45578.5</v>
      </c>
      <c r="I124" s="65">
        <f>SUMIFS('04_ccass_unlocks'!$F$3:$F$560,'04_ccass_unlocks'!$A$3:$A$560,$A124)</f>
        <v>212663.486</v>
      </c>
      <c r="J124" s="40">
        <f>IFERROR(_xlfn.MAXIFS('04_ccass_unlocks'!$C$3:$C$560,'04_ccass_unlocks'!$A$3:$A$560,$A124),"")</f>
        <v>45933</v>
      </c>
      <c r="K124" t="s">
        <v>2299</v>
      </c>
    </row>
    <row r="125" spans="1:11">
      <c r="A125" t="s">
        <v>741</v>
      </c>
      <c r="B125" t="s">
        <v>742</v>
      </c>
      <c r="C125" s="40">
        <f>IFERROR(_xlfn.MINIFS('04_ccass_unlocks'!$C$3:$C$560,'04_ccass_unlocks'!$A$3:$A$560,$A125),"")</f>
        <v>45633</v>
      </c>
      <c r="D125" s="50">
        <f>IFERROR(SUMPRODUCT(('04_ccass_unlocks'!$A$3:$A$560=$A125)*('04_ccass_unlocks'!$C$3:$C$560=$C125)*'04_ccass_unlocks'!$E$3:$E$560),"")</f>
        <v>92.367000000000004</v>
      </c>
      <c r="E125" s="50">
        <f>IFERROR(_xlfn.MAXIFS('04_ccass_unlocks'!$E$3:$E$560,'04_ccass_unlocks'!$A$3:$A$560,$A125),"")</f>
        <v>92.367000000000004</v>
      </c>
      <c r="F125" s="40">
        <f>IFERROR(SUMPRODUCT(('04_ccass_unlocks'!$A$3:$A$560=$A125)*('04_ccass_unlocks'!$E$3:$E$560=$E125)*'04_ccass_unlocks'!$C$3:$C$560),"")</f>
        <v>45633</v>
      </c>
      <c r="G125">
        <f>COUNTIF('04_ccass_unlocks'!$A$3:$A$560,$A125)</f>
        <v>2</v>
      </c>
      <c r="H125" s="80">
        <f>SUMIFS('04_ccass_unlocks'!$D$3:$D$560,'04_ccass_unlocks'!$A$3:$A$560,$A125)</f>
        <v>36961.659999999996</v>
      </c>
      <c r="I125" s="65">
        <f>SUMIFS('04_ccass_unlocks'!$F$3:$F$560,'04_ccass_unlocks'!$A$3:$A$560,$A125)</f>
        <v>344011.5282</v>
      </c>
      <c r="J125" s="40">
        <f>IFERROR(_xlfn.MAXIFS('04_ccass_unlocks'!$C$3:$C$560,'04_ccass_unlocks'!$A$3:$A$560,$A125),"")</f>
        <v>45905</v>
      </c>
      <c r="K125" t="s">
        <v>2308</v>
      </c>
    </row>
    <row r="126" spans="1:11">
      <c r="A126" t="s">
        <v>519</v>
      </c>
      <c r="B126" t="s">
        <v>520</v>
      </c>
      <c r="C126" s="40">
        <f>IFERROR(_xlfn.MINIFS('04_ccass_unlocks'!$C$3:$C$560,'04_ccass_unlocks'!$A$3:$A$560,$A126),"")</f>
        <v>45969</v>
      </c>
      <c r="D126" s="50">
        <f>IFERROR(SUMPRODUCT(('04_ccass_unlocks'!$A$3:$A$560=$A126)*('04_ccass_unlocks'!$C$3:$C$560=$C126)*'04_ccass_unlocks'!$E$3:$E$560),"")</f>
        <v>40.120600000000003</v>
      </c>
      <c r="E126" s="50">
        <f>IFERROR(_xlfn.MAXIFS('04_ccass_unlocks'!$E$3:$E$560,'04_ccass_unlocks'!$A$3:$A$560,$A126),"")</f>
        <v>40.120600000000003</v>
      </c>
      <c r="F126" s="40">
        <f>IFERROR(SUMPRODUCT(('04_ccass_unlocks'!$A$3:$A$560=$A126)*('04_ccass_unlocks'!$E$3:$E$560=$E126)*'04_ccass_unlocks'!$C$3:$C$560),"")</f>
        <v>45969</v>
      </c>
      <c r="G126">
        <f>COUNTIF('04_ccass_unlocks'!$A$3:$A$560,$A126)</f>
        <v>1</v>
      </c>
      <c r="H126" s="80">
        <f>SUMIFS('04_ccass_unlocks'!$D$3:$D$560,'04_ccass_unlocks'!$A$3:$A$560,$A126)</f>
        <v>21550.6643</v>
      </c>
      <c r="I126" s="65">
        <f>SUMIFS('04_ccass_unlocks'!$F$3:$F$560,'04_ccass_unlocks'!$A$3:$A$560,$A126)</f>
        <v>66591.552687000003</v>
      </c>
      <c r="J126" s="40">
        <f>IFERROR(_xlfn.MAXIFS('04_ccass_unlocks'!$C$3:$C$560,'04_ccass_unlocks'!$A$3:$A$560,$A126),"")</f>
        <v>45969</v>
      </c>
      <c r="K126" t="s">
        <v>2297</v>
      </c>
    </row>
    <row r="127" spans="1:11">
      <c r="A127" t="s">
        <v>220</v>
      </c>
      <c r="B127" t="s">
        <v>393</v>
      </c>
      <c r="C127" s="40">
        <f>IFERROR(_xlfn.MINIFS('04_ccass_unlocks'!$C$3:$C$560,'04_ccass_unlocks'!$A$3:$A$560,$A127),"")</f>
        <v>45770</v>
      </c>
      <c r="D127" s="50">
        <f>IFERROR(SUMPRODUCT(('04_ccass_unlocks'!$A$3:$A$560=$A127)*('04_ccass_unlocks'!$C$3:$C$560=$C127)*'04_ccass_unlocks'!$E$3:$E$560),"")</f>
        <v>90</v>
      </c>
      <c r="E127" s="50">
        <f>IFERROR(_xlfn.MAXIFS('04_ccass_unlocks'!$E$3:$E$560,'04_ccass_unlocks'!$A$3:$A$560,$A127),"")</f>
        <v>90</v>
      </c>
      <c r="F127" s="40">
        <f>IFERROR(SUMPRODUCT(('04_ccass_unlocks'!$A$3:$A$560=$A127)*('04_ccass_unlocks'!$E$3:$E$560=$E127)*'04_ccass_unlocks'!$C$3:$C$560),"")</f>
        <v>45770</v>
      </c>
      <c r="G127">
        <f>COUNTIF('04_ccass_unlocks'!$A$3:$A$560,$A127)</f>
        <v>1</v>
      </c>
      <c r="H127" s="80">
        <f>SUMIFS('04_ccass_unlocks'!$D$3:$D$560,'04_ccass_unlocks'!$A$3:$A$560,$A127)</f>
        <v>132987.08499999999</v>
      </c>
      <c r="I127" s="65">
        <f>SUMIFS('04_ccass_unlocks'!$F$3:$F$560,'04_ccass_unlocks'!$A$3:$A$560,$A127)</f>
        <v>1098473.3221</v>
      </c>
      <c r="J127" s="40">
        <f>IFERROR(_xlfn.MAXIFS('04_ccass_unlocks'!$C$3:$C$560,'04_ccass_unlocks'!$A$3:$A$560,$A127),"")</f>
        <v>45770</v>
      </c>
      <c r="K127" t="s">
        <v>2304</v>
      </c>
    </row>
    <row r="128" spans="1:11">
      <c r="A128" t="s">
        <v>592</v>
      </c>
      <c r="B128" t="s">
        <v>593</v>
      </c>
      <c r="C128" s="40">
        <f>IFERROR(_xlfn.MINIFS('04_ccass_unlocks'!$C$3:$C$560,'04_ccass_unlocks'!$A$3:$A$560,$A128),"")</f>
        <v>45612</v>
      </c>
      <c r="D128" s="50">
        <f>IFERROR(SUMPRODUCT(('04_ccass_unlocks'!$A$3:$A$560=$A128)*('04_ccass_unlocks'!$C$3:$C$560=$C128)*'04_ccass_unlocks'!$E$3:$E$560),"")</f>
        <v>0.38450000000000001</v>
      </c>
      <c r="E128" s="50">
        <f>IFERROR(_xlfn.MAXIFS('04_ccass_unlocks'!$E$3:$E$560,'04_ccass_unlocks'!$A$3:$A$560,$A128),"")</f>
        <v>63.255299999999998</v>
      </c>
      <c r="F128" s="40">
        <f>IFERROR(SUMPRODUCT(('04_ccass_unlocks'!$A$3:$A$560=$A128)*('04_ccass_unlocks'!$E$3:$E$560=$E128)*'04_ccass_unlocks'!$C$3:$C$560),"")</f>
        <v>45793</v>
      </c>
      <c r="G128">
        <f>COUNTIF('04_ccass_unlocks'!$A$3:$A$560,$A128)</f>
        <v>3</v>
      </c>
      <c r="H128" s="80">
        <f>SUMIFS('04_ccass_unlocks'!$D$3:$D$560,'04_ccass_unlocks'!$A$3:$A$560,$A128)</f>
        <v>23011.850000000002</v>
      </c>
      <c r="I128" s="65">
        <f>SUMIFS('04_ccass_unlocks'!$F$3:$F$560,'04_ccass_unlocks'!$A$3:$A$560,$A128)</f>
        <v>1204864.03</v>
      </c>
      <c r="J128" s="40">
        <f>IFERROR(_xlfn.MAXIFS('04_ccass_unlocks'!$C$3:$C$560,'04_ccass_unlocks'!$A$3:$A$560,$A128),"")</f>
        <v>45793</v>
      </c>
      <c r="K128" t="s">
        <v>2298</v>
      </c>
    </row>
    <row r="129" spans="1:11">
      <c r="A129" t="s">
        <v>649</v>
      </c>
      <c r="B129" t="s">
        <v>650</v>
      </c>
      <c r="C129" s="40">
        <f>IFERROR(_xlfn.MINIFS('04_ccass_unlocks'!$C$3:$C$560,'04_ccass_unlocks'!$A$3:$A$560,$A129),"")</f>
        <v>45654</v>
      </c>
      <c r="D129" s="50">
        <f>IFERROR(SUMPRODUCT(('04_ccass_unlocks'!$A$3:$A$560=$A129)*('04_ccass_unlocks'!$C$3:$C$560=$C129)*'04_ccass_unlocks'!$E$3:$E$560),"")</f>
        <v>29.680199999999999</v>
      </c>
      <c r="E129" s="50">
        <f>IFERROR(_xlfn.MAXIFS('04_ccass_unlocks'!$E$3:$E$560,'04_ccass_unlocks'!$A$3:$A$560,$A129),"")</f>
        <v>64.798900000000003</v>
      </c>
      <c r="F129" s="40">
        <f>IFERROR(SUMPRODUCT(('04_ccass_unlocks'!$A$3:$A$560=$A129)*('04_ccass_unlocks'!$E$3:$E$560=$E129)*'04_ccass_unlocks'!$C$3:$C$560),"")</f>
        <v>45836</v>
      </c>
      <c r="G129">
        <f>COUNTIF('04_ccass_unlocks'!$A$3:$A$560,$A129)</f>
        <v>2</v>
      </c>
      <c r="H129" s="80">
        <f>SUMIFS('04_ccass_unlocks'!$D$3:$D$560,'04_ccass_unlocks'!$A$3:$A$560,$A129)</f>
        <v>95488.885299999994</v>
      </c>
      <c r="I129" s="65">
        <f>SUMIFS('04_ccass_unlocks'!$F$3:$F$560,'04_ccass_unlocks'!$A$3:$A$560,$A129)</f>
        <v>130183.93893100001</v>
      </c>
      <c r="J129" s="40">
        <f>IFERROR(_xlfn.MAXIFS('04_ccass_unlocks'!$C$3:$C$560,'04_ccass_unlocks'!$A$3:$A$560,$A129),"")</f>
        <v>45836</v>
      </c>
      <c r="K129" t="s">
        <v>2309</v>
      </c>
    </row>
    <row r="130" spans="1:11">
      <c r="A130" t="s">
        <v>483</v>
      </c>
      <c r="B130" t="s">
        <v>484</v>
      </c>
      <c r="C130" s="40">
        <f>IFERROR(_xlfn.MINIFS('04_ccass_unlocks'!$C$3:$C$560,'04_ccass_unlocks'!$A$3:$A$560,$A130),"")</f>
        <v>45847</v>
      </c>
      <c r="D130" s="50">
        <f>IFERROR(SUMPRODUCT(('04_ccass_unlocks'!$A$3:$A$560=$A130)*('04_ccass_unlocks'!$C$3:$C$560=$C130)*'04_ccass_unlocks'!$E$3:$E$560),"")</f>
        <v>17.480799999999999</v>
      </c>
      <c r="E130" s="50">
        <f>IFERROR(_xlfn.MAXIFS('04_ccass_unlocks'!$E$3:$E$560,'04_ccass_unlocks'!$A$3:$A$560,$A130),"")</f>
        <v>17.480799999999999</v>
      </c>
      <c r="F130" s="40">
        <f>IFERROR(SUMPRODUCT(('04_ccass_unlocks'!$A$3:$A$560=$A130)*('04_ccass_unlocks'!$E$3:$E$560=$E130)*'04_ccass_unlocks'!$C$3:$C$560),"")</f>
        <v>45847</v>
      </c>
      <c r="G130">
        <f>COUNTIF('04_ccass_unlocks'!$A$3:$A$560,$A130)</f>
        <v>2</v>
      </c>
      <c r="H130" s="80">
        <f>SUMIFS('04_ccass_unlocks'!$D$3:$D$560,'04_ccass_unlocks'!$A$3:$A$560,$A130)</f>
        <v>15905.68</v>
      </c>
      <c r="I130" s="65">
        <f>SUMIFS('04_ccass_unlocks'!$F$3:$F$560,'04_ccass_unlocks'!$A$3:$A$560,$A130)</f>
        <v>26417.432399999998</v>
      </c>
      <c r="J130" s="40">
        <f>IFERROR(_xlfn.MAXIFS('04_ccass_unlocks'!$C$3:$C$560,'04_ccass_unlocks'!$A$3:$A$560,$A130),"")</f>
        <v>46031</v>
      </c>
      <c r="K130" t="s">
        <v>2303</v>
      </c>
    </row>
    <row r="131" spans="1:11">
      <c r="A131" t="s">
        <v>1036</v>
      </c>
      <c r="B131" t="s">
        <v>1037</v>
      </c>
      <c r="C131" s="40">
        <f>IFERROR(_xlfn.MINIFS('04_ccass_unlocks'!$C$3:$C$560,'04_ccass_unlocks'!$A$3:$A$560,$A131),"")</f>
        <v>45918</v>
      </c>
      <c r="D131" s="50">
        <f>IFERROR(SUMPRODUCT(('04_ccass_unlocks'!$A$3:$A$560=$A131)*('04_ccass_unlocks'!$C$3:$C$560=$C131)*'04_ccass_unlocks'!$E$3:$E$560),"")</f>
        <v>22.180099999999999</v>
      </c>
      <c r="E131" s="50">
        <f>IFERROR(_xlfn.MAXIFS('04_ccass_unlocks'!$E$3:$E$560,'04_ccass_unlocks'!$A$3:$A$560,$A131),"")</f>
        <v>61.718899999999998</v>
      </c>
      <c r="F131" s="40">
        <f>IFERROR(SUMPRODUCT(('04_ccass_unlocks'!$A$3:$A$560=$A131)*('04_ccass_unlocks'!$E$3:$E$560=$E131)*'04_ccass_unlocks'!$C$3:$C$560),"")</f>
        <v>46102</v>
      </c>
      <c r="G131">
        <f>COUNTIF('04_ccass_unlocks'!$A$3:$A$560,$A131)</f>
        <v>3</v>
      </c>
      <c r="H131" s="80">
        <f>SUMIFS('04_ccass_unlocks'!$D$3:$D$560,'04_ccass_unlocks'!$A$3:$A$560,$A131)</f>
        <v>10994.4164</v>
      </c>
      <c r="I131" s="65">
        <f>SUMIFS('04_ccass_unlocks'!$F$3:$F$560,'04_ccass_unlocks'!$A$3:$A$560,$A131)</f>
        <v>358325.94439999998</v>
      </c>
      <c r="J131" s="40">
        <f>IFERROR(_xlfn.MAXIFS('04_ccass_unlocks'!$C$3:$C$560,'04_ccass_unlocks'!$A$3:$A$560,$A131),"")</f>
        <v>46102</v>
      </c>
      <c r="K131" t="s">
        <v>2296</v>
      </c>
    </row>
    <row r="132" spans="1:11">
      <c r="A132" t="s">
        <v>1032</v>
      </c>
      <c r="B132" t="s">
        <v>1033</v>
      </c>
      <c r="C132" s="40">
        <f>IFERROR(_xlfn.MINIFS('04_ccass_unlocks'!$C$3:$C$560,'04_ccass_unlocks'!$A$3:$A$560,$A132),"")</f>
        <v>45960</v>
      </c>
      <c r="D132" s="50">
        <f>IFERROR(SUMPRODUCT(('04_ccass_unlocks'!$A$3:$A$560=$A132)*('04_ccass_unlocks'!$C$3:$C$560=$C132)*'04_ccass_unlocks'!$E$3:$E$560),"")</f>
        <v>74.569100000000006</v>
      </c>
      <c r="E132" s="50">
        <f>IFERROR(_xlfn.MAXIFS('04_ccass_unlocks'!$E$3:$E$560,'04_ccass_unlocks'!$A$3:$A$560,$A132),"")</f>
        <v>74.569100000000006</v>
      </c>
      <c r="F132" s="40">
        <f>IFERROR(SUMPRODUCT(('04_ccass_unlocks'!$A$3:$A$560=$A132)*('04_ccass_unlocks'!$E$3:$E$560=$E132)*'04_ccass_unlocks'!$C$3:$C$560),"")</f>
        <v>45960</v>
      </c>
      <c r="G132">
        <f>COUNTIF('04_ccass_unlocks'!$A$3:$A$560,$A132)</f>
        <v>1</v>
      </c>
      <c r="H132" s="80">
        <f>SUMIFS('04_ccass_unlocks'!$D$3:$D$560,'04_ccass_unlocks'!$A$3:$A$560,$A132)</f>
        <v>34167.659500000002</v>
      </c>
      <c r="I132" s="65">
        <f>SUMIFS('04_ccass_unlocks'!$F$3:$F$560,'04_ccass_unlocks'!$A$3:$A$560,$A132)</f>
        <v>372085.81195499998</v>
      </c>
      <c r="J132" s="40">
        <f>IFERROR(_xlfn.MAXIFS('04_ccass_unlocks'!$C$3:$C$560,'04_ccass_unlocks'!$A$3:$A$560,$A132),"")</f>
        <v>45960</v>
      </c>
      <c r="K132" t="s">
        <v>2311</v>
      </c>
    </row>
    <row r="133" spans="1:11">
      <c r="A133" t="s">
        <v>972</v>
      </c>
      <c r="B133" t="s">
        <v>973</v>
      </c>
      <c r="C133" s="40">
        <f>IFERROR(_xlfn.MINIFS('04_ccass_unlocks'!$C$3:$C$560,'04_ccass_unlocks'!$A$3:$A$560,$A133),"")</f>
        <v>45778</v>
      </c>
      <c r="D133" s="50">
        <f>IFERROR(SUMPRODUCT(('04_ccass_unlocks'!$A$3:$A$560=$A133)*('04_ccass_unlocks'!$C$3:$C$560=$C133)*'04_ccass_unlocks'!$E$3:$E$560),"")</f>
        <v>3.0468000000000002</v>
      </c>
      <c r="E133" s="50">
        <f>IFERROR(_xlfn.MAXIFS('04_ccass_unlocks'!$E$3:$E$560,'04_ccass_unlocks'!$A$3:$A$560,$A133),"")</f>
        <v>55.441400000000002</v>
      </c>
      <c r="F133" s="40">
        <f>IFERROR(SUMPRODUCT(('04_ccass_unlocks'!$A$3:$A$560=$A133)*('04_ccass_unlocks'!$E$3:$E$560=$E133)*'04_ccass_unlocks'!$C$3:$C$560),"")</f>
        <v>45961</v>
      </c>
      <c r="G133">
        <f>COUNTIF('04_ccass_unlocks'!$A$3:$A$560,$A133)</f>
        <v>2</v>
      </c>
      <c r="H133" s="80">
        <f>SUMIFS('04_ccass_unlocks'!$D$3:$D$560,'04_ccass_unlocks'!$A$3:$A$560,$A133)</f>
        <v>21324.125700000001</v>
      </c>
      <c r="I133" s="65">
        <f>SUMIFS('04_ccass_unlocks'!$F$3:$F$560,'04_ccass_unlocks'!$A$3:$A$560,$A133)</f>
        <v>72613.311494999987</v>
      </c>
      <c r="J133" s="40">
        <f>IFERROR(_xlfn.MAXIFS('04_ccass_unlocks'!$C$3:$C$560,'04_ccass_unlocks'!$A$3:$A$560,$A133),"")</f>
        <v>45961</v>
      </c>
      <c r="K133" t="s">
        <v>2296</v>
      </c>
    </row>
    <row r="134" spans="1:11">
      <c r="A134" t="s">
        <v>575</v>
      </c>
      <c r="B134" t="s">
        <v>576</v>
      </c>
      <c r="C134" s="40">
        <f>IFERROR(_xlfn.MINIFS('04_ccass_unlocks'!$C$3:$C$560,'04_ccass_unlocks'!$A$3:$A$560,$A134),"")</f>
        <v>45805</v>
      </c>
      <c r="D134" s="50">
        <f>IFERROR(SUMPRODUCT(('04_ccass_unlocks'!$A$3:$A$560=$A134)*('04_ccass_unlocks'!$C$3:$C$560=$C134)*'04_ccass_unlocks'!$E$3:$E$560),"")</f>
        <v>9.1864000000000008</v>
      </c>
      <c r="E134" s="50">
        <f>IFERROR(_xlfn.MAXIFS('04_ccass_unlocks'!$E$3:$E$560,'04_ccass_unlocks'!$A$3:$A$560,$A134),"")</f>
        <v>26.677600000000002</v>
      </c>
      <c r="F134" s="40">
        <f>IFERROR(SUMPRODUCT(('04_ccass_unlocks'!$A$3:$A$560=$A134)*('04_ccass_unlocks'!$E$3:$E$560=$E134)*'04_ccass_unlocks'!$C$3:$C$560),"")</f>
        <v>45989</v>
      </c>
      <c r="G134">
        <f>COUNTIF('04_ccass_unlocks'!$A$3:$A$560,$A134)</f>
        <v>2</v>
      </c>
      <c r="H134" s="80">
        <f>SUMIFS('04_ccass_unlocks'!$D$3:$D$560,'04_ccass_unlocks'!$A$3:$A$560,$A134)</f>
        <v>8800.9984999999997</v>
      </c>
      <c r="I134" s="65">
        <f>SUMIFS('04_ccass_unlocks'!$F$3:$F$560,'04_ccass_unlocks'!$A$3:$A$560,$A134)</f>
        <v>64788.539669999998</v>
      </c>
      <c r="J134" s="40">
        <f>IFERROR(_xlfn.MAXIFS('04_ccass_unlocks'!$C$3:$C$560,'04_ccass_unlocks'!$A$3:$A$560,$A134),"")</f>
        <v>45989</v>
      </c>
      <c r="K134" t="s">
        <v>2296</v>
      </c>
    </row>
    <row r="135" spans="1:11">
      <c r="A135" t="s">
        <v>568</v>
      </c>
      <c r="B135" t="s">
        <v>569</v>
      </c>
      <c r="C135" s="40">
        <f>IFERROR(_xlfn.MINIFS('04_ccass_unlocks'!$C$3:$C$560,'04_ccass_unlocks'!$A$3:$A$560,$A135),"")</f>
        <v>45946</v>
      </c>
      <c r="D135" s="50">
        <f>IFERROR(SUMPRODUCT(('04_ccass_unlocks'!$A$3:$A$560=$A135)*('04_ccass_unlocks'!$C$3:$C$560=$C135)*'04_ccass_unlocks'!$E$3:$E$560),"")</f>
        <v>70.066599999999994</v>
      </c>
      <c r="E135" s="50">
        <f>IFERROR(_xlfn.MAXIFS('04_ccass_unlocks'!$E$3:$E$560,'04_ccass_unlocks'!$A$3:$A$560,$A135),"")</f>
        <v>70.066599999999994</v>
      </c>
      <c r="F135" s="40">
        <f>IFERROR(SUMPRODUCT(('04_ccass_unlocks'!$A$3:$A$560=$A135)*('04_ccass_unlocks'!$E$3:$E$560=$E135)*'04_ccass_unlocks'!$C$3:$C$560),"")</f>
        <v>45946</v>
      </c>
      <c r="G135">
        <f>COUNTIF('04_ccass_unlocks'!$A$3:$A$560,$A135)</f>
        <v>1</v>
      </c>
      <c r="H135" s="80">
        <f>SUMIFS('04_ccass_unlocks'!$D$3:$D$560,'04_ccass_unlocks'!$A$3:$A$560,$A135)</f>
        <v>139898.0214</v>
      </c>
      <c r="I135" s="65">
        <f>SUMIFS('04_ccass_unlocks'!$F$3:$F$560,'04_ccass_unlocks'!$A$3:$A$560,$A135)</f>
        <v>144094.962042</v>
      </c>
      <c r="J135" s="40">
        <f>IFERROR(_xlfn.MAXIFS('04_ccass_unlocks'!$C$3:$C$560,'04_ccass_unlocks'!$A$3:$A$560,$A135),"")</f>
        <v>45946</v>
      </c>
      <c r="K135" t="s">
        <v>2298</v>
      </c>
    </row>
    <row r="136" spans="1:11">
      <c r="A136" t="s">
        <v>705</v>
      </c>
      <c r="B136" t="s">
        <v>706</v>
      </c>
      <c r="C136" s="40">
        <f>IFERROR(_xlfn.MINIFS('04_ccass_unlocks'!$C$3:$C$560,'04_ccass_unlocks'!$A$3:$A$560,$A136),"")</f>
        <v>45927</v>
      </c>
      <c r="D136" s="50">
        <f>IFERROR(SUMPRODUCT(('04_ccass_unlocks'!$A$3:$A$560=$A136)*('04_ccass_unlocks'!$C$3:$C$560=$C136)*'04_ccass_unlocks'!$E$3:$E$560),"")</f>
        <v>7.5</v>
      </c>
      <c r="E136" s="50">
        <f>IFERROR(_xlfn.MAXIFS('04_ccass_unlocks'!$E$3:$E$560,'04_ccass_unlocks'!$A$3:$A$560,$A136),"")</f>
        <v>67.5</v>
      </c>
      <c r="F136" s="40">
        <f>IFERROR(SUMPRODUCT(('04_ccass_unlocks'!$A$3:$A$560=$A136)*('04_ccass_unlocks'!$E$3:$E$560=$E136)*'04_ccass_unlocks'!$C$3:$C$560),"")</f>
        <v>46108</v>
      </c>
      <c r="G136">
        <f>COUNTIF('04_ccass_unlocks'!$A$3:$A$560,$A136)</f>
        <v>2</v>
      </c>
      <c r="H136" s="80">
        <f>SUMIFS('04_ccass_unlocks'!$D$3:$D$560,'04_ccass_unlocks'!$A$3:$A$560,$A136)</f>
        <v>75000</v>
      </c>
      <c r="I136" s="65">
        <f>SUMIFS('04_ccass_unlocks'!$F$3:$F$560,'04_ccass_unlocks'!$A$3:$A$560,$A136)</f>
        <v>74025</v>
      </c>
      <c r="J136" s="40">
        <f>IFERROR(_xlfn.MAXIFS('04_ccass_unlocks'!$C$3:$C$560,'04_ccass_unlocks'!$A$3:$A$560,$A136),"")</f>
        <v>46108</v>
      </c>
      <c r="K136" t="s">
        <v>2312</v>
      </c>
    </row>
    <row r="137" spans="1:11">
      <c r="A137" t="s">
        <v>637</v>
      </c>
      <c r="B137" t="s">
        <v>638</v>
      </c>
      <c r="C137" s="40">
        <f>IFERROR(_xlfn.MINIFS('04_ccass_unlocks'!$C$3:$C$560,'04_ccass_unlocks'!$A$3:$A$560,$A137),"")</f>
        <v>45814</v>
      </c>
      <c r="D137" s="50">
        <f>IFERROR(SUMPRODUCT(('04_ccass_unlocks'!$A$3:$A$560=$A137)*('04_ccass_unlocks'!$C$3:$C$560=$C137)*'04_ccass_unlocks'!$E$3:$E$560),"")</f>
        <v>2.5316000000000001</v>
      </c>
      <c r="E137" s="50">
        <f>IFERROR(_xlfn.MAXIFS('04_ccass_unlocks'!$E$3:$E$560,'04_ccass_unlocks'!$A$3:$A$560,$A137),"")</f>
        <v>8.0742999999999991</v>
      </c>
      <c r="F137" s="40">
        <f>IFERROR(SUMPRODUCT(('04_ccass_unlocks'!$A$3:$A$560=$A137)*('04_ccass_unlocks'!$E$3:$E$560=$E137)*'04_ccass_unlocks'!$C$3:$C$560),"")</f>
        <v>45997</v>
      </c>
      <c r="G137">
        <f>COUNTIF('04_ccass_unlocks'!$A$3:$A$560,$A137)</f>
        <v>2</v>
      </c>
      <c r="H137" s="80">
        <f>SUMIFS('04_ccass_unlocks'!$D$3:$D$560,'04_ccass_unlocks'!$A$3:$A$560,$A137)</f>
        <v>934.29639999999995</v>
      </c>
      <c r="I137" s="65">
        <f>SUMIFS('04_ccass_unlocks'!$F$3:$F$560,'04_ccass_unlocks'!$A$3:$A$560,$A137)</f>
        <v>130617.60595999999</v>
      </c>
      <c r="J137" s="40">
        <f>IFERROR(_xlfn.MAXIFS('04_ccass_unlocks'!$C$3:$C$560,'04_ccass_unlocks'!$A$3:$A$560,$A137),"")</f>
        <v>45997</v>
      </c>
      <c r="K137" t="s">
        <v>2297</v>
      </c>
    </row>
    <row r="138" spans="1:11">
      <c r="A138" t="s">
        <v>919</v>
      </c>
      <c r="B138" t="s">
        <v>920</v>
      </c>
      <c r="C138" s="40">
        <f>IFERROR(_xlfn.MINIFS('04_ccass_unlocks'!$C$3:$C$560,'04_ccass_unlocks'!$A$3:$A$560,$A138),"")</f>
        <v>45854</v>
      </c>
      <c r="D138" s="50">
        <f>IFERROR(SUMPRODUCT(('04_ccass_unlocks'!$A$3:$A$560=$A138)*('04_ccass_unlocks'!$C$3:$C$560=$C138)*'04_ccass_unlocks'!$E$3:$E$560),"")</f>
        <v>8.5739999999999998</v>
      </c>
      <c r="E138" s="50">
        <f>IFERROR(_xlfn.MAXIFS('04_ccass_unlocks'!$E$3:$E$560,'04_ccass_unlocks'!$A$3:$A$560,$A138),"")</f>
        <v>8.5739999999999998</v>
      </c>
      <c r="F138" s="40">
        <f>IFERROR(SUMPRODUCT(('04_ccass_unlocks'!$A$3:$A$560=$A138)*('04_ccass_unlocks'!$E$3:$E$560=$E138)*'04_ccass_unlocks'!$C$3:$C$560),"")</f>
        <v>45854</v>
      </c>
      <c r="G138">
        <f>COUNTIF('04_ccass_unlocks'!$A$3:$A$560,$A138)</f>
        <v>1</v>
      </c>
      <c r="H138" s="80">
        <f>SUMIFS('04_ccass_unlocks'!$D$3:$D$560,'04_ccass_unlocks'!$A$3:$A$560,$A138)</f>
        <v>1143.2</v>
      </c>
      <c r="I138" s="65">
        <f>SUMIFS('04_ccass_unlocks'!$F$3:$F$560,'04_ccass_unlocks'!$A$3:$A$560,$A138)</f>
        <v>14518.64</v>
      </c>
      <c r="J138" s="40">
        <f>IFERROR(_xlfn.MAXIFS('04_ccass_unlocks'!$C$3:$C$560,'04_ccass_unlocks'!$A$3:$A$560,$A138),"")</f>
        <v>45854</v>
      </c>
      <c r="K138" t="s">
        <v>2298</v>
      </c>
    </row>
    <row r="139" spans="1:11">
      <c r="A139" t="s">
        <v>799</v>
      </c>
      <c r="B139" t="s">
        <v>800</v>
      </c>
      <c r="C139" s="40">
        <f>IFERROR(_xlfn.MINIFS('04_ccass_unlocks'!$C$3:$C$560,'04_ccass_unlocks'!$A$3:$A$560,$A139),"")</f>
        <v>46001</v>
      </c>
      <c r="D139" s="50">
        <f>IFERROR(SUMPRODUCT(('04_ccass_unlocks'!$A$3:$A$560=$A139)*('04_ccass_unlocks'!$C$3:$C$560=$C139)*'04_ccass_unlocks'!$E$3:$E$560),"")</f>
        <v>3.2658999999999998</v>
      </c>
      <c r="E139" s="50">
        <f>IFERROR(_xlfn.MAXIFS('04_ccass_unlocks'!$E$3:$E$560,'04_ccass_unlocks'!$A$3:$A$560,$A139),"")</f>
        <v>3.2658999999999998</v>
      </c>
      <c r="F139" s="40">
        <f>IFERROR(SUMPRODUCT(('04_ccass_unlocks'!$A$3:$A$560=$A139)*('04_ccass_unlocks'!$E$3:$E$560=$E139)*'04_ccass_unlocks'!$C$3:$C$560),"")</f>
        <v>46001</v>
      </c>
      <c r="G139">
        <f>COUNTIF('04_ccass_unlocks'!$A$3:$A$560,$A139)</f>
        <v>1</v>
      </c>
      <c r="H139" s="80">
        <f>SUMIFS('04_ccass_unlocks'!$D$3:$D$560,'04_ccass_unlocks'!$A$3:$A$560,$A139)</f>
        <v>314.27999999999997</v>
      </c>
      <c r="I139" s="65">
        <f>SUMIFS('04_ccass_unlocks'!$F$3:$F$560,'04_ccass_unlocks'!$A$3:$A$560,$A139)</f>
        <v>2690.2368000000001</v>
      </c>
      <c r="J139" s="40">
        <f>IFERROR(_xlfn.MAXIFS('04_ccass_unlocks'!$C$3:$C$560,'04_ccass_unlocks'!$A$3:$A$560,$A139),"")</f>
        <v>46001</v>
      </c>
      <c r="K139" t="s">
        <v>2304</v>
      </c>
    </row>
    <row r="140" spans="1:11">
      <c r="A140" t="s">
        <v>1026</v>
      </c>
      <c r="B140" t="s">
        <v>1027</v>
      </c>
      <c r="C140" s="40">
        <f>IFERROR(_xlfn.MINIFS('04_ccass_unlocks'!$C$3:$C$560,'04_ccass_unlocks'!$A$3:$A$560,$A140),"")</f>
        <v>46127</v>
      </c>
      <c r="D140" s="50">
        <f>IFERROR(SUMPRODUCT(('04_ccass_unlocks'!$A$3:$A$560=$A140)*('04_ccass_unlocks'!$C$3:$C$560=$C140)*'04_ccass_unlocks'!$E$3:$E$560),"")</f>
        <v>1.2747999999999999</v>
      </c>
      <c r="E140" s="50">
        <f>IFERROR(_xlfn.MAXIFS('04_ccass_unlocks'!$E$3:$E$560,'04_ccass_unlocks'!$A$3:$A$560,$A140),"")</f>
        <v>1.2747999999999999</v>
      </c>
      <c r="F140" s="40">
        <f>IFERROR(SUMPRODUCT(('04_ccass_unlocks'!$A$3:$A$560=$A140)*('04_ccass_unlocks'!$E$3:$E$560=$E140)*'04_ccass_unlocks'!$C$3:$C$560),"")</f>
        <v>46127</v>
      </c>
      <c r="G140">
        <f>COUNTIF('04_ccass_unlocks'!$A$3:$A$560,$A140)</f>
        <v>1</v>
      </c>
      <c r="H140" s="80">
        <f>SUMIFS('04_ccass_unlocks'!$D$3:$D$560,'04_ccass_unlocks'!$A$3:$A$560,$A140)</f>
        <v>660.3</v>
      </c>
      <c r="I140" s="65">
        <f>SUMIFS('04_ccass_unlocks'!$F$3:$F$560,'04_ccass_unlocks'!$A$3:$A$560,$A140)</f>
        <v>23784.006000000001</v>
      </c>
      <c r="J140" s="40">
        <f>IFERROR(_xlfn.MAXIFS('04_ccass_unlocks'!$C$3:$C$560,'04_ccass_unlocks'!$A$3:$A$560,$A140),"")</f>
        <v>46127</v>
      </c>
      <c r="K140" t="s">
        <v>2296</v>
      </c>
    </row>
    <row r="141" spans="1:11">
      <c r="A141" t="s">
        <v>739</v>
      </c>
      <c r="B141" t="s">
        <v>740</v>
      </c>
      <c r="C141" s="40">
        <f>IFERROR(_xlfn.MINIFS('04_ccass_unlocks'!$C$3:$C$560,'04_ccass_unlocks'!$A$3:$A$560,$A141),"")</f>
        <v>45938</v>
      </c>
      <c r="D141" s="50">
        <f>IFERROR(SUMPRODUCT(('04_ccass_unlocks'!$A$3:$A$560=$A141)*('04_ccass_unlocks'!$C$3:$C$560=$C141)*'04_ccass_unlocks'!$E$3:$E$560),"")</f>
        <v>31.0075</v>
      </c>
      <c r="E141" s="50">
        <f>IFERROR(_xlfn.MAXIFS('04_ccass_unlocks'!$E$3:$E$560,'04_ccass_unlocks'!$A$3:$A$560,$A141),"")</f>
        <v>31.0075</v>
      </c>
      <c r="F141" s="40">
        <f>IFERROR(SUMPRODUCT(('04_ccass_unlocks'!$A$3:$A$560=$A141)*('04_ccass_unlocks'!$E$3:$E$560=$E141)*'04_ccass_unlocks'!$C$3:$C$560),"")</f>
        <v>45938</v>
      </c>
      <c r="G141">
        <f>COUNTIF('04_ccass_unlocks'!$A$3:$A$560,$A141)</f>
        <v>1</v>
      </c>
      <c r="H141" s="80">
        <f>SUMIFS('04_ccass_unlocks'!$D$3:$D$560,'04_ccass_unlocks'!$A$3:$A$560,$A141)</f>
        <v>17481.353299999999</v>
      </c>
      <c r="I141" s="65">
        <f>SUMIFS('04_ccass_unlocks'!$F$3:$F$560,'04_ccass_unlocks'!$A$3:$A$560,$A141)</f>
        <v>84609.749972000005</v>
      </c>
      <c r="J141" s="40">
        <f>IFERROR(_xlfn.MAXIFS('04_ccass_unlocks'!$C$3:$C$560,'04_ccass_unlocks'!$A$3:$A$560,$A141),"")</f>
        <v>45938</v>
      </c>
      <c r="K141" t="s">
        <v>2298</v>
      </c>
    </row>
    <row r="142" spans="1:11">
      <c r="A142" t="s">
        <v>735</v>
      </c>
      <c r="B142" t="s">
        <v>736</v>
      </c>
      <c r="C142" s="40">
        <f>IFERROR(_xlfn.MINIFS('04_ccass_unlocks'!$C$3:$C$560,'04_ccass_unlocks'!$A$3:$A$560,$A142),"")</f>
        <v>45838</v>
      </c>
      <c r="D142" s="50">
        <f>IFERROR(SUMPRODUCT(('04_ccass_unlocks'!$A$3:$A$560=$A142)*('04_ccass_unlocks'!$C$3:$C$560=$C142)*'04_ccass_unlocks'!$E$3:$E$560),"")</f>
        <v>2.8519999999999999</v>
      </c>
      <c r="E142" s="50">
        <f>IFERROR(_xlfn.MAXIFS('04_ccass_unlocks'!$E$3:$E$560,'04_ccass_unlocks'!$A$3:$A$560,$A142),"")</f>
        <v>48.5443</v>
      </c>
      <c r="F142" s="40">
        <f>IFERROR(SUMPRODUCT(('04_ccass_unlocks'!$A$3:$A$560=$A142)*('04_ccass_unlocks'!$E$3:$E$560=$E142)*'04_ccass_unlocks'!$C$3:$C$560),"")</f>
        <v>46021</v>
      </c>
      <c r="G142">
        <f>COUNTIF('04_ccass_unlocks'!$A$3:$A$560,$A142)</f>
        <v>3</v>
      </c>
      <c r="H142" s="80">
        <f>SUMIFS('04_ccass_unlocks'!$D$3:$D$560,'04_ccass_unlocks'!$A$3:$A$560,$A142)</f>
        <v>49005.008699999998</v>
      </c>
      <c r="I142" s="65">
        <f>SUMIFS('04_ccass_unlocks'!$F$3:$F$560,'04_ccass_unlocks'!$A$3:$A$560,$A142)</f>
        <v>3708468.8129049996</v>
      </c>
      <c r="J142" s="40">
        <f>IFERROR(_xlfn.MAXIFS('04_ccass_unlocks'!$C$3:$C$560,'04_ccass_unlocks'!$A$3:$A$560,$A142),"")</f>
        <v>46037</v>
      </c>
      <c r="K142" t="s">
        <v>2295</v>
      </c>
    </row>
    <row r="143" spans="1:11">
      <c r="A143" t="s">
        <v>277</v>
      </c>
      <c r="B143" t="s">
        <v>278</v>
      </c>
      <c r="C143" s="40">
        <f>IFERROR(_xlfn.MINIFS('04_ccass_unlocks'!$C$3:$C$560,'04_ccass_unlocks'!$A$3:$A$560,$A143),"")</f>
        <v>46083</v>
      </c>
      <c r="D143" s="50">
        <f>IFERROR(SUMPRODUCT(('04_ccass_unlocks'!$A$3:$A$560=$A143)*('04_ccass_unlocks'!$C$3:$C$560=$C143)*'04_ccass_unlocks'!$E$3:$E$560),"")</f>
        <v>3.5209999999999999</v>
      </c>
      <c r="E143" s="50">
        <f>IFERROR(_xlfn.MAXIFS('04_ccass_unlocks'!$E$3:$E$560,'04_ccass_unlocks'!$A$3:$A$560,$A143),"")</f>
        <v>3.5209999999999999</v>
      </c>
      <c r="F143" s="40">
        <f>IFERROR(SUMPRODUCT(('04_ccass_unlocks'!$A$3:$A$560=$A143)*('04_ccass_unlocks'!$E$3:$E$560=$E143)*'04_ccass_unlocks'!$C$3:$C$560),"")</f>
        <v>46083</v>
      </c>
      <c r="G143">
        <f>COUNTIF('04_ccass_unlocks'!$A$3:$A$560,$A143)</f>
        <v>1</v>
      </c>
      <c r="H143" s="80">
        <f>SUMIFS('04_ccass_unlocks'!$D$3:$D$560,'04_ccass_unlocks'!$A$3:$A$560,$A143)</f>
        <v>5592.14</v>
      </c>
      <c r="I143" s="65">
        <f>SUMIFS('04_ccass_unlocks'!$F$3:$F$560,'04_ccass_unlocks'!$A$3:$A$560,$A143)</f>
        <v>64085.924400000004</v>
      </c>
      <c r="J143" s="40">
        <f>IFERROR(_xlfn.MAXIFS('04_ccass_unlocks'!$C$3:$C$560,'04_ccass_unlocks'!$A$3:$A$560,$A143),"")</f>
        <v>46083</v>
      </c>
      <c r="K143" t="s">
        <v>2299</v>
      </c>
    </row>
    <row r="144" spans="1:11">
      <c r="A144" t="s">
        <v>769</v>
      </c>
      <c r="B144" t="s">
        <v>770</v>
      </c>
      <c r="C144" s="40">
        <f>IFERROR(_xlfn.MINIFS('04_ccass_unlocks'!$C$3:$C$560,'04_ccass_unlocks'!$A$3:$A$560,$A144),"")</f>
        <v>45792</v>
      </c>
      <c r="D144" s="50">
        <f>IFERROR(SUMPRODUCT(('04_ccass_unlocks'!$A$3:$A$560=$A144)*('04_ccass_unlocks'!$C$3:$C$560=$C144)*'04_ccass_unlocks'!$E$3:$E$560),"")</f>
        <v>4.625</v>
      </c>
      <c r="E144" s="50">
        <f>IFERROR(_xlfn.MAXIFS('04_ccass_unlocks'!$E$3:$E$560,'04_ccass_unlocks'!$A$3:$A$560,$A144),"")</f>
        <v>20.230899999999998</v>
      </c>
      <c r="F144" s="40">
        <f>IFERROR(SUMPRODUCT(('04_ccass_unlocks'!$A$3:$A$560=$A144)*('04_ccass_unlocks'!$E$3:$E$560=$E144)*'04_ccass_unlocks'!$C$3:$C$560),"")</f>
        <v>45976</v>
      </c>
      <c r="G144">
        <f>COUNTIF('04_ccass_unlocks'!$A$3:$A$560,$A144)</f>
        <v>2</v>
      </c>
      <c r="H144" s="80">
        <f>SUMIFS('04_ccass_unlocks'!$D$3:$D$560,'04_ccass_unlocks'!$A$3:$A$560,$A144)</f>
        <v>2752.6250999999997</v>
      </c>
      <c r="I144" s="65">
        <f>SUMIFS('04_ccass_unlocks'!$F$3:$F$560,'04_ccass_unlocks'!$A$3:$A$560,$A144)</f>
        <v>166544.624388</v>
      </c>
      <c r="J144" s="40">
        <f>IFERROR(_xlfn.MAXIFS('04_ccass_unlocks'!$C$3:$C$560,'04_ccass_unlocks'!$A$3:$A$560,$A144),"")</f>
        <v>45976</v>
      </c>
      <c r="K144" t="s">
        <v>2297</v>
      </c>
    </row>
    <row r="145" spans="1:11">
      <c r="A145" t="s">
        <v>297</v>
      </c>
      <c r="B145" t="s">
        <v>298</v>
      </c>
      <c r="C145" s="40">
        <f>IFERROR(_xlfn.MINIFS('04_ccass_unlocks'!$C$3:$C$560,'04_ccass_unlocks'!$A$3:$A$560,$A145),"")</f>
        <v>45806</v>
      </c>
      <c r="D145" s="50">
        <f>IFERROR(SUMPRODUCT(('04_ccass_unlocks'!$A$3:$A$560=$A145)*('04_ccass_unlocks'!$C$3:$C$560=$C145)*'04_ccass_unlocks'!$E$3:$E$560),"")</f>
        <v>6.4024000000000001</v>
      </c>
      <c r="E145" s="50">
        <f>IFERROR(_xlfn.MAXIFS('04_ccass_unlocks'!$E$3:$E$560,'04_ccass_unlocks'!$A$3:$A$560,$A145),"")</f>
        <v>8.9027999999999992</v>
      </c>
      <c r="F145" s="40">
        <f>IFERROR(SUMPRODUCT(('04_ccass_unlocks'!$A$3:$A$560=$A145)*('04_ccass_unlocks'!$E$3:$E$560=$E145)*'04_ccass_unlocks'!$C$3:$C$560),"")</f>
        <v>45990</v>
      </c>
      <c r="G145">
        <f>COUNTIF('04_ccass_unlocks'!$A$3:$A$560,$A145)</f>
        <v>2</v>
      </c>
      <c r="H145" s="80">
        <f>SUMIFS('04_ccass_unlocks'!$D$3:$D$560,'04_ccass_unlocks'!$A$3:$A$560,$A145)</f>
        <v>4178.6666000000005</v>
      </c>
      <c r="I145" s="65">
        <f>SUMIFS('04_ccass_unlocks'!$F$3:$F$560,'04_ccass_unlocks'!$A$3:$A$560,$A145)</f>
        <v>65273.038996000003</v>
      </c>
      <c r="J145" s="40">
        <f>IFERROR(_xlfn.MAXIFS('04_ccass_unlocks'!$C$3:$C$560,'04_ccass_unlocks'!$A$3:$A$560,$A145),"")</f>
        <v>45990</v>
      </c>
      <c r="K145" t="s">
        <v>2311</v>
      </c>
    </row>
    <row r="146" spans="1:11">
      <c r="A146" t="s">
        <v>538</v>
      </c>
      <c r="B146" t="s">
        <v>539</v>
      </c>
      <c r="C146" s="40">
        <f>IFERROR(_xlfn.MINIFS('04_ccass_unlocks'!$C$3:$C$560,'04_ccass_unlocks'!$A$3:$A$560,$A146),"")</f>
        <v>45814</v>
      </c>
      <c r="D146" s="50">
        <f>IFERROR(SUMPRODUCT(('04_ccass_unlocks'!$A$3:$A$560=$A146)*('04_ccass_unlocks'!$C$3:$C$560=$C146)*'04_ccass_unlocks'!$E$3:$E$560),"")</f>
        <v>1.1188</v>
      </c>
      <c r="E146" s="50">
        <f>IFERROR(_xlfn.MAXIFS('04_ccass_unlocks'!$E$3:$E$560,'04_ccass_unlocks'!$A$3:$A$560,$A146),"")</f>
        <v>53.6006</v>
      </c>
      <c r="F146" s="40">
        <f>IFERROR(SUMPRODUCT(('04_ccass_unlocks'!$A$3:$A$560=$A146)*('04_ccass_unlocks'!$E$3:$E$560=$E146)*'04_ccass_unlocks'!$C$3:$C$560),"")</f>
        <v>45997</v>
      </c>
      <c r="G146">
        <f>COUNTIF('04_ccass_unlocks'!$A$3:$A$560,$A146)</f>
        <v>3</v>
      </c>
      <c r="H146" s="80">
        <f>SUMIFS('04_ccass_unlocks'!$D$3:$D$560,'04_ccass_unlocks'!$A$3:$A$560,$A146)</f>
        <v>54791.713499999998</v>
      </c>
      <c r="I146" s="65">
        <f>SUMIFS('04_ccass_unlocks'!$F$3:$F$560,'04_ccass_unlocks'!$A$3:$A$560,$A146)</f>
        <v>366110.30421000003</v>
      </c>
      <c r="J146" s="40">
        <f>IFERROR(_xlfn.MAXIFS('04_ccass_unlocks'!$C$3:$C$560,'04_ccass_unlocks'!$A$3:$A$560,$A146),"")</f>
        <v>45997</v>
      </c>
      <c r="K146" t="s">
        <v>2298</v>
      </c>
    </row>
    <row r="147" spans="1:11">
      <c r="A147" t="s">
        <v>588</v>
      </c>
      <c r="B147" t="s">
        <v>589</v>
      </c>
      <c r="C147" s="40">
        <f>IFERROR(_xlfn.MINIFS('04_ccass_unlocks'!$C$3:$C$560,'04_ccass_unlocks'!$A$3:$A$560,$A147),"")</f>
        <v>45839</v>
      </c>
      <c r="D147" s="50">
        <f>IFERROR(SUMPRODUCT(('04_ccass_unlocks'!$A$3:$A$560=$A147)*('04_ccass_unlocks'!$C$3:$C$560=$C147)*'04_ccass_unlocks'!$E$3:$E$560),"")</f>
        <v>64.896100000000004</v>
      </c>
      <c r="E147" s="50">
        <f>IFERROR(_xlfn.MAXIFS('04_ccass_unlocks'!$E$3:$E$560,'04_ccass_unlocks'!$A$3:$A$560,$A147),"")</f>
        <v>64.896100000000004</v>
      </c>
      <c r="F147" s="40">
        <f>IFERROR(SUMPRODUCT(('04_ccass_unlocks'!$A$3:$A$560=$A147)*('04_ccass_unlocks'!$E$3:$E$560=$E147)*'04_ccass_unlocks'!$C$3:$C$560),"")</f>
        <v>45839</v>
      </c>
      <c r="G147">
        <f>COUNTIF('04_ccass_unlocks'!$A$3:$A$560,$A147)</f>
        <v>1</v>
      </c>
      <c r="H147" s="80">
        <f>SUMIFS('04_ccass_unlocks'!$D$3:$D$560,'04_ccass_unlocks'!$A$3:$A$560,$A147)</f>
        <v>56959.646500000003</v>
      </c>
      <c r="I147" s="65">
        <f>SUMIFS('04_ccass_unlocks'!$F$3:$F$560,'04_ccass_unlocks'!$A$3:$A$560,$A147)</f>
        <v>981984.30565999995</v>
      </c>
      <c r="J147" s="40">
        <f>IFERROR(_xlfn.MAXIFS('04_ccass_unlocks'!$C$3:$C$560,'04_ccass_unlocks'!$A$3:$A$560,$A147),"")</f>
        <v>45839</v>
      </c>
      <c r="K147" t="s">
        <v>2292</v>
      </c>
    </row>
    <row r="148" spans="1:11">
      <c r="A148" t="s">
        <v>440</v>
      </c>
      <c r="B148" t="s">
        <v>441</v>
      </c>
      <c r="C148" s="40">
        <f>IFERROR(_xlfn.MINIFS('04_ccass_unlocks'!$C$3:$C$560,'04_ccass_unlocks'!$A$3:$A$560,$A148),"")</f>
        <v>45969</v>
      </c>
      <c r="D148" s="50">
        <f>IFERROR(SUMPRODUCT(('04_ccass_unlocks'!$A$3:$A$560=$A148)*('04_ccass_unlocks'!$C$3:$C$560=$C148)*'04_ccass_unlocks'!$E$3:$E$560),"")</f>
        <v>0.59519999999999995</v>
      </c>
      <c r="E148" s="50">
        <f>IFERROR(_xlfn.MAXIFS('04_ccass_unlocks'!$E$3:$E$560,'04_ccass_unlocks'!$A$3:$A$560,$A148),"")</f>
        <v>0.59519999999999995</v>
      </c>
      <c r="F148" s="40">
        <f>IFERROR(SUMPRODUCT(('04_ccass_unlocks'!$A$3:$A$560=$A148)*('04_ccass_unlocks'!$E$3:$E$560=$E148)*'04_ccass_unlocks'!$C$3:$C$560),"")</f>
        <v>45969</v>
      </c>
      <c r="G148">
        <f>COUNTIF('04_ccass_unlocks'!$A$3:$A$560,$A148)</f>
        <v>1</v>
      </c>
      <c r="H148" s="80">
        <f>SUMIFS('04_ccass_unlocks'!$D$3:$D$560,'04_ccass_unlocks'!$A$3:$A$560,$A148)</f>
        <v>62.613</v>
      </c>
      <c r="I148" s="65">
        <f>SUMIFS('04_ccass_unlocks'!$F$3:$F$560,'04_ccass_unlocks'!$A$3:$A$560,$A148)</f>
        <v>5178.0950999999995</v>
      </c>
      <c r="J148" s="40">
        <f>IFERROR(_xlfn.MAXIFS('04_ccass_unlocks'!$C$3:$C$560,'04_ccass_unlocks'!$A$3:$A$560,$A148),"")</f>
        <v>45969</v>
      </c>
      <c r="K148" t="s">
        <v>2304</v>
      </c>
    </row>
    <row r="149" spans="1:11">
      <c r="A149" t="s">
        <v>499</v>
      </c>
      <c r="B149" t="s">
        <v>500</v>
      </c>
      <c r="C149" s="40">
        <f>IFERROR(_xlfn.MINIFS('04_ccass_unlocks'!$C$3:$C$560,'04_ccass_unlocks'!$A$3:$A$560,$A149),"")</f>
        <v>46031</v>
      </c>
      <c r="D149" s="50">
        <f>IFERROR(SUMPRODUCT(('04_ccass_unlocks'!$A$3:$A$560=$A149)*('04_ccass_unlocks'!$C$3:$C$560=$C149)*'04_ccass_unlocks'!$E$3:$E$560),"")</f>
        <v>3.1901999999999999</v>
      </c>
      <c r="E149" s="50">
        <f>IFERROR(_xlfn.MAXIFS('04_ccass_unlocks'!$E$3:$E$560,'04_ccass_unlocks'!$A$3:$A$560,$A149),"")</f>
        <v>3.1901999999999999</v>
      </c>
      <c r="F149" s="40">
        <f>IFERROR(SUMPRODUCT(('04_ccass_unlocks'!$A$3:$A$560=$A149)*('04_ccass_unlocks'!$E$3:$E$560=$E149)*'04_ccass_unlocks'!$C$3:$C$560),"")</f>
        <v>46031</v>
      </c>
      <c r="G149">
        <f>COUNTIF('04_ccass_unlocks'!$A$3:$A$560,$A149)</f>
        <v>1</v>
      </c>
      <c r="H149" s="80">
        <f>SUMIFS('04_ccass_unlocks'!$D$3:$D$560,'04_ccass_unlocks'!$A$3:$A$560,$A149)</f>
        <v>4266.22</v>
      </c>
      <c r="I149" s="65">
        <f>SUMIFS('04_ccass_unlocks'!$F$3:$F$560,'04_ccass_unlocks'!$A$3:$A$560,$A149)</f>
        <v>107082.122</v>
      </c>
      <c r="J149" s="40">
        <f>IFERROR(_xlfn.MAXIFS('04_ccass_unlocks'!$C$3:$C$560,'04_ccass_unlocks'!$A$3:$A$560,$A149),"")</f>
        <v>46031</v>
      </c>
      <c r="K149" t="s">
        <v>2298</v>
      </c>
    </row>
    <row r="150" spans="1:11">
      <c r="A150" t="s">
        <v>1010</v>
      </c>
      <c r="B150" t="s">
        <v>1011</v>
      </c>
      <c r="C150" s="40">
        <f>IFERROR(_xlfn.MINIFS('04_ccass_unlocks'!$C$3:$C$560,'04_ccass_unlocks'!$A$3:$A$560,$A150),"")</f>
        <v>46025</v>
      </c>
      <c r="D150" s="50">
        <f>IFERROR(SUMPRODUCT(('04_ccass_unlocks'!$A$3:$A$560=$A150)*('04_ccass_unlocks'!$C$3:$C$560=$C150)*'04_ccass_unlocks'!$E$3:$E$560),"")</f>
        <v>69.465100000000007</v>
      </c>
      <c r="E150" s="50">
        <f>IFERROR(_xlfn.MAXIFS('04_ccass_unlocks'!$E$3:$E$560,'04_ccass_unlocks'!$A$3:$A$560,$A150),"")</f>
        <v>69.465100000000007</v>
      </c>
      <c r="F150" s="40">
        <f>IFERROR(SUMPRODUCT(('04_ccass_unlocks'!$A$3:$A$560=$A150)*('04_ccass_unlocks'!$E$3:$E$560=$E150)*'04_ccass_unlocks'!$C$3:$C$560),"")</f>
        <v>46025</v>
      </c>
      <c r="G150">
        <f>COUNTIF('04_ccass_unlocks'!$A$3:$A$560,$A150)</f>
        <v>1</v>
      </c>
      <c r="H150" s="80">
        <f>SUMIFS('04_ccass_unlocks'!$D$3:$D$560,'04_ccass_unlocks'!$A$3:$A$560,$A150)</f>
        <v>59053.7788</v>
      </c>
      <c r="I150" s="65">
        <f>SUMIFS('04_ccass_unlocks'!$F$3:$F$560,'04_ccass_unlocks'!$A$3:$A$560,$A150)</f>
        <v>266332.542388</v>
      </c>
      <c r="J150" s="40">
        <f>IFERROR(_xlfn.MAXIFS('04_ccass_unlocks'!$C$3:$C$560,'04_ccass_unlocks'!$A$3:$A$560,$A150),"")</f>
        <v>46025</v>
      </c>
      <c r="K150" t="s">
        <v>2296</v>
      </c>
    </row>
    <row r="151" spans="1:11">
      <c r="A151" t="s">
        <v>892</v>
      </c>
      <c r="B151" t="s">
        <v>893</v>
      </c>
      <c r="C151" s="40">
        <f>IFERROR(_xlfn.MINIFS('04_ccass_unlocks'!$C$3:$C$560,'04_ccass_unlocks'!$A$3:$A$560,$A151),"")</f>
        <v>45827</v>
      </c>
      <c r="D151" s="50">
        <f>IFERROR(SUMPRODUCT(('04_ccass_unlocks'!$A$3:$A$560=$A151)*('04_ccass_unlocks'!$C$3:$C$560=$C151)*'04_ccass_unlocks'!$E$3:$E$560),"")</f>
        <v>5.5991999999999997</v>
      </c>
      <c r="E151" s="50">
        <f>IFERROR(_xlfn.MAXIFS('04_ccass_unlocks'!$E$3:$E$560,'04_ccass_unlocks'!$A$3:$A$560,$A151),"")</f>
        <v>74.999899999999997</v>
      </c>
      <c r="F151" s="40">
        <f>IFERROR(SUMPRODUCT(('04_ccass_unlocks'!$A$3:$A$560=$A151)*('04_ccass_unlocks'!$E$3:$E$560=$E151)*'04_ccass_unlocks'!$C$3:$C$560),"")</f>
        <v>46010</v>
      </c>
      <c r="G151">
        <f>COUNTIF('04_ccass_unlocks'!$A$3:$A$560,$A151)</f>
        <v>2</v>
      </c>
      <c r="H151" s="80">
        <f>SUMIFS('04_ccass_unlocks'!$D$3:$D$560,'04_ccass_unlocks'!$A$3:$A$560,$A151)</f>
        <v>10746.56</v>
      </c>
      <c r="I151" s="65">
        <f>SUMIFS('04_ccass_unlocks'!$F$3:$F$560,'04_ccass_unlocks'!$A$3:$A$560,$A151)</f>
        <v>13276.6176</v>
      </c>
      <c r="J151" s="40">
        <f>IFERROR(_xlfn.MAXIFS('04_ccass_unlocks'!$C$3:$C$560,'04_ccass_unlocks'!$A$3:$A$560,$A151),"")</f>
        <v>46010</v>
      </c>
      <c r="K151" t="s">
        <v>2292</v>
      </c>
    </row>
    <row r="152" spans="1:11">
      <c r="A152" t="s">
        <v>968</v>
      </c>
      <c r="B152" t="s">
        <v>969</v>
      </c>
      <c r="C152" s="40">
        <f>IFERROR(_xlfn.MINIFS('04_ccass_unlocks'!$C$3:$C$560,'04_ccass_unlocks'!$A$3:$A$560,$A152),"")</f>
        <v>46100</v>
      </c>
      <c r="D152" s="50">
        <f>IFERROR(SUMPRODUCT(('04_ccass_unlocks'!$A$3:$A$560=$A152)*('04_ccass_unlocks'!$C$3:$C$560=$C152)*'04_ccass_unlocks'!$E$3:$E$560),"")</f>
        <v>10.3233</v>
      </c>
      <c r="E152" s="50">
        <f>IFERROR(_xlfn.MAXIFS('04_ccass_unlocks'!$E$3:$E$560,'04_ccass_unlocks'!$A$3:$A$560,$A152),"")</f>
        <v>10.3233</v>
      </c>
      <c r="F152" s="40">
        <f>IFERROR(SUMPRODUCT(('04_ccass_unlocks'!$A$3:$A$560=$A152)*('04_ccass_unlocks'!$E$3:$E$560=$E152)*'04_ccass_unlocks'!$C$3:$C$560),"")</f>
        <v>46100</v>
      </c>
      <c r="G152">
        <f>COUNTIF('04_ccass_unlocks'!$A$3:$A$560,$A152)</f>
        <v>1</v>
      </c>
      <c r="H152" s="80">
        <f>SUMIFS('04_ccass_unlocks'!$D$3:$D$560,'04_ccass_unlocks'!$A$3:$A$560,$A152)</f>
        <v>3823.4</v>
      </c>
      <c r="I152" s="65">
        <f>SUMIFS('04_ccass_unlocks'!$F$3:$F$560,'04_ccass_unlocks'!$A$3:$A$560,$A152)</f>
        <v>99408.4</v>
      </c>
      <c r="J152" s="40">
        <f>IFERROR(_xlfn.MAXIFS('04_ccass_unlocks'!$C$3:$C$560,'04_ccass_unlocks'!$A$3:$A$560,$A152),"")</f>
        <v>46100</v>
      </c>
      <c r="K152" t="s">
        <v>2296</v>
      </c>
    </row>
    <row r="153" spans="1:11">
      <c r="A153" t="s">
        <v>635</v>
      </c>
      <c r="B153" t="s">
        <v>636</v>
      </c>
      <c r="C153" s="40">
        <f>IFERROR(_xlfn.MINIFS('04_ccass_unlocks'!$C$3:$C$560,'04_ccass_unlocks'!$A$3:$A$560,$A153),"")</f>
        <v>46031</v>
      </c>
      <c r="D153" s="50">
        <f>IFERROR(SUMPRODUCT(('04_ccass_unlocks'!$A$3:$A$560=$A153)*('04_ccass_unlocks'!$C$3:$C$560=$C153)*'04_ccass_unlocks'!$E$3:$E$560),"")</f>
        <v>31.394500000000001</v>
      </c>
      <c r="E153" s="50">
        <f>IFERROR(_xlfn.MAXIFS('04_ccass_unlocks'!$E$3:$E$560,'04_ccass_unlocks'!$A$3:$A$560,$A153),"")</f>
        <v>31.394500000000001</v>
      </c>
      <c r="F153" s="40">
        <f>IFERROR(SUMPRODUCT(('04_ccass_unlocks'!$A$3:$A$560=$A153)*('04_ccass_unlocks'!$E$3:$E$560=$E153)*'04_ccass_unlocks'!$C$3:$C$560),"")</f>
        <v>46031</v>
      </c>
      <c r="G153">
        <f>COUNTIF('04_ccass_unlocks'!$A$3:$A$560,$A153)</f>
        <v>1</v>
      </c>
      <c r="H153" s="80">
        <f>SUMIFS('04_ccass_unlocks'!$D$3:$D$560,'04_ccass_unlocks'!$A$3:$A$560,$A153)</f>
        <v>955.65</v>
      </c>
      <c r="I153" s="65">
        <f>SUMIFS('04_ccass_unlocks'!$F$3:$F$560,'04_ccass_unlocks'!$A$3:$A$560,$A153)</f>
        <v>13063.735500000001</v>
      </c>
      <c r="J153" s="40">
        <f>IFERROR(_xlfn.MAXIFS('04_ccass_unlocks'!$C$3:$C$560,'04_ccass_unlocks'!$A$3:$A$560,$A153),"")</f>
        <v>46031</v>
      </c>
      <c r="K153" t="s">
        <v>2316</v>
      </c>
    </row>
    <row r="154" spans="1:11">
      <c r="A154" t="s">
        <v>629</v>
      </c>
      <c r="B154" t="s">
        <v>630</v>
      </c>
      <c r="C154" s="40">
        <f>IFERROR(_xlfn.MINIFS('04_ccass_unlocks'!$C$3:$C$560,'04_ccass_unlocks'!$A$3:$A$560,$A154),"")</f>
        <v>45563</v>
      </c>
      <c r="D154" s="50">
        <f>IFERROR(SUMPRODUCT(('04_ccass_unlocks'!$A$3:$A$560=$A154)*('04_ccass_unlocks'!$C$3:$C$560=$C154)*'04_ccass_unlocks'!$E$3:$E$560),"")</f>
        <v>3.3336999999999999</v>
      </c>
      <c r="E154" s="50">
        <f>IFERROR(_xlfn.MAXIFS('04_ccass_unlocks'!$E$3:$E$560,'04_ccass_unlocks'!$A$3:$A$560,$A154),"")</f>
        <v>33.097499999999997</v>
      </c>
      <c r="F154" s="40">
        <f>IFERROR(SUMPRODUCT(('04_ccass_unlocks'!$A$3:$A$560=$A154)*('04_ccass_unlocks'!$E$3:$E$560=$E154)*'04_ccass_unlocks'!$C$3:$C$560),"")</f>
        <v>45744</v>
      </c>
      <c r="G154">
        <f>COUNTIF('04_ccass_unlocks'!$A$3:$A$560,$A154)</f>
        <v>2</v>
      </c>
      <c r="H154" s="80">
        <f>SUMIFS('04_ccass_unlocks'!$D$3:$D$560,'04_ccass_unlocks'!$A$3:$A$560,$A154)</f>
        <v>39006.176400000004</v>
      </c>
      <c r="I154" s="65">
        <f>SUMIFS('04_ccass_unlocks'!$F$3:$F$560,'04_ccass_unlocks'!$A$3:$A$560,$A154)</f>
        <v>287554.75407999998</v>
      </c>
      <c r="J154" s="40">
        <f>IFERROR(_xlfn.MAXIFS('04_ccass_unlocks'!$C$3:$C$560,'04_ccass_unlocks'!$A$3:$A$560,$A154),"")</f>
        <v>45744</v>
      </c>
      <c r="K154" t="s">
        <v>2310</v>
      </c>
    </row>
    <row r="155" spans="1:11">
      <c r="A155" t="s">
        <v>268</v>
      </c>
      <c r="B155" t="s">
        <v>269</v>
      </c>
      <c r="C155" s="40">
        <f>IFERROR(_xlfn.MINIFS('04_ccass_unlocks'!$C$3:$C$560,'04_ccass_unlocks'!$A$3:$A$560,$A155),"")</f>
        <v>45014</v>
      </c>
      <c r="D155" s="50">
        <f>IFERROR(SUMPRODUCT(('04_ccass_unlocks'!$A$3:$A$560=$A155)*('04_ccass_unlocks'!$C$3:$C$560=$C155)*'04_ccass_unlocks'!$E$3:$E$560),"")</f>
        <v>3.7195999999999998</v>
      </c>
      <c r="E155" s="50">
        <f>IFERROR(_xlfn.MAXIFS('04_ccass_unlocks'!$E$3:$E$560,'04_ccass_unlocks'!$A$3:$A$560,$A155),"")</f>
        <v>3.7195999999999998</v>
      </c>
      <c r="F155" s="40">
        <f>IFERROR(SUMPRODUCT(('04_ccass_unlocks'!$A$3:$A$560=$A155)*('04_ccass_unlocks'!$E$3:$E$560=$E155)*'04_ccass_unlocks'!$C$3:$C$560),"")</f>
        <v>45014</v>
      </c>
      <c r="G155">
        <f>COUNTIF('04_ccass_unlocks'!$A$3:$A$560,$A155)</f>
        <v>1</v>
      </c>
      <c r="H155" s="80">
        <f>SUMIFS('04_ccass_unlocks'!$D$3:$D$560,'04_ccass_unlocks'!$A$3:$A$560,$A155)</f>
        <v>4383.3999999999996</v>
      </c>
      <c r="I155" s="65">
        <f>SUMIFS('04_ccass_unlocks'!$F$3:$F$560,'04_ccass_unlocks'!$A$3:$A$560,$A155)</f>
        <v>146405.56</v>
      </c>
      <c r="J155" s="40">
        <f>IFERROR(_xlfn.MAXIFS('04_ccass_unlocks'!$C$3:$C$560,'04_ccass_unlocks'!$A$3:$A$560,$A155),"")</f>
        <v>45014</v>
      </c>
      <c r="K155" t="s">
        <v>2306</v>
      </c>
    </row>
    <row r="156" spans="1:11">
      <c r="A156" t="s">
        <v>371</v>
      </c>
      <c r="B156" t="s">
        <v>372</v>
      </c>
      <c r="C156" s="40">
        <f>IFERROR(_xlfn.MINIFS('04_ccass_unlocks'!$C$3:$C$560,'04_ccass_unlocks'!$A$3:$A$560,$A156),"")</f>
        <v>45988</v>
      </c>
      <c r="D156" s="50">
        <f>IFERROR(SUMPRODUCT(('04_ccass_unlocks'!$A$3:$A$560=$A156)*('04_ccass_unlocks'!$C$3:$C$560=$C156)*'04_ccass_unlocks'!$E$3:$E$560),"")</f>
        <v>29.804200000000002</v>
      </c>
      <c r="E156" s="50">
        <f>IFERROR(_xlfn.MAXIFS('04_ccass_unlocks'!$E$3:$E$560,'04_ccass_unlocks'!$A$3:$A$560,$A156),"")</f>
        <v>29.804200000000002</v>
      </c>
      <c r="F156" s="40">
        <f>IFERROR(SUMPRODUCT(('04_ccass_unlocks'!$A$3:$A$560=$A156)*('04_ccass_unlocks'!$E$3:$E$560=$E156)*'04_ccass_unlocks'!$C$3:$C$560),"")</f>
        <v>45988</v>
      </c>
      <c r="G156">
        <f>COUNTIF('04_ccass_unlocks'!$A$3:$A$560,$A156)</f>
        <v>1</v>
      </c>
      <c r="H156" s="80">
        <f>SUMIFS('04_ccass_unlocks'!$D$3:$D$560,'04_ccass_unlocks'!$A$3:$A$560,$A156)</f>
        <v>2024</v>
      </c>
      <c r="I156" s="65">
        <f>SUMIFS('04_ccass_unlocks'!$F$3:$F$560,'04_ccass_unlocks'!$A$3:$A$560,$A156)</f>
        <v>24692.799999999999</v>
      </c>
      <c r="J156" s="40">
        <f>IFERROR(_xlfn.MAXIFS('04_ccass_unlocks'!$C$3:$C$560,'04_ccass_unlocks'!$A$3:$A$560,$A156),"")</f>
        <v>45988</v>
      </c>
      <c r="K156" t="s">
        <v>2311</v>
      </c>
    </row>
    <row r="157" spans="1:11">
      <c r="A157" t="s">
        <v>923</v>
      </c>
      <c r="B157" t="s">
        <v>924</v>
      </c>
      <c r="C157" s="40">
        <f>IFERROR(_xlfn.MINIFS('04_ccass_unlocks'!$C$3:$C$560,'04_ccass_unlocks'!$A$3:$A$560,$A157),"")</f>
        <v>46001</v>
      </c>
      <c r="D157" s="50">
        <f>IFERROR(SUMPRODUCT(('04_ccass_unlocks'!$A$3:$A$560=$A157)*('04_ccass_unlocks'!$C$3:$C$560=$C157)*'04_ccass_unlocks'!$E$3:$E$560),"")</f>
        <v>51.1526</v>
      </c>
      <c r="E157" s="50">
        <f>IFERROR(_xlfn.MAXIFS('04_ccass_unlocks'!$E$3:$E$560,'04_ccass_unlocks'!$A$3:$A$560,$A157),"")</f>
        <v>51.1526</v>
      </c>
      <c r="F157" s="40">
        <f>IFERROR(SUMPRODUCT(('04_ccass_unlocks'!$A$3:$A$560=$A157)*('04_ccass_unlocks'!$E$3:$E$560=$E157)*'04_ccass_unlocks'!$C$3:$C$560),"")</f>
        <v>46001</v>
      </c>
      <c r="G157">
        <f>COUNTIF('04_ccass_unlocks'!$A$3:$A$560,$A157)</f>
        <v>1</v>
      </c>
      <c r="H157" s="80">
        <f>SUMIFS('04_ccass_unlocks'!$D$3:$D$560,'04_ccass_unlocks'!$A$3:$A$560,$A157)</f>
        <v>7891.6468000000004</v>
      </c>
      <c r="I157" s="65">
        <f>SUMIFS('04_ccass_unlocks'!$F$3:$F$560,'04_ccass_unlocks'!$A$3:$A$560,$A157)</f>
        <v>23911.689804000001</v>
      </c>
      <c r="J157" s="40">
        <f>IFERROR(_xlfn.MAXIFS('04_ccass_unlocks'!$C$3:$C$560,'04_ccass_unlocks'!$A$3:$A$560,$A157),"")</f>
        <v>46001</v>
      </c>
      <c r="K157" t="s">
        <v>2308</v>
      </c>
    </row>
    <row r="158" spans="1:11">
      <c r="A158" t="s">
        <v>622</v>
      </c>
      <c r="B158" t="s">
        <v>623</v>
      </c>
      <c r="C158" s="40">
        <f>IFERROR(_xlfn.MINIFS('04_ccass_unlocks'!$C$3:$C$560,'04_ccass_unlocks'!$A$3:$A$560,$A158),"")</f>
        <v>46015</v>
      </c>
      <c r="D158" s="50">
        <f>IFERROR(SUMPRODUCT(('04_ccass_unlocks'!$A$3:$A$560=$A158)*('04_ccass_unlocks'!$C$3:$C$560=$C158)*'04_ccass_unlocks'!$E$3:$E$560),"")</f>
        <v>2.6787000000000001</v>
      </c>
      <c r="E158" s="50">
        <f>IFERROR(_xlfn.MAXIFS('04_ccass_unlocks'!$E$3:$E$560,'04_ccass_unlocks'!$A$3:$A$560,$A158),"")</f>
        <v>25.204699999999999</v>
      </c>
      <c r="F158" s="40">
        <f>IFERROR(SUMPRODUCT(('04_ccass_unlocks'!$A$3:$A$560=$A158)*('04_ccass_unlocks'!$E$3:$E$560=$E158)*'04_ccass_unlocks'!$C$3:$C$560),"")</f>
        <v>46105</v>
      </c>
      <c r="G158">
        <f>COUNTIF('04_ccass_unlocks'!$A$3:$A$560,$A158)</f>
        <v>2</v>
      </c>
      <c r="H158" s="80">
        <f>SUMIFS('04_ccass_unlocks'!$D$3:$D$560,'04_ccass_unlocks'!$A$3:$A$560,$A158)</f>
        <v>36763.336900000002</v>
      </c>
      <c r="I158" s="65">
        <f>SUMIFS('04_ccass_unlocks'!$F$3:$F$560,'04_ccass_unlocks'!$A$3:$A$560,$A158)</f>
        <v>119371.609035</v>
      </c>
      <c r="J158" s="40">
        <f>IFERROR(_xlfn.MAXIFS('04_ccass_unlocks'!$C$3:$C$560,'04_ccass_unlocks'!$A$3:$A$560,$A158),"")</f>
        <v>46105</v>
      </c>
      <c r="K158" t="s">
        <v>2292</v>
      </c>
    </row>
    <row r="159" spans="1:11">
      <c r="A159" t="s">
        <v>411</v>
      </c>
      <c r="B159" t="s">
        <v>412</v>
      </c>
      <c r="C159" s="40">
        <f>IFERROR(_xlfn.MINIFS('04_ccass_unlocks'!$C$3:$C$560,'04_ccass_unlocks'!$A$3:$A$560,$A159),"")</f>
        <v>45925</v>
      </c>
      <c r="D159" s="50">
        <f>IFERROR(SUMPRODUCT(('04_ccass_unlocks'!$A$3:$A$560=$A159)*('04_ccass_unlocks'!$C$3:$C$560=$C159)*'04_ccass_unlocks'!$E$3:$E$560),"")</f>
        <v>5.9610000000000003</v>
      </c>
      <c r="E159" s="50">
        <f>IFERROR(_xlfn.MAXIFS('04_ccass_unlocks'!$E$3:$E$560,'04_ccass_unlocks'!$A$3:$A$560,$A159),"")</f>
        <v>80.5886</v>
      </c>
      <c r="F159" s="40">
        <f>IFERROR(SUMPRODUCT(('04_ccass_unlocks'!$A$3:$A$560=$A159)*('04_ccass_unlocks'!$E$3:$E$560=$E159)*'04_ccass_unlocks'!$C$3:$C$560),"")</f>
        <v>46106</v>
      </c>
      <c r="G159">
        <f>COUNTIF('04_ccass_unlocks'!$A$3:$A$560,$A159)</f>
        <v>3</v>
      </c>
      <c r="H159" s="80">
        <f>SUMIFS('04_ccass_unlocks'!$D$3:$D$560,'04_ccass_unlocks'!$A$3:$A$560,$A159)</f>
        <v>56613.63</v>
      </c>
      <c r="I159" s="65">
        <f>SUMIFS('04_ccass_unlocks'!$F$3:$F$560,'04_ccass_unlocks'!$A$3:$A$560,$A159)</f>
        <v>3144717.3835999998</v>
      </c>
      <c r="J159" s="40">
        <f>IFERROR(_xlfn.MAXIFS('04_ccass_unlocks'!$C$3:$C$560,'04_ccass_unlocks'!$A$3:$A$560,$A159),"")</f>
        <v>46142</v>
      </c>
      <c r="K159" t="s">
        <v>2307</v>
      </c>
    </row>
    <row r="160" spans="1:11">
      <c r="A160" t="s">
        <v>773</v>
      </c>
      <c r="B160" t="s">
        <v>774</v>
      </c>
      <c r="C160" s="40">
        <f>IFERROR(_xlfn.MINIFS('04_ccass_unlocks'!$C$3:$C$560,'04_ccass_unlocks'!$A$3:$A$560,$A160),"")</f>
        <v>45847</v>
      </c>
      <c r="D160" s="50">
        <f>IFERROR(SUMPRODUCT(('04_ccass_unlocks'!$A$3:$A$560=$A160)*('04_ccass_unlocks'!$C$3:$C$560=$C160)*'04_ccass_unlocks'!$E$3:$E$560),"")</f>
        <v>24.43</v>
      </c>
      <c r="E160" s="50">
        <f>IFERROR(_xlfn.MAXIFS('04_ccass_unlocks'!$E$3:$E$560,'04_ccass_unlocks'!$A$3:$A$560,$A160),"")</f>
        <v>24.43</v>
      </c>
      <c r="F160" s="40">
        <f>IFERROR(SUMPRODUCT(('04_ccass_unlocks'!$A$3:$A$560=$A160)*('04_ccass_unlocks'!$E$3:$E$560=$E160)*'04_ccass_unlocks'!$C$3:$C$560),"")</f>
        <v>45847</v>
      </c>
      <c r="G160">
        <f>COUNTIF('04_ccass_unlocks'!$A$3:$A$560,$A160)</f>
        <v>1</v>
      </c>
      <c r="H160" s="80">
        <f>SUMIFS('04_ccass_unlocks'!$D$3:$D$560,'04_ccass_unlocks'!$A$3:$A$560,$A160)</f>
        <v>244.3</v>
      </c>
      <c r="I160" s="65">
        <f>SUMIFS('04_ccass_unlocks'!$F$3:$F$560,'04_ccass_unlocks'!$A$3:$A$560,$A160)</f>
        <v>5802.125</v>
      </c>
      <c r="J160" s="40">
        <f>IFERROR(_xlfn.MAXIFS('04_ccass_unlocks'!$C$3:$C$560,'04_ccass_unlocks'!$A$3:$A$560,$A160),"")</f>
        <v>45847</v>
      </c>
      <c r="K160" t="s">
        <v>2297</v>
      </c>
    </row>
    <row r="161" spans="1:11">
      <c r="A161" t="s">
        <v>1014</v>
      </c>
      <c r="B161" t="s">
        <v>1015</v>
      </c>
      <c r="C161" s="40">
        <f>IFERROR(_xlfn.MINIFS('04_ccass_unlocks'!$C$3:$C$560,'04_ccass_unlocks'!$A$3:$A$560,$A161),"")</f>
        <v>46014</v>
      </c>
      <c r="D161" s="50">
        <f>IFERROR(SUMPRODUCT(('04_ccass_unlocks'!$A$3:$A$560=$A161)*('04_ccass_unlocks'!$C$3:$C$560=$C161)*'04_ccass_unlocks'!$E$3:$E$560),"")</f>
        <v>2.4626000000000001</v>
      </c>
      <c r="E161" s="50">
        <f>IFERROR(_xlfn.MAXIFS('04_ccass_unlocks'!$E$3:$E$560,'04_ccass_unlocks'!$A$3:$A$560,$A161),"")</f>
        <v>2.4626000000000001</v>
      </c>
      <c r="F161" s="40">
        <f>IFERROR(SUMPRODUCT(('04_ccass_unlocks'!$A$3:$A$560=$A161)*('04_ccass_unlocks'!$E$3:$E$560=$E161)*'04_ccass_unlocks'!$C$3:$C$560),"")</f>
        <v>46014</v>
      </c>
      <c r="G161">
        <f>COUNTIF('04_ccass_unlocks'!$A$3:$A$560,$A161)</f>
        <v>1</v>
      </c>
      <c r="H161" s="80">
        <f>SUMIFS('04_ccass_unlocks'!$D$3:$D$560,'04_ccass_unlocks'!$A$3:$A$560,$A161)</f>
        <v>977.4</v>
      </c>
      <c r="I161" s="65">
        <f>SUMIFS('04_ccass_unlocks'!$F$3:$F$560,'04_ccass_unlocks'!$A$3:$A$560,$A161)</f>
        <v>135076.68</v>
      </c>
      <c r="J161" s="40">
        <f>IFERROR(_xlfn.MAXIFS('04_ccass_unlocks'!$C$3:$C$560,'04_ccass_unlocks'!$A$3:$A$560,$A161),"")</f>
        <v>46014</v>
      </c>
      <c r="K161" t="s">
        <v>2296</v>
      </c>
    </row>
    <row r="162" spans="1:11">
      <c r="A162" t="s">
        <v>531</v>
      </c>
      <c r="B162" t="s">
        <v>532</v>
      </c>
      <c r="C162" s="40">
        <f>IFERROR(_xlfn.MINIFS('04_ccass_unlocks'!$C$3:$C$560,'04_ccass_unlocks'!$A$3:$A$560,$A162),"")</f>
        <v>45991</v>
      </c>
      <c r="D162" s="50">
        <f>IFERROR(SUMPRODUCT(('04_ccass_unlocks'!$A$3:$A$560=$A162)*('04_ccass_unlocks'!$C$3:$C$560=$C162)*'04_ccass_unlocks'!$E$3:$E$560),"")</f>
        <v>50.576799999999999</v>
      </c>
      <c r="E162" s="50">
        <f>IFERROR(_xlfn.MAXIFS('04_ccass_unlocks'!$E$3:$E$560,'04_ccass_unlocks'!$A$3:$A$560,$A162),"")</f>
        <v>50.576799999999999</v>
      </c>
      <c r="F162" s="40">
        <f>IFERROR(SUMPRODUCT(('04_ccass_unlocks'!$A$3:$A$560=$A162)*('04_ccass_unlocks'!$E$3:$E$560=$E162)*'04_ccass_unlocks'!$C$3:$C$560),"")</f>
        <v>45991</v>
      </c>
      <c r="G162">
        <f>COUNTIF('04_ccass_unlocks'!$A$3:$A$560,$A162)</f>
        <v>1</v>
      </c>
      <c r="H162" s="80">
        <f>SUMIFS('04_ccass_unlocks'!$D$3:$D$560,'04_ccass_unlocks'!$A$3:$A$560,$A162)</f>
        <v>11449.5</v>
      </c>
      <c r="I162" s="65">
        <f>SUMIFS('04_ccass_unlocks'!$F$3:$F$560,'04_ccass_unlocks'!$A$3:$A$560,$A162)</f>
        <v>44538.555</v>
      </c>
      <c r="J162" s="40">
        <f>IFERROR(_xlfn.MAXIFS('04_ccass_unlocks'!$C$3:$C$560,'04_ccass_unlocks'!$A$3:$A$560,$A162),"")</f>
        <v>45991</v>
      </c>
      <c r="K162" t="s">
        <v>2317</v>
      </c>
    </row>
    <row r="163" spans="1:11">
      <c r="A163" t="s">
        <v>564</v>
      </c>
      <c r="B163" t="s">
        <v>565</v>
      </c>
      <c r="C163" s="40">
        <f>IFERROR(_xlfn.MINIFS('04_ccass_unlocks'!$C$3:$C$560,'04_ccass_unlocks'!$A$3:$A$560,$A163),"")</f>
        <v>45931</v>
      </c>
      <c r="D163" s="50">
        <f>IFERROR(SUMPRODUCT(('04_ccass_unlocks'!$A$3:$A$560=$A163)*('04_ccass_unlocks'!$C$3:$C$560=$C163)*'04_ccass_unlocks'!$E$3:$E$560),"")</f>
        <v>7.2084999999999999</v>
      </c>
      <c r="E163" s="50">
        <f>IFERROR(_xlfn.MAXIFS('04_ccass_unlocks'!$E$3:$E$560,'04_ccass_unlocks'!$A$3:$A$560,$A163),"")</f>
        <v>68.191000000000003</v>
      </c>
      <c r="F163" s="40">
        <f>IFERROR(SUMPRODUCT(('04_ccass_unlocks'!$A$3:$A$560=$A163)*('04_ccass_unlocks'!$E$3:$E$560=$E163)*'04_ccass_unlocks'!$C$3:$C$560),"")</f>
        <v>46112</v>
      </c>
      <c r="G163">
        <f>COUNTIF('04_ccass_unlocks'!$A$3:$A$560,$A163)</f>
        <v>2</v>
      </c>
      <c r="H163" s="80">
        <f>SUMIFS('04_ccass_unlocks'!$D$3:$D$560,'04_ccass_unlocks'!$A$3:$A$560,$A163)</f>
        <v>17612.891</v>
      </c>
      <c r="I163" s="65">
        <f>SUMIFS('04_ccass_unlocks'!$F$3:$F$560,'04_ccass_unlocks'!$A$3:$A$560,$A163)</f>
        <v>87665.192080000008</v>
      </c>
      <c r="J163" s="40">
        <f>IFERROR(_xlfn.MAXIFS('04_ccass_unlocks'!$C$3:$C$560,'04_ccass_unlocks'!$A$3:$A$560,$A163),"")</f>
        <v>46112</v>
      </c>
      <c r="K163" t="s">
        <v>2312</v>
      </c>
    </row>
    <row r="164" spans="1:11">
      <c r="A164" t="s">
        <v>980</v>
      </c>
      <c r="B164" t="s">
        <v>981</v>
      </c>
      <c r="C164" s="40">
        <f>IFERROR(_xlfn.MINIFS('04_ccass_unlocks'!$C$3:$C$560,'04_ccass_unlocks'!$A$3:$A$560,$A164),"")</f>
        <v>46064</v>
      </c>
      <c r="D164" s="50">
        <f>IFERROR(SUMPRODUCT(('04_ccass_unlocks'!$A$3:$A$560=$A164)*('04_ccass_unlocks'!$C$3:$C$560=$C164)*'04_ccass_unlocks'!$E$3:$E$560),"")</f>
        <v>1.9903</v>
      </c>
      <c r="E164" s="50">
        <f>IFERROR(_xlfn.MAXIFS('04_ccass_unlocks'!$E$3:$E$560,'04_ccass_unlocks'!$A$3:$A$560,$A164),"")</f>
        <v>1.9903</v>
      </c>
      <c r="F164" s="40">
        <f>IFERROR(SUMPRODUCT(('04_ccass_unlocks'!$A$3:$A$560=$A164)*('04_ccass_unlocks'!$E$3:$E$560=$E164)*'04_ccass_unlocks'!$C$3:$C$560),"")</f>
        <v>46064</v>
      </c>
      <c r="G164">
        <f>COUNTIF('04_ccass_unlocks'!$A$3:$A$560,$A164)</f>
        <v>1</v>
      </c>
      <c r="H164" s="80">
        <f>SUMIFS('04_ccass_unlocks'!$D$3:$D$560,'04_ccass_unlocks'!$A$3:$A$560,$A164)</f>
        <v>783.06</v>
      </c>
      <c r="I164" s="65">
        <f>SUMIFS('04_ccass_unlocks'!$F$3:$F$560,'04_ccass_unlocks'!$A$3:$A$560,$A164)</f>
        <v>38792.792399999998</v>
      </c>
      <c r="J164" s="40">
        <f>IFERROR(_xlfn.MAXIFS('04_ccass_unlocks'!$C$3:$C$560,'04_ccass_unlocks'!$A$3:$A$560,$A164),"")</f>
        <v>46064</v>
      </c>
      <c r="K164" t="s">
        <v>2296</v>
      </c>
    </row>
    <row r="165" spans="1:11">
      <c r="A165" t="s">
        <v>931</v>
      </c>
      <c r="B165" t="s">
        <v>932</v>
      </c>
      <c r="C165" s="40">
        <f>IFERROR(_xlfn.MINIFS('04_ccass_unlocks'!$C$3:$C$560,'04_ccass_unlocks'!$A$3:$A$560,$A165),"")</f>
        <v>46077</v>
      </c>
      <c r="D165" s="50">
        <f>IFERROR(SUMPRODUCT(('04_ccass_unlocks'!$A$3:$A$560=$A165)*('04_ccass_unlocks'!$C$3:$C$560=$C165)*'04_ccass_unlocks'!$E$3:$E$560),"")</f>
        <v>54.796300000000002</v>
      </c>
      <c r="E165" s="50">
        <f>IFERROR(_xlfn.MAXIFS('04_ccass_unlocks'!$E$3:$E$560,'04_ccass_unlocks'!$A$3:$A$560,$A165),"")</f>
        <v>54.796300000000002</v>
      </c>
      <c r="F165" s="40">
        <f>IFERROR(SUMPRODUCT(('04_ccass_unlocks'!$A$3:$A$560=$A165)*('04_ccass_unlocks'!$E$3:$E$560=$E165)*'04_ccass_unlocks'!$C$3:$C$560),"")</f>
        <v>46077</v>
      </c>
      <c r="G165">
        <f>COUNTIF('04_ccass_unlocks'!$A$3:$A$560,$A165)</f>
        <v>1</v>
      </c>
      <c r="H165" s="80">
        <f>SUMIFS('04_ccass_unlocks'!$D$3:$D$560,'04_ccass_unlocks'!$A$3:$A$560,$A165)</f>
        <v>16341.9038</v>
      </c>
      <c r="I165" s="65">
        <f>SUMIFS('04_ccass_unlocks'!$F$3:$F$560,'04_ccass_unlocks'!$A$3:$A$560,$A165)</f>
        <v>294154.2684</v>
      </c>
      <c r="J165" s="40">
        <f>IFERROR(_xlfn.MAXIFS('04_ccass_unlocks'!$C$3:$C$560,'04_ccass_unlocks'!$A$3:$A$560,$A165),"")</f>
        <v>46077</v>
      </c>
      <c r="K165" t="s">
        <v>2296</v>
      </c>
    </row>
    <row r="166" spans="1:11">
      <c r="A166" t="s">
        <v>585</v>
      </c>
      <c r="B166" t="s">
        <v>586</v>
      </c>
      <c r="C166" s="40">
        <f>IFERROR(_xlfn.MINIFS('04_ccass_unlocks'!$C$3:$C$560,'04_ccass_unlocks'!$A$3:$A$560,$A166),"")</f>
        <v>46073</v>
      </c>
      <c r="D166" s="50">
        <f>IFERROR(SUMPRODUCT(('04_ccass_unlocks'!$A$3:$A$560=$A166)*('04_ccass_unlocks'!$C$3:$C$560=$C166)*'04_ccass_unlocks'!$E$3:$E$560),"")</f>
        <v>31.498799999999999</v>
      </c>
      <c r="E166" s="50">
        <f>IFERROR(_xlfn.MAXIFS('04_ccass_unlocks'!$E$3:$E$560,'04_ccass_unlocks'!$A$3:$A$560,$A166),"")</f>
        <v>31.498799999999999</v>
      </c>
      <c r="F166" s="40">
        <f>IFERROR(SUMPRODUCT(('04_ccass_unlocks'!$A$3:$A$560=$A166)*('04_ccass_unlocks'!$E$3:$E$560=$E166)*'04_ccass_unlocks'!$C$3:$C$560),"")</f>
        <v>46073</v>
      </c>
      <c r="G166">
        <f>COUNTIF('04_ccass_unlocks'!$A$3:$A$560,$A166)</f>
        <v>1</v>
      </c>
      <c r="H166" s="80">
        <f>SUMIFS('04_ccass_unlocks'!$D$3:$D$560,'04_ccass_unlocks'!$A$3:$A$560,$A166)</f>
        <v>1729.52</v>
      </c>
      <c r="I166" s="65">
        <f>SUMIFS('04_ccass_unlocks'!$F$3:$F$560,'04_ccass_unlocks'!$A$3:$A$560,$A166)</f>
        <v>98582.64</v>
      </c>
      <c r="J166" s="40">
        <f>IFERROR(_xlfn.MAXIFS('04_ccass_unlocks'!$C$3:$C$560,'04_ccass_unlocks'!$A$3:$A$560,$A166),"")</f>
        <v>46073</v>
      </c>
      <c r="K166" t="s">
        <v>2295</v>
      </c>
    </row>
    <row r="167" spans="1:11">
      <c r="A167" t="s">
        <v>862</v>
      </c>
      <c r="B167" t="s">
        <v>863</v>
      </c>
      <c r="C167" s="40">
        <f>IFERROR(_xlfn.MINIFS('04_ccass_unlocks'!$C$3:$C$560,'04_ccass_unlocks'!$A$3:$A$560,$A167),"")</f>
        <v>46132</v>
      </c>
      <c r="D167" s="50">
        <f>IFERROR(SUMPRODUCT(('04_ccass_unlocks'!$A$3:$A$560=$A167)*('04_ccass_unlocks'!$C$3:$C$560=$C167)*'04_ccass_unlocks'!$E$3:$E$560),"")</f>
        <v>2.5177999999999998</v>
      </c>
      <c r="E167" s="50">
        <f>IFERROR(_xlfn.MAXIFS('04_ccass_unlocks'!$E$3:$E$560,'04_ccass_unlocks'!$A$3:$A$560,$A167),"")</f>
        <v>2.5177999999999998</v>
      </c>
      <c r="F167" s="40">
        <f>IFERROR(SUMPRODUCT(('04_ccass_unlocks'!$A$3:$A$560=$A167)*('04_ccass_unlocks'!$E$3:$E$560=$E167)*'04_ccass_unlocks'!$C$3:$C$560),"")</f>
        <v>46132</v>
      </c>
      <c r="G167">
        <f>COUNTIF('04_ccass_unlocks'!$A$3:$A$560,$A167)</f>
        <v>1</v>
      </c>
      <c r="H167" s="80">
        <f>SUMIFS('04_ccass_unlocks'!$D$3:$D$560,'04_ccass_unlocks'!$A$3:$A$560,$A167)</f>
        <v>198.17</v>
      </c>
      <c r="I167" s="65">
        <f>SUMIFS('04_ccass_unlocks'!$F$3:$F$560,'04_ccass_unlocks'!$A$3:$A$560,$A167)</f>
        <v>37652.300000000003</v>
      </c>
      <c r="J167" s="40">
        <f>IFERROR(_xlfn.MAXIFS('04_ccass_unlocks'!$C$3:$C$560,'04_ccass_unlocks'!$A$3:$A$560,$A167),"")</f>
        <v>46132</v>
      </c>
      <c r="K167" t="s">
        <v>2296</v>
      </c>
    </row>
    <row r="168" spans="1:11">
      <c r="A168" t="s">
        <v>344</v>
      </c>
      <c r="B168" t="s">
        <v>345</v>
      </c>
      <c r="C168" s="40">
        <f>IFERROR(_xlfn.MINIFS('04_ccass_unlocks'!$C$3:$C$560,'04_ccass_unlocks'!$A$3:$A$560,$A168),"")</f>
        <v>46016</v>
      </c>
      <c r="D168" s="50">
        <f>IFERROR(SUMPRODUCT(('04_ccass_unlocks'!$A$3:$A$560=$A168)*('04_ccass_unlocks'!$C$3:$C$560=$C168)*'04_ccass_unlocks'!$E$3:$E$560),"")</f>
        <v>18.965900000000001</v>
      </c>
      <c r="E168" s="50">
        <f>IFERROR(_xlfn.MAXIFS('04_ccass_unlocks'!$E$3:$E$560,'04_ccass_unlocks'!$A$3:$A$560,$A168),"")</f>
        <v>18.965900000000001</v>
      </c>
      <c r="F168" s="40">
        <f>IFERROR(SUMPRODUCT(('04_ccass_unlocks'!$A$3:$A$560=$A168)*('04_ccass_unlocks'!$E$3:$E$560=$E168)*'04_ccass_unlocks'!$C$3:$C$560),"")</f>
        <v>46016</v>
      </c>
      <c r="G168">
        <f>COUNTIF('04_ccass_unlocks'!$A$3:$A$560,$A168)</f>
        <v>1</v>
      </c>
      <c r="H168" s="80">
        <f>SUMIFS('04_ccass_unlocks'!$D$3:$D$560,'04_ccass_unlocks'!$A$3:$A$560,$A168)</f>
        <v>10329.64</v>
      </c>
      <c r="I168" s="65">
        <f>SUMIFS('04_ccass_unlocks'!$F$3:$F$560,'04_ccass_unlocks'!$A$3:$A$560,$A168)</f>
        <v>301625.48800000001</v>
      </c>
      <c r="J168" s="40">
        <f>IFERROR(_xlfn.MAXIFS('04_ccass_unlocks'!$C$3:$C$560,'04_ccass_unlocks'!$A$3:$A$560,$A168),"")</f>
        <v>46016</v>
      </c>
      <c r="K168" t="s">
        <v>2309</v>
      </c>
    </row>
    <row r="169" spans="1:11">
      <c r="A169" t="s">
        <v>322</v>
      </c>
      <c r="B169" t="s">
        <v>323</v>
      </c>
      <c r="C169" s="40">
        <f>IFERROR(_xlfn.MINIFS('04_ccass_unlocks'!$C$3:$C$560,'04_ccass_unlocks'!$A$3:$A$560,$A169),"")</f>
        <v>46026</v>
      </c>
      <c r="D169" s="50">
        <f>IFERROR(SUMPRODUCT(('04_ccass_unlocks'!$A$3:$A$560=$A169)*('04_ccass_unlocks'!$C$3:$C$560=$C169)*'04_ccass_unlocks'!$E$3:$E$560),"")</f>
        <v>29.438400000000001</v>
      </c>
      <c r="E169" s="50">
        <f>IFERROR(_xlfn.MAXIFS('04_ccass_unlocks'!$E$3:$E$560,'04_ccass_unlocks'!$A$3:$A$560,$A169),"")</f>
        <v>29.438400000000001</v>
      </c>
      <c r="F169" s="40">
        <f>IFERROR(SUMPRODUCT(('04_ccass_unlocks'!$A$3:$A$560=$A169)*('04_ccass_unlocks'!$E$3:$E$560=$E169)*'04_ccass_unlocks'!$C$3:$C$560),"")</f>
        <v>46026</v>
      </c>
      <c r="G169">
        <f>COUNTIF('04_ccass_unlocks'!$A$3:$A$560,$A169)</f>
        <v>1</v>
      </c>
      <c r="H169" s="80">
        <f>SUMIFS('04_ccass_unlocks'!$D$3:$D$560,'04_ccass_unlocks'!$A$3:$A$560,$A169)</f>
        <v>1177.3800000000001</v>
      </c>
      <c r="I169" s="65">
        <f>SUMIFS('04_ccass_unlocks'!$F$3:$F$560,'04_ccass_unlocks'!$A$3:$A$560,$A169)</f>
        <v>79237.673999999999</v>
      </c>
      <c r="J169" s="40">
        <f>IFERROR(_xlfn.MAXIFS('04_ccass_unlocks'!$C$3:$C$560,'04_ccass_unlocks'!$A$3:$A$560,$A169),"")</f>
        <v>46026</v>
      </c>
      <c r="K169" t="s">
        <v>2304</v>
      </c>
    </row>
    <row r="170" spans="1:11">
      <c r="A170" t="s">
        <v>301</v>
      </c>
      <c r="B170" t="s">
        <v>302</v>
      </c>
      <c r="C170" s="40">
        <f>IFERROR(_xlfn.MINIFS('04_ccass_unlocks'!$C$3:$C$560,'04_ccass_unlocks'!$A$3:$A$560,$A170),"")</f>
        <v>45969</v>
      </c>
      <c r="D170" s="50">
        <f>IFERROR(SUMPRODUCT(('04_ccass_unlocks'!$A$3:$A$560=$A170)*('04_ccass_unlocks'!$C$3:$C$560=$C170)*'04_ccass_unlocks'!$E$3:$E$560),"")</f>
        <v>34.82</v>
      </c>
      <c r="E170" s="50">
        <f>IFERROR(_xlfn.MAXIFS('04_ccass_unlocks'!$E$3:$E$560,'04_ccass_unlocks'!$A$3:$A$560,$A170),"")</f>
        <v>34.82</v>
      </c>
      <c r="F170" s="40">
        <f>IFERROR(SUMPRODUCT(('04_ccass_unlocks'!$A$3:$A$560=$A170)*('04_ccass_unlocks'!$E$3:$E$560=$E170)*'04_ccass_unlocks'!$C$3:$C$560),"")</f>
        <v>45969</v>
      </c>
      <c r="G170">
        <f>COUNTIF('04_ccass_unlocks'!$A$3:$A$560,$A170)</f>
        <v>1</v>
      </c>
      <c r="H170" s="80">
        <f>SUMIFS('04_ccass_unlocks'!$D$3:$D$560,'04_ccass_unlocks'!$A$3:$A$560,$A170)</f>
        <v>2208.71</v>
      </c>
      <c r="I170" s="65">
        <f>SUMIFS('04_ccass_unlocks'!$F$3:$F$560,'04_ccass_unlocks'!$A$3:$A$560,$A170)</f>
        <v>42031.751300000004</v>
      </c>
      <c r="J170" s="40">
        <f>IFERROR(_xlfn.MAXIFS('04_ccass_unlocks'!$C$3:$C$560,'04_ccass_unlocks'!$A$3:$A$560,$A170),"")</f>
        <v>45969</v>
      </c>
      <c r="K170" t="s">
        <v>2297</v>
      </c>
    </row>
    <row r="171" spans="1:11">
      <c r="A171" t="s">
        <v>472</v>
      </c>
      <c r="B171" t="s">
        <v>473</v>
      </c>
      <c r="C171" s="40">
        <f>IFERROR(_xlfn.MINIFS('04_ccass_unlocks'!$C$3:$C$560,'04_ccass_unlocks'!$A$3:$A$560,$A171),"")</f>
        <v>45826</v>
      </c>
      <c r="D171" s="50">
        <f>IFERROR(SUMPRODUCT(('04_ccass_unlocks'!$A$3:$A$560=$A171)*('04_ccass_unlocks'!$C$3:$C$560=$C171)*'04_ccass_unlocks'!$E$3:$E$560),"")</f>
        <v>53.752200000000002</v>
      </c>
      <c r="E171" s="50">
        <f>IFERROR(_xlfn.MAXIFS('04_ccass_unlocks'!$E$3:$E$560,'04_ccass_unlocks'!$A$3:$A$560,$A171),"")</f>
        <v>53.752200000000002</v>
      </c>
      <c r="F171" s="40">
        <f>IFERROR(SUMPRODUCT(('04_ccass_unlocks'!$A$3:$A$560=$A171)*('04_ccass_unlocks'!$E$3:$E$560=$E171)*'04_ccass_unlocks'!$C$3:$C$560),"")</f>
        <v>45826</v>
      </c>
      <c r="G171">
        <f>COUNTIF('04_ccass_unlocks'!$A$3:$A$560,$A171)</f>
        <v>1</v>
      </c>
      <c r="H171" s="80">
        <f>SUMIFS('04_ccass_unlocks'!$D$3:$D$560,'04_ccass_unlocks'!$A$3:$A$560,$A171)</f>
        <v>5015.0842000000002</v>
      </c>
      <c r="I171" s="65">
        <f>SUMIFS('04_ccass_unlocks'!$F$3:$F$560,'04_ccass_unlocks'!$A$3:$A$560,$A171)</f>
        <v>34303.175927999997</v>
      </c>
      <c r="J171" s="40">
        <f>IFERROR(_xlfn.MAXIFS('04_ccass_unlocks'!$C$3:$C$560,'04_ccass_unlocks'!$A$3:$A$560,$A171),"")</f>
        <v>45826</v>
      </c>
      <c r="K171" t="s">
        <v>2303</v>
      </c>
    </row>
    <row r="172" spans="1:11">
      <c r="A172" t="s">
        <v>550</v>
      </c>
      <c r="B172" t="s">
        <v>551</v>
      </c>
      <c r="C172" s="40">
        <f>IFERROR(_xlfn.MINIFS('04_ccass_unlocks'!$C$3:$C$560,'04_ccass_unlocks'!$A$3:$A$560,$A172),"")</f>
        <v>46112</v>
      </c>
      <c r="D172" s="50">
        <f>IFERROR(SUMPRODUCT(('04_ccass_unlocks'!$A$3:$A$560=$A172)*('04_ccass_unlocks'!$C$3:$C$560=$C172)*'04_ccass_unlocks'!$E$3:$E$560),"")</f>
        <v>0.25369999999999998</v>
      </c>
      <c r="E172" s="50">
        <f>IFERROR(_xlfn.MAXIFS('04_ccass_unlocks'!$E$3:$E$560,'04_ccass_unlocks'!$A$3:$A$560,$A172),"")</f>
        <v>0.25369999999999998</v>
      </c>
      <c r="F172" s="40">
        <f>IFERROR(SUMPRODUCT(('04_ccass_unlocks'!$A$3:$A$560=$A172)*('04_ccass_unlocks'!$E$3:$E$560=$E172)*'04_ccass_unlocks'!$C$3:$C$560),"")</f>
        <v>46112</v>
      </c>
      <c r="G172">
        <f>COUNTIF('04_ccass_unlocks'!$A$3:$A$560,$A172)</f>
        <v>1</v>
      </c>
      <c r="H172" s="80">
        <f>SUMIFS('04_ccass_unlocks'!$D$3:$D$560,'04_ccass_unlocks'!$A$3:$A$560,$A172)</f>
        <v>38.049999999999997</v>
      </c>
      <c r="I172" s="65">
        <f>SUMIFS('04_ccass_unlocks'!$F$3:$F$560,'04_ccass_unlocks'!$A$3:$A$560,$A172)</f>
        <v>4585.0249999999996</v>
      </c>
      <c r="J172" s="40">
        <f>IFERROR(_xlfn.MAXIFS('04_ccass_unlocks'!$C$3:$C$560,'04_ccass_unlocks'!$A$3:$A$560,$A172),"")</f>
        <v>46112</v>
      </c>
      <c r="K172" t="s">
        <v>2300</v>
      </c>
    </row>
    <row r="173" spans="1:11">
      <c r="A173" t="s">
        <v>1020</v>
      </c>
      <c r="B173" t="s">
        <v>1021</v>
      </c>
      <c r="C173" s="40">
        <f>IFERROR(_xlfn.MINIFS('04_ccass_unlocks'!$C$3:$C$560,'04_ccass_unlocks'!$A$3:$A$560,$A173),"")</f>
        <v>45620</v>
      </c>
      <c r="D173" s="50">
        <f>IFERROR(SUMPRODUCT(('04_ccass_unlocks'!$A$3:$A$560=$A173)*('04_ccass_unlocks'!$C$3:$C$560=$C173)*'04_ccass_unlocks'!$E$3:$E$560),"")</f>
        <v>13.1465</v>
      </c>
      <c r="E173" s="50">
        <f>IFERROR(_xlfn.MAXIFS('04_ccass_unlocks'!$E$3:$E$560,'04_ccass_unlocks'!$A$3:$A$560,$A173),"")</f>
        <v>63.829700000000003</v>
      </c>
      <c r="F173" s="40">
        <f>IFERROR(SUMPRODUCT(('04_ccass_unlocks'!$A$3:$A$560=$A173)*('04_ccass_unlocks'!$E$3:$E$560=$E173)*'04_ccass_unlocks'!$C$3:$C$560),"")</f>
        <v>45801</v>
      </c>
      <c r="G173">
        <f>COUNTIF('04_ccass_unlocks'!$A$3:$A$560,$A173)</f>
        <v>2</v>
      </c>
      <c r="H173" s="80">
        <f>SUMIFS('04_ccass_unlocks'!$D$3:$D$560,'04_ccass_unlocks'!$A$3:$A$560,$A173)</f>
        <v>12059.619999999999</v>
      </c>
      <c r="I173" s="65">
        <f>SUMIFS('04_ccass_unlocks'!$F$3:$F$560,'04_ccass_unlocks'!$A$3:$A$560,$A173)</f>
        <v>62315.4444</v>
      </c>
      <c r="J173" s="40">
        <f>IFERROR(_xlfn.MAXIFS('04_ccass_unlocks'!$C$3:$C$560,'04_ccass_unlocks'!$A$3:$A$560,$A173),"")</f>
        <v>45801</v>
      </c>
      <c r="K173" t="s">
        <v>2296</v>
      </c>
    </row>
    <row r="174" spans="1:11">
      <c r="A174" t="s">
        <v>279</v>
      </c>
      <c r="B174" t="s">
        <v>280</v>
      </c>
      <c r="C174" s="40">
        <f>IFERROR(_xlfn.MINIFS('04_ccass_unlocks'!$C$3:$C$560,'04_ccass_unlocks'!$A$3:$A$560,$A174),"")</f>
        <v>46010</v>
      </c>
      <c r="D174" s="50">
        <f>IFERROR(SUMPRODUCT(('04_ccass_unlocks'!$A$3:$A$560=$A174)*('04_ccass_unlocks'!$C$3:$C$560=$C174)*'04_ccass_unlocks'!$E$3:$E$560),"")</f>
        <v>44.151400000000002</v>
      </c>
      <c r="E174" s="50">
        <f>IFERROR(_xlfn.MAXIFS('04_ccass_unlocks'!$E$3:$E$560,'04_ccass_unlocks'!$A$3:$A$560,$A174),"")</f>
        <v>44.151400000000002</v>
      </c>
      <c r="F174" s="40">
        <f>IFERROR(SUMPRODUCT(('04_ccass_unlocks'!$A$3:$A$560=$A174)*('04_ccass_unlocks'!$E$3:$E$560=$E174)*'04_ccass_unlocks'!$C$3:$C$560),"")</f>
        <v>46010</v>
      </c>
      <c r="G174">
        <f>COUNTIF('04_ccass_unlocks'!$A$3:$A$560,$A174)</f>
        <v>1</v>
      </c>
      <c r="H174" s="80">
        <f>SUMIFS('04_ccass_unlocks'!$D$3:$D$560,'04_ccass_unlocks'!$A$3:$A$560,$A174)</f>
        <v>12857.96</v>
      </c>
      <c r="I174" s="65">
        <f>SUMIFS('04_ccass_unlocks'!$F$3:$F$560,'04_ccass_unlocks'!$A$3:$A$560,$A174)</f>
        <v>429455.864</v>
      </c>
      <c r="J174" s="40">
        <f>IFERROR(_xlfn.MAXIFS('04_ccass_unlocks'!$C$3:$C$560,'04_ccass_unlocks'!$A$3:$A$560,$A174),"")</f>
        <v>46010</v>
      </c>
      <c r="K174" t="s">
        <v>2304</v>
      </c>
    </row>
    <row r="175" spans="1:11">
      <c r="A175" t="s">
        <v>501</v>
      </c>
      <c r="B175" t="s">
        <v>502</v>
      </c>
      <c r="C175" s="40">
        <f>IFERROR(_xlfn.MINIFS('04_ccass_unlocks'!$C$3:$C$560,'04_ccass_unlocks'!$A$3:$A$560,$A175),"")</f>
        <v>45303</v>
      </c>
      <c r="D175" s="50">
        <f>IFERROR(SUMPRODUCT(('04_ccass_unlocks'!$A$3:$A$560=$A175)*('04_ccass_unlocks'!$C$3:$C$560=$C175)*'04_ccass_unlocks'!$E$3:$E$560),"")</f>
        <v>0.2571</v>
      </c>
      <c r="E175" s="50">
        <f>IFERROR(_xlfn.MAXIFS('04_ccass_unlocks'!$E$3:$E$560,'04_ccass_unlocks'!$A$3:$A$560,$A175),"")</f>
        <v>0.2571</v>
      </c>
      <c r="F175" s="40">
        <f>IFERROR(SUMPRODUCT(('04_ccass_unlocks'!$A$3:$A$560=$A175)*('04_ccass_unlocks'!$E$3:$E$560=$E175)*'04_ccass_unlocks'!$C$3:$C$560),"")</f>
        <v>45303</v>
      </c>
      <c r="G175">
        <f>COUNTIF('04_ccass_unlocks'!$A$3:$A$560,$A175)</f>
        <v>2</v>
      </c>
      <c r="H175" s="80">
        <f>SUMIFS('04_ccass_unlocks'!$D$3:$D$560,'04_ccass_unlocks'!$A$3:$A$560,$A175)</f>
        <v>264.64999999999998</v>
      </c>
      <c r="I175" s="65">
        <f>SUMIFS('04_ccass_unlocks'!$F$3:$F$560,'04_ccass_unlocks'!$A$3:$A$560,$A175)</f>
        <v>1593.5906</v>
      </c>
      <c r="J175" s="40">
        <f>IFERROR(_xlfn.MAXIFS('04_ccass_unlocks'!$C$3:$C$560,'04_ccass_unlocks'!$A$3:$A$560,$A175),"")</f>
        <v>45485</v>
      </c>
      <c r="K175" t="s">
        <v>2309</v>
      </c>
    </row>
    <row r="176" spans="1:11">
      <c r="A176" t="s">
        <v>432</v>
      </c>
      <c r="B176" t="s">
        <v>433</v>
      </c>
      <c r="C176" s="40">
        <f>IFERROR(_xlfn.MINIFS('04_ccass_unlocks'!$C$3:$C$560,'04_ccass_unlocks'!$A$3:$A$560,$A176),"")</f>
        <v>45944</v>
      </c>
      <c r="D176" s="50">
        <f>IFERROR(SUMPRODUCT(('04_ccass_unlocks'!$A$3:$A$560=$A176)*('04_ccass_unlocks'!$C$3:$C$560=$C176)*'04_ccass_unlocks'!$E$3:$E$560),"")</f>
        <v>2.9935</v>
      </c>
      <c r="E176" s="50">
        <f>IFERROR(_xlfn.MAXIFS('04_ccass_unlocks'!$E$3:$E$560,'04_ccass_unlocks'!$A$3:$A$560,$A176),"")</f>
        <v>51.590899999999998</v>
      </c>
      <c r="F176" s="40">
        <f>IFERROR(SUMPRODUCT(('04_ccass_unlocks'!$A$3:$A$560=$A176)*('04_ccass_unlocks'!$E$3:$E$560=$E176)*'04_ccass_unlocks'!$C$3:$C$560),"")</f>
        <v>46126</v>
      </c>
      <c r="G176">
        <f>COUNTIF('04_ccass_unlocks'!$A$3:$A$560,$A176)</f>
        <v>3</v>
      </c>
      <c r="H176" s="80">
        <f>SUMIFS('04_ccass_unlocks'!$D$3:$D$560,'04_ccass_unlocks'!$A$3:$A$560,$A176)</f>
        <v>143886.1539</v>
      </c>
      <c r="I176" s="65">
        <f>SUMIFS('04_ccass_unlocks'!$F$3:$F$560,'04_ccass_unlocks'!$A$3:$A$560,$A176)</f>
        <v>1165082.598615</v>
      </c>
      <c r="J176" s="40">
        <f>IFERROR(_xlfn.MAXIFS('04_ccass_unlocks'!$C$3:$C$560,'04_ccass_unlocks'!$A$3:$A$560,$A176),"")</f>
        <v>46126</v>
      </c>
      <c r="K176" t="s">
        <v>2297</v>
      </c>
    </row>
    <row r="177" spans="1:11">
      <c r="A177" t="s">
        <v>221</v>
      </c>
      <c r="B177" t="s">
        <v>1045</v>
      </c>
      <c r="C177" s="40">
        <f>IFERROR(_xlfn.MINIFS('04_ccass_unlocks'!$C$3:$C$560,'04_ccass_unlocks'!$A$3:$A$560,$A177),"")</f>
        <v>45981</v>
      </c>
      <c r="D177" s="50">
        <f>IFERROR(SUMPRODUCT(('04_ccass_unlocks'!$A$3:$A$560=$A177)*('04_ccass_unlocks'!$C$3:$C$560=$C177)*'04_ccass_unlocks'!$E$3:$E$560),"")</f>
        <v>49.677900000000001</v>
      </c>
      <c r="E177" s="50">
        <f>IFERROR(_xlfn.MAXIFS('04_ccass_unlocks'!$E$3:$E$560,'04_ccass_unlocks'!$A$3:$A$560,$A177),"")</f>
        <v>49.677900000000001</v>
      </c>
      <c r="F177" s="40">
        <f>IFERROR(SUMPRODUCT(('04_ccass_unlocks'!$A$3:$A$560=$A177)*('04_ccass_unlocks'!$E$3:$E$560=$E177)*'04_ccass_unlocks'!$C$3:$C$560),"")</f>
        <v>45981</v>
      </c>
      <c r="G177">
        <f>COUNTIF('04_ccass_unlocks'!$A$3:$A$560,$A177)</f>
        <v>1</v>
      </c>
      <c r="H177" s="80">
        <f>SUMIFS('04_ccass_unlocks'!$D$3:$D$560,'04_ccass_unlocks'!$A$3:$A$560,$A177)</f>
        <v>7745.54</v>
      </c>
      <c r="I177" s="65">
        <f>SUMIFS('04_ccass_unlocks'!$F$3:$F$560,'04_ccass_unlocks'!$A$3:$A$560,$A177)</f>
        <v>3741095.82</v>
      </c>
      <c r="J177" s="40">
        <f>IFERROR(_xlfn.MAXIFS('04_ccass_unlocks'!$C$3:$C$560,'04_ccass_unlocks'!$A$3:$A$560,$A177),"")</f>
        <v>45981</v>
      </c>
      <c r="K177" t="s">
        <v>2297</v>
      </c>
    </row>
    <row r="178" spans="1:11">
      <c r="A178" t="s">
        <v>1038</v>
      </c>
      <c r="B178" t="s">
        <v>1039</v>
      </c>
      <c r="C178" s="40">
        <f>IFERROR(_xlfn.MINIFS('04_ccass_unlocks'!$C$3:$C$560,'04_ccass_unlocks'!$A$3:$A$560,$A178),"")</f>
        <v>46081</v>
      </c>
      <c r="D178" s="50">
        <f>IFERROR(SUMPRODUCT(('04_ccass_unlocks'!$A$3:$A$560=$A178)*('04_ccass_unlocks'!$C$3:$C$560=$C178)*'04_ccass_unlocks'!$E$3:$E$560),"")</f>
        <v>12.048400000000001</v>
      </c>
      <c r="E178" s="50">
        <f>IFERROR(_xlfn.MAXIFS('04_ccass_unlocks'!$E$3:$E$560,'04_ccass_unlocks'!$A$3:$A$560,$A178),"")</f>
        <v>12.048400000000001</v>
      </c>
      <c r="F178" s="40">
        <f>IFERROR(SUMPRODUCT(('04_ccass_unlocks'!$A$3:$A$560=$A178)*('04_ccass_unlocks'!$E$3:$E$560=$E178)*'04_ccass_unlocks'!$C$3:$C$560),"")</f>
        <v>46081</v>
      </c>
      <c r="G178">
        <f>COUNTIF('04_ccass_unlocks'!$A$3:$A$560,$A178)</f>
        <v>1</v>
      </c>
      <c r="H178" s="80">
        <f>SUMIFS('04_ccass_unlocks'!$D$3:$D$560,'04_ccass_unlocks'!$A$3:$A$560,$A178)</f>
        <v>5490.44</v>
      </c>
      <c r="I178" s="65">
        <f>SUMIFS('04_ccass_unlocks'!$F$3:$F$560,'04_ccass_unlocks'!$A$3:$A$560,$A178)</f>
        <v>537239.554</v>
      </c>
      <c r="J178" s="40">
        <f>IFERROR(_xlfn.MAXIFS('04_ccass_unlocks'!$C$3:$C$560,'04_ccass_unlocks'!$A$3:$A$560,$A178),"")</f>
        <v>46081</v>
      </c>
      <c r="K178" t="s">
        <v>2307</v>
      </c>
    </row>
    <row r="179" spans="1:11">
      <c r="A179" t="s">
        <v>850</v>
      </c>
      <c r="B179" t="s">
        <v>851</v>
      </c>
      <c r="C179" s="40">
        <f>IFERROR(_xlfn.MINIFS('04_ccass_unlocks'!$C$3:$C$560,'04_ccass_unlocks'!$A$3:$A$560,$A179),"")</f>
        <v>46021</v>
      </c>
      <c r="D179" s="50">
        <f>IFERROR(SUMPRODUCT(('04_ccass_unlocks'!$A$3:$A$560=$A179)*('04_ccass_unlocks'!$C$3:$C$560=$C179)*'04_ccass_unlocks'!$E$3:$E$560),"")</f>
        <v>10.210599999999999</v>
      </c>
      <c r="E179" s="50">
        <f>IFERROR(_xlfn.MAXIFS('04_ccass_unlocks'!$E$3:$E$560,'04_ccass_unlocks'!$A$3:$A$560,$A179),"")</f>
        <v>10.210599999999999</v>
      </c>
      <c r="F179" s="40">
        <f>IFERROR(SUMPRODUCT(('04_ccass_unlocks'!$A$3:$A$560=$A179)*('04_ccass_unlocks'!$E$3:$E$560=$E179)*'04_ccass_unlocks'!$C$3:$C$560),"")</f>
        <v>46021</v>
      </c>
      <c r="G179">
        <f>COUNTIF('04_ccass_unlocks'!$A$3:$A$560,$A179)</f>
        <v>1</v>
      </c>
      <c r="H179" s="80">
        <f>SUMIFS('04_ccass_unlocks'!$D$3:$D$560,'04_ccass_unlocks'!$A$3:$A$560,$A179)</f>
        <v>1447.8575000000001</v>
      </c>
      <c r="I179" s="65">
        <f>SUMIFS('04_ccass_unlocks'!$F$3:$F$560,'04_ccass_unlocks'!$A$3:$A$560,$A179)</f>
        <v>43609.467900000003</v>
      </c>
      <c r="J179" s="40">
        <f>IFERROR(_xlfn.MAXIFS('04_ccass_unlocks'!$C$3:$C$560,'04_ccass_unlocks'!$A$3:$A$560,$A179),"")</f>
        <v>46021</v>
      </c>
      <c r="K179" t="s">
        <v>2296</v>
      </c>
    </row>
    <row r="180" spans="1:11">
      <c r="A180" t="s">
        <v>275</v>
      </c>
      <c r="B180" t="s">
        <v>276</v>
      </c>
      <c r="C180" s="40">
        <f>IFERROR(_xlfn.MINIFS('04_ccass_unlocks'!$C$3:$C$560,'04_ccass_unlocks'!$A$3:$A$560,$A180),"")</f>
        <v>45022</v>
      </c>
      <c r="D180" s="50">
        <f>IFERROR(SUMPRODUCT(('04_ccass_unlocks'!$A$3:$A$560=$A180)*('04_ccass_unlocks'!$C$3:$C$560=$C180)*'04_ccass_unlocks'!$E$3:$E$560),"")</f>
        <v>8.4258000000000006</v>
      </c>
      <c r="E180" s="50">
        <f>IFERROR(_xlfn.MAXIFS('04_ccass_unlocks'!$E$3:$E$560,'04_ccass_unlocks'!$A$3:$A$560,$A180),"")</f>
        <v>8.4258000000000006</v>
      </c>
      <c r="F180" s="40">
        <f>IFERROR(SUMPRODUCT(('04_ccass_unlocks'!$A$3:$A$560=$A180)*('04_ccass_unlocks'!$E$3:$E$560=$E180)*'04_ccass_unlocks'!$C$3:$C$560),"")</f>
        <v>45022</v>
      </c>
      <c r="G180">
        <f>COUNTIF('04_ccass_unlocks'!$A$3:$A$560,$A180)</f>
        <v>1</v>
      </c>
      <c r="H180" s="80">
        <f>SUMIFS('04_ccass_unlocks'!$D$3:$D$560,'04_ccass_unlocks'!$A$3:$A$560,$A180)</f>
        <v>14933.14</v>
      </c>
      <c r="I180" s="65">
        <f>SUMIFS('04_ccass_unlocks'!$F$3:$F$560,'04_ccass_unlocks'!$A$3:$A$560,$A180)</f>
        <v>287910.93920000002</v>
      </c>
      <c r="J180" s="40">
        <f>IFERROR(_xlfn.MAXIFS('04_ccass_unlocks'!$C$3:$C$560,'04_ccass_unlocks'!$A$3:$A$560,$A180),"")</f>
        <v>45022</v>
      </c>
      <c r="K180" t="s">
        <v>2297</v>
      </c>
    </row>
    <row r="181" spans="1:11">
      <c r="A181" t="s">
        <v>240</v>
      </c>
      <c r="B181" t="s">
        <v>241</v>
      </c>
      <c r="C181" s="40">
        <f>IFERROR(_xlfn.MINIFS('04_ccass_unlocks'!$C$3:$C$560,'04_ccass_unlocks'!$A$3:$A$560,$A181),"")</f>
        <v>46140</v>
      </c>
      <c r="D181" s="50">
        <f>IFERROR(SUMPRODUCT(('04_ccass_unlocks'!$A$3:$A$560=$A181)*('04_ccass_unlocks'!$C$3:$C$560=$C181)*'04_ccass_unlocks'!$E$3:$E$560),"")</f>
        <v>38.486899999999999</v>
      </c>
      <c r="E181" s="50">
        <f>IFERROR(_xlfn.MAXIFS('04_ccass_unlocks'!$E$3:$E$560,'04_ccass_unlocks'!$A$3:$A$560,$A181),"")</f>
        <v>38.486899999999999</v>
      </c>
      <c r="F181" s="40">
        <f>IFERROR(SUMPRODUCT(('04_ccass_unlocks'!$A$3:$A$560=$A181)*('04_ccass_unlocks'!$E$3:$E$560=$E181)*'04_ccass_unlocks'!$C$3:$C$560),"")</f>
        <v>46140</v>
      </c>
      <c r="G181">
        <f>COUNTIF('04_ccass_unlocks'!$A$3:$A$560,$A181)</f>
        <v>1</v>
      </c>
      <c r="H181" s="80">
        <f>SUMIFS('04_ccass_unlocks'!$D$3:$D$560,'04_ccass_unlocks'!$A$3:$A$560,$A181)</f>
        <v>27734.22</v>
      </c>
      <c r="I181" s="65">
        <f>SUMIFS('04_ccass_unlocks'!$F$3:$F$560,'04_ccass_unlocks'!$A$3:$A$560,$A181)</f>
        <v>596840.41440000001</v>
      </c>
      <c r="J181" s="40">
        <f>IFERROR(_xlfn.MAXIFS('04_ccass_unlocks'!$C$3:$C$560,'04_ccass_unlocks'!$A$3:$A$560,$A181),"")</f>
        <v>46140</v>
      </c>
      <c r="K181" t="s">
        <v>2297</v>
      </c>
    </row>
    <row r="182" spans="1:11">
      <c r="A182" t="s">
        <v>481</v>
      </c>
      <c r="B182" t="s">
        <v>482</v>
      </c>
      <c r="C182" s="40">
        <f>IFERROR(_xlfn.MINIFS('04_ccass_unlocks'!$C$3:$C$560,'04_ccass_unlocks'!$A$3:$A$560,$A182),"")</f>
        <v>45667</v>
      </c>
      <c r="D182" s="50">
        <f>IFERROR(SUMPRODUCT(('04_ccass_unlocks'!$A$3:$A$560=$A182)*('04_ccass_unlocks'!$C$3:$C$560=$C182)*'04_ccass_unlocks'!$E$3:$E$560),"")</f>
        <v>51.210799999999999</v>
      </c>
      <c r="E182" s="50">
        <f>IFERROR(_xlfn.MAXIFS('04_ccass_unlocks'!$E$3:$E$560,'04_ccass_unlocks'!$A$3:$A$560,$A182),"")</f>
        <v>51.210799999999999</v>
      </c>
      <c r="F182" s="40">
        <f>IFERROR(SUMPRODUCT(('04_ccass_unlocks'!$A$3:$A$560=$A182)*('04_ccass_unlocks'!$E$3:$E$560=$E182)*'04_ccass_unlocks'!$C$3:$C$560),"")</f>
        <v>45667</v>
      </c>
      <c r="G182">
        <f>COUNTIF('04_ccass_unlocks'!$A$3:$A$560,$A182)</f>
        <v>3</v>
      </c>
      <c r="H182" s="80">
        <f>SUMIFS('04_ccass_unlocks'!$D$3:$D$560,'04_ccass_unlocks'!$A$3:$A$560,$A182)</f>
        <v>136164.84570000001</v>
      </c>
      <c r="I182" s="65">
        <f>SUMIFS('04_ccass_unlocks'!$F$3:$F$560,'04_ccass_unlocks'!$A$3:$A$560,$A182)</f>
        <v>411514.64860299998</v>
      </c>
      <c r="J182" s="40">
        <f>IFERROR(_xlfn.MAXIFS('04_ccass_unlocks'!$C$3:$C$560,'04_ccass_unlocks'!$A$3:$A$560,$A182),"")</f>
        <v>46114</v>
      </c>
      <c r="K182" t="s">
        <v>2296</v>
      </c>
    </row>
    <row r="183" spans="1:11">
      <c r="A183" t="s">
        <v>647</v>
      </c>
      <c r="B183" t="s">
        <v>648</v>
      </c>
      <c r="C183" s="40">
        <f>IFERROR(_xlfn.MINIFS('04_ccass_unlocks'!$C$3:$C$560,'04_ccass_unlocks'!$A$3:$A$560,$A183),"")</f>
        <v>46104</v>
      </c>
      <c r="D183" s="50">
        <f>IFERROR(SUMPRODUCT(('04_ccass_unlocks'!$A$3:$A$560=$A183)*('04_ccass_unlocks'!$C$3:$C$560=$C183)*'04_ccass_unlocks'!$E$3:$E$560),"")</f>
        <v>84.668000000000006</v>
      </c>
      <c r="E183" s="50">
        <f>IFERROR(_xlfn.MAXIFS('04_ccass_unlocks'!$E$3:$E$560,'04_ccass_unlocks'!$A$3:$A$560,$A183),"")</f>
        <v>84.668000000000006</v>
      </c>
      <c r="F183" s="40">
        <f>IFERROR(SUMPRODUCT(('04_ccass_unlocks'!$A$3:$A$560=$A183)*('04_ccass_unlocks'!$E$3:$E$560=$E183)*'04_ccass_unlocks'!$C$3:$C$560),"")</f>
        <v>46104</v>
      </c>
      <c r="G183">
        <f>COUNTIF('04_ccass_unlocks'!$A$3:$A$560,$A183)</f>
        <v>1</v>
      </c>
      <c r="H183" s="80">
        <f>SUMIFS('04_ccass_unlocks'!$D$3:$D$560,'04_ccass_unlocks'!$A$3:$A$560,$A183)</f>
        <v>7683.7340000000004</v>
      </c>
      <c r="I183" s="65">
        <f>SUMIFS('04_ccass_unlocks'!$F$3:$F$560,'04_ccass_unlocks'!$A$3:$A$560,$A183)</f>
        <v>568596.31599999999</v>
      </c>
      <c r="J183" s="40">
        <f>IFERROR(_xlfn.MAXIFS('04_ccass_unlocks'!$C$3:$C$560,'04_ccass_unlocks'!$A$3:$A$560,$A183),"")</f>
        <v>46104</v>
      </c>
      <c r="K183" t="s">
        <v>2299</v>
      </c>
    </row>
    <row r="184" spans="1:11">
      <c r="A184" t="s">
        <v>450</v>
      </c>
      <c r="B184" t="s">
        <v>451</v>
      </c>
      <c r="C184" s="40">
        <f>IFERROR(_xlfn.MINIFS('04_ccass_unlocks'!$C$3:$C$560,'04_ccass_unlocks'!$A$3:$A$560,$A184),"")</f>
        <v>46140</v>
      </c>
      <c r="D184" s="50">
        <f>IFERROR(SUMPRODUCT(('04_ccass_unlocks'!$A$3:$A$560=$A184)*('04_ccass_unlocks'!$C$3:$C$560=$C184)*'04_ccass_unlocks'!$E$3:$E$560),"")</f>
        <v>42.514800000000001</v>
      </c>
      <c r="E184" s="50">
        <f>IFERROR(_xlfn.MAXIFS('04_ccass_unlocks'!$E$3:$E$560,'04_ccass_unlocks'!$A$3:$A$560,$A184),"")</f>
        <v>42.514800000000001</v>
      </c>
      <c r="F184" s="40">
        <f>IFERROR(SUMPRODUCT(('04_ccass_unlocks'!$A$3:$A$560=$A184)*('04_ccass_unlocks'!$E$3:$E$560=$E184)*'04_ccass_unlocks'!$C$3:$C$560),"")</f>
        <v>46140</v>
      </c>
      <c r="G184">
        <f>COUNTIF('04_ccass_unlocks'!$A$3:$A$560,$A184)</f>
        <v>1</v>
      </c>
      <c r="H184" s="80">
        <f>SUMIFS('04_ccass_unlocks'!$D$3:$D$560,'04_ccass_unlocks'!$A$3:$A$560,$A184)</f>
        <v>3276.2750000000001</v>
      </c>
      <c r="I184" s="65">
        <f>SUMIFS('04_ccass_unlocks'!$F$3:$F$560,'04_ccass_unlocks'!$A$3:$A$560,$A184)</f>
        <v>364321.78</v>
      </c>
      <c r="J184" s="40">
        <f>IFERROR(_xlfn.MAXIFS('04_ccass_unlocks'!$C$3:$C$560,'04_ccass_unlocks'!$A$3:$A$560,$A184),"")</f>
        <v>46140</v>
      </c>
      <c r="K184" t="s">
        <v>2294</v>
      </c>
    </row>
    <row r="185" spans="1:11">
      <c r="A185" t="s">
        <v>399</v>
      </c>
      <c r="B185" t="s">
        <v>400</v>
      </c>
      <c r="C185" s="40">
        <f>IFERROR(_xlfn.MINIFS('04_ccass_unlocks'!$C$3:$C$560,'04_ccass_unlocks'!$A$3:$A$560,$A185),"")</f>
        <v>46017</v>
      </c>
      <c r="D185" s="50">
        <f>IFERROR(SUMPRODUCT(('04_ccass_unlocks'!$A$3:$A$560=$A185)*('04_ccass_unlocks'!$C$3:$C$560=$C185)*'04_ccass_unlocks'!$E$3:$E$560),"")</f>
        <v>5.4222999999999999</v>
      </c>
      <c r="E185" s="50">
        <f>IFERROR(_xlfn.MAXIFS('04_ccass_unlocks'!$E$3:$E$560,'04_ccass_unlocks'!$A$3:$A$560,$A185),"")</f>
        <v>5.4222999999999999</v>
      </c>
      <c r="F185" s="40">
        <f>IFERROR(SUMPRODUCT(('04_ccass_unlocks'!$A$3:$A$560=$A185)*('04_ccass_unlocks'!$E$3:$E$560=$E185)*'04_ccass_unlocks'!$C$3:$C$560),"")</f>
        <v>46017</v>
      </c>
      <c r="G185">
        <f>COUNTIF('04_ccass_unlocks'!$A$3:$A$560,$A185)</f>
        <v>1</v>
      </c>
      <c r="H185" s="80">
        <f>SUMIFS('04_ccass_unlocks'!$D$3:$D$560,'04_ccass_unlocks'!$A$3:$A$560,$A185)</f>
        <v>2389.17</v>
      </c>
      <c r="I185" s="65">
        <f>SUMIFS('04_ccass_unlocks'!$F$3:$F$560,'04_ccass_unlocks'!$A$3:$A$560,$A185)</f>
        <v>65702.175000000003</v>
      </c>
      <c r="J185" s="40">
        <f>IFERROR(_xlfn.MAXIFS('04_ccass_unlocks'!$C$3:$C$560,'04_ccass_unlocks'!$A$3:$A$560,$A185),"")</f>
        <v>46017</v>
      </c>
      <c r="K185" t="s">
        <v>2311</v>
      </c>
    </row>
    <row r="186" spans="1:11">
      <c r="A186" t="s">
        <v>446</v>
      </c>
      <c r="B186" t="s">
        <v>447</v>
      </c>
      <c r="C186" s="40">
        <f>IFERROR(_xlfn.MINIFS('04_ccass_unlocks'!$C$3:$C$560,'04_ccass_unlocks'!$A$3:$A$560,$A186),"")</f>
        <v>45654</v>
      </c>
      <c r="D186" s="50">
        <f>IFERROR(SUMPRODUCT(('04_ccass_unlocks'!$A$3:$A$560=$A186)*('04_ccass_unlocks'!$C$3:$C$560=$C186)*'04_ccass_unlocks'!$E$3:$E$560),"")</f>
        <v>6.4154999999999998</v>
      </c>
      <c r="E186" s="50">
        <f>IFERROR(_xlfn.MAXIFS('04_ccass_unlocks'!$E$3:$E$560,'04_ccass_unlocks'!$A$3:$A$560,$A186),"")</f>
        <v>39.988399999999999</v>
      </c>
      <c r="F186" s="40">
        <f>IFERROR(SUMPRODUCT(('04_ccass_unlocks'!$A$3:$A$560=$A186)*('04_ccass_unlocks'!$E$3:$E$560=$E186)*'04_ccass_unlocks'!$C$3:$C$560),"")</f>
        <v>45836</v>
      </c>
      <c r="G186">
        <f>COUNTIF('04_ccass_unlocks'!$A$3:$A$560,$A186)</f>
        <v>2</v>
      </c>
      <c r="H186" s="80">
        <f>SUMIFS('04_ccass_unlocks'!$D$3:$D$560,'04_ccass_unlocks'!$A$3:$A$560,$A186)</f>
        <v>7985.2259999999997</v>
      </c>
      <c r="I186" s="65">
        <f>SUMIFS('04_ccass_unlocks'!$F$3:$F$560,'04_ccass_unlocks'!$A$3:$A$560,$A186)</f>
        <v>6284520.7700000005</v>
      </c>
      <c r="J186" s="40">
        <f>IFERROR(_xlfn.MAXIFS('04_ccass_unlocks'!$C$3:$C$560,'04_ccass_unlocks'!$A$3:$A$560,$A186),"")</f>
        <v>45836</v>
      </c>
      <c r="K186" t="s">
        <v>2314</v>
      </c>
    </row>
    <row r="187" spans="1:11">
      <c r="A187" t="s">
        <v>727</v>
      </c>
      <c r="B187" t="s">
        <v>728</v>
      </c>
      <c r="C187" s="40">
        <f>IFERROR(_xlfn.MINIFS('04_ccass_unlocks'!$C$3:$C$560,'04_ccass_unlocks'!$A$3:$A$560,$A187),"")</f>
        <v>45930</v>
      </c>
      <c r="D187" s="50">
        <f>IFERROR(SUMPRODUCT(('04_ccass_unlocks'!$A$3:$A$560=$A187)*('04_ccass_unlocks'!$C$3:$C$560=$C187)*'04_ccass_unlocks'!$E$3:$E$560),"")</f>
        <v>2.8706</v>
      </c>
      <c r="E187" s="50">
        <f>IFERROR(_xlfn.MAXIFS('04_ccass_unlocks'!$E$3:$E$560,'04_ccass_unlocks'!$A$3:$A$560,$A187),"")</f>
        <v>16.4269</v>
      </c>
      <c r="F187" s="40">
        <f>IFERROR(SUMPRODUCT(('04_ccass_unlocks'!$A$3:$A$560=$A187)*('04_ccass_unlocks'!$E$3:$E$560=$E187)*'04_ccass_unlocks'!$C$3:$C$560),"")</f>
        <v>46021</v>
      </c>
      <c r="G187">
        <f>COUNTIF('04_ccass_unlocks'!$A$3:$A$560,$A187)</f>
        <v>2</v>
      </c>
      <c r="H187" s="80">
        <f>SUMIFS('04_ccass_unlocks'!$D$3:$D$560,'04_ccass_unlocks'!$A$3:$A$560,$A187)</f>
        <v>5146</v>
      </c>
      <c r="I187" s="65">
        <f>SUMIFS('04_ccass_unlocks'!$F$3:$F$560,'04_ccass_unlocks'!$A$3:$A$560,$A187)</f>
        <v>93077.680000000008</v>
      </c>
      <c r="J187" s="40">
        <f>IFERROR(_xlfn.MAXIFS('04_ccass_unlocks'!$C$3:$C$560,'04_ccass_unlocks'!$A$3:$A$560,$A187),"")</f>
        <v>46021</v>
      </c>
      <c r="K187" t="s">
        <v>2304</v>
      </c>
    </row>
    <row r="188" spans="1:11">
      <c r="A188" t="s">
        <v>583</v>
      </c>
      <c r="B188" t="s">
        <v>584</v>
      </c>
      <c r="C188" s="40">
        <f>IFERROR(_xlfn.MINIFS('04_ccass_unlocks'!$C$3:$C$560,'04_ccass_unlocks'!$A$3:$A$560,$A188),"")</f>
        <v>45034</v>
      </c>
      <c r="D188" s="50">
        <f>IFERROR(SUMPRODUCT(('04_ccass_unlocks'!$A$3:$A$560=$A188)*('04_ccass_unlocks'!$C$3:$C$560=$C188)*'04_ccass_unlocks'!$E$3:$E$560),"")</f>
        <v>4.5514000000000001</v>
      </c>
      <c r="E188" s="50">
        <f>IFERROR(_xlfn.MAXIFS('04_ccass_unlocks'!$E$3:$E$560,'04_ccass_unlocks'!$A$3:$A$560,$A188),"")</f>
        <v>42.214500000000001</v>
      </c>
      <c r="F188" s="40">
        <f>IFERROR(SUMPRODUCT(('04_ccass_unlocks'!$A$3:$A$560=$A188)*('04_ccass_unlocks'!$E$3:$E$560=$E188)*'04_ccass_unlocks'!$C$3:$C$560),"")</f>
        <v>45340</v>
      </c>
      <c r="G188">
        <f>COUNTIF('04_ccass_unlocks'!$A$3:$A$560,$A188)</f>
        <v>2</v>
      </c>
      <c r="H188" s="80">
        <f>SUMIFS('04_ccass_unlocks'!$D$3:$D$560,'04_ccass_unlocks'!$A$3:$A$560,$A188)</f>
        <v>84646.430100000012</v>
      </c>
      <c r="I188" s="65">
        <f>SUMIFS('04_ccass_unlocks'!$F$3:$F$560,'04_ccass_unlocks'!$A$3:$A$560,$A188)</f>
        <v>116062.40833399999</v>
      </c>
      <c r="J188" s="40">
        <f>IFERROR(_xlfn.MAXIFS('04_ccass_unlocks'!$C$3:$C$560,'04_ccass_unlocks'!$A$3:$A$560,$A188),"")</f>
        <v>45340</v>
      </c>
      <c r="K188" t="s">
        <v>2298</v>
      </c>
    </row>
    <row r="189" spans="1:11">
      <c r="A189" t="s">
        <v>253</v>
      </c>
      <c r="B189" t="s">
        <v>254</v>
      </c>
      <c r="C189" s="40">
        <f>IFERROR(_xlfn.MINIFS('04_ccass_unlocks'!$C$3:$C$560,'04_ccass_unlocks'!$A$3:$A$560,$A189),"")</f>
        <v>46031</v>
      </c>
      <c r="D189" s="50">
        <f>IFERROR(SUMPRODUCT(('04_ccass_unlocks'!$A$3:$A$560=$A189)*('04_ccass_unlocks'!$C$3:$C$560=$C189)*'04_ccass_unlocks'!$E$3:$E$560),"")</f>
        <v>27.345199999999998</v>
      </c>
      <c r="E189" s="50">
        <f>IFERROR(_xlfn.MAXIFS('04_ccass_unlocks'!$E$3:$E$560,'04_ccass_unlocks'!$A$3:$A$560,$A189),"")</f>
        <v>27.345199999999998</v>
      </c>
      <c r="F189" s="40">
        <f>IFERROR(SUMPRODUCT(('04_ccass_unlocks'!$A$3:$A$560=$A189)*('04_ccass_unlocks'!$E$3:$E$560=$E189)*'04_ccass_unlocks'!$C$3:$C$560),"")</f>
        <v>46031</v>
      </c>
      <c r="G189">
        <f>COUNTIF('04_ccass_unlocks'!$A$3:$A$560,$A189)</f>
        <v>1</v>
      </c>
      <c r="H189" s="80">
        <f>SUMIFS('04_ccass_unlocks'!$D$3:$D$560,'04_ccass_unlocks'!$A$3:$A$560,$A189)</f>
        <v>8247.18</v>
      </c>
      <c r="I189" s="65">
        <f>SUMIFS('04_ccass_unlocks'!$F$3:$F$560,'04_ccass_unlocks'!$A$3:$A$560,$A189)</f>
        <v>237518.78400000001</v>
      </c>
      <c r="J189" s="40">
        <f>IFERROR(_xlfn.MAXIFS('04_ccass_unlocks'!$C$3:$C$560,'04_ccass_unlocks'!$A$3:$A$560,$A189),"")</f>
        <v>46031</v>
      </c>
      <c r="K189" t="s">
        <v>2297</v>
      </c>
    </row>
    <row r="190" spans="1:11">
      <c r="A190" t="s">
        <v>554</v>
      </c>
      <c r="B190" t="s">
        <v>555</v>
      </c>
      <c r="C190" s="40">
        <f>IFERROR(_xlfn.MINIFS('04_ccass_unlocks'!$C$3:$C$560,'04_ccass_unlocks'!$A$3:$A$560,$A190),"")</f>
        <v>44826</v>
      </c>
      <c r="D190" s="50">
        <f>IFERROR(SUMPRODUCT(('04_ccass_unlocks'!$A$3:$A$560=$A190)*('04_ccass_unlocks'!$C$3:$C$560=$C190)*'04_ccass_unlocks'!$E$3:$E$560),"")</f>
        <v>5.9726999999999997</v>
      </c>
      <c r="E190" s="50">
        <f>IFERROR(_xlfn.MAXIFS('04_ccass_unlocks'!$E$3:$E$560,'04_ccass_unlocks'!$A$3:$A$560,$A190),"")</f>
        <v>5.9726999999999997</v>
      </c>
      <c r="F190" s="40">
        <f>IFERROR(SUMPRODUCT(('04_ccass_unlocks'!$A$3:$A$560=$A190)*('04_ccass_unlocks'!$E$3:$E$560=$E190)*'04_ccass_unlocks'!$C$3:$C$560),"")</f>
        <v>44826</v>
      </c>
      <c r="G190">
        <f>COUNTIF('04_ccass_unlocks'!$A$3:$A$560,$A190)</f>
        <v>1</v>
      </c>
      <c r="H190" s="80">
        <f>SUMIFS('04_ccass_unlocks'!$D$3:$D$560,'04_ccass_unlocks'!$A$3:$A$560,$A190)</f>
        <v>3473.65</v>
      </c>
      <c r="I190" s="65">
        <f>SUMIFS('04_ccass_unlocks'!$F$3:$F$560,'04_ccass_unlocks'!$A$3:$A$560,$A190)</f>
        <v>29977.5995</v>
      </c>
      <c r="J190" s="40">
        <f>IFERROR(_xlfn.MAXIFS('04_ccass_unlocks'!$C$3:$C$560,'04_ccass_unlocks'!$A$3:$A$560,$A190),"")</f>
        <v>44826</v>
      </c>
      <c r="K190" t="s">
        <v>2292</v>
      </c>
    </row>
    <row r="191" spans="1:11">
      <c r="A191" t="s">
        <v>683</v>
      </c>
      <c r="B191" t="s">
        <v>684</v>
      </c>
      <c r="C191" s="40">
        <f>IFERROR(_xlfn.MINIFS('04_ccass_unlocks'!$C$3:$C$560,'04_ccass_unlocks'!$A$3:$A$560,$A191),"")</f>
        <v>45666</v>
      </c>
      <c r="D191" s="50">
        <f>IFERROR(SUMPRODUCT(('04_ccass_unlocks'!$A$3:$A$560=$A191)*('04_ccass_unlocks'!$C$3:$C$560=$C191)*'04_ccass_unlocks'!$E$3:$E$560),"")</f>
        <v>3.1970000000000001</v>
      </c>
      <c r="E191" s="50">
        <f>IFERROR(_xlfn.MAXIFS('04_ccass_unlocks'!$E$3:$E$560,'04_ccass_unlocks'!$A$3:$A$560,$A191),"")</f>
        <v>36.112299999999998</v>
      </c>
      <c r="F191" s="40">
        <f>IFERROR(SUMPRODUCT(('04_ccass_unlocks'!$A$3:$A$560=$A191)*('04_ccass_unlocks'!$E$3:$E$560=$E191)*'04_ccass_unlocks'!$C$3:$C$560),"")</f>
        <v>45847</v>
      </c>
      <c r="G191">
        <f>COUNTIF('04_ccass_unlocks'!$A$3:$A$560,$A191)</f>
        <v>2</v>
      </c>
      <c r="H191" s="80">
        <f>SUMIFS('04_ccass_unlocks'!$D$3:$D$560,'04_ccass_unlocks'!$A$3:$A$560,$A191)</f>
        <v>8880.2248</v>
      </c>
      <c r="I191" s="65">
        <f>SUMIFS('04_ccass_unlocks'!$F$3:$F$560,'04_ccass_unlocks'!$A$3:$A$560,$A191)</f>
        <v>211785.76344000001</v>
      </c>
      <c r="J191" s="40">
        <f>IFERROR(_xlfn.MAXIFS('04_ccass_unlocks'!$C$3:$C$560,'04_ccass_unlocks'!$A$3:$A$560,$A191),"")</f>
        <v>45847</v>
      </c>
      <c r="K191" t="s">
        <v>2298</v>
      </c>
    </row>
    <row r="192" spans="1:11">
      <c r="A192" t="s">
        <v>479</v>
      </c>
      <c r="B192" t="s">
        <v>480</v>
      </c>
      <c r="C192" s="40">
        <f>IFERROR(_xlfn.MINIFS('04_ccass_unlocks'!$C$3:$C$560,'04_ccass_unlocks'!$A$3:$A$560,$A192),"")</f>
        <v>44939</v>
      </c>
      <c r="D192" s="50">
        <f>IFERROR(SUMPRODUCT(('04_ccass_unlocks'!$A$3:$A$560=$A192)*('04_ccass_unlocks'!$C$3:$C$560=$C192)*'04_ccass_unlocks'!$E$3:$E$560),"")</f>
        <v>15.539099999999999</v>
      </c>
      <c r="E192" s="50">
        <f>IFERROR(_xlfn.MAXIFS('04_ccass_unlocks'!$E$3:$E$560,'04_ccass_unlocks'!$A$3:$A$560,$A192),"")</f>
        <v>15.539099999999999</v>
      </c>
      <c r="F192" s="40">
        <f>IFERROR(SUMPRODUCT(('04_ccass_unlocks'!$A$3:$A$560=$A192)*('04_ccass_unlocks'!$E$3:$E$560=$E192)*'04_ccass_unlocks'!$C$3:$C$560),"")</f>
        <v>44939</v>
      </c>
      <c r="G192">
        <f>COUNTIF('04_ccass_unlocks'!$A$3:$A$560,$A192)</f>
        <v>1</v>
      </c>
      <c r="H192" s="80">
        <f>SUMIFS('04_ccass_unlocks'!$D$3:$D$560,'04_ccass_unlocks'!$A$3:$A$560,$A192)</f>
        <v>3150</v>
      </c>
      <c r="I192" s="65">
        <f>SUMIFS('04_ccass_unlocks'!$F$3:$F$560,'04_ccass_unlocks'!$A$3:$A$560,$A192)</f>
        <v>18522</v>
      </c>
      <c r="J192" s="40">
        <f>IFERROR(_xlfn.MAXIFS('04_ccass_unlocks'!$C$3:$C$560,'04_ccass_unlocks'!$A$3:$A$560,$A192),"")</f>
        <v>44939</v>
      </c>
      <c r="K192" t="s">
        <v>2325</v>
      </c>
    </row>
    <row r="193" spans="1:11">
      <c r="A193" t="s">
        <v>939</v>
      </c>
      <c r="B193" t="s">
        <v>940</v>
      </c>
      <c r="C193" s="40">
        <f>IFERROR(_xlfn.MINIFS('04_ccass_unlocks'!$C$3:$C$560,'04_ccass_unlocks'!$A$3:$A$560,$A193),"")</f>
        <v>44917</v>
      </c>
      <c r="D193" s="50">
        <f>IFERROR(SUMPRODUCT(('04_ccass_unlocks'!$A$3:$A$560=$A193)*('04_ccass_unlocks'!$C$3:$C$560=$C193)*'04_ccass_unlocks'!$E$3:$E$560),"")</f>
        <v>4.0515999999999996</v>
      </c>
      <c r="E193" s="50">
        <f>IFERROR(_xlfn.MAXIFS('04_ccass_unlocks'!$E$3:$E$560,'04_ccass_unlocks'!$A$3:$A$560,$A193),"")</f>
        <v>4.0515999999999996</v>
      </c>
      <c r="F193" s="40">
        <f>IFERROR(SUMPRODUCT(('04_ccass_unlocks'!$A$3:$A$560=$A193)*('04_ccass_unlocks'!$E$3:$E$560=$E193)*'04_ccass_unlocks'!$C$3:$C$560),"")</f>
        <v>44917</v>
      </c>
      <c r="G193">
        <f>COUNTIF('04_ccass_unlocks'!$A$3:$A$560,$A193)</f>
        <v>1</v>
      </c>
      <c r="H193" s="80">
        <f>SUMIFS('04_ccass_unlocks'!$D$3:$D$560,'04_ccass_unlocks'!$A$3:$A$560,$A193)</f>
        <v>969.28</v>
      </c>
      <c r="I193" s="65">
        <f>SUMIFS('04_ccass_unlocks'!$F$3:$F$560,'04_ccass_unlocks'!$A$3:$A$560,$A193)</f>
        <v>12174.156800000001</v>
      </c>
      <c r="J193" s="40">
        <f>IFERROR(_xlfn.MAXIFS('04_ccass_unlocks'!$C$3:$C$560,'04_ccass_unlocks'!$A$3:$A$560,$A193),"")</f>
        <v>44917</v>
      </c>
      <c r="K193" t="s">
        <v>2296</v>
      </c>
    </row>
    <row r="194" spans="1:11">
      <c r="A194" t="s">
        <v>614</v>
      </c>
      <c r="B194" t="s">
        <v>615</v>
      </c>
      <c r="C194" s="40">
        <f>IFERROR(_xlfn.MINIFS('04_ccass_unlocks'!$C$3:$C$560,'04_ccass_unlocks'!$A$3:$A$560,$A194),"")</f>
        <v>45907</v>
      </c>
      <c r="D194" s="50">
        <f>IFERROR(SUMPRODUCT(('04_ccass_unlocks'!$A$3:$A$560=$A194)*('04_ccass_unlocks'!$C$3:$C$560=$C194)*'04_ccass_unlocks'!$E$3:$E$560),"")</f>
        <v>68.769900000000007</v>
      </c>
      <c r="E194" s="50">
        <f>IFERROR(_xlfn.MAXIFS('04_ccass_unlocks'!$E$3:$E$560,'04_ccass_unlocks'!$A$3:$A$560,$A194),"")</f>
        <v>68.769900000000007</v>
      </c>
      <c r="F194" s="40">
        <f>IFERROR(SUMPRODUCT(('04_ccass_unlocks'!$A$3:$A$560=$A194)*('04_ccass_unlocks'!$E$3:$E$560=$E194)*'04_ccass_unlocks'!$C$3:$C$560),"")</f>
        <v>45907</v>
      </c>
      <c r="G194">
        <f>COUNTIF('04_ccass_unlocks'!$A$3:$A$560,$A194)</f>
        <v>2</v>
      </c>
      <c r="H194" s="80">
        <f>SUMIFS('04_ccass_unlocks'!$D$3:$D$560,'04_ccass_unlocks'!$A$3:$A$560,$A194)</f>
        <v>81083.994300000006</v>
      </c>
      <c r="I194" s="65">
        <f>SUMIFS('04_ccass_unlocks'!$F$3:$F$560,'04_ccass_unlocks'!$A$3:$A$560,$A194)</f>
        <v>202347.90162300001</v>
      </c>
      <c r="J194" s="40">
        <f>IFERROR(_xlfn.MAXIFS('04_ccass_unlocks'!$C$3:$C$560,'04_ccass_unlocks'!$A$3:$A$560,$A194),"")</f>
        <v>46091</v>
      </c>
      <c r="K194" t="s">
        <v>2307</v>
      </c>
    </row>
    <row r="195" spans="1:11">
      <c r="A195" t="s">
        <v>374</v>
      </c>
      <c r="B195" t="s">
        <v>375</v>
      </c>
      <c r="C195" s="40">
        <f>IFERROR(_xlfn.MINIFS('04_ccass_unlocks'!$C$3:$C$560,'04_ccass_unlocks'!$A$3:$A$560,$A195),"")</f>
        <v>44756</v>
      </c>
      <c r="D195" s="50">
        <f>IFERROR(SUMPRODUCT(('04_ccass_unlocks'!$A$3:$A$560=$A195)*('04_ccass_unlocks'!$C$3:$C$560=$C195)*'04_ccass_unlocks'!$E$3:$E$560),"")</f>
        <v>50.569400000000002</v>
      </c>
      <c r="E195" s="50">
        <f>IFERROR(_xlfn.MAXIFS('04_ccass_unlocks'!$E$3:$E$560,'04_ccass_unlocks'!$A$3:$A$560,$A195),"")</f>
        <v>50.569400000000002</v>
      </c>
      <c r="F195" s="40">
        <f>IFERROR(SUMPRODUCT(('04_ccass_unlocks'!$A$3:$A$560=$A195)*('04_ccass_unlocks'!$E$3:$E$560=$E195)*'04_ccass_unlocks'!$C$3:$C$560),"")</f>
        <v>44756</v>
      </c>
      <c r="G195">
        <f>COUNTIF('04_ccass_unlocks'!$A$3:$A$560,$A195)</f>
        <v>2</v>
      </c>
      <c r="H195" s="80">
        <f>SUMIFS('04_ccass_unlocks'!$D$3:$D$560,'04_ccass_unlocks'!$A$3:$A$560,$A195)</f>
        <v>9034.26</v>
      </c>
      <c r="I195" s="65">
        <f>SUMIFS('04_ccass_unlocks'!$F$3:$F$560,'04_ccass_unlocks'!$A$3:$A$560,$A195)</f>
        <v>261337.31460000001</v>
      </c>
      <c r="J195" s="40">
        <f>IFERROR(_xlfn.MAXIFS('04_ccass_unlocks'!$C$3:$C$560,'04_ccass_unlocks'!$A$3:$A$560,$A195),"")</f>
        <v>46020</v>
      </c>
      <c r="K195" t="s">
        <v>2307</v>
      </c>
    </row>
    <row r="196" spans="1:11">
      <c r="A196" t="s">
        <v>970</v>
      </c>
      <c r="B196" t="s">
        <v>971</v>
      </c>
      <c r="C196" s="40">
        <f>IFERROR(_xlfn.MINIFS('04_ccass_unlocks'!$C$3:$C$560,'04_ccass_unlocks'!$A$3:$A$560,$A196),"")</f>
        <v>45846</v>
      </c>
      <c r="D196" s="50">
        <f>IFERROR(SUMPRODUCT(('04_ccass_unlocks'!$A$3:$A$560=$A196)*('04_ccass_unlocks'!$C$3:$C$560=$C196)*'04_ccass_unlocks'!$E$3:$E$560),"")</f>
        <v>9.1928000000000001</v>
      </c>
      <c r="E196" s="50">
        <f>IFERROR(_xlfn.MAXIFS('04_ccass_unlocks'!$E$3:$E$560,'04_ccass_unlocks'!$A$3:$A$560,$A196),"")</f>
        <v>85.697299999999998</v>
      </c>
      <c r="F196" s="40">
        <f>IFERROR(SUMPRODUCT(('04_ccass_unlocks'!$A$3:$A$560=$A196)*('04_ccass_unlocks'!$E$3:$E$560=$E196)*'04_ccass_unlocks'!$C$3:$C$560),"")</f>
        <v>46030</v>
      </c>
      <c r="G196">
        <f>COUNTIF('04_ccass_unlocks'!$A$3:$A$560,$A196)</f>
        <v>3</v>
      </c>
      <c r="H196" s="80">
        <f>SUMIFS('04_ccass_unlocks'!$D$3:$D$560,'04_ccass_unlocks'!$A$3:$A$560,$A196)</f>
        <v>129357.20000000001</v>
      </c>
      <c r="I196" s="65">
        <f>SUMIFS('04_ccass_unlocks'!$F$3:$F$560,'04_ccass_unlocks'!$A$3:$A$560,$A196)</f>
        <v>913757.16</v>
      </c>
      <c r="J196" s="40">
        <f>IFERROR(_xlfn.MAXIFS('04_ccass_unlocks'!$C$3:$C$560,'04_ccass_unlocks'!$A$3:$A$560,$A196),"")</f>
        <v>46148</v>
      </c>
      <c r="K196" t="s">
        <v>2292</v>
      </c>
    </row>
    <row r="197" spans="1:11">
      <c r="A197" t="s">
        <v>426</v>
      </c>
      <c r="B197" t="s">
        <v>427</v>
      </c>
      <c r="C197" s="40">
        <f>IFERROR(_xlfn.MINIFS('04_ccass_unlocks'!$C$3:$C$560,'04_ccass_unlocks'!$A$3:$A$560,$A197),"")</f>
        <v>45379</v>
      </c>
      <c r="D197" s="50">
        <f>IFERROR(SUMPRODUCT(('04_ccass_unlocks'!$A$3:$A$560=$A197)*('04_ccass_unlocks'!$C$3:$C$560=$C197)*'04_ccass_unlocks'!$E$3:$E$560),"")</f>
        <v>2.6095000000000002</v>
      </c>
      <c r="E197" s="50">
        <f>IFERROR(_xlfn.MAXIFS('04_ccass_unlocks'!$E$3:$E$560,'04_ccass_unlocks'!$A$3:$A$560,$A197),"")</f>
        <v>2.6095000000000002</v>
      </c>
      <c r="F197" s="40">
        <f>IFERROR(SUMPRODUCT(('04_ccass_unlocks'!$A$3:$A$560=$A197)*('04_ccass_unlocks'!$E$3:$E$560=$E197)*'04_ccass_unlocks'!$C$3:$C$560),"")</f>
        <v>45379</v>
      </c>
      <c r="G197">
        <f>COUNTIF('04_ccass_unlocks'!$A$3:$A$560,$A197)</f>
        <v>1</v>
      </c>
      <c r="H197" s="80">
        <f>SUMIFS('04_ccass_unlocks'!$D$3:$D$560,'04_ccass_unlocks'!$A$3:$A$560,$A197)</f>
        <v>1215.68</v>
      </c>
      <c r="I197" s="65">
        <f>SUMIFS('04_ccass_unlocks'!$F$3:$F$560,'04_ccass_unlocks'!$A$3:$A$560,$A197)</f>
        <v>76101.567999999999</v>
      </c>
      <c r="J197" s="40">
        <f>IFERROR(_xlfn.MAXIFS('04_ccass_unlocks'!$C$3:$C$560,'04_ccass_unlocks'!$A$3:$A$560,$A197),"")</f>
        <v>45379</v>
      </c>
      <c r="K197" t="s">
        <v>2298</v>
      </c>
    </row>
    <row r="198" spans="1:11">
      <c r="A198" t="s">
        <v>813</v>
      </c>
      <c r="B198" t="s">
        <v>814</v>
      </c>
      <c r="C198" s="40">
        <f>IFERROR(_xlfn.MINIFS('04_ccass_unlocks'!$C$3:$C$560,'04_ccass_unlocks'!$A$3:$A$560,$A198),"")</f>
        <v>45486</v>
      </c>
      <c r="D198" s="50">
        <f>IFERROR(SUMPRODUCT(('04_ccass_unlocks'!$A$3:$A$560=$A198)*('04_ccass_unlocks'!$C$3:$C$560=$C198)*'04_ccass_unlocks'!$E$3:$E$560),"")</f>
        <v>3.1274000000000002</v>
      </c>
      <c r="E198" s="50">
        <f>IFERROR(_xlfn.MAXIFS('04_ccass_unlocks'!$E$3:$E$560,'04_ccass_unlocks'!$A$3:$A$560,$A198),"")</f>
        <v>3.1274000000000002</v>
      </c>
      <c r="F198" s="40">
        <f>IFERROR(SUMPRODUCT(('04_ccass_unlocks'!$A$3:$A$560=$A198)*('04_ccass_unlocks'!$E$3:$E$560=$E198)*'04_ccass_unlocks'!$C$3:$C$560),"")</f>
        <v>45486</v>
      </c>
      <c r="G198">
        <f>COUNTIF('04_ccass_unlocks'!$A$3:$A$560,$A198)</f>
        <v>1</v>
      </c>
      <c r="H198" s="80">
        <f>SUMIFS('04_ccass_unlocks'!$D$3:$D$560,'04_ccass_unlocks'!$A$3:$A$560,$A198)</f>
        <v>2606.15</v>
      </c>
      <c r="I198" s="65">
        <f>SUMIFS('04_ccass_unlocks'!$F$3:$F$560,'04_ccass_unlocks'!$A$3:$A$560,$A198)</f>
        <v>26322.115000000002</v>
      </c>
      <c r="J198" s="40">
        <f>IFERROR(_xlfn.MAXIFS('04_ccass_unlocks'!$C$3:$C$560,'04_ccass_unlocks'!$A$3:$A$560,$A198),"")</f>
        <v>45486</v>
      </c>
      <c r="K198" t="s">
        <v>2304</v>
      </c>
    </row>
    <row r="199" spans="1:11">
      <c r="A199" t="s">
        <v>689</v>
      </c>
      <c r="B199" t="s">
        <v>690</v>
      </c>
      <c r="C199" s="40">
        <f>IFERROR(_xlfn.MINIFS('04_ccass_unlocks'!$C$3:$C$560,'04_ccass_unlocks'!$A$3:$A$560,$A199),"")</f>
        <v>46133</v>
      </c>
      <c r="D199" s="50">
        <f>IFERROR(SUMPRODUCT(('04_ccass_unlocks'!$A$3:$A$560=$A199)*('04_ccass_unlocks'!$C$3:$C$560=$C199)*'04_ccass_unlocks'!$E$3:$E$560),"")</f>
        <v>48.8521</v>
      </c>
      <c r="E199" s="50">
        <f>IFERROR(_xlfn.MAXIFS('04_ccass_unlocks'!$E$3:$E$560,'04_ccass_unlocks'!$A$3:$A$560,$A199),"")</f>
        <v>48.8521</v>
      </c>
      <c r="F199" s="40">
        <f>IFERROR(SUMPRODUCT(('04_ccass_unlocks'!$A$3:$A$560=$A199)*('04_ccass_unlocks'!$E$3:$E$560=$E199)*'04_ccass_unlocks'!$C$3:$C$560),"")</f>
        <v>46133</v>
      </c>
      <c r="G199">
        <f>COUNTIF('04_ccass_unlocks'!$A$3:$A$560,$A199)</f>
        <v>1</v>
      </c>
      <c r="H199" s="80">
        <f>SUMIFS('04_ccass_unlocks'!$D$3:$D$560,'04_ccass_unlocks'!$A$3:$A$560,$A199)</f>
        <v>21312.400000000001</v>
      </c>
      <c r="I199" s="65">
        <f>SUMIFS('04_ccass_unlocks'!$F$3:$F$560,'04_ccass_unlocks'!$A$3:$A$560,$A199)</f>
        <v>395771.26799999998</v>
      </c>
      <c r="J199" s="40">
        <f>IFERROR(_xlfn.MAXIFS('04_ccass_unlocks'!$C$3:$C$560,'04_ccass_unlocks'!$A$3:$A$560,$A199),"")</f>
        <v>46133</v>
      </c>
      <c r="K199" t="s">
        <v>2298</v>
      </c>
    </row>
    <row r="200" spans="1:11">
      <c r="A200" t="s">
        <v>364</v>
      </c>
      <c r="B200" t="s">
        <v>365</v>
      </c>
      <c r="C200" s="40">
        <f>IFERROR(_xlfn.MINIFS('04_ccass_unlocks'!$C$3:$C$560,'04_ccass_unlocks'!$A$3:$A$560,$A200),"")</f>
        <v>45910</v>
      </c>
      <c r="D200" s="50">
        <f>IFERROR(SUMPRODUCT(('04_ccass_unlocks'!$A$3:$A$560=$A200)*('04_ccass_unlocks'!$C$3:$C$560=$C200)*'04_ccass_unlocks'!$E$3:$E$560),"")</f>
        <v>22.956</v>
      </c>
      <c r="E200" s="50">
        <f>IFERROR(_xlfn.MAXIFS('04_ccass_unlocks'!$E$3:$E$560,'04_ccass_unlocks'!$A$3:$A$560,$A200),"")</f>
        <v>22.956</v>
      </c>
      <c r="F200" s="40">
        <f>IFERROR(SUMPRODUCT(('04_ccass_unlocks'!$A$3:$A$560=$A200)*('04_ccass_unlocks'!$E$3:$E$560=$E200)*'04_ccass_unlocks'!$C$3:$C$560),"")</f>
        <v>45910</v>
      </c>
      <c r="G200">
        <f>COUNTIF('04_ccass_unlocks'!$A$3:$A$560,$A200)</f>
        <v>1</v>
      </c>
      <c r="H200" s="80">
        <f>SUMIFS('04_ccass_unlocks'!$D$3:$D$560,'04_ccass_unlocks'!$A$3:$A$560,$A200)</f>
        <v>5429.08</v>
      </c>
      <c r="I200" s="65">
        <f>SUMIFS('04_ccass_unlocks'!$F$3:$F$560,'04_ccass_unlocks'!$A$3:$A$560,$A200)</f>
        <v>181222.69039999999</v>
      </c>
      <c r="J200" s="40">
        <f>IFERROR(_xlfn.MAXIFS('04_ccass_unlocks'!$C$3:$C$560,'04_ccass_unlocks'!$A$3:$A$560,$A200),"")</f>
        <v>45910</v>
      </c>
      <c r="K200" t="s">
        <v>2315</v>
      </c>
    </row>
    <row r="201" spans="1:11">
      <c r="A201" t="s">
        <v>603</v>
      </c>
      <c r="B201" t="s">
        <v>604</v>
      </c>
      <c r="C201" s="40">
        <f>IFERROR(_xlfn.MINIFS('04_ccass_unlocks'!$C$3:$C$560,'04_ccass_unlocks'!$A$3:$A$560,$A201),"")</f>
        <v>45055</v>
      </c>
      <c r="D201" s="50">
        <f>IFERROR(SUMPRODUCT(('04_ccass_unlocks'!$A$3:$A$560=$A201)*('04_ccass_unlocks'!$C$3:$C$560=$C201)*'04_ccass_unlocks'!$E$3:$E$560),"")</f>
        <v>0.63780000000000003</v>
      </c>
      <c r="E201" s="50">
        <f>IFERROR(_xlfn.MAXIFS('04_ccass_unlocks'!$E$3:$E$560,'04_ccass_unlocks'!$A$3:$A$560,$A201),"")</f>
        <v>0.63780000000000003</v>
      </c>
      <c r="F201" s="40">
        <f>IFERROR(SUMPRODUCT(('04_ccass_unlocks'!$A$3:$A$560=$A201)*('04_ccass_unlocks'!$E$3:$E$560=$E201)*'04_ccass_unlocks'!$C$3:$C$560),"")</f>
        <v>45055</v>
      </c>
      <c r="G201">
        <f>COUNTIF('04_ccass_unlocks'!$A$3:$A$560,$A201)</f>
        <v>1</v>
      </c>
      <c r="H201" s="80">
        <f>SUMIFS('04_ccass_unlocks'!$D$3:$D$560,'04_ccass_unlocks'!$A$3:$A$560,$A201)</f>
        <v>510.2</v>
      </c>
      <c r="I201" s="65">
        <f>SUMIFS('04_ccass_unlocks'!$F$3:$F$560,'04_ccass_unlocks'!$A$3:$A$560,$A201)</f>
        <v>219.386</v>
      </c>
      <c r="J201" s="40">
        <f>IFERROR(_xlfn.MAXIFS('04_ccass_unlocks'!$C$3:$C$560,'04_ccass_unlocks'!$A$3:$A$560,$A201),"")</f>
        <v>45055</v>
      </c>
      <c r="K201" t="s">
        <v>2308</v>
      </c>
    </row>
    <row r="202" spans="1:11">
      <c r="A202" t="s">
        <v>815</v>
      </c>
      <c r="B202" t="s">
        <v>816</v>
      </c>
      <c r="C202" s="40">
        <f>IFERROR(_xlfn.MINIFS('04_ccass_unlocks'!$C$3:$C$560,'04_ccass_unlocks'!$A$3:$A$560,$A202),"")</f>
        <v>45106</v>
      </c>
      <c r="D202" s="50">
        <f>IFERROR(SUMPRODUCT(('04_ccass_unlocks'!$A$3:$A$560=$A202)*('04_ccass_unlocks'!$C$3:$C$560=$C202)*'04_ccass_unlocks'!$E$3:$E$560),"")</f>
        <v>0.36770000000000003</v>
      </c>
      <c r="E202" s="50">
        <f>IFERROR(_xlfn.MAXIFS('04_ccass_unlocks'!$E$3:$E$560,'04_ccass_unlocks'!$A$3:$A$560,$A202),"")</f>
        <v>0.36770000000000003</v>
      </c>
      <c r="F202" s="40">
        <f>IFERROR(SUMPRODUCT(('04_ccass_unlocks'!$A$3:$A$560=$A202)*('04_ccass_unlocks'!$E$3:$E$560=$E202)*'04_ccass_unlocks'!$C$3:$C$560),"")</f>
        <v>45106</v>
      </c>
      <c r="G202">
        <f>COUNTIF('04_ccass_unlocks'!$A$3:$A$560,$A202)</f>
        <v>1</v>
      </c>
      <c r="H202" s="80">
        <f>SUMIFS('04_ccass_unlocks'!$D$3:$D$560,'04_ccass_unlocks'!$A$3:$A$560,$A202)</f>
        <v>146.56</v>
      </c>
      <c r="I202" s="65">
        <f>SUMIFS('04_ccass_unlocks'!$F$3:$F$560,'04_ccass_unlocks'!$A$3:$A$560,$A202)</f>
        <v>15242.24</v>
      </c>
      <c r="J202" s="40">
        <f>IFERROR(_xlfn.MAXIFS('04_ccass_unlocks'!$C$3:$C$560,'04_ccass_unlocks'!$A$3:$A$560,$A202),"")</f>
        <v>45106</v>
      </c>
      <c r="K202" t="s">
        <v>2308</v>
      </c>
    </row>
    <row r="203" spans="1:11">
      <c r="A203" t="s">
        <v>436</v>
      </c>
      <c r="B203" t="s">
        <v>437</v>
      </c>
      <c r="C203" s="40">
        <f>IFERROR(_xlfn.MINIFS('04_ccass_unlocks'!$C$3:$C$560,'04_ccass_unlocks'!$A$3:$A$560,$A203),"")</f>
        <v>45977</v>
      </c>
      <c r="D203" s="50">
        <f>IFERROR(SUMPRODUCT(('04_ccass_unlocks'!$A$3:$A$560=$A203)*('04_ccass_unlocks'!$C$3:$C$560=$C203)*'04_ccass_unlocks'!$E$3:$E$560),"")</f>
        <v>12.5</v>
      </c>
      <c r="E203" s="50">
        <f>IFERROR(_xlfn.MAXIFS('04_ccass_unlocks'!$E$3:$E$560,'04_ccass_unlocks'!$A$3:$A$560,$A203),"")</f>
        <v>12.5</v>
      </c>
      <c r="F203" s="40">
        <f>IFERROR(SUMPRODUCT(('04_ccass_unlocks'!$A$3:$A$560=$A203)*('04_ccass_unlocks'!$E$3:$E$560=$E203)*'04_ccass_unlocks'!$C$3:$C$560),"")</f>
        <v>45977</v>
      </c>
      <c r="G203">
        <f>COUNTIF('04_ccass_unlocks'!$A$3:$A$560,$A203)</f>
        <v>1</v>
      </c>
      <c r="H203" s="80">
        <f>SUMIFS('04_ccass_unlocks'!$D$3:$D$560,'04_ccass_unlocks'!$A$3:$A$560,$A203)</f>
        <v>8418.2000000000007</v>
      </c>
      <c r="I203" s="65">
        <f>SUMIFS('04_ccass_unlocks'!$F$3:$F$560,'04_ccass_unlocks'!$A$3:$A$560,$A203)</f>
        <v>49330.652000000002</v>
      </c>
      <c r="J203" s="40">
        <f>IFERROR(_xlfn.MAXIFS('04_ccass_unlocks'!$C$3:$C$560,'04_ccass_unlocks'!$A$3:$A$560,$A203),"")</f>
        <v>45977</v>
      </c>
      <c r="K203" t="s">
        <v>2309</v>
      </c>
    </row>
    <row r="204" spans="1:11">
      <c r="A204" t="s">
        <v>767</v>
      </c>
      <c r="B204" t="s">
        <v>768</v>
      </c>
      <c r="C204" s="40">
        <f>IFERROR(_xlfn.MINIFS('04_ccass_unlocks'!$C$3:$C$560,'04_ccass_unlocks'!$A$3:$A$560,$A204),"")</f>
        <v>45465</v>
      </c>
      <c r="D204" s="50">
        <f>IFERROR(SUMPRODUCT(('04_ccass_unlocks'!$A$3:$A$560=$A204)*('04_ccass_unlocks'!$C$3:$C$560=$C204)*'04_ccass_unlocks'!$E$3:$E$560),"")</f>
        <v>8.6003000000000007</v>
      </c>
      <c r="E204" s="50">
        <f>IFERROR(_xlfn.MAXIFS('04_ccass_unlocks'!$E$3:$E$560,'04_ccass_unlocks'!$A$3:$A$560,$A204),"")</f>
        <v>8.6003000000000007</v>
      </c>
      <c r="F204" s="40">
        <f>IFERROR(SUMPRODUCT(('04_ccass_unlocks'!$A$3:$A$560=$A204)*('04_ccass_unlocks'!$E$3:$E$560=$E204)*'04_ccass_unlocks'!$C$3:$C$560),"")</f>
        <v>45465</v>
      </c>
      <c r="G204">
        <f>COUNTIF('04_ccass_unlocks'!$A$3:$A$560,$A204)</f>
        <v>1</v>
      </c>
      <c r="H204" s="80">
        <f>SUMIFS('04_ccass_unlocks'!$D$3:$D$560,'04_ccass_unlocks'!$A$3:$A$560,$A204)</f>
        <v>1083.6400000000001</v>
      </c>
      <c r="I204" s="65">
        <f>SUMIFS('04_ccass_unlocks'!$F$3:$F$560,'04_ccass_unlocks'!$A$3:$A$560,$A204)</f>
        <v>9070.0668000000005</v>
      </c>
      <c r="J204" s="40">
        <f>IFERROR(_xlfn.MAXIFS('04_ccass_unlocks'!$C$3:$C$560,'04_ccass_unlocks'!$A$3:$A$560,$A204),"")</f>
        <v>45465</v>
      </c>
      <c r="K204" t="s">
        <v>2304</v>
      </c>
    </row>
    <row r="205" spans="1:11">
      <c r="A205" t="s">
        <v>620</v>
      </c>
      <c r="B205" t="s">
        <v>621</v>
      </c>
      <c r="C205" s="40">
        <f>IFERROR(_xlfn.MINIFS('04_ccass_unlocks'!$C$3:$C$560,'04_ccass_unlocks'!$A$3:$A$560,$A205),"")</f>
        <v>45100</v>
      </c>
      <c r="D205" s="50">
        <f>IFERROR(SUMPRODUCT(('04_ccass_unlocks'!$A$3:$A$560=$A205)*('04_ccass_unlocks'!$C$3:$C$560=$C205)*'04_ccass_unlocks'!$E$3:$E$560),"")</f>
        <v>4.3106</v>
      </c>
      <c r="E205" s="50">
        <f>IFERROR(_xlfn.MAXIFS('04_ccass_unlocks'!$E$3:$E$560,'04_ccass_unlocks'!$A$3:$A$560,$A205),"")</f>
        <v>4.3106</v>
      </c>
      <c r="F205" s="40">
        <f>IFERROR(SUMPRODUCT(('04_ccass_unlocks'!$A$3:$A$560=$A205)*('04_ccass_unlocks'!$E$3:$E$560=$E205)*'04_ccass_unlocks'!$C$3:$C$560),"")</f>
        <v>45100</v>
      </c>
      <c r="G205">
        <f>COUNTIF('04_ccass_unlocks'!$A$3:$A$560,$A205)</f>
        <v>1</v>
      </c>
      <c r="H205" s="80">
        <f>SUMIFS('04_ccass_unlocks'!$D$3:$D$560,'04_ccass_unlocks'!$A$3:$A$560,$A205)</f>
        <v>3568.15</v>
      </c>
      <c r="I205" s="65">
        <f>SUMIFS('04_ccass_unlocks'!$F$3:$F$560,'04_ccass_unlocks'!$A$3:$A$560,$A205)</f>
        <v>35003.551500000001</v>
      </c>
      <c r="J205" s="40">
        <f>IFERROR(_xlfn.MAXIFS('04_ccass_unlocks'!$C$3:$C$560,'04_ccass_unlocks'!$A$3:$A$560,$A205),"")</f>
        <v>45100</v>
      </c>
      <c r="K205" t="s">
        <v>2292</v>
      </c>
    </row>
    <row r="206" spans="1:11">
      <c r="A206" t="s">
        <v>226</v>
      </c>
      <c r="B206" t="s">
        <v>227</v>
      </c>
      <c r="C206" s="40">
        <f>IFERROR(_xlfn.MINIFS('04_ccass_unlocks'!$C$3:$C$560,'04_ccass_unlocks'!$A$3:$A$560,$A206),"")</f>
        <v>45804</v>
      </c>
      <c r="D206" s="50">
        <f>IFERROR(SUMPRODUCT(('04_ccass_unlocks'!$A$3:$A$560=$A206)*('04_ccass_unlocks'!$C$3:$C$560=$C206)*'04_ccass_unlocks'!$E$3:$E$560),"")</f>
        <v>27.2986</v>
      </c>
      <c r="E206" s="50">
        <f>IFERROR(_xlfn.MAXIFS('04_ccass_unlocks'!$E$3:$E$560,'04_ccass_unlocks'!$A$3:$A$560,$A206),"")</f>
        <v>27.2986</v>
      </c>
      <c r="F206" s="40">
        <f>IFERROR(SUMPRODUCT(('04_ccass_unlocks'!$A$3:$A$560=$A206)*('04_ccass_unlocks'!$E$3:$E$560=$E206)*'04_ccass_unlocks'!$C$3:$C$560),"")</f>
        <v>45804</v>
      </c>
      <c r="G206">
        <f>COUNTIF('04_ccass_unlocks'!$A$3:$A$560,$A206)</f>
        <v>1</v>
      </c>
      <c r="H206" s="80">
        <f>SUMIFS('04_ccass_unlocks'!$D$3:$D$560,'04_ccass_unlocks'!$A$3:$A$560,$A206)</f>
        <v>4640.76</v>
      </c>
      <c r="I206" s="65">
        <f>SUMIFS('04_ccass_unlocks'!$F$3:$F$560,'04_ccass_unlocks'!$A$3:$A$560,$A206)</f>
        <v>183310.02</v>
      </c>
      <c r="J206" s="40">
        <f>IFERROR(_xlfn.MAXIFS('04_ccass_unlocks'!$C$3:$C$560,'04_ccass_unlocks'!$A$3:$A$560,$A206),"")</f>
        <v>45804</v>
      </c>
      <c r="K206" t="s">
        <v>2321</v>
      </c>
    </row>
    <row r="207" spans="1:11">
      <c r="A207" t="s">
        <v>729</v>
      </c>
      <c r="B207" t="s">
        <v>730</v>
      </c>
      <c r="C207" s="40">
        <f>IFERROR(_xlfn.MINIFS('04_ccass_unlocks'!$C$3:$C$560,'04_ccass_unlocks'!$A$3:$A$560,$A207),"")</f>
        <v>45107</v>
      </c>
      <c r="D207" s="50">
        <f>IFERROR(SUMPRODUCT(('04_ccass_unlocks'!$A$3:$A$560=$A207)*('04_ccass_unlocks'!$C$3:$C$560=$C207)*'04_ccass_unlocks'!$E$3:$E$560),"")</f>
        <v>1.4911000000000001</v>
      </c>
      <c r="E207" s="50">
        <f>IFERROR(_xlfn.MAXIFS('04_ccass_unlocks'!$E$3:$E$560,'04_ccass_unlocks'!$A$3:$A$560,$A207),"")</f>
        <v>80.159599999999998</v>
      </c>
      <c r="F207" s="40">
        <f>IFERROR(SUMPRODUCT(('04_ccass_unlocks'!$A$3:$A$560=$A207)*('04_ccass_unlocks'!$E$3:$E$560=$E207)*'04_ccass_unlocks'!$C$3:$C$560),"")</f>
        <v>45473</v>
      </c>
      <c r="G207">
        <f>COUNTIF('04_ccass_unlocks'!$A$3:$A$560,$A207)</f>
        <v>2</v>
      </c>
      <c r="H207" s="80">
        <f>SUMIFS('04_ccass_unlocks'!$D$3:$D$560,'04_ccass_unlocks'!$A$3:$A$560,$A207)</f>
        <v>41582.912400000001</v>
      </c>
      <c r="I207" s="65">
        <f>SUMIFS('04_ccass_unlocks'!$F$3:$F$560,'04_ccass_unlocks'!$A$3:$A$560,$A207)</f>
        <v>379789.83159999998</v>
      </c>
      <c r="J207" s="40">
        <f>IFERROR(_xlfn.MAXIFS('04_ccass_unlocks'!$C$3:$C$560,'04_ccass_unlocks'!$A$3:$A$560,$A207),"")</f>
        <v>45473</v>
      </c>
      <c r="K207" t="s">
        <v>2296</v>
      </c>
    </row>
    <row r="208" spans="1:11">
      <c r="A208" t="s">
        <v>713</v>
      </c>
      <c r="B208" t="s">
        <v>714</v>
      </c>
      <c r="C208" s="40">
        <f>IFERROR(_xlfn.MINIFS('04_ccass_unlocks'!$C$3:$C$560,'04_ccass_unlocks'!$A$3:$A$560,$A208),"")</f>
        <v>45358</v>
      </c>
      <c r="D208" s="50">
        <f>IFERROR(SUMPRODUCT(('04_ccass_unlocks'!$A$3:$A$560=$A208)*('04_ccass_unlocks'!$C$3:$C$560=$C208)*'04_ccass_unlocks'!$E$3:$E$560),"")</f>
        <v>0.80130000000000001</v>
      </c>
      <c r="E208" s="50">
        <f>IFERROR(_xlfn.MAXIFS('04_ccass_unlocks'!$E$3:$E$560,'04_ccass_unlocks'!$A$3:$A$560,$A208),"")</f>
        <v>74.198700000000002</v>
      </c>
      <c r="F208" s="40">
        <f>IFERROR(SUMPRODUCT(('04_ccass_unlocks'!$A$3:$A$560=$A208)*('04_ccass_unlocks'!$E$3:$E$560=$E208)*'04_ccass_unlocks'!$C$3:$C$560),"")</f>
        <v>45666</v>
      </c>
      <c r="G208">
        <f>COUNTIF('04_ccass_unlocks'!$A$3:$A$560,$A208)</f>
        <v>2</v>
      </c>
      <c r="H208" s="80">
        <f>SUMIFS('04_ccass_unlocks'!$D$3:$D$560,'04_ccass_unlocks'!$A$3:$A$560,$A208)</f>
        <v>15162</v>
      </c>
      <c r="I208" s="65">
        <f>SUMIFS('04_ccass_unlocks'!$F$3:$F$560,'04_ccass_unlocks'!$A$3:$A$560,$A208)</f>
        <v>64107.6</v>
      </c>
      <c r="J208" s="40">
        <f>IFERROR(_xlfn.MAXIFS('04_ccass_unlocks'!$C$3:$C$560,'04_ccass_unlocks'!$A$3:$A$560,$A208),"")</f>
        <v>45666</v>
      </c>
      <c r="K208" t="s">
        <v>2318</v>
      </c>
    </row>
    <row r="209" spans="1:11">
      <c r="A209" t="s">
        <v>369</v>
      </c>
      <c r="B209" t="s">
        <v>370</v>
      </c>
      <c r="C209" s="40">
        <f>IFERROR(_xlfn.MINIFS('04_ccass_unlocks'!$C$3:$C$560,'04_ccass_unlocks'!$A$3:$A$560,$A209),"")</f>
        <v>45225</v>
      </c>
      <c r="D209" s="50">
        <f>IFERROR(SUMPRODUCT(('04_ccass_unlocks'!$A$3:$A$560=$A209)*('04_ccass_unlocks'!$C$3:$C$560=$C209)*'04_ccass_unlocks'!$E$3:$E$560),"")</f>
        <v>2.4121999999999999</v>
      </c>
      <c r="E209" s="50">
        <f>IFERROR(_xlfn.MAXIFS('04_ccass_unlocks'!$E$3:$E$560,'04_ccass_unlocks'!$A$3:$A$560,$A209),"")</f>
        <v>66.692700000000002</v>
      </c>
      <c r="F209" s="40">
        <f>IFERROR(SUMPRODUCT(('04_ccass_unlocks'!$A$3:$A$560=$A209)*('04_ccass_unlocks'!$E$3:$E$560=$E209)*'04_ccass_unlocks'!$C$3:$C$560),"")</f>
        <v>45408</v>
      </c>
      <c r="G209">
        <f>COUNTIF('04_ccass_unlocks'!$A$3:$A$560,$A209)</f>
        <v>2</v>
      </c>
      <c r="H209" s="80">
        <f>SUMIFS('04_ccass_unlocks'!$D$3:$D$560,'04_ccass_unlocks'!$A$3:$A$560,$A209)</f>
        <v>233887.51799999998</v>
      </c>
      <c r="I209" s="65">
        <f>SUMIFS('04_ccass_unlocks'!$F$3:$F$560,'04_ccass_unlocks'!$A$3:$A$560,$A209)</f>
        <v>2430908.8840400004</v>
      </c>
      <c r="J209" s="40">
        <f>IFERROR(_xlfn.MAXIFS('04_ccass_unlocks'!$C$3:$C$560,'04_ccass_unlocks'!$A$3:$A$560,$A209),"")</f>
        <v>45408</v>
      </c>
      <c r="K209" t="s">
        <v>2304</v>
      </c>
    </row>
    <row r="210" spans="1:11">
      <c r="A210" t="s">
        <v>546</v>
      </c>
      <c r="B210" t="s">
        <v>547</v>
      </c>
      <c r="C210" s="40">
        <f>IFERROR(_xlfn.MINIFS('04_ccass_unlocks'!$C$3:$C$560,'04_ccass_unlocks'!$A$3:$A$560,$A210),"")</f>
        <v>45302</v>
      </c>
      <c r="D210" s="50">
        <f>IFERROR(SUMPRODUCT(('04_ccass_unlocks'!$A$3:$A$560=$A210)*('04_ccass_unlocks'!$C$3:$C$560=$C210)*'04_ccass_unlocks'!$E$3:$E$560),"")</f>
        <v>3.9586000000000001</v>
      </c>
      <c r="E210" s="50">
        <f>IFERROR(_xlfn.MAXIFS('04_ccass_unlocks'!$E$3:$E$560,'04_ccass_unlocks'!$A$3:$A$560,$A210),"")</f>
        <v>3.9586000000000001</v>
      </c>
      <c r="F210" s="40">
        <f>IFERROR(SUMPRODUCT(('04_ccass_unlocks'!$A$3:$A$560=$A210)*('04_ccass_unlocks'!$E$3:$E$560=$E210)*'04_ccass_unlocks'!$C$3:$C$560),"")</f>
        <v>45302</v>
      </c>
      <c r="G210">
        <f>COUNTIF('04_ccass_unlocks'!$A$3:$A$560,$A210)</f>
        <v>1</v>
      </c>
      <c r="H210" s="80">
        <f>SUMIFS('04_ccass_unlocks'!$D$3:$D$560,'04_ccass_unlocks'!$A$3:$A$560,$A210)</f>
        <v>867.7</v>
      </c>
      <c r="I210" s="65">
        <f>SUMIFS('04_ccass_unlocks'!$F$3:$F$560,'04_ccass_unlocks'!$A$3:$A$560,$A210)</f>
        <v>92410.05</v>
      </c>
      <c r="J210" s="40">
        <f>IFERROR(_xlfn.MAXIFS('04_ccass_unlocks'!$C$3:$C$560,'04_ccass_unlocks'!$A$3:$A$560,$A210),"")</f>
        <v>45302</v>
      </c>
      <c r="K210" t="s">
        <v>2296</v>
      </c>
    </row>
    <row r="211" spans="1:11">
      <c r="A211" t="s">
        <v>929</v>
      </c>
      <c r="B211" t="s">
        <v>930</v>
      </c>
      <c r="C211" s="40">
        <f>IFERROR(_xlfn.MINIFS('04_ccass_unlocks'!$C$3:$C$560,'04_ccass_unlocks'!$A$3:$A$560,$A211),"")</f>
        <v>45811</v>
      </c>
      <c r="D211" s="50">
        <f>IFERROR(SUMPRODUCT(('04_ccass_unlocks'!$A$3:$A$560=$A211)*('04_ccass_unlocks'!$C$3:$C$560=$C211)*'04_ccass_unlocks'!$E$3:$E$560),"")</f>
        <v>68.414599999999993</v>
      </c>
      <c r="E211" s="50">
        <f>IFERROR(_xlfn.MAXIFS('04_ccass_unlocks'!$E$3:$E$560,'04_ccass_unlocks'!$A$3:$A$560,$A211),"")</f>
        <v>68.414599999999993</v>
      </c>
      <c r="F211" s="40">
        <f>IFERROR(SUMPRODUCT(('04_ccass_unlocks'!$A$3:$A$560=$A211)*('04_ccass_unlocks'!$E$3:$E$560=$E211)*'04_ccass_unlocks'!$C$3:$C$560),"")</f>
        <v>45811</v>
      </c>
      <c r="G211">
        <f>COUNTIF('04_ccass_unlocks'!$A$3:$A$560,$A211)</f>
        <v>1</v>
      </c>
      <c r="H211" s="80">
        <f>SUMIFS('04_ccass_unlocks'!$D$3:$D$560,'04_ccass_unlocks'!$A$3:$A$560,$A211)</f>
        <v>35062.5</v>
      </c>
      <c r="I211" s="65">
        <f>SUMIFS('04_ccass_unlocks'!$F$3:$F$560,'04_ccass_unlocks'!$A$3:$A$560,$A211)</f>
        <v>7187.8125</v>
      </c>
      <c r="J211" s="40">
        <f>IFERROR(_xlfn.MAXIFS('04_ccass_unlocks'!$C$3:$C$560,'04_ccass_unlocks'!$A$3:$A$560,$A211),"")</f>
        <v>45811</v>
      </c>
      <c r="K211" t="s">
        <v>2295</v>
      </c>
    </row>
    <row r="212" spans="1:11">
      <c r="A212" t="s">
        <v>1040</v>
      </c>
      <c r="B212" t="s">
        <v>1041</v>
      </c>
      <c r="C212" s="40">
        <f>IFERROR(_xlfn.MINIFS('04_ccass_unlocks'!$C$3:$C$560,'04_ccass_unlocks'!$A$3:$A$560,$A212),"")</f>
        <v>46122</v>
      </c>
      <c r="D212" s="50">
        <f>IFERROR(SUMPRODUCT(('04_ccass_unlocks'!$A$3:$A$560=$A212)*('04_ccass_unlocks'!$C$3:$C$560=$C212)*'04_ccass_unlocks'!$E$3:$E$560),"")</f>
        <v>10.5</v>
      </c>
      <c r="E212" s="50">
        <f>IFERROR(_xlfn.MAXIFS('04_ccass_unlocks'!$E$3:$E$560,'04_ccass_unlocks'!$A$3:$A$560,$A212),"")</f>
        <v>10.5</v>
      </c>
      <c r="F212" s="40">
        <f>IFERROR(SUMPRODUCT(('04_ccass_unlocks'!$A$3:$A$560=$A212)*('04_ccass_unlocks'!$E$3:$E$560=$E212)*'04_ccass_unlocks'!$C$3:$C$560),"")</f>
        <v>46122</v>
      </c>
      <c r="G212">
        <f>COUNTIF('04_ccass_unlocks'!$A$3:$A$560,$A212)</f>
        <v>1</v>
      </c>
      <c r="H212" s="80">
        <f>SUMIFS('04_ccass_unlocks'!$D$3:$D$560,'04_ccass_unlocks'!$A$3:$A$560,$A212)</f>
        <v>4200</v>
      </c>
      <c r="I212" s="65">
        <f>SUMIFS('04_ccass_unlocks'!$F$3:$F$560,'04_ccass_unlocks'!$A$3:$A$560,$A212)</f>
        <v>945</v>
      </c>
      <c r="J212" s="40">
        <f>IFERROR(_xlfn.MAXIFS('04_ccass_unlocks'!$C$3:$C$560,'04_ccass_unlocks'!$A$3:$A$560,$A212),"")</f>
        <v>46122</v>
      </c>
      <c r="K212" t="s">
        <v>2305</v>
      </c>
    </row>
    <row r="213" spans="1:11">
      <c r="A213" t="s">
        <v>896</v>
      </c>
      <c r="B213" t="s">
        <v>897</v>
      </c>
      <c r="C213" s="40">
        <f>IFERROR(_xlfn.MINIFS('04_ccass_unlocks'!$C$3:$C$560,'04_ccass_unlocks'!$A$3:$A$560,$A213),"")</f>
        <v>45659</v>
      </c>
      <c r="D213" s="50">
        <f>IFERROR(SUMPRODUCT(('04_ccass_unlocks'!$A$3:$A$560=$A213)*('04_ccass_unlocks'!$C$3:$C$560=$C213)*'04_ccass_unlocks'!$E$3:$E$560),"")</f>
        <v>26.402799999999999</v>
      </c>
      <c r="E213" s="50">
        <f>IFERROR(_xlfn.MAXIFS('04_ccass_unlocks'!$E$3:$E$560,'04_ccass_unlocks'!$A$3:$A$560,$A213),"")</f>
        <v>55.597200000000001</v>
      </c>
      <c r="F213" s="40">
        <f>IFERROR(SUMPRODUCT(('04_ccass_unlocks'!$A$3:$A$560=$A213)*('04_ccass_unlocks'!$E$3:$E$560=$E213)*'04_ccass_unlocks'!$C$3:$C$560),"")</f>
        <v>45840</v>
      </c>
      <c r="G213">
        <f>COUNTIF('04_ccass_unlocks'!$A$3:$A$560,$A213)</f>
        <v>2</v>
      </c>
      <c r="H213" s="80">
        <f>SUMIFS('04_ccass_unlocks'!$D$3:$D$560,'04_ccass_unlocks'!$A$3:$A$560,$A213)</f>
        <v>12300</v>
      </c>
      <c r="I213" s="65">
        <f>SUMIFS('04_ccass_unlocks'!$F$3:$F$560,'04_ccass_unlocks'!$A$3:$A$560,$A213)</f>
        <v>11109.604186</v>
      </c>
      <c r="J213" s="40">
        <f>IFERROR(_xlfn.MAXIFS('04_ccass_unlocks'!$C$3:$C$560,'04_ccass_unlocks'!$A$3:$A$560,$A213),"")</f>
        <v>45840</v>
      </c>
      <c r="K213" t="s">
        <v>2295</v>
      </c>
    </row>
    <row r="214" spans="1:11">
      <c r="A214" t="s">
        <v>525</v>
      </c>
      <c r="B214" t="s">
        <v>526</v>
      </c>
      <c r="C214" s="40">
        <f>IFERROR(_xlfn.MINIFS('04_ccass_unlocks'!$C$3:$C$560,'04_ccass_unlocks'!$A$3:$A$560,$A214),"")</f>
        <v>45945</v>
      </c>
      <c r="D214" s="50">
        <f>IFERROR(SUMPRODUCT(('04_ccass_unlocks'!$A$3:$A$560=$A214)*('04_ccass_unlocks'!$C$3:$C$560=$C214)*'04_ccass_unlocks'!$E$3:$E$560),"")</f>
        <v>83.426900000000003</v>
      </c>
      <c r="E214" s="50">
        <f>IFERROR(_xlfn.MAXIFS('04_ccass_unlocks'!$E$3:$E$560,'04_ccass_unlocks'!$A$3:$A$560,$A214),"")</f>
        <v>83.426900000000003</v>
      </c>
      <c r="F214" s="40">
        <f>IFERROR(SUMPRODUCT(('04_ccass_unlocks'!$A$3:$A$560=$A214)*('04_ccass_unlocks'!$E$3:$E$560=$E214)*'04_ccass_unlocks'!$C$3:$C$560),"")</f>
        <v>45945</v>
      </c>
      <c r="G214">
        <f>COUNTIF('04_ccass_unlocks'!$A$3:$A$560,$A214)</f>
        <v>1</v>
      </c>
      <c r="H214" s="80">
        <f>SUMIFS('04_ccass_unlocks'!$D$3:$D$560,'04_ccass_unlocks'!$A$3:$A$560,$A214)</f>
        <v>7344.5964000000004</v>
      </c>
      <c r="I214" s="65">
        <f>SUMIFS('04_ccass_unlocks'!$F$3:$F$560,'04_ccass_unlocks'!$A$3:$A$560,$A214)</f>
        <v>2306203.2696000002</v>
      </c>
      <c r="J214" s="40">
        <f>IFERROR(_xlfn.MAXIFS('04_ccass_unlocks'!$C$3:$C$560,'04_ccass_unlocks'!$A$3:$A$560,$A214),"")</f>
        <v>45945</v>
      </c>
      <c r="K214" t="s">
        <v>2296</v>
      </c>
    </row>
    <row r="215" spans="1:11">
      <c r="A215" t="s">
        <v>509</v>
      </c>
      <c r="B215" t="s">
        <v>510</v>
      </c>
      <c r="C215" s="40">
        <f>IFERROR(_xlfn.MINIFS('04_ccass_unlocks'!$C$3:$C$560,'04_ccass_unlocks'!$A$3:$A$560,$A215),"")</f>
        <v>45179</v>
      </c>
      <c r="D215" s="50">
        <f>IFERROR(SUMPRODUCT(('04_ccass_unlocks'!$A$3:$A$560=$A215)*('04_ccass_unlocks'!$C$3:$C$560=$C215)*'04_ccass_unlocks'!$E$3:$E$560),"")</f>
        <v>4.3590999999999998</v>
      </c>
      <c r="E215" s="50">
        <f>IFERROR(_xlfn.MAXIFS('04_ccass_unlocks'!$E$3:$E$560,'04_ccass_unlocks'!$A$3:$A$560,$A215),"")</f>
        <v>4.3590999999999998</v>
      </c>
      <c r="F215" s="40">
        <f>IFERROR(SUMPRODUCT(('04_ccass_unlocks'!$A$3:$A$560=$A215)*('04_ccass_unlocks'!$E$3:$E$560=$E215)*'04_ccass_unlocks'!$C$3:$C$560),"")</f>
        <v>45179</v>
      </c>
      <c r="G215">
        <f>COUNTIF('04_ccass_unlocks'!$A$3:$A$560,$A215)</f>
        <v>1</v>
      </c>
      <c r="H215" s="80">
        <f>SUMIFS('04_ccass_unlocks'!$D$3:$D$560,'04_ccass_unlocks'!$A$3:$A$560,$A215)</f>
        <v>2031.7</v>
      </c>
      <c r="I215" s="65">
        <f>SUMIFS('04_ccass_unlocks'!$F$3:$F$560,'04_ccass_unlocks'!$A$3:$A$560,$A215)</f>
        <v>31531.984</v>
      </c>
      <c r="J215" s="40">
        <f>IFERROR(_xlfn.MAXIFS('04_ccass_unlocks'!$C$3:$C$560,'04_ccass_unlocks'!$A$3:$A$560,$A215),"")</f>
        <v>45179</v>
      </c>
      <c r="K215" t="s">
        <v>2298</v>
      </c>
    </row>
    <row r="216" spans="1:11">
      <c r="A216" t="s">
        <v>350</v>
      </c>
      <c r="B216" t="s">
        <v>351</v>
      </c>
      <c r="C216" s="40">
        <f>IFERROR(_xlfn.MINIFS('04_ccass_unlocks'!$C$3:$C$560,'04_ccass_unlocks'!$A$3:$A$560,$A216),"")</f>
        <v>44834</v>
      </c>
      <c r="D216" s="50">
        <f>IFERROR(SUMPRODUCT(('04_ccass_unlocks'!$A$3:$A$560=$A216)*('04_ccass_unlocks'!$C$3:$C$560=$C216)*'04_ccass_unlocks'!$E$3:$E$560),"")</f>
        <v>13.092599999999999</v>
      </c>
      <c r="E216" s="50">
        <f>IFERROR(_xlfn.MAXIFS('04_ccass_unlocks'!$E$3:$E$560,'04_ccass_unlocks'!$A$3:$A$560,$A216),"")</f>
        <v>13.092599999999999</v>
      </c>
      <c r="F216" s="40">
        <f>IFERROR(SUMPRODUCT(('04_ccass_unlocks'!$A$3:$A$560=$A216)*('04_ccass_unlocks'!$E$3:$E$560=$E216)*'04_ccass_unlocks'!$C$3:$C$560),"")</f>
        <v>44834</v>
      </c>
      <c r="G216">
        <f>COUNTIF('04_ccass_unlocks'!$A$3:$A$560,$A216)</f>
        <v>1</v>
      </c>
      <c r="H216" s="80">
        <f>SUMIFS('04_ccass_unlocks'!$D$3:$D$560,'04_ccass_unlocks'!$A$3:$A$560,$A216)</f>
        <v>4431.62</v>
      </c>
      <c r="I216" s="65">
        <f>SUMIFS('04_ccass_unlocks'!$F$3:$F$560,'04_ccass_unlocks'!$A$3:$A$560,$A216)</f>
        <v>88189.237999999998</v>
      </c>
      <c r="J216" s="40">
        <f>IFERROR(_xlfn.MAXIFS('04_ccass_unlocks'!$C$3:$C$560,'04_ccass_unlocks'!$A$3:$A$560,$A216),"")</f>
        <v>44834</v>
      </c>
      <c r="K216" t="s">
        <v>2297</v>
      </c>
    </row>
    <row r="217" spans="1:11">
      <c r="A217" t="s">
        <v>860</v>
      </c>
      <c r="B217" t="s">
        <v>861</v>
      </c>
      <c r="C217" s="40">
        <f>IFERROR(_xlfn.MINIFS('04_ccass_unlocks'!$C$3:$C$560,'04_ccass_unlocks'!$A$3:$A$560,$A217),"")</f>
        <v>45847</v>
      </c>
      <c r="D217" s="50">
        <f>IFERROR(SUMPRODUCT(('04_ccass_unlocks'!$A$3:$A$560=$A217)*('04_ccass_unlocks'!$C$3:$C$560=$C217)*'04_ccass_unlocks'!$E$3:$E$560),"")</f>
        <v>2.0545</v>
      </c>
      <c r="E217" s="50">
        <f>IFERROR(_xlfn.MAXIFS('04_ccass_unlocks'!$E$3:$E$560,'04_ccass_unlocks'!$A$3:$A$560,$A217),"")</f>
        <v>77.739000000000004</v>
      </c>
      <c r="F217" s="40">
        <f>IFERROR(SUMPRODUCT(('04_ccass_unlocks'!$A$3:$A$560=$A217)*('04_ccass_unlocks'!$E$3:$E$560=$E217)*'04_ccass_unlocks'!$C$3:$C$560),"")</f>
        <v>45939</v>
      </c>
      <c r="G217">
        <f>COUNTIF('04_ccass_unlocks'!$A$3:$A$560,$A217)</f>
        <v>2</v>
      </c>
      <c r="H217" s="80">
        <f>SUMIFS('04_ccass_unlocks'!$D$3:$D$560,'04_ccass_unlocks'!$A$3:$A$560,$A217)</f>
        <v>79793.5</v>
      </c>
      <c r="I217" s="65">
        <f>SUMIFS('04_ccass_unlocks'!$F$3:$F$560,'04_ccass_unlocks'!$A$3:$A$560,$A217)</f>
        <v>96731.72</v>
      </c>
      <c r="J217" s="40">
        <f>IFERROR(_xlfn.MAXIFS('04_ccass_unlocks'!$C$3:$C$560,'04_ccass_unlocks'!$A$3:$A$560,$A217),"")</f>
        <v>45939</v>
      </c>
      <c r="K217" t="s">
        <v>2305</v>
      </c>
    </row>
    <row r="218" spans="1:11">
      <c r="A218" t="s">
        <v>542</v>
      </c>
      <c r="B218" t="s">
        <v>543</v>
      </c>
      <c r="C218" s="40">
        <f>IFERROR(_xlfn.MINIFS('04_ccass_unlocks'!$C$3:$C$560,'04_ccass_unlocks'!$A$3:$A$560,$A218),"")</f>
        <v>45771</v>
      </c>
      <c r="D218" s="50">
        <f>IFERROR(SUMPRODUCT(('04_ccass_unlocks'!$A$3:$A$560=$A218)*('04_ccass_unlocks'!$C$3:$C$560=$C218)*'04_ccass_unlocks'!$E$3:$E$560),"")</f>
        <v>72.3</v>
      </c>
      <c r="E218" s="50">
        <f>IFERROR(_xlfn.MAXIFS('04_ccass_unlocks'!$E$3:$E$560,'04_ccass_unlocks'!$A$3:$A$560,$A218),"")</f>
        <v>72.3</v>
      </c>
      <c r="F218" s="40">
        <f>IFERROR(SUMPRODUCT(('04_ccass_unlocks'!$A$3:$A$560=$A218)*('04_ccass_unlocks'!$E$3:$E$560=$E218)*'04_ccass_unlocks'!$C$3:$C$560),"")</f>
        <v>45771</v>
      </c>
      <c r="G218">
        <f>COUNTIF('04_ccass_unlocks'!$A$3:$A$560,$A218)</f>
        <v>2</v>
      </c>
      <c r="H218" s="80">
        <f>SUMIFS('04_ccass_unlocks'!$D$3:$D$560,'04_ccass_unlocks'!$A$3:$A$560,$A218)</f>
        <v>997809.40120000008</v>
      </c>
      <c r="I218" s="65">
        <f>SUMIFS('04_ccass_unlocks'!$F$3:$F$560,'04_ccass_unlocks'!$A$3:$A$560,$A218)</f>
        <v>5730176.8872080008</v>
      </c>
      <c r="J218" s="40">
        <f>IFERROR(_xlfn.MAXIFS('04_ccass_unlocks'!$C$3:$C$560,'04_ccass_unlocks'!$A$3:$A$560,$A218),"")</f>
        <v>45954</v>
      </c>
      <c r="K218" t="s">
        <v>2298</v>
      </c>
    </row>
    <row r="219" spans="1:11">
      <c r="A219" t="s">
        <v>407</v>
      </c>
      <c r="B219" t="s">
        <v>408</v>
      </c>
      <c r="C219" s="40">
        <f>IFERROR(_xlfn.MINIFS('04_ccass_unlocks'!$C$3:$C$560,'04_ccass_unlocks'!$A$3:$A$560,$A219),"")</f>
        <v>45394</v>
      </c>
      <c r="D219" s="50">
        <f>IFERROR(SUMPRODUCT(('04_ccass_unlocks'!$A$3:$A$560=$A219)*('04_ccass_unlocks'!$C$3:$C$560=$C219)*'04_ccass_unlocks'!$E$3:$E$560),"")</f>
        <v>0.62090000000000001</v>
      </c>
      <c r="E219" s="50">
        <f>IFERROR(_xlfn.MAXIFS('04_ccass_unlocks'!$E$3:$E$560,'04_ccass_unlocks'!$A$3:$A$560,$A219),"")</f>
        <v>0.62090000000000001</v>
      </c>
      <c r="F219" s="40">
        <f>IFERROR(SUMPRODUCT(('04_ccass_unlocks'!$A$3:$A$560=$A219)*('04_ccass_unlocks'!$E$3:$E$560=$E219)*'04_ccass_unlocks'!$C$3:$C$560),"")</f>
        <v>45394</v>
      </c>
      <c r="G219">
        <f>COUNTIF('04_ccass_unlocks'!$A$3:$A$560,$A219)</f>
        <v>1</v>
      </c>
      <c r="H219" s="80">
        <f>SUMIFS('04_ccass_unlocks'!$D$3:$D$560,'04_ccass_unlocks'!$A$3:$A$560,$A219)</f>
        <v>663.24</v>
      </c>
      <c r="I219" s="65">
        <f>SUMIFS('04_ccass_unlocks'!$F$3:$F$560,'04_ccass_unlocks'!$A$3:$A$560,$A219)</f>
        <v>14458.632</v>
      </c>
      <c r="J219" s="40">
        <f>IFERROR(_xlfn.MAXIFS('04_ccass_unlocks'!$C$3:$C$560,'04_ccass_unlocks'!$A$3:$A$560,$A219),"")</f>
        <v>45394</v>
      </c>
      <c r="K219" t="s">
        <v>2302</v>
      </c>
    </row>
    <row r="220" spans="1:11">
      <c r="A220" t="s">
        <v>492</v>
      </c>
      <c r="B220" t="s">
        <v>493</v>
      </c>
      <c r="C220" s="40">
        <f>IFERROR(_xlfn.MINIFS('04_ccass_unlocks'!$C$3:$C$560,'04_ccass_unlocks'!$A$3:$A$560,$A220),"")</f>
        <v>45667</v>
      </c>
      <c r="D220" s="50">
        <f>IFERROR(SUMPRODUCT(('04_ccass_unlocks'!$A$3:$A$560=$A220)*('04_ccass_unlocks'!$C$3:$C$560=$C220)*'04_ccass_unlocks'!$E$3:$E$560),"")</f>
        <v>85.1066</v>
      </c>
      <c r="E220" s="50">
        <f>IFERROR(_xlfn.MAXIFS('04_ccass_unlocks'!$E$3:$E$560,'04_ccass_unlocks'!$A$3:$A$560,$A220),"")</f>
        <v>85.1066</v>
      </c>
      <c r="F220" s="40">
        <f>IFERROR(SUMPRODUCT(('04_ccass_unlocks'!$A$3:$A$560=$A220)*('04_ccass_unlocks'!$E$3:$E$560=$E220)*'04_ccass_unlocks'!$C$3:$C$560),"")</f>
        <v>45667</v>
      </c>
      <c r="G220">
        <f>COUNTIF('04_ccass_unlocks'!$A$3:$A$560,$A220)</f>
        <v>2</v>
      </c>
      <c r="H220" s="80">
        <f>SUMIFS('04_ccass_unlocks'!$D$3:$D$560,'04_ccass_unlocks'!$A$3:$A$560,$A220)</f>
        <v>19723.165199999999</v>
      </c>
      <c r="I220" s="65">
        <f>SUMIFS('04_ccass_unlocks'!$F$3:$F$560,'04_ccass_unlocks'!$A$3:$A$560,$A220)</f>
        <v>224284.05789200001</v>
      </c>
      <c r="J220" s="40">
        <f>IFERROR(_xlfn.MAXIFS('04_ccass_unlocks'!$C$3:$C$560,'04_ccass_unlocks'!$A$3:$A$560,$A220),"")</f>
        <v>45848</v>
      </c>
      <c r="K220" t="s">
        <v>2309</v>
      </c>
    </row>
    <row r="221" spans="1:11">
      <c r="A221" t="s">
        <v>761</v>
      </c>
      <c r="B221" t="s">
        <v>762</v>
      </c>
      <c r="C221" s="40">
        <f>IFERROR(_xlfn.MINIFS('04_ccass_unlocks'!$C$3:$C$560,'04_ccass_unlocks'!$A$3:$A$560,$A221),"")</f>
        <v>45379</v>
      </c>
      <c r="D221" s="50">
        <f>IFERROR(SUMPRODUCT(('04_ccass_unlocks'!$A$3:$A$560=$A221)*('04_ccass_unlocks'!$C$3:$C$560=$C221)*'04_ccass_unlocks'!$E$3:$E$560),"")</f>
        <v>5.5343</v>
      </c>
      <c r="E221" s="50">
        <f>IFERROR(_xlfn.MAXIFS('04_ccass_unlocks'!$E$3:$E$560,'04_ccass_unlocks'!$A$3:$A$560,$A221),"")</f>
        <v>5.5343</v>
      </c>
      <c r="F221" s="40">
        <f>IFERROR(SUMPRODUCT(('04_ccass_unlocks'!$A$3:$A$560=$A221)*('04_ccass_unlocks'!$E$3:$E$560=$E221)*'04_ccass_unlocks'!$C$3:$C$560),"")</f>
        <v>45379</v>
      </c>
      <c r="G221">
        <f>COUNTIF('04_ccass_unlocks'!$A$3:$A$560,$A221)</f>
        <v>1</v>
      </c>
      <c r="H221" s="80">
        <f>SUMIFS('04_ccass_unlocks'!$D$3:$D$560,'04_ccass_unlocks'!$A$3:$A$560,$A221)</f>
        <v>4659.2</v>
      </c>
      <c r="I221" s="65">
        <f>SUMIFS('04_ccass_unlocks'!$F$3:$F$560,'04_ccass_unlocks'!$A$3:$A$560,$A221)</f>
        <v>5264.8959999999997</v>
      </c>
      <c r="J221" s="40">
        <f>IFERROR(_xlfn.MAXIFS('04_ccass_unlocks'!$C$3:$C$560,'04_ccass_unlocks'!$A$3:$A$560,$A221),"")</f>
        <v>45379</v>
      </c>
      <c r="K221" t="s">
        <v>2292</v>
      </c>
    </row>
    <row r="222" spans="1:11">
      <c r="A222" t="s">
        <v>329</v>
      </c>
      <c r="B222" t="s">
        <v>330</v>
      </c>
      <c r="C222" s="40">
        <f>IFERROR(_xlfn.MINIFS('04_ccass_unlocks'!$C$3:$C$560,'04_ccass_unlocks'!$A$3:$A$560,$A222),"")</f>
        <v>45377</v>
      </c>
      <c r="D222" s="50">
        <f>IFERROR(SUMPRODUCT(('04_ccass_unlocks'!$A$3:$A$560=$A222)*('04_ccass_unlocks'!$C$3:$C$560=$C222)*'04_ccass_unlocks'!$E$3:$E$560),"")</f>
        <v>3.4218999999999999</v>
      </c>
      <c r="E222" s="50">
        <f>IFERROR(_xlfn.MAXIFS('04_ccass_unlocks'!$E$3:$E$560,'04_ccass_unlocks'!$A$3:$A$560,$A222),"")</f>
        <v>3.4218999999999999</v>
      </c>
      <c r="F222" s="40">
        <f>IFERROR(SUMPRODUCT(('04_ccass_unlocks'!$A$3:$A$560=$A222)*('04_ccass_unlocks'!$E$3:$E$560=$E222)*'04_ccass_unlocks'!$C$3:$C$560),"")</f>
        <v>45377</v>
      </c>
      <c r="G222">
        <f>COUNTIF('04_ccass_unlocks'!$A$3:$A$560,$A222)</f>
        <v>1</v>
      </c>
      <c r="H222" s="80">
        <f>SUMIFS('04_ccass_unlocks'!$D$3:$D$560,'04_ccass_unlocks'!$A$3:$A$560,$A222)</f>
        <v>2802.13</v>
      </c>
      <c r="I222" s="65">
        <f>SUMIFS('04_ccass_unlocks'!$F$3:$F$560,'04_ccass_unlocks'!$A$3:$A$560,$A222)</f>
        <v>41471.523999999998</v>
      </c>
      <c r="J222" s="40">
        <f>IFERROR(_xlfn.MAXIFS('04_ccass_unlocks'!$C$3:$C$560,'04_ccass_unlocks'!$A$3:$A$560,$A222),"")</f>
        <v>45377</v>
      </c>
      <c r="K222" t="s">
        <v>2311</v>
      </c>
    </row>
    <row r="223" spans="1:11">
      <c r="A223" t="s">
        <v>256</v>
      </c>
      <c r="B223" t="s">
        <v>257</v>
      </c>
      <c r="C223" s="40">
        <f>IFERROR(_xlfn.MINIFS('04_ccass_unlocks'!$C$3:$C$560,'04_ccass_unlocks'!$A$3:$A$560,$A223),"")</f>
        <v>44939</v>
      </c>
      <c r="D223" s="50">
        <f>IFERROR(SUMPRODUCT(('04_ccass_unlocks'!$A$3:$A$560=$A223)*('04_ccass_unlocks'!$C$3:$C$560=$C223)*'04_ccass_unlocks'!$E$3:$E$560),"")</f>
        <v>36.427900000000001</v>
      </c>
      <c r="E223" s="50">
        <f>IFERROR(_xlfn.MAXIFS('04_ccass_unlocks'!$E$3:$E$560,'04_ccass_unlocks'!$A$3:$A$560,$A223),"")</f>
        <v>36.427900000000001</v>
      </c>
      <c r="F223" s="40">
        <f>IFERROR(SUMPRODUCT(('04_ccass_unlocks'!$A$3:$A$560=$A223)*('04_ccass_unlocks'!$E$3:$E$560=$E223)*'04_ccass_unlocks'!$C$3:$C$560),"")</f>
        <v>44939</v>
      </c>
      <c r="G223">
        <f>COUNTIF('04_ccass_unlocks'!$A$3:$A$560,$A223)</f>
        <v>1</v>
      </c>
      <c r="H223" s="80">
        <f>SUMIFS('04_ccass_unlocks'!$D$3:$D$560,'04_ccass_unlocks'!$A$3:$A$560,$A223)</f>
        <v>5978.62</v>
      </c>
      <c r="I223" s="65">
        <f>SUMIFS('04_ccass_unlocks'!$F$3:$F$560,'04_ccass_unlocks'!$A$3:$A$560,$A223)</f>
        <v>377549.853</v>
      </c>
      <c r="J223" s="40">
        <f>IFERROR(_xlfn.MAXIFS('04_ccass_unlocks'!$C$3:$C$560,'04_ccass_unlocks'!$A$3:$A$560,$A223),"")</f>
        <v>44939</v>
      </c>
      <c r="K223" t="s">
        <v>2307</v>
      </c>
    </row>
    <row r="224" spans="1:11">
      <c r="A224" t="s">
        <v>594</v>
      </c>
      <c r="B224" t="s">
        <v>595</v>
      </c>
      <c r="C224" s="40">
        <f>IFERROR(_xlfn.MINIFS('04_ccass_unlocks'!$C$3:$C$560,'04_ccass_unlocks'!$A$3:$A$560,$A224),"")</f>
        <v>44967</v>
      </c>
      <c r="D224" s="50">
        <f>IFERROR(SUMPRODUCT(('04_ccass_unlocks'!$A$3:$A$560=$A224)*('04_ccass_unlocks'!$C$3:$C$560=$C224)*'04_ccass_unlocks'!$E$3:$E$560),"")</f>
        <v>1.9619</v>
      </c>
      <c r="E224" s="50">
        <f>IFERROR(_xlfn.MAXIFS('04_ccass_unlocks'!$E$3:$E$560,'04_ccass_unlocks'!$A$3:$A$560,$A224),"")</f>
        <v>1.9619</v>
      </c>
      <c r="F224" s="40">
        <f>IFERROR(SUMPRODUCT(('04_ccass_unlocks'!$A$3:$A$560=$A224)*('04_ccass_unlocks'!$E$3:$E$560=$E224)*'04_ccass_unlocks'!$C$3:$C$560),"")</f>
        <v>44967</v>
      </c>
      <c r="G224">
        <f>COUNTIF('04_ccass_unlocks'!$A$3:$A$560,$A224)</f>
        <v>1</v>
      </c>
      <c r="H224" s="80">
        <f>SUMIFS('04_ccass_unlocks'!$D$3:$D$560,'04_ccass_unlocks'!$A$3:$A$560,$A224)</f>
        <v>707.18</v>
      </c>
      <c r="I224" s="65">
        <f>SUMIFS('04_ccass_unlocks'!$F$3:$F$560,'04_ccass_unlocks'!$A$3:$A$560,$A224)</f>
        <v>21215.4</v>
      </c>
      <c r="J224" s="40">
        <f>IFERROR(_xlfn.MAXIFS('04_ccass_unlocks'!$C$3:$C$560,'04_ccass_unlocks'!$A$3:$A$560,$A224),"")</f>
        <v>44967</v>
      </c>
      <c r="K224" t="s">
        <v>2308</v>
      </c>
    </row>
    <row r="225" spans="1:11">
      <c r="A225" t="s">
        <v>442</v>
      </c>
      <c r="B225" t="s">
        <v>443</v>
      </c>
      <c r="C225" s="40">
        <f>IFERROR(_xlfn.MINIFS('04_ccass_unlocks'!$C$3:$C$560,'04_ccass_unlocks'!$A$3:$A$560,$A225),"")</f>
        <v>45290</v>
      </c>
      <c r="D225" s="50">
        <f>IFERROR(SUMPRODUCT(('04_ccass_unlocks'!$A$3:$A$560=$A225)*('04_ccass_unlocks'!$C$3:$C$560=$C225)*'04_ccass_unlocks'!$E$3:$E$560),"")</f>
        <v>3.2511000000000001</v>
      </c>
      <c r="E225" s="50">
        <f>IFERROR(_xlfn.MAXIFS('04_ccass_unlocks'!$E$3:$E$560,'04_ccass_unlocks'!$A$3:$A$560,$A225),"")</f>
        <v>3.2511000000000001</v>
      </c>
      <c r="F225" s="40">
        <f>IFERROR(SUMPRODUCT(('04_ccass_unlocks'!$A$3:$A$560=$A225)*('04_ccass_unlocks'!$E$3:$E$560=$E225)*'04_ccass_unlocks'!$C$3:$C$560),"")</f>
        <v>45290</v>
      </c>
      <c r="G225">
        <f>COUNTIF('04_ccass_unlocks'!$A$3:$A$560,$A225)</f>
        <v>1</v>
      </c>
      <c r="H225" s="80">
        <f>SUMIFS('04_ccass_unlocks'!$D$3:$D$560,'04_ccass_unlocks'!$A$3:$A$560,$A225)</f>
        <v>2364.6999999999998</v>
      </c>
      <c r="I225" s="65">
        <f>SUMIFS('04_ccass_unlocks'!$F$3:$F$560,'04_ccass_unlocks'!$A$3:$A$560,$A225)</f>
        <v>30835.687999999998</v>
      </c>
      <c r="J225" s="40">
        <f>IFERROR(_xlfn.MAXIFS('04_ccass_unlocks'!$C$3:$C$560,'04_ccass_unlocks'!$A$3:$A$560,$A225),"")</f>
        <v>45290</v>
      </c>
      <c r="K225" t="s">
        <v>2292</v>
      </c>
    </row>
    <row r="226" spans="1:11">
      <c r="A226" t="s">
        <v>311</v>
      </c>
      <c r="B226" t="s">
        <v>312</v>
      </c>
      <c r="C226" s="40">
        <f>IFERROR(_xlfn.MINIFS('04_ccass_unlocks'!$C$3:$C$560,'04_ccass_unlocks'!$A$3:$A$560,$A226),"")</f>
        <v>45014</v>
      </c>
      <c r="D226" s="50">
        <f>IFERROR(SUMPRODUCT(('04_ccass_unlocks'!$A$3:$A$560=$A226)*('04_ccass_unlocks'!$C$3:$C$560=$C226)*'04_ccass_unlocks'!$E$3:$E$560),"")</f>
        <v>4.3144</v>
      </c>
      <c r="E226" s="50">
        <f>IFERROR(_xlfn.MAXIFS('04_ccass_unlocks'!$E$3:$E$560,'04_ccass_unlocks'!$A$3:$A$560,$A226),"")</f>
        <v>14.5299</v>
      </c>
      <c r="F226" s="40">
        <f>IFERROR(SUMPRODUCT(('04_ccass_unlocks'!$A$3:$A$560=$A226)*('04_ccass_unlocks'!$E$3:$E$560=$E226)*'04_ccass_unlocks'!$C$3:$C$560),"")</f>
        <v>45616</v>
      </c>
      <c r="G226">
        <f>COUNTIF('04_ccass_unlocks'!$A$3:$A$560,$A226)</f>
        <v>2</v>
      </c>
      <c r="H226" s="80">
        <f>SUMIFS('04_ccass_unlocks'!$D$3:$D$560,'04_ccass_unlocks'!$A$3:$A$560,$A226)</f>
        <v>24356.063000000002</v>
      </c>
      <c r="I226" s="65">
        <f>SUMIFS('04_ccass_unlocks'!$F$3:$F$560,'04_ccass_unlocks'!$A$3:$A$560,$A226)</f>
        <v>768135.63415000006</v>
      </c>
      <c r="J226" s="40">
        <f>IFERROR(_xlfn.MAXIFS('04_ccass_unlocks'!$C$3:$C$560,'04_ccass_unlocks'!$A$3:$A$560,$A226),"")</f>
        <v>45616</v>
      </c>
      <c r="K226" t="s">
        <v>2300</v>
      </c>
    </row>
    <row r="227" spans="1:11">
      <c r="A227" t="s">
        <v>986</v>
      </c>
      <c r="B227" t="s">
        <v>987</v>
      </c>
      <c r="C227" s="40">
        <f>IFERROR(_xlfn.MINIFS('04_ccass_unlocks'!$C$3:$C$560,'04_ccass_unlocks'!$A$3:$A$560,$A227),"")</f>
        <v>45026</v>
      </c>
      <c r="D227" s="50">
        <f>IFERROR(SUMPRODUCT(('04_ccass_unlocks'!$A$3:$A$560=$A227)*('04_ccass_unlocks'!$C$3:$C$560=$C227)*'04_ccass_unlocks'!$E$3:$E$560),"")</f>
        <v>1.3535999999999999</v>
      </c>
      <c r="E227" s="50">
        <f>IFERROR(_xlfn.MAXIFS('04_ccass_unlocks'!$E$3:$E$560,'04_ccass_unlocks'!$A$3:$A$560,$A227),"")</f>
        <v>1.3535999999999999</v>
      </c>
      <c r="F227" s="40">
        <f>IFERROR(SUMPRODUCT(('04_ccass_unlocks'!$A$3:$A$560=$A227)*('04_ccass_unlocks'!$E$3:$E$560=$E227)*'04_ccass_unlocks'!$C$3:$C$560),"")</f>
        <v>45026</v>
      </c>
      <c r="G227">
        <f>COUNTIF('04_ccass_unlocks'!$A$3:$A$560,$A227)</f>
        <v>1</v>
      </c>
      <c r="H227" s="80">
        <f>SUMIFS('04_ccass_unlocks'!$D$3:$D$560,'04_ccass_unlocks'!$A$3:$A$560,$A227)</f>
        <v>564.66</v>
      </c>
      <c r="I227" s="65">
        <f>SUMIFS('04_ccass_unlocks'!$F$3:$F$560,'04_ccass_unlocks'!$A$3:$A$560,$A227)</f>
        <v>22021.74</v>
      </c>
      <c r="J227" s="40">
        <f>IFERROR(_xlfn.MAXIFS('04_ccass_unlocks'!$C$3:$C$560,'04_ccass_unlocks'!$A$3:$A$560,$A227),"")</f>
        <v>45026</v>
      </c>
      <c r="K227" t="s">
        <v>2292</v>
      </c>
    </row>
    <row r="228" spans="1:11">
      <c r="A228" t="s">
        <v>234</v>
      </c>
      <c r="B228" t="s">
        <v>235</v>
      </c>
      <c r="C228" s="40">
        <f>IFERROR(_xlfn.MINIFS('04_ccass_unlocks'!$C$3:$C$560,'04_ccass_unlocks'!$A$3:$A$560,$A228),"")</f>
        <v>44791</v>
      </c>
      <c r="D228" s="50">
        <f>IFERROR(SUMPRODUCT(('04_ccass_unlocks'!$A$3:$A$560=$A228)*('04_ccass_unlocks'!$C$3:$C$560=$C228)*'04_ccass_unlocks'!$E$3:$E$560),"")</f>
        <v>4.8296000000000001</v>
      </c>
      <c r="E228" s="50">
        <f>IFERROR(_xlfn.MAXIFS('04_ccass_unlocks'!$E$3:$E$560,'04_ccass_unlocks'!$A$3:$A$560,$A228),"")</f>
        <v>13.259</v>
      </c>
      <c r="F228" s="40">
        <f>IFERROR(SUMPRODUCT(('04_ccass_unlocks'!$A$3:$A$560=$A228)*('04_ccass_unlocks'!$E$3:$E$560=$E228)*'04_ccass_unlocks'!$C$3:$C$560),"")</f>
        <v>45341</v>
      </c>
      <c r="G228">
        <f>COUNTIF('04_ccass_unlocks'!$A$3:$A$560,$A228)</f>
        <v>2</v>
      </c>
      <c r="H228" s="80">
        <f>SUMIFS('04_ccass_unlocks'!$D$3:$D$560,'04_ccass_unlocks'!$A$3:$A$560,$A228)</f>
        <v>10176.078799999999</v>
      </c>
      <c r="I228" s="65">
        <f>SUMIFS('04_ccass_unlocks'!$F$3:$F$560,'04_ccass_unlocks'!$A$3:$A$560,$A228)</f>
        <v>370388.95986</v>
      </c>
      <c r="J228" s="40">
        <f>IFERROR(_xlfn.MAXIFS('04_ccass_unlocks'!$C$3:$C$560,'04_ccass_unlocks'!$A$3:$A$560,$A228),"")</f>
        <v>45341</v>
      </c>
      <c r="K228" t="s">
        <v>2311</v>
      </c>
    </row>
    <row r="229" spans="1:11">
      <c r="A229" t="s">
        <v>413</v>
      </c>
      <c r="B229" t="s">
        <v>414</v>
      </c>
      <c r="C229" s="40">
        <f>IFERROR(_xlfn.MINIFS('04_ccass_unlocks'!$C$3:$C$560,'04_ccass_unlocks'!$A$3:$A$560,$A229),"")</f>
        <v>45556</v>
      </c>
      <c r="D229" s="50">
        <f>IFERROR(SUMPRODUCT(('04_ccass_unlocks'!$A$3:$A$560=$A229)*('04_ccass_unlocks'!$C$3:$C$560=$C229)*'04_ccass_unlocks'!$E$3:$E$560),"")</f>
        <v>6.3322000000000003</v>
      </c>
      <c r="E229" s="50">
        <f>IFERROR(_xlfn.MAXIFS('04_ccass_unlocks'!$E$3:$E$560,'04_ccass_unlocks'!$A$3:$A$560,$A229),"")</f>
        <v>79.212999999999994</v>
      </c>
      <c r="F229" s="40">
        <f>IFERROR(SUMPRODUCT(('04_ccass_unlocks'!$A$3:$A$560=$A229)*('04_ccass_unlocks'!$E$3:$E$560=$E229)*'04_ccass_unlocks'!$C$3:$C$560),"")</f>
        <v>45737</v>
      </c>
      <c r="G229">
        <f>COUNTIF('04_ccass_unlocks'!$A$3:$A$560,$A229)</f>
        <v>2</v>
      </c>
      <c r="H229" s="80">
        <f>SUMIFS('04_ccass_unlocks'!$D$3:$D$560,'04_ccass_unlocks'!$A$3:$A$560,$A229)</f>
        <v>77755.5</v>
      </c>
      <c r="I229" s="65">
        <f>SUMIFS('04_ccass_unlocks'!$F$3:$F$560,'04_ccass_unlocks'!$A$3:$A$560,$A229)</f>
        <v>401148.74599999998</v>
      </c>
      <c r="J229" s="40">
        <f>IFERROR(_xlfn.MAXIFS('04_ccass_unlocks'!$C$3:$C$560,'04_ccass_unlocks'!$A$3:$A$560,$A229),"")</f>
        <v>45737</v>
      </c>
      <c r="K229" t="s">
        <v>2303</v>
      </c>
    </row>
    <row r="230" spans="1:11">
      <c r="A230" t="s">
        <v>624</v>
      </c>
      <c r="B230" t="s">
        <v>625</v>
      </c>
      <c r="C230" s="40">
        <f>IFERROR(_xlfn.MINIFS('04_ccass_unlocks'!$C$3:$C$560,'04_ccass_unlocks'!$A$3:$A$560,$A230),"")</f>
        <v>45472</v>
      </c>
      <c r="D230" s="50">
        <f>IFERROR(SUMPRODUCT(('04_ccass_unlocks'!$A$3:$A$560=$A230)*('04_ccass_unlocks'!$C$3:$C$560=$C230)*'04_ccass_unlocks'!$E$3:$E$560),"")</f>
        <v>1.4411</v>
      </c>
      <c r="E230" s="50">
        <f>IFERROR(_xlfn.MAXIFS('04_ccass_unlocks'!$E$3:$E$560,'04_ccass_unlocks'!$A$3:$A$560,$A230),"")</f>
        <v>24.697800000000001</v>
      </c>
      <c r="F230" s="40">
        <f>IFERROR(SUMPRODUCT(('04_ccass_unlocks'!$A$3:$A$560=$A230)*('04_ccass_unlocks'!$E$3:$E$560=$E230)*'04_ccass_unlocks'!$C$3:$C$560),"")</f>
        <v>45655</v>
      </c>
      <c r="G230">
        <f>COUNTIF('04_ccass_unlocks'!$A$3:$A$560,$A230)</f>
        <v>6</v>
      </c>
      <c r="H230" s="80">
        <f>SUMIFS('04_ccass_unlocks'!$D$3:$D$560,'04_ccass_unlocks'!$A$3:$A$560,$A230)</f>
        <v>22777.4666</v>
      </c>
      <c r="I230" s="65">
        <f>SUMIFS('04_ccass_unlocks'!$F$3:$F$560,'04_ccass_unlocks'!$A$3:$A$560,$A230)</f>
        <v>2510677.4694000003</v>
      </c>
      <c r="J230" s="40">
        <f>IFERROR(_xlfn.MAXIFS('04_ccass_unlocks'!$C$3:$C$560,'04_ccass_unlocks'!$A$3:$A$560,$A230),"")</f>
        <v>46046</v>
      </c>
      <c r="K230" t="s">
        <v>2298</v>
      </c>
    </row>
    <row r="231" spans="1:11">
      <c r="A231" t="s">
        <v>846</v>
      </c>
      <c r="B231" t="s">
        <v>847</v>
      </c>
      <c r="C231" s="40">
        <f>IFERROR(_xlfn.MINIFS('04_ccass_unlocks'!$C$3:$C$560,'04_ccass_unlocks'!$A$3:$A$560,$A231),"")</f>
        <v>46001</v>
      </c>
      <c r="D231" s="50">
        <f>IFERROR(SUMPRODUCT(('04_ccass_unlocks'!$A$3:$A$560=$A231)*('04_ccass_unlocks'!$C$3:$C$560=$C231)*'04_ccass_unlocks'!$E$3:$E$560),"")</f>
        <v>8.4764999999999997</v>
      </c>
      <c r="E231" s="50">
        <f>IFERROR(_xlfn.MAXIFS('04_ccass_unlocks'!$E$3:$E$560,'04_ccass_unlocks'!$A$3:$A$560,$A231),"")</f>
        <v>8.4764999999999997</v>
      </c>
      <c r="F231" s="40">
        <f>IFERROR(SUMPRODUCT(('04_ccass_unlocks'!$A$3:$A$560=$A231)*('04_ccass_unlocks'!$E$3:$E$560=$E231)*'04_ccass_unlocks'!$C$3:$C$560),"")</f>
        <v>46001</v>
      </c>
      <c r="G231">
        <f>COUNTIF('04_ccass_unlocks'!$A$3:$A$560,$A231)</f>
        <v>1</v>
      </c>
      <c r="H231" s="80">
        <f>SUMIFS('04_ccass_unlocks'!$D$3:$D$560,'04_ccass_unlocks'!$A$3:$A$560,$A231)</f>
        <v>803</v>
      </c>
      <c r="I231" s="65">
        <f>SUMIFS('04_ccass_unlocks'!$F$3:$F$560,'04_ccass_unlocks'!$A$3:$A$560,$A231)</f>
        <v>10206.129999999999</v>
      </c>
      <c r="J231" s="40">
        <f>IFERROR(_xlfn.MAXIFS('04_ccass_unlocks'!$C$3:$C$560,'04_ccass_unlocks'!$A$3:$A$560,$A231),"")</f>
        <v>46001</v>
      </c>
      <c r="K231" t="s">
        <v>2294</v>
      </c>
    </row>
    <row r="232" spans="1:11">
      <c r="A232" t="s">
        <v>309</v>
      </c>
      <c r="B232" t="s">
        <v>310</v>
      </c>
      <c r="C232" s="40">
        <f>IFERROR(_xlfn.MINIFS('04_ccass_unlocks'!$C$3:$C$560,'04_ccass_unlocks'!$A$3:$A$560,$A232),"")</f>
        <v>45288</v>
      </c>
      <c r="D232" s="50">
        <f>IFERROR(SUMPRODUCT(('04_ccass_unlocks'!$A$3:$A$560=$A232)*('04_ccass_unlocks'!$C$3:$C$560=$C232)*'04_ccass_unlocks'!$E$3:$E$560),"")</f>
        <v>0.7843</v>
      </c>
      <c r="E232" s="50">
        <f>IFERROR(_xlfn.MAXIFS('04_ccass_unlocks'!$E$3:$E$560,'04_ccass_unlocks'!$A$3:$A$560,$A232),"")</f>
        <v>19.552800000000001</v>
      </c>
      <c r="F232" s="40">
        <f>IFERROR(SUMPRODUCT(('04_ccass_unlocks'!$A$3:$A$560=$A232)*('04_ccass_unlocks'!$E$3:$E$560=$E232)*'04_ccass_unlocks'!$C$3:$C$560),"")</f>
        <v>45453</v>
      </c>
      <c r="G232">
        <f>COUNTIF('04_ccass_unlocks'!$A$3:$A$560,$A232)</f>
        <v>4</v>
      </c>
      <c r="H232" s="80">
        <f>SUMIFS('04_ccass_unlocks'!$D$3:$D$560,'04_ccass_unlocks'!$A$3:$A$560,$A232)</f>
        <v>16339.5756</v>
      </c>
      <c r="I232" s="65">
        <f>SUMIFS('04_ccass_unlocks'!$F$3:$F$560,'04_ccass_unlocks'!$A$3:$A$560,$A232)</f>
        <v>122906.13807099999</v>
      </c>
      <c r="J232" s="40">
        <f>IFERROR(_xlfn.MAXIFS('04_ccass_unlocks'!$C$3:$C$560,'04_ccass_unlocks'!$A$3:$A$560,$A232),"")</f>
        <v>46123</v>
      </c>
      <c r="K232" t="s">
        <v>2296</v>
      </c>
    </row>
    <row r="233" spans="1:11">
      <c r="A233" t="s">
        <v>409</v>
      </c>
      <c r="B233" t="s">
        <v>410</v>
      </c>
      <c r="C233" s="40">
        <f>IFERROR(_xlfn.MINIFS('04_ccass_unlocks'!$C$3:$C$560,'04_ccass_unlocks'!$A$3:$A$560,$A233),"")</f>
        <v>44999</v>
      </c>
      <c r="D233" s="50">
        <f>IFERROR(SUMPRODUCT(('04_ccass_unlocks'!$A$3:$A$560=$A233)*('04_ccass_unlocks'!$C$3:$C$560=$C233)*'04_ccass_unlocks'!$E$3:$E$560),"")</f>
        <v>50.1372</v>
      </c>
      <c r="E233" s="50">
        <f>IFERROR(_xlfn.MAXIFS('04_ccass_unlocks'!$E$3:$E$560,'04_ccass_unlocks'!$A$3:$A$560,$A233),"")</f>
        <v>50.1372</v>
      </c>
      <c r="F233" s="40">
        <f>IFERROR(SUMPRODUCT(('04_ccass_unlocks'!$A$3:$A$560=$A233)*('04_ccass_unlocks'!$E$3:$E$560=$E233)*'04_ccass_unlocks'!$C$3:$C$560),"")</f>
        <v>44999</v>
      </c>
      <c r="G233">
        <f>COUNTIF('04_ccass_unlocks'!$A$3:$A$560,$A233)</f>
        <v>2</v>
      </c>
      <c r="H233" s="80">
        <f>SUMIFS('04_ccass_unlocks'!$D$3:$D$560,'04_ccass_unlocks'!$A$3:$A$560,$A233)</f>
        <v>133278.23969999998</v>
      </c>
      <c r="I233" s="65">
        <f>SUMIFS('04_ccass_unlocks'!$F$3:$F$560,'04_ccass_unlocks'!$A$3:$A$560,$A233)</f>
        <v>579510.61363499996</v>
      </c>
      <c r="J233" s="40">
        <f>IFERROR(_xlfn.MAXIFS('04_ccass_unlocks'!$C$3:$C$560,'04_ccass_unlocks'!$A$3:$A$560,$A233),"")</f>
        <v>45365</v>
      </c>
      <c r="K233" t="s">
        <v>2296</v>
      </c>
    </row>
    <row r="234" spans="1:11">
      <c r="A234" t="s">
        <v>1004</v>
      </c>
      <c r="B234" t="s">
        <v>1005</v>
      </c>
      <c r="C234" s="40">
        <f>IFERROR(_xlfn.MINIFS('04_ccass_unlocks'!$C$3:$C$560,'04_ccass_unlocks'!$A$3:$A$560,$A234),"")</f>
        <v>46047</v>
      </c>
      <c r="D234" s="50">
        <f>IFERROR(SUMPRODUCT(('04_ccass_unlocks'!$A$3:$A$560=$A234)*('04_ccass_unlocks'!$C$3:$C$560=$C234)*'04_ccass_unlocks'!$E$3:$E$560),"")</f>
        <v>7.7804000000000002</v>
      </c>
      <c r="E234" s="50">
        <f>IFERROR(_xlfn.MAXIFS('04_ccass_unlocks'!$E$3:$E$560,'04_ccass_unlocks'!$A$3:$A$560,$A234),"")</f>
        <v>7.7804000000000002</v>
      </c>
      <c r="F234" s="40">
        <f>IFERROR(SUMPRODUCT(('04_ccass_unlocks'!$A$3:$A$560=$A234)*('04_ccass_unlocks'!$E$3:$E$560=$E234)*'04_ccass_unlocks'!$C$3:$C$560),"")</f>
        <v>46047</v>
      </c>
      <c r="G234">
        <f>COUNTIF('04_ccass_unlocks'!$A$3:$A$560,$A234)</f>
        <v>1</v>
      </c>
      <c r="H234" s="80">
        <f>SUMIFS('04_ccass_unlocks'!$D$3:$D$560,'04_ccass_unlocks'!$A$3:$A$560,$A234)</f>
        <v>1547.45</v>
      </c>
      <c r="I234" s="65">
        <f>SUMIFS('04_ccass_unlocks'!$F$3:$F$560,'04_ccass_unlocks'!$A$3:$A$560,$A234)</f>
        <v>86734.572499999995</v>
      </c>
      <c r="J234" s="40">
        <f>IFERROR(_xlfn.MAXIFS('04_ccass_unlocks'!$C$3:$C$560,'04_ccass_unlocks'!$A$3:$A$560,$A234),"")</f>
        <v>46047</v>
      </c>
      <c r="K234" t="s">
        <v>2296</v>
      </c>
    </row>
    <row r="235" spans="1:11">
      <c r="A235" t="s">
        <v>377</v>
      </c>
      <c r="B235" t="s">
        <v>378</v>
      </c>
      <c r="C235" s="40">
        <f>IFERROR(_xlfn.MINIFS('04_ccass_unlocks'!$C$3:$C$560,'04_ccass_unlocks'!$A$3:$A$560,$A235),"")</f>
        <v>45563</v>
      </c>
      <c r="D235" s="50">
        <f>IFERROR(SUMPRODUCT(('04_ccass_unlocks'!$A$3:$A$560=$A235)*('04_ccass_unlocks'!$C$3:$C$560=$C235)*'04_ccass_unlocks'!$E$3:$E$560),"")</f>
        <v>1.1802999999999999</v>
      </c>
      <c r="E235" s="50">
        <f>IFERROR(_xlfn.MAXIFS('04_ccass_unlocks'!$E$3:$E$560,'04_ccass_unlocks'!$A$3:$A$560,$A235),"")</f>
        <v>1.1802999999999999</v>
      </c>
      <c r="F235" s="40">
        <f>IFERROR(SUMPRODUCT(('04_ccass_unlocks'!$A$3:$A$560=$A235)*('04_ccass_unlocks'!$E$3:$E$560=$E235)*'04_ccass_unlocks'!$C$3:$C$560),"")</f>
        <v>45563</v>
      </c>
      <c r="G235">
        <f>COUNTIF('04_ccass_unlocks'!$A$3:$A$560,$A235)</f>
        <v>1</v>
      </c>
      <c r="H235" s="80">
        <f>SUMIFS('04_ccass_unlocks'!$D$3:$D$560,'04_ccass_unlocks'!$A$3:$A$560,$A235)</f>
        <v>630.78</v>
      </c>
      <c r="I235" s="65">
        <f>SUMIFS('04_ccass_unlocks'!$F$3:$F$560,'04_ccass_unlocks'!$A$3:$A$560,$A235)</f>
        <v>4383.9210000000003</v>
      </c>
      <c r="J235" s="40">
        <f>IFERROR(_xlfn.MAXIFS('04_ccass_unlocks'!$C$3:$C$560,'04_ccass_unlocks'!$A$3:$A$560,$A235),"")</f>
        <v>45563</v>
      </c>
      <c r="K235" t="s">
        <v>2298</v>
      </c>
    </row>
    <row r="236" spans="1:11">
      <c r="A236" t="s">
        <v>259</v>
      </c>
      <c r="B236" t="s">
        <v>260</v>
      </c>
      <c r="C236" s="40">
        <f>IFERROR(_xlfn.MINIFS('04_ccass_unlocks'!$C$3:$C$560,'04_ccass_unlocks'!$A$3:$A$560,$A236),"")</f>
        <v>46147</v>
      </c>
      <c r="D236" s="50">
        <f>IFERROR(SUMPRODUCT(('04_ccass_unlocks'!$A$3:$A$560=$A236)*('04_ccass_unlocks'!$C$3:$C$560=$C236)*'04_ccass_unlocks'!$E$3:$E$560),"")</f>
        <v>44.954099999999997</v>
      </c>
      <c r="E236" s="50">
        <f>IFERROR(_xlfn.MAXIFS('04_ccass_unlocks'!$E$3:$E$560,'04_ccass_unlocks'!$A$3:$A$560,$A236),"")</f>
        <v>44.954099999999997</v>
      </c>
      <c r="F236" s="40">
        <f>IFERROR(SUMPRODUCT(('04_ccass_unlocks'!$A$3:$A$560=$A236)*('04_ccass_unlocks'!$E$3:$E$560=$E236)*'04_ccass_unlocks'!$C$3:$C$560),"")</f>
        <v>46147</v>
      </c>
      <c r="G236">
        <f>COUNTIF('04_ccass_unlocks'!$A$3:$A$560,$A236)</f>
        <v>1</v>
      </c>
      <c r="H236" s="80">
        <f>SUMIFS('04_ccass_unlocks'!$D$3:$D$560,'04_ccass_unlocks'!$A$3:$A$560,$A236)</f>
        <v>4882.87</v>
      </c>
      <c r="I236" s="65">
        <f>SUMIFS('04_ccass_unlocks'!$F$3:$F$560,'04_ccass_unlocks'!$A$3:$A$560,$A236)</f>
        <v>342289.18699999998</v>
      </c>
      <c r="J236" s="40">
        <f>IFERROR(_xlfn.MAXIFS('04_ccass_unlocks'!$C$3:$C$560,'04_ccass_unlocks'!$A$3:$A$560,$A236),"")</f>
        <v>46147</v>
      </c>
      <c r="K236" t="s">
        <v>2300</v>
      </c>
    </row>
    <row r="237" spans="1:11">
      <c r="A237" t="s">
        <v>348</v>
      </c>
      <c r="B237" t="s">
        <v>349</v>
      </c>
      <c r="C237" s="40">
        <f>IFERROR(_xlfn.MINIFS('04_ccass_unlocks'!$C$3:$C$560,'04_ccass_unlocks'!$A$3:$A$560,$A237),"")</f>
        <v>45255</v>
      </c>
      <c r="D237" s="50">
        <f>IFERROR(SUMPRODUCT(('04_ccass_unlocks'!$A$3:$A$560=$A237)*('04_ccass_unlocks'!$C$3:$C$560=$C237)*'04_ccass_unlocks'!$E$3:$E$560),"")</f>
        <v>7.6235999999999997</v>
      </c>
      <c r="E237" s="50">
        <f>IFERROR(_xlfn.MAXIFS('04_ccass_unlocks'!$E$3:$E$560,'04_ccass_unlocks'!$A$3:$A$560,$A237),"")</f>
        <v>7.6235999999999997</v>
      </c>
      <c r="F237" s="40">
        <f>IFERROR(SUMPRODUCT(('04_ccass_unlocks'!$A$3:$A$560=$A237)*('04_ccass_unlocks'!$E$3:$E$560=$E237)*'04_ccass_unlocks'!$C$3:$C$560),"")</f>
        <v>45255</v>
      </c>
      <c r="G237">
        <f>COUNTIF('04_ccass_unlocks'!$A$3:$A$560,$A237)</f>
        <v>1</v>
      </c>
      <c r="H237" s="80">
        <f>SUMIFS('04_ccass_unlocks'!$D$3:$D$560,'04_ccass_unlocks'!$A$3:$A$560,$A237)</f>
        <v>24374.5</v>
      </c>
      <c r="I237" s="65">
        <f>SUMIFS('04_ccass_unlocks'!$F$3:$F$560,'04_ccass_unlocks'!$A$3:$A$560,$A237)</f>
        <v>87260.71</v>
      </c>
      <c r="J237" s="40">
        <f>IFERROR(_xlfn.MAXIFS('04_ccass_unlocks'!$C$3:$C$560,'04_ccass_unlocks'!$A$3:$A$560,$A237),"")</f>
        <v>45255</v>
      </c>
      <c r="K237" t="s">
        <v>2297</v>
      </c>
    </row>
    <row r="238" spans="1:11">
      <c r="A238" t="s">
        <v>434</v>
      </c>
      <c r="B238" t="s">
        <v>435</v>
      </c>
      <c r="C238" s="40">
        <f>IFERROR(_xlfn.MINIFS('04_ccass_unlocks'!$C$3:$C$560,'04_ccass_unlocks'!$A$3:$A$560,$A238),"")</f>
        <v>44932</v>
      </c>
      <c r="D238" s="50">
        <f>IFERROR(SUMPRODUCT(('04_ccass_unlocks'!$A$3:$A$560=$A238)*('04_ccass_unlocks'!$C$3:$C$560=$C238)*'04_ccass_unlocks'!$E$3:$E$560),"")</f>
        <v>1.9729000000000001</v>
      </c>
      <c r="E238" s="50">
        <f>IFERROR(_xlfn.MAXIFS('04_ccass_unlocks'!$E$3:$E$560,'04_ccass_unlocks'!$A$3:$A$560,$A238),"")</f>
        <v>2.2997000000000001</v>
      </c>
      <c r="F238" s="40">
        <f>IFERROR(SUMPRODUCT(('04_ccass_unlocks'!$A$3:$A$560=$A238)*('04_ccass_unlocks'!$E$3:$E$560=$E238)*'04_ccass_unlocks'!$C$3:$C$560),"")</f>
        <v>45193</v>
      </c>
      <c r="G238">
        <f>COUNTIF('04_ccass_unlocks'!$A$3:$A$560,$A238)</f>
        <v>2</v>
      </c>
      <c r="H238" s="80">
        <f>SUMIFS('04_ccass_unlocks'!$D$3:$D$560,'04_ccass_unlocks'!$A$3:$A$560,$A238)</f>
        <v>2508.17</v>
      </c>
      <c r="I238" s="65">
        <f>SUMIFS('04_ccass_unlocks'!$F$3:$F$560,'04_ccass_unlocks'!$A$3:$A$560,$A238)</f>
        <v>21301.004000000001</v>
      </c>
      <c r="J238" s="40">
        <f>IFERROR(_xlfn.MAXIFS('04_ccass_unlocks'!$C$3:$C$560,'04_ccass_unlocks'!$A$3:$A$560,$A238),"")</f>
        <v>45193</v>
      </c>
      <c r="K238" t="s">
        <v>2292</v>
      </c>
    </row>
    <row r="239" spans="1:11">
      <c r="A239" t="s">
        <v>229</v>
      </c>
      <c r="B239" t="s">
        <v>230</v>
      </c>
      <c r="C239" s="40">
        <f>IFERROR(_xlfn.MINIFS('04_ccass_unlocks'!$C$3:$C$560,'04_ccass_unlocks'!$A$3:$A$560,$A239),"")</f>
        <v>46106</v>
      </c>
      <c r="D239" s="50">
        <f>IFERROR(SUMPRODUCT(('04_ccass_unlocks'!$A$3:$A$560=$A239)*('04_ccass_unlocks'!$C$3:$C$560=$C239)*'04_ccass_unlocks'!$E$3:$E$560),"")</f>
        <v>2.56</v>
      </c>
      <c r="E239" s="50">
        <f>IFERROR(_xlfn.MAXIFS('04_ccass_unlocks'!$E$3:$E$560,'04_ccass_unlocks'!$A$3:$A$560,$A239),"")</f>
        <v>2.56</v>
      </c>
      <c r="F239" s="40">
        <f>IFERROR(SUMPRODUCT(('04_ccass_unlocks'!$A$3:$A$560=$A239)*('04_ccass_unlocks'!$E$3:$E$560=$E239)*'04_ccass_unlocks'!$C$3:$C$560),"")</f>
        <v>46106</v>
      </c>
      <c r="G239">
        <f>COUNTIF('04_ccass_unlocks'!$A$3:$A$560,$A239)</f>
        <v>1</v>
      </c>
      <c r="H239" s="80">
        <f>SUMIFS('04_ccass_unlocks'!$D$3:$D$560,'04_ccass_unlocks'!$A$3:$A$560,$A239)</f>
        <v>14869.85</v>
      </c>
      <c r="I239" s="65">
        <f>SUMIFS('04_ccass_unlocks'!$F$3:$F$560,'04_ccass_unlocks'!$A$3:$A$560,$A239)</f>
        <v>411894.84499999997</v>
      </c>
      <c r="J239" s="40">
        <f>IFERROR(_xlfn.MAXIFS('04_ccass_unlocks'!$C$3:$C$560,'04_ccass_unlocks'!$A$3:$A$560,$A239),"")</f>
        <v>46106</v>
      </c>
      <c r="K239" t="s">
        <v>2300</v>
      </c>
    </row>
    <row r="240" spans="1:11">
      <c r="A240" t="s">
        <v>405</v>
      </c>
      <c r="B240" t="s">
        <v>406</v>
      </c>
      <c r="C240" s="40">
        <f>IFERROR(_xlfn.MINIFS('04_ccass_unlocks'!$C$3:$C$560,'04_ccass_unlocks'!$A$3:$A$560,$A240),"")</f>
        <v>45092</v>
      </c>
      <c r="D240" s="50">
        <f>IFERROR(SUMPRODUCT(('04_ccass_unlocks'!$A$3:$A$560=$A240)*('04_ccass_unlocks'!$C$3:$C$560=$C240)*'04_ccass_unlocks'!$E$3:$E$560),"")</f>
        <v>2.3201999999999998</v>
      </c>
      <c r="E240" s="50">
        <f>IFERROR(_xlfn.MAXIFS('04_ccass_unlocks'!$E$3:$E$560,'04_ccass_unlocks'!$A$3:$A$560,$A240),"")</f>
        <v>3.2906</v>
      </c>
      <c r="F240" s="40">
        <f>IFERROR(SUMPRODUCT(('04_ccass_unlocks'!$A$3:$A$560=$A240)*('04_ccass_unlocks'!$E$3:$E$560=$E240)*'04_ccass_unlocks'!$C$3:$C$560),"")</f>
        <v>45882</v>
      </c>
      <c r="G240">
        <f>COUNTIF('04_ccass_unlocks'!$A$3:$A$560,$A240)</f>
        <v>2</v>
      </c>
      <c r="H240" s="80">
        <f>SUMIFS('04_ccass_unlocks'!$D$3:$D$560,'04_ccass_unlocks'!$A$3:$A$560,$A240)</f>
        <v>13455.02</v>
      </c>
      <c r="I240" s="65">
        <f>SUMIFS('04_ccass_unlocks'!$F$3:$F$560,'04_ccass_unlocks'!$A$3:$A$560,$A240)</f>
        <v>149331.42499999999</v>
      </c>
      <c r="J240" s="40">
        <f>IFERROR(_xlfn.MAXIFS('04_ccass_unlocks'!$C$3:$C$560,'04_ccass_unlocks'!$A$3:$A$560,$A240),"")</f>
        <v>45882</v>
      </c>
      <c r="K240" t="s">
        <v>2304</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52"/>
  <sheetViews>
    <sheetView zoomScaleNormal="100" workbookViewId="0">
      <pane xSplit="1" ySplit="2" topLeftCell="B426" activePane="bottomRight" state="frozen"/>
      <selection pane="topRight" activeCell="B1" sqref="B1"/>
      <selection pane="bottomLeft" activeCell="A3" sqref="A3"/>
      <selection pane="bottomRight" activeCell="M298" sqref="M298"/>
    </sheetView>
  </sheetViews>
  <sheetFormatPr defaultColWidth="8.6640625" defaultRowHeight="14.25"/>
  <cols>
    <col min="1" max="1" width="22.06640625" style="40" customWidth="1"/>
    <col min="2" max="2" width="14" customWidth="1"/>
    <col min="3" max="3" width="33.73046875" bestFit="1" customWidth="1"/>
    <col min="4" max="4" width="18" customWidth="1"/>
    <col min="5" max="5" width="12" customWidth="1"/>
    <col min="6" max="6" width="22" customWidth="1"/>
    <col min="8" max="8" width="11.86328125" bestFit="1" customWidth="1"/>
    <col min="9" max="9" width="9.53125" bestFit="1" customWidth="1"/>
    <col min="10" max="10" width="10.33203125" bestFit="1" customWidth="1"/>
    <col min="12" max="12" width="10.33203125" bestFit="1" customWidth="1"/>
    <col min="13" max="13" width="9.53125" bestFit="1" customWidth="1"/>
  </cols>
  <sheetData>
    <row r="1" spans="1:13" ht="37.5" customHeight="1">
      <c r="A1" s="53" t="s">
        <v>124</v>
      </c>
      <c r="B1" s="12" t="s">
        <v>125</v>
      </c>
      <c r="C1" s="12" t="s">
        <v>3554</v>
      </c>
      <c r="D1" s="12" t="s">
        <v>126</v>
      </c>
      <c r="E1" s="12" t="s">
        <v>127</v>
      </c>
      <c r="F1" s="12" t="s">
        <v>211</v>
      </c>
      <c r="H1" s="44" t="s">
        <v>1060</v>
      </c>
      <c r="J1" s="52" t="s">
        <v>1061</v>
      </c>
      <c r="L1" t="s">
        <v>1062</v>
      </c>
    </row>
    <row r="2" spans="1:13" ht="30" customHeight="1">
      <c r="A2" s="54" t="s">
        <v>128</v>
      </c>
      <c r="B2" s="13" t="s">
        <v>129</v>
      </c>
      <c r="C2" s="13" t="s">
        <v>3555</v>
      </c>
      <c r="D2" s="15" t="s">
        <v>1063</v>
      </c>
      <c r="E2" s="16" t="s">
        <v>1064</v>
      </c>
      <c r="F2" s="16" t="s">
        <v>1065</v>
      </c>
    </row>
    <row r="3" spans="1:13">
      <c r="A3" s="41" t="str">
        <f>[1]!WSD("HSI.HI","close,amt","2022-01-01","2026-04-30","","cols=3;rows=1046")</f>
        <v>2022-01-04</v>
      </c>
      <c r="B3" s="42">
        <v>23289.84</v>
      </c>
      <c r="C3" s="42">
        <v>118312688600</v>
      </c>
      <c r="D3">
        <f>IFERROR(VLOOKUP($A3,$H$3:$I$1100,2,FALSE),"")</f>
        <v>8180.16</v>
      </c>
      <c r="E3">
        <f>IFERROR(VLOOKUP($A3,$J$3:$K$1100,2,FALSE),"")</f>
        <v>0.25380998849868774</v>
      </c>
      <c r="F3">
        <f>IFERROR(VLOOKUP($A3,$L$3:$M$1100,2,FALSE),"")</f>
        <v>1078.2218</v>
      </c>
      <c r="H3" s="41" t="str">
        <f>[1]!WSD("HSCEI.HI","close","2022-01-01","2026-04-30","","cols=2;rows=1046")</f>
        <v>2022-01-04</v>
      </c>
      <c r="I3" s="42">
        <v>8180.16</v>
      </c>
      <c r="J3" s="41" t="str">
        <f>[1]!WSD("HIBOR3M.IR","close","2022-01-01","2026-04-30","","cols=2;rows=1046")</f>
        <v>2022-01-04</v>
      </c>
      <c r="K3" s="42">
        <v>0.25380998849868774</v>
      </c>
      <c r="L3" s="41" t="str">
        <f>[1]!WSD("884252.WI","close","2022-01-01","2026-04-30","","cols=2;rows=1046")</f>
        <v>2022-01-04</v>
      </c>
      <c r="M3" s="42">
        <v>1078.2218</v>
      </c>
    </row>
    <row r="4" spans="1:13">
      <c r="A4" s="41">
        <v>44566</v>
      </c>
      <c r="B4" s="42">
        <v>22907.25</v>
      </c>
      <c r="C4" s="42">
        <v>155307430400</v>
      </c>
      <c r="D4">
        <f t="shared" ref="D4:D67" si="0">IFERROR(VLOOKUP($A4,$H$3:$I$1100,2,FALSE),"")</f>
        <v>8015.7</v>
      </c>
      <c r="E4">
        <f t="shared" ref="E4:E67" si="1">IFERROR(VLOOKUP($A4,$J$3:$K$1100,2,FALSE),"")</f>
        <v>0.25411000847816467</v>
      </c>
      <c r="F4">
        <f t="shared" ref="F4:F67" si="2">IFERROR(VLOOKUP($A4,$L$3:$M$1100,2,FALSE),"")</f>
        <v>1071.2180000000001</v>
      </c>
      <c r="H4" s="41">
        <v>44566</v>
      </c>
      <c r="I4" s="42">
        <v>8015.7</v>
      </c>
      <c r="J4" s="41">
        <v>44566</v>
      </c>
      <c r="K4" s="42">
        <v>0.25411000847816467</v>
      </c>
      <c r="L4" s="41">
        <v>44566</v>
      </c>
      <c r="M4" s="42">
        <v>1071.2180000000001</v>
      </c>
    </row>
    <row r="5" spans="1:13">
      <c r="A5" s="41">
        <v>44567</v>
      </c>
      <c r="B5" s="42">
        <v>23072.86</v>
      </c>
      <c r="C5" s="42">
        <v>134508566600</v>
      </c>
      <c r="D5">
        <f t="shared" si="0"/>
        <v>8068.93</v>
      </c>
      <c r="E5">
        <f t="shared" si="1"/>
        <v>0.25363001227378845</v>
      </c>
      <c r="F5">
        <f t="shared" si="2"/>
        <v>1067.1584</v>
      </c>
      <c r="H5" s="41">
        <v>44567</v>
      </c>
      <c r="I5" s="42">
        <v>8068.93</v>
      </c>
      <c r="J5" s="41">
        <v>44567</v>
      </c>
      <c r="K5" s="42">
        <v>0.25363001227378845</v>
      </c>
      <c r="L5" s="41">
        <v>44567</v>
      </c>
      <c r="M5" s="42">
        <v>1067.1584</v>
      </c>
    </row>
    <row r="6" spans="1:13">
      <c r="A6" s="41">
        <v>44568</v>
      </c>
      <c r="B6" s="42">
        <v>23493.38</v>
      </c>
      <c r="C6" s="42">
        <v>147266313800</v>
      </c>
      <c r="D6">
        <f t="shared" si="0"/>
        <v>8231.2800000000007</v>
      </c>
      <c r="E6">
        <f t="shared" si="1"/>
        <v>0.25363001227378845</v>
      </c>
      <c r="F6">
        <f t="shared" si="2"/>
        <v>1030.5155</v>
      </c>
      <c r="H6" s="41">
        <v>44568</v>
      </c>
      <c r="I6" s="42">
        <v>8231.2800000000007</v>
      </c>
      <c r="J6" s="41">
        <v>44568</v>
      </c>
      <c r="K6" s="42">
        <v>0.25363001227378845</v>
      </c>
      <c r="L6" s="41">
        <v>44568</v>
      </c>
      <c r="M6" s="42">
        <v>1030.5155</v>
      </c>
    </row>
    <row r="7" spans="1:13">
      <c r="A7" s="41">
        <v>44571</v>
      </c>
      <c r="B7" s="42">
        <v>23746.54</v>
      </c>
      <c r="C7" s="42">
        <v>138746455300</v>
      </c>
      <c r="D7">
        <f t="shared" si="0"/>
        <v>8365.3700000000008</v>
      </c>
      <c r="E7">
        <f t="shared" si="1"/>
        <v>0.24303999543190002</v>
      </c>
      <c r="F7">
        <f t="shared" si="2"/>
        <v>1098.5444</v>
      </c>
      <c r="G7" s="42"/>
      <c r="H7" s="41">
        <v>44571</v>
      </c>
      <c r="I7" s="42">
        <v>8365.3700000000008</v>
      </c>
      <c r="J7" s="41">
        <v>44571</v>
      </c>
      <c r="K7" s="42">
        <v>0.24303999543190002</v>
      </c>
      <c r="L7" s="41">
        <v>44571</v>
      </c>
      <c r="M7" s="42">
        <v>1098.5444</v>
      </c>
    </row>
    <row r="8" spans="1:13">
      <c r="A8" s="41">
        <v>44572</v>
      </c>
      <c r="B8" s="42">
        <v>23739.06</v>
      </c>
      <c r="C8" s="42">
        <v>129624127600</v>
      </c>
      <c r="D8">
        <f t="shared" si="0"/>
        <v>8369.01</v>
      </c>
      <c r="E8">
        <f t="shared" si="1"/>
        <v>0.24321000277996063</v>
      </c>
      <c r="F8">
        <f t="shared" si="2"/>
        <v>1059.3113000000001</v>
      </c>
      <c r="G8" s="42"/>
      <c r="H8" s="41">
        <v>44572</v>
      </c>
      <c r="I8" s="42">
        <v>8369.01</v>
      </c>
      <c r="J8" s="41">
        <v>44572</v>
      </c>
      <c r="K8" s="42">
        <v>0.24321000277996063</v>
      </c>
      <c r="L8" s="41">
        <v>44572</v>
      </c>
      <c r="M8" s="42">
        <v>1059.3113000000001</v>
      </c>
    </row>
    <row r="9" spans="1:13">
      <c r="A9" s="41">
        <v>44573</v>
      </c>
      <c r="B9" s="42">
        <v>24402.17</v>
      </c>
      <c r="C9" s="42">
        <v>153602454100</v>
      </c>
      <c r="D9">
        <f t="shared" si="0"/>
        <v>8612.85</v>
      </c>
      <c r="E9">
        <f t="shared" si="1"/>
        <v>0.2396399974822998</v>
      </c>
      <c r="F9">
        <f t="shared" si="2"/>
        <v>1074.3077000000001</v>
      </c>
      <c r="G9" s="42"/>
      <c r="H9" s="41">
        <v>44573</v>
      </c>
      <c r="I9" s="42">
        <v>8612.85</v>
      </c>
      <c r="J9" s="41">
        <v>44573</v>
      </c>
      <c r="K9" s="42">
        <v>0.2396399974822998</v>
      </c>
      <c r="L9" s="41">
        <v>44573</v>
      </c>
      <c r="M9" s="42">
        <v>1074.3077000000001</v>
      </c>
    </row>
    <row r="10" spans="1:13">
      <c r="A10" s="41">
        <v>44574</v>
      </c>
      <c r="B10" s="42">
        <v>24429.77</v>
      </c>
      <c r="C10" s="42">
        <v>136331155199.99998</v>
      </c>
      <c r="D10">
        <f t="shared" si="0"/>
        <v>8602.3799999999992</v>
      </c>
      <c r="E10">
        <f t="shared" si="1"/>
        <v>0.24036000669002533</v>
      </c>
      <c r="F10">
        <f t="shared" si="2"/>
        <v>1055.6929</v>
      </c>
      <c r="G10" s="42"/>
      <c r="H10" s="41">
        <v>44574</v>
      </c>
      <c r="I10" s="42">
        <v>8602.3799999999992</v>
      </c>
      <c r="J10" s="41">
        <v>44574</v>
      </c>
      <c r="K10" s="42">
        <v>0.24036000669002533</v>
      </c>
      <c r="L10" s="41">
        <v>44574</v>
      </c>
      <c r="M10" s="42">
        <v>1055.6929</v>
      </c>
    </row>
    <row r="11" spans="1:13">
      <c r="A11" s="41">
        <v>44575</v>
      </c>
      <c r="B11" s="42">
        <v>24383.32</v>
      </c>
      <c r="C11" s="42">
        <v>119890570900</v>
      </c>
      <c r="D11">
        <f t="shared" si="0"/>
        <v>8554.7900000000009</v>
      </c>
      <c r="E11">
        <f t="shared" si="1"/>
        <v>0.25529998540878296</v>
      </c>
      <c r="F11">
        <f t="shared" si="2"/>
        <v>1054.1422</v>
      </c>
      <c r="G11" s="42"/>
      <c r="H11" s="41">
        <v>44575</v>
      </c>
      <c r="I11" s="42">
        <v>8554.7900000000009</v>
      </c>
      <c r="J11" s="41">
        <v>44575</v>
      </c>
      <c r="K11" s="42">
        <v>0.25529998540878296</v>
      </c>
      <c r="L11" s="41">
        <v>44575</v>
      </c>
      <c r="M11" s="42">
        <v>1054.1422</v>
      </c>
    </row>
    <row r="12" spans="1:13">
      <c r="A12" s="41">
        <v>44578</v>
      </c>
      <c r="B12" s="42">
        <v>24218.03</v>
      </c>
      <c r="C12" s="42">
        <v>105345036500</v>
      </c>
      <c r="D12">
        <f t="shared" si="0"/>
        <v>8463.8799999999992</v>
      </c>
      <c r="E12">
        <f t="shared" si="1"/>
        <v>0.2609499990940094</v>
      </c>
      <c r="F12">
        <f t="shared" si="2"/>
        <v>1051.7073</v>
      </c>
      <c r="G12" s="42"/>
      <c r="H12" s="41">
        <v>44578</v>
      </c>
      <c r="I12" s="42">
        <v>8463.8799999999992</v>
      </c>
      <c r="J12" s="41">
        <v>44578</v>
      </c>
      <c r="K12" s="42">
        <v>0.2609499990940094</v>
      </c>
      <c r="L12" s="41">
        <v>44578</v>
      </c>
      <c r="M12" s="42">
        <v>1051.7073</v>
      </c>
    </row>
    <row r="13" spans="1:13">
      <c r="A13" s="41">
        <v>44579</v>
      </c>
      <c r="B13" s="42">
        <v>24112.78</v>
      </c>
      <c r="C13" s="42">
        <v>112314905900</v>
      </c>
      <c r="D13">
        <f t="shared" si="0"/>
        <v>8449</v>
      </c>
      <c r="E13">
        <f t="shared" si="1"/>
        <v>0.26660999655723572</v>
      </c>
      <c r="F13">
        <f t="shared" si="2"/>
        <v>1024.0128999999999</v>
      </c>
      <c r="G13" s="42"/>
      <c r="H13" s="41">
        <v>44579</v>
      </c>
      <c r="I13" s="42">
        <v>8449</v>
      </c>
      <c r="J13" s="41">
        <v>44579</v>
      </c>
      <c r="K13" s="42">
        <v>0.26660999655723572</v>
      </c>
      <c r="L13" s="41">
        <v>44579</v>
      </c>
      <c r="M13" s="42">
        <v>1024.0128999999999</v>
      </c>
    </row>
    <row r="14" spans="1:13">
      <c r="A14" s="41">
        <v>44580</v>
      </c>
      <c r="B14" s="42">
        <v>24127.85</v>
      </c>
      <c r="C14" s="42">
        <v>114961677100</v>
      </c>
      <c r="D14">
        <f t="shared" si="0"/>
        <v>8441.69</v>
      </c>
      <c r="E14">
        <f t="shared" si="1"/>
        <v>0.28220000863075256</v>
      </c>
      <c r="F14">
        <f t="shared" si="2"/>
        <v>1030.7452000000001</v>
      </c>
      <c r="G14" s="42"/>
      <c r="H14" s="41">
        <v>44580</v>
      </c>
      <c r="I14" s="42">
        <v>8441.69</v>
      </c>
      <c r="J14" s="41">
        <v>44580</v>
      </c>
      <c r="K14" s="42">
        <v>0.28220000863075256</v>
      </c>
      <c r="L14" s="41">
        <v>44580</v>
      </c>
      <c r="M14" s="42">
        <v>1030.7452000000001</v>
      </c>
    </row>
    <row r="15" spans="1:13">
      <c r="A15" s="41">
        <v>44581</v>
      </c>
      <c r="B15" s="42">
        <v>24952.35</v>
      </c>
      <c r="C15" s="42">
        <v>178373511700</v>
      </c>
      <c r="D15">
        <f t="shared" si="0"/>
        <v>8761.56</v>
      </c>
      <c r="E15">
        <f t="shared" si="1"/>
        <v>0.28661000728607178</v>
      </c>
      <c r="F15">
        <f t="shared" si="2"/>
        <v>1048.6597999999999</v>
      </c>
      <c r="G15" s="42"/>
      <c r="H15" s="41">
        <v>44581</v>
      </c>
      <c r="I15" s="42">
        <v>8761.56</v>
      </c>
      <c r="J15" s="41">
        <v>44581</v>
      </c>
      <c r="K15" s="42">
        <v>0.28661000728607178</v>
      </c>
      <c r="L15" s="41">
        <v>44581</v>
      </c>
      <c r="M15" s="42">
        <v>1048.6597999999999</v>
      </c>
    </row>
    <row r="16" spans="1:13">
      <c r="A16" s="41">
        <v>44582</v>
      </c>
      <c r="B16" s="42">
        <v>24965.55</v>
      </c>
      <c r="C16" s="42">
        <v>154172606600</v>
      </c>
      <c r="D16">
        <f t="shared" si="0"/>
        <v>8787.2999999999993</v>
      </c>
      <c r="E16">
        <f t="shared" si="1"/>
        <v>0.29339000582695007</v>
      </c>
      <c r="F16">
        <f t="shared" si="2"/>
        <v>1001.1789</v>
      </c>
      <c r="G16" s="42"/>
      <c r="H16" s="41">
        <v>44582</v>
      </c>
      <c r="I16" s="42">
        <v>8787.2999999999993</v>
      </c>
      <c r="J16" s="41">
        <v>44582</v>
      </c>
      <c r="K16" s="42">
        <v>0.29339000582695007</v>
      </c>
      <c r="L16" s="41">
        <v>44582</v>
      </c>
      <c r="M16" s="42">
        <v>1001.1789</v>
      </c>
    </row>
    <row r="17" spans="1:13">
      <c r="A17" s="41">
        <v>44585</v>
      </c>
      <c r="B17" s="42">
        <v>24656.46</v>
      </c>
      <c r="C17" s="42">
        <v>124316432100</v>
      </c>
      <c r="D17">
        <f t="shared" si="0"/>
        <v>8658.11</v>
      </c>
      <c r="E17">
        <f t="shared" si="1"/>
        <v>0.30083000659942627</v>
      </c>
      <c r="F17">
        <f t="shared" si="2"/>
        <v>990.48209999999995</v>
      </c>
      <c r="G17" s="42"/>
      <c r="H17" s="41">
        <v>44585</v>
      </c>
      <c r="I17" s="42">
        <v>8658.11</v>
      </c>
      <c r="J17" s="41">
        <v>44585</v>
      </c>
      <c r="K17" s="42">
        <v>0.30083000659942627</v>
      </c>
      <c r="L17" s="41">
        <v>44585</v>
      </c>
      <c r="M17" s="42">
        <v>990.48209999999995</v>
      </c>
    </row>
    <row r="18" spans="1:13">
      <c r="A18" s="41">
        <v>44586</v>
      </c>
      <c r="B18" s="42">
        <v>24243.61</v>
      </c>
      <c r="C18" s="42">
        <v>146486313800</v>
      </c>
      <c r="D18">
        <f t="shared" si="0"/>
        <v>8503.35</v>
      </c>
      <c r="E18">
        <f t="shared" si="1"/>
        <v>0.30410999059677124</v>
      </c>
      <c r="F18">
        <f t="shared" si="2"/>
        <v>963.3116</v>
      </c>
      <c r="G18" s="42"/>
      <c r="H18" s="41">
        <v>44586</v>
      </c>
      <c r="I18" s="42">
        <v>8503.35</v>
      </c>
      <c r="J18" s="41">
        <v>44586</v>
      </c>
      <c r="K18" s="42">
        <v>0.30410999059677124</v>
      </c>
      <c r="L18" s="41">
        <v>44586</v>
      </c>
      <c r="M18" s="42">
        <v>963.3116</v>
      </c>
    </row>
    <row r="19" spans="1:13">
      <c r="A19" s="41">
        <v>44587</v>
      </c>
      <c r="B19" s="42">
        <v>24289.9</v>
      </c>
      <c r="C19" s="42">
        <v>132111560000</v>
      </c>
      <c r="D19">
        <f t="shared" si="0"/>
        <v>8512.2900000000009</v>
      </c>
      <c r="E19">
        <f t="shared" si="1"/>
        <v>0.31042000651359558</v>
      </c>
      <c r="F19">
        <f t="shared" si="2"/>
        <v>972.69259999999997</v>
      </c>
      <c r="G19" s="42"/>
      <c r="H19" s="41">
        <v>44587</v>
      </c>
      <c r="I19" s="42">
        <v>8512.2900000000009</v>
      </c>
      <c r="J19" s="41">
        <v>44587</v>
      </c>
      <c r="K19" s="42">
        <v>0.31042000651359558</v>
      </c>
      <c r="L19" s="41">
        <v>44587</v>
      </c>
      <c r="M19" s="42">
        <v>972.69259999999997</v>
      </c>
    </row>
    <row r="20" spans="1:13">
      <c r="A20" s="41">
        <v>44588</v>
      </c>
      <c r="B20" s="42">
        <v>23807</v>
      </c>
      <c r="C20" s="42">
        <v>133489925700</v>
      </c>
      <c r="D20">
        <f t="shared" si="0"/>
        <v>8291.2999999999993</v>
      </c>
      <c r="E20">
        <f t="shared" si="1"/>
        <v>0.32445999979972839</v>
      </c>
      <c r="F20">
        <f t="shared" si="2"/>
        <v>948.53970000000004</v>
      </c>
      <c r="G20" s="42"/>
      <c r="H20" s="41">
        <v>44588</v>
      </c>
      <c r="I20" s="42">
        <v>8291.2999999999993</v>
      </c>
      <c r="J20" s="41">
        <v>44588</v>
      </c>
      <c r="K20" s="42">
        <v>0.32445999979972839</v>
      </c>
      <c r="L20" s="41">
        <v>44588</v>
      </c>
      <c r="M20" s="42">
        <v>948.53970000000004</v>
      </c>
    </row>
    <row r="21" spans="1:13">
      <c r="A21" s="41">
        <v>44589</v>
      </c>
      <c r="B21" s="42">
        <v>23550.080000000002</v>
      </c>
      <c r="C21" s="42">
        <v>125698815300</v>
      </c>
      <c r="D21">
        <f t="shared" si="0"/>
        <v>8210.2900000000009</v>
      </c>
      <c r="E21">
        <f t="shared" si="1"/>
        <v>0.32945999503135681</v>
      </c>
      <c r="F21">
        <f t="shared" si="2"/>
        <v>967.44650000000001</v>
      </c>
      <c r="G21" s="42"/>
      <c r="H21" s="41">
        <v>44589</v>
      </c>
      <c r="I21" s="42">
        <v>8210.2900000000009</v>
      </c>
      <c r="J21" s="41">
        <v>44589</v>
      </c>
      <c r="K21" s="42">
        <v>0.32945999503135681</v>
      </c>
      <c r="L21" s="41">
        <v>44589</v>
      </c>
      <c r="M21" s="42">
        <v>967.44650000000001</v>
      </c>
    </row>
    <row r="22" spans="1:13">
      <c r="A22" s="41">
        <v>44599</v>
      </c>
      <c r="B22" s="42">
        <v>24579.55</v>
      </c>
      <c r="C22" s="42">
        <v>122309298400</v>
      </c>
      <c r="D22">
        <f t="shared" si="0"/>
        <v>8589.5300000000007</v>
      </c>
      <c r="E22">
        <f t="shared" si="1"/>
        <v>0.33441001176834106</v>
      </c>
      <c r="F22">
        <f t="shared" si="2"/>
        <v>994.3415</v>
      </c>
      <c r="G22" s="42"/>
      <c r="H22" s="41">
        <v>44599</v>
      </c>
      <c r="I22" s="42">
        <v>8589.5300000000007</v>
      </c>
      <c r="J22" s="41">
        <v>44599</v>
      </c>
      <c r="K22" s="42">
        <v>0.33441001176834106</v>
      </c>
      <c r="L22" s="41">
        <v>44599</v>
      </c>
      <c r="M22" s="42">
        <v>994.3415</v>
      </c>
    </row>
    <row r="23" spans="1:13">
      <c r="A23" s="41">
        <v>44600</v>
      </c>
      <c r="B23" s="42">
        <v>24329.49</v>
      </c>
      <c r="C23" s="42">
        <v>129511365500</v>
      </c>
      <c r="D23">
        <f t="shared" si="0"/>
        <v>8513.2999999999993</v>
      </c>
      <c r="E23">
        <f t="shared" si="1"/>
        <v>0.33761999011039734</v>
      </c>
      <c r="F23">
        <f t="shared" si="2"/>
        <v>1009.6384</v>
      </c>
      <c r="G23" s="42"/>
      <c r="H23" s="41">
        <v>44600</v>
      </c>
      <c r="I23" s="42">
        <v>8513.2999999999993</v>
      </c>
      <c r="J23" s="41">
        <v>44600</v>
      </c>
      <c r="K23" s="42">
        <v>0.33761999011039734</v>
      </c>
      <c r="L23" s="41">
        <v>44600</v>
      </c>
      <c r="M23" s="42">
        <v>1009.6384</v>
      </c>
    </row>
    <row r="24" spans="1:13">
      <c r="A24" s="41">
        <v>44601</v>
      </c>
      <c r="B24" s="42">
        <v>24829.99</v>
      </c>
      <c r="C24" s="42">
        <v>140758436300</v>
      </c>
      <c r="D24">
        <f t="shared" si="0"/>
        <v>8723.33</v>
      </c>
      <c r="E24">
        <f t="shared" si="1"/>
        <v>0.35368999838829041</v>
      </c>
      <c r="F24">
        <f t="shared" si="2"/>
        <v>1057.1549</v>
      </c>
      <c r="G24" s="42"/>
      <c r="H24" s="41">
        <v>44601</v>
      </c>
      <c r="I24" s="42">
        <v>8723.33</v>
      </c>
      <c r="J24" s="41">
        <v>44601</v>
      </c>
      <c r="K24" s="42">
        <v>0.35368999838829041</v>
      </c>
      <c r="L24" s="41">
        <v>44601</v>
      </c>
      <c r="M24" s="42">
        <v>1057.1549</v>
      </c>
    </row>
    <row r="25" spans="1:13">
      <c r="A25" s="41">
        <v>44602</v>
      </c>
      <c r="B25" s="42">
        <v>24924.35</v>
      </c>
      <c r="C25" s="42">
        <v>129129508800</v>
      </c>
      <c r="D25">
        <f t="shared" si="0"/>
        <v>8789.92</v>
      </c>
      <c r="E25">
        <f t="shared" si="1"/>
        <v>0.3617900013923645</v>
      </c>
      <c r="F25">
        <f t="shared" si="2"/>
        <v>1077.8889999999999</v>
      </c>
      <c r="G25" s="42"/>
      <c r="H25" s="41">
        <v>44602</v>
      </c>
      <c r="I25" s="42">
        <v>8789.92</v>
      </c>
      <c r="J25" s="41">
        <v>44602</v>
      </c>
      <c r="K25" s="42">
        <v>0.3617900013923645</v>
      </c>
      <c r="L25" s="41">
        <v>44602</v>
      </c>
      <c r="M25" s="42">
        <v>1077.8889999999999</v>
      </c>
    </row>
    <row r="26" spans="1:13">
      <c r="A26" s="41">
        <v>44603</v>
      </c>
      <c r="B26" s="42">
        <v>24906.66</v>
      </c>
      <c r="C26" s="42">
        <v>139240949200</v>
      </c>
      <c r="D26">
        <f t="shared" si="0"/>
        <v>8784.39</v>
      </c>
      <c r="E26">
        <f t="shared" si="1"/>
        <v>0.36125001311302185</v>
      </c>
      <c r="F26">
        <f t="shared" si="2"/>
        <v>1050.5817999999999</v>
      </c>
      <c r="G26" s="42"/>
      <c r="H26" s="41">
        <v>44603</v>
      </c>
      <c r="I26" s="42">
        <v>8784.39</v>
      </c>
      <c r="J26" s="41">
        <v>44603</v>
      </c>
      <c r="K26" s="42">
        <v>0.36125001311302185</v>
      </c>
      <c r="L26" s="41">
        <v>44603</v>
      </c>
      <c r="M26" s="42">
        <v>1050.5817999999999</v>
      </c>
    </row>
    <row r="27" spans="1:13">
      <c r="A27" s="41">
        <v>44606</v>
      </c>
      <c r="B27" s="42">
        <v>24556.57</v>
      </c>
      <c r="C27" s="42">
        <v>113837877300</v>
      </c>
      <c r="D27">
        <f t="shared" si="0"/>
        <v>8618.48</v>
      </c>
      <c r="E27">
        <f t="shared" si="1"/>
        <v>0.38964000344276428</v>
      </c>
      <c r="F27">
        <f t="shared" si="2"/>
        <v>1028.9967999999999</v>
      </c>
      <c r="G27" s="42"/>
      <c r="H27" s="41">
        <v>44606</v>
      </c>
      <c r="I27" s="42">
        <v>8618.48</v>
      </c>
      <c r="J27" s="41">
        <v>44606</v>
      </c>
      <c r="K27" s="42">
        <v>0.38964000344276428</v>
      </c>
      <c r="L27" s="41">
        <v>44606</v>
      </c>
      <c r="M27" s="42">
        <v>1028.9967999999999</v>
      </c>
    </row>
    <row r="28" spans="1:13">
      <c r="A28" s="41">
        <v>44607</v>
      </c>
      <c r="B28" s="42">
        <v>24355.71</v>
      </c>
      <c r="C28" s="42">
        <v>114139088600</v>
      </c>
      <c r="D28">
        <f t="shared" si="0"/>
        <v>8528.27</v>
      </c>
      <c r="E28">
        <f t="shared" si="1"/>
        <v>0.40000000596046448</v>
      </c>
      <c r="F28">
        <f t="shared" si="2"/>
        <v>1018.0944</v>
      </c>
      <c r="G28" s="42"/>
      <c r="H28" s="41">
        <v>44607</v>
      </c>
      <c r="I28" s="42">
        <v>8528.27</v>
      </c>
      <c r="J28" s="41">
        <v>44607</v>
      </c>
      <c r="K28" s="42">
        <v>0.40000000596046448</v>
      </c>
      <c r="L28" s="41">
        <v>44607</v>
      </c>
      <c r="M28" s="42">
        <v>1018.0944</v>
      </c>
    </row>
    <row r="29" spans="1:13">
      <c r="A29" s="41">
        <v>44608</v>
      </c>
      <c r="B29" s="42">
        <v>24718.9</v>
      </c>
      <c r="C29" s="42">
        <v>101790224100</v>
      </c>
      <c r="D29">
        <f t="shared" si="0"/>
        <v>8678.94</v>
      </c>
      <c r="E29">
        <f t="shared" si="1"/>
        <v>0.40553998947143555</v>
      </c>
      <c r="F29">
        <f t="shared" si="2"/>
        <v>1005.4709</v>
      </c>
      <c r="G29" s="42"/>
      <c r="H29" s="41">
        <v>44608</v>
      </c>
      <c r="I29" s="42">
        <v>8678.94</v>
      </c>
      <c r="J29" s="41">
        <v>44608</v>
      </c>
      <c r="K29" s="42">
        <v>0.40553998947143555</v>
      </c>
      <c r="L29" s="41">
        <v>44608</v>
      </c>
      <c r="M29" s="42">
        <v>1005.4709</v>
      </c>
    </row>
    <row r="30" spans="1:13">
      <c r="A30" s="41">
        <v>44609</v>
      </c>
      <c r="B30" s="42">
        <v>24792.77</v>
      </c>
      <c r="C30" s="42">
        <v>104601732300</v>
      </c>
      <c r="D30">
        <f t="shared" si="0"/>
        <v>8711.4</v>
      </c>
      <c r="E30">
        <f t="shared" si="1"/>
        <v>0.40821000933647156</v>
      </c>
      <c r="F30">
        <f t="shared" si="2"/>
        <v>1011.6065</v>
      </c>
      <c r="G30" s="42"/>
      <c r="H30" s="41">
        <v>44609</v>
      </c>
      <c r="I30" s="42">
        <v>8711.4</v>
      </c>
      <c r="J30" s="41">
        <v>44609</v>
      </c>
      <c r="K30" s="42">
        <v>0.40821000933647156</v>
      </c>
      <c r="L30" s="41">
        <v>44609</v>
      </c>
      <c r="M30" s="42">
        <v>1011.6065</v>
      </c>
    </row>
    <row r="31" spans="1:13">
      <c r="A31" s="41">
        <v>44610</v>
      </c>
      <c r="B31" s="42">
        <v>24327.71</v>
      </c>
      <c r="C31" s="42">
        <v>126217852900</v>
      </c>
      <c r="D31">
        <f t="shared" si="0"/>
        <v>8537.9699999999993</v>
      </c>
      <c r="E31">
        <f t="shared" si="1"/>
        <v>0.41506001353263855</v>
      </c>
      <c r="F31">
        <f t="shared" si="2"/>
        <v>1032.2778000000001</v>
      </c>
      <c r="G31" s="42"/>
      <c r="H31" s="41">
        <v>44610</v>
      </c>
      <c r="I31" s="42">
        <v>8537.9699999999993</v>
      </c>
      <c r="J31" s="41">
        <v>44610</v>
      </c>
      <c r="K31" s="42">
        <v>0.41506001353263855</v>
      </c>
      <c r="L31" s="41">
        <v>44610</v>
      </c>
      <c r="M31" s="42">
        <v>1032.2778000000001</v>
      </c>
    </row>
    <row r="32" spans="1:13">
      <c r="A32" s="41">
        <v>44613</v>
      </c>
      <c r="B32" s="42">
        <v>24170.07</v>
      </c>
      <c r="C32" s="42">
        <v>143749389700</v>
      </c>
      <c r="D32">
        <f t="shared" si="0"/>
        <v>8455.99</v>
      </c>
      <c r="E32">
        <f t="shared" si="1"/>
        <v>0.41797998547554016</v>
      </c>
      <c r="F32">
        <f t="shared" si="2"/>
        <v>1029.3579</v>
      </c>
      <c r="G32" s="42"/>
      <c r="H32" s="41">
        <v>44613</v>
      </c>
      <c r="I32" s="42">
        <v>8455.99</v>
      </c>
      <c r="J32" s="41">
        <v>44613</v>
      </c>
      <c r="K32" s="42">
        <v>0.41797998547554016</v>
      </c>
      <c r="L32" s="41">
        <v>44613</v>
      </c>
      <c r="M32" s="42">
        <v>1029.3579</v>
      </c>
    </row>
    <row r="33" spans="1:13">
      <c r="A33" s="41">
        <v>44614</v>
      </c>
      <c r="B33" s="42">
        <v>23520</v>
      </c>
      <c r="C33" s="42">
        <v>146928474400</v>
      </c>
      <c r="D33">
        <f t="shared" si="0"/>
        <v>8270.69</v>
      </c>
      <c r="E33">
        <f t="shared" si="1"/>
        <v>0.41690999269485474</v>
      </c>
      <c r="F33">
        <f t="shared" si="2"/>
        <v>1009.3309</v>
      </c>
      <c r="G33" s="42"/>
      <c r="H33" s="41">
        <v>44614</v>
      </c>
      <c r="I33" s="42">
        <v>8270.69</v>
      </c>
      <c r="J33" s="41">
        <v>44614</v>
      </c>
      <c r="K33" s="42">
        <v>0.41690999269485474</v>
      </c>
      <c r="L33" s="41">
        <v>44614</v>
      </c>
      <c r="M33" s="42">
        <v>1009.3309</v>
      </c>
    </row>
    <row r="34" spans="1:13">
      <c r="A34" s="41">
        <v>44615</v>
      </c>
      <c r="B34" s="42">
        <v>23660.28</v>
      </c>
      <c r="C34" s="42">
        <v>114988301300</v>
      </c>
      <c r="D34">
        <f t="shared" si="0"/>
        <v>8317.2199999999993</v>
      </c>
      <c r="E34">
        <f t="shared" si="1"/>
        <v>0.41762000322341919</v>
      </c>
      <c r="F34">
        <f t="shared" si="2"/>
        <v>996.11990000000003</v>
      </c>
      <c r="G34" s="42"/>
      <c r="H34" s="41">
        <v>44615</v>
      </c>
      <c r="I34" s="42">
        <v>8317.2199999999993</v>
      </c>
      <c r="J34" s="41">
        <v>44615</v>
      </c>
      <c r="K34" s="42">
        <v>0.41762000322341919</v>
      </c>
      <c r="L34" s="41">
        <v>44615</v>
      </c>
      <c r="M34" s="42">
        <v>996.11990000000003</v>
      </c>
    </row>
    <row r="35" spans="1:13">
      <c r="A35" s="41">
        <v>44616</v>
      </c>
      <c r="B35" s="42">
        <v>22901.56</v>
      </c>
      <c r="C35" s="42">
        <v>176956584900</v>
      </c>
      <c r="D35">
        <f t="shared" si="0"/>
        <v>8030.9</v>
      </c>
      <c r="E35">
        <f t="shared" si="1"/>
        <v>0.41833001375198364</v>
      </c>
      <c r="F35">
        <f t="shared" si="2"/>
        <v>967.96230000000003</v>
      </c>
      <c r="G35" s="42"/>
      <c r="H35" s="41">
        <v>44616</v>
      </c>
      <c r="I35" s="42">
        <v>8030.9</v>
      </c>
      <c r="J35" s="41">
        <v>44616</v>
      </c>
      <c r="K35" s="42">
        <v>0.41833001375198364</v>
      </c>
      <c r="L35" s="41">
        <v>44616</v>
      </c>
      <c r="M35" s="42">
        <v>967.96230000000003</v>
      </c>
    </row>
    <row r="36" spans="1:13">
      <c r="A36" s="41">
        <v>44617</v>
      </c>
      <c r="B36" s="42">
        <v>22767.18</v>
      </c>
      <c r="C36" s="42">
        <v>142699662600</v>
      </c>
      <c r="D36">
        <f t="shared" si="0"/>
        <v>7991.64</v>
      </c>
      <c r="E36">
        <f t="shared" si="1"/>
        <v>0.43814998865127563</v>
      </c>
      <c r="F36">
        <f t="shared" si="2"/>
        <v>971.15440000000001</v>
      </c>
      <c r="G36" s="42"/>
      <c r="H36" s="41">
        <v>44617</v>
      </c>
      <c r="I36" s="42">
        <v>7991.64</v>
      </c>
      <c r="J36" s="41">
        <v>44617</v>
      </c>
      <c r="K36" s="42">
        <v>0.43814998865127563</v>
      </c>
      <c r="L36" s="41">
        <v>44617</v>
      </c>
      <c r="M36" s="42">
        <v>971.15440000000001</v>
      </c>
    </row>
    <row r="37" spans="1:13">
      <c r="A37" s="41">
        <v>44620</v>
      </c>
      <c r="B37" s="42">
        <v>22713.02</v>
      </c>
      <c r="C37" s="42">
        <v>153478505600</v>
      </c>
      <c r="D37">
        <f t="shared" si="0"/>
        <v>8023.93</v>
      </c>
      <c r="E37">
        <f t="shared" si="1"/>
        <v>0.43792000412940979</v>
      </c>
      <c r="F37">
        <f t="shared" si="2"/>
        <v>971.44989999999996</v>
      </c>
      <c r="G37" s="42"/>
      <c r="H37" s="41">
        <v>44620</v>
      </c>
      <c r="I37" s="42">
        <v>8023.93</v>
      </c>
      <c r="J37" s="41">
        <v>44620</v>
      </c>
      <c r="K37" s="42">
        <v>0.43792000412940979</v>
      </c>
      <c r="L37" s="41">
        <v>44620</v>
      </c>
      <c r="M37" s="42">
        <v>971.44989999999996</v>
      </c>
    </row>
    <row r="38" spans="1:13">
      <c r="A38" s="41">
        <v>44621</v>
      </c>
      <c r="B38" s="42">
        <v>22761.71</v>
      </c>
      <c r="C38" s="42">
        <v>114970655500</v>
      </c>
      <c r="D38">
        <f t="shared" si="0"/>
        <v>8053.04</v>
      </c>
      <c r="E38">
        <f t="shared" si="1"/>
        <v>0.43505999445915222</v>
      </c>
      <c r="F38">
        <f t="shared" si="2"/>
        <v>1017.2415</v>
      </c>
      <c r="G38" s="42"/>
      <c r="H38" s="41">
        <v>44621</v>
      </c>
      <c r="I38" s="42">
        <v>8053.04</v>
      </c>
      <c r="J38" s="41">
        <v>44621</v>
      </c>
      <c r="K38" s="42">
        <v>0.43505999445915222</v>
      </c>
      <c r="L38" s="41">
        <v>44621</v>
      </c>
      <c r="M38" s="42">
        <v>1017.2415</v>
      </c>
    </row>
    <row r="39" spans="1:13">
      <c r="A39" s="41">
        <v>44622</v>
      </c>
      <c r="B39" s="42">
        <v>22343.919999999998</v>
      </c>
      <c r="C39" s="42">
        <v>114643868700</v>
      </c>
      <c r="D39">
        <f t="shared" si="0"/>
        <v>7908.18</v>
      </c>
      <c r="E39">
        <f t="shared" si="1"/>
        <v>0.43720000982284546</v>
      </c>
      <c r="F39">
        <f t="shared" si="2"/>
        <v>1017.9788</v>
      </c>
      <c r="G39" s="42"/>
      <c r="H39" s="41">
        <v>44622</v>
      </c>
      <c r="I39" s="42">
        <v>7908.18</v>
      </c>
      <c r="J39" s="41">
        <v>44622</v>
      </c>
      <c r="K39" s="42">
        <v>0.43720000982284546</v>
      </c>
      <c r="L39" s="41">
        <v>44622</v>
      </c>
      <c r="M39" s="42">
        <v>1017.9788</v>
      </c>
    </row>
    <row r="40" spans="1:13">
      <c r="A40" s="41">
        <v>44623</v>
      </c>
      <c r="B40" s="42">
        <v>22467.34</v>
      </c>
      <c r="C40" s="42">
        <v>115615448400</v>
      </c>
      <c r="D40">
        <f t="shared" si="0"/>
        <v>7900.04</v>
      </c>
      <c r="E40">
        <f t="shared" si="1"/>
        <v>0.44304001331329346</v>
      </c>
      <c r="F40">
        <f t="shared" si="2"/>
        <v>1005.5694999999999</v>
      </c>
      <c r="G40" s="42"/>
      <c r="H40" s="41">
        <v>44623</v>
      </c>
      <c r="I40" s="42">
        <v>7900.04</v>
      </c>
      <c r="J40" s="41">
        <v>44623</v>
      </c>
      <c r="K40" s="42">
        <v>0.44304001331329346</v>
      </c>
      <c r="L40" s="41">
        <v>44623</v>
      </c>
      <c r="M40" s="42">
        <v>1005.5694999999999</v>
      </c>
    </row>
    <row r="41" spans="1:13">
      <c r="A41" s="41">
        <v>44624</v>
      </c>
      <c r="B41" s="42">
        <v>21905.29</v>
      </c>
      <c r="C41" s="42">
        <v>164778201600</v>
      </c>
      <c r="D41">
        <f t="shared" si="0"/>
        <v>7686.87</v>
      </c>
      <c r="E41">
        <f t="shared" si="1"/>
        <v>0.4484499990940094</v>
      </c>
      <c r="F41">
        <f t="shared" si="2"/>
        <v>1011.372</v>
      </c>
      <c r="G41" s="42"/>
      <c r="H41" s="41">
        <v>44624</v>
      </c>
      <c r="I41" s="42">
        <v>7686.87</v>
      </c>
      <c r="J41" s="41">
        <v>44624</v>
      </c>
      <c r="K41" s="42">
        <v>0.4484499990940094</v>
      </c>
      <c r="L41" s="41">
        <v>44624</v>
      </c>
      <c r="M41" s="42">
        <v>1011.372</v>
      </c>
    </row>
    <row r="42" spans="1:13">
      <c r="A42" s="41">
        <v>44627</v>
      </c>
      <c r="B42" s="42">
        <v>21057.63</v>
      </c>
      <c r="C42" s="42">
        <v>177594933700</v>
      </c>
      <c r="D42">
        <f t="shared" si="0"/>
        <v>7412.59</v>
      </c>
      <c r="E42">
        <f t="shared" si="1"/>
        <v>0.47512000799179077</v>
      </c>
      <c r="F42">
        <f t="shared" si="2"/>
        <v>1001.7365</v>
      </c>
      <c r="G42" s="42"/>
      <c r="H42" s="41">
        <v>44627</v>
      </c>
      <c r="I42" s="42">
        <v>7412.59</v>
      </c>
      <c r="J42" s="41">
        <v>44627</v>
      </c>
      <c r="K42" s="42">
        <v>0.47512000799179077</v>
      </c>
      <c r="L42" s="41">
        <v>44627</v>
      </c>
      <c r="M42" s="42">
        <v>1001.7365</v>
      </c>
    </row>
    <row r="43" spans="1:13">
      <c r="A43" s="41">
        <v>44628</v>
      </c>
      <c r="B43" s="42">
        <v>20765.87</v>
      </c>
      <c r="C43" s="42">
        <v>170769939500</v>
      </c>
      <c r="D43">
        <f t="shared" si="0"/>
        <v>7237.8</v>
      </c>
      <c r="E43">
        <f t="shared" si="1"/>
        <v>0.48857000470161438</v>
      </c>
      <c r="F43">
        <f t="shared" si="2"/>
        <v>961.05489999999998</v>
      </c>
      <c r="G43" s="42"/>
      <c r="H43" s="41">
        <v>44628</v>
      </c>
      <c r="I43" s="42">
        <v>7237.8</v>
      </c>
      <c r="J43" s="41">
        <v>44628</v>
      </c>
      <c r="K43" s="42">
        <v>0.48857000470161438</v>
      </c>
      <c r="L43" s="41">
        <v>44628</v>
      </c>
      <c r="M43" s="42">
        <v>961.05489999999998</v>
      </c>
    </row>
    <row r="44" spans="1:13">
      <c r="A44" s="41">
        <v>44629</v>
      </c>
      <c r="B44" s="42">
        <v>20627.71</v>
      </c>
      <c r="C44" s="42">
        <v>185292810900</v>
      </c>
      <c r="D44">
        <f t="shared" si="0"/>
        <v>7189.58</v>
      </c>
      <c r="E44">
        <f t="shared" si="1"/>
        <v>0.49524000287055969</v>
      </c>
      <c r="F44">
        <f t="shared" si="2"/>
        <v>939.67690000000005</v>
      </c>
      <c r="G44" s="42"/>
      <c r="H44" s="41">
        <v>44629</v>
      </c>
      <c r="I44" s="42">
        <v>7189.58</v>
      </c>
      <c r="J44" s="41">
        <v>44629</v>
      </c>
      <c r="K44" s="42">
        <v>0.49524000287055969</v>
      </c>
      <c r="L44" s="41">
        <v>44629</v>
      </c>
      <c r="M44" s="42">
        <v>939.67690000000005</v>
      </c>
    </row>
    <row r="45" spans="1:13">
      <c r="A45" s="41">
        <v>44630</v>
      </c>
      <c r="B45" s="42">
        <v>20890.259999999998</v>
      </c>
      <c r="C45" s="42">
        <v>146246975300</v>
      </c>
      <c r="D45">
        <f t="shared" si="0"/>
        <v>7255.82</v>
      </c>
      <c r="E45">
        <f t="shared" si="1"/>
        <v>0.52530002593994141</v>
      </c>
      <c r="F45">
        <f t="shared" si="2"/>
        <v>935.63980000000004</v>
      </c>
      <c r="G45" s="42"/>
      <c r="H45" s="41">
        <v>44630</v>
      </c>
      <c r="I45" s="42">
        <v>7255.82</v>
      </c>
      <c r="J45" s="41">
        <v>44630</v>
      </c>
      <c r="K45" s="42">
        <v>0.52530002593994141</v>
      </c>
      <c r="L45" s="41">
        <v>44630</v>
      </c>
      <c r="M45" s="42">
        <v>935.63980000000004</v>
      </c>
    </row>
    <row r="46" spans="1:13">
      <c r="A46" s="41">
        <v>44631</v>
      </c>
      <c r="B46" s="42">
        <v>20553.79</v>
      </c>
      <c r="C46" s="42">
        <v>190692100700</v>
      </c>
      <c r="D46">
        <f t="shared" si="0"/>
        <v>7060.6</v>
      </c>
      <c r="E46">
        <f t="shared" si="1"/>
        <v>0.53464001417160034</v>
      </c>
      <c r="F46">
        <f t="shared" si="2"/>
        <v>971.52629999999999</v>
      </c>
      <c r="G46" s="42"/>
      <c r="H46" s="41">
        <v>44631</v>
      </c>
      <c r="I46" s="42">
        <v>7060.6</v>
      </c>
      <c r="J46" s="41">
        <v>44631</v>
      </c>
      <c r="K46" s="42">
        <v>0.53464001417160034</v>
      </c>
      <c r="L46" s="41">
        <v>44631</v>
      </c>
      <c r="M46" s="42">
        <v>971.52629999999999</v>
      </c>
    </row>
    <row r="47" spans="1:13">
      <c r="A47" s="41">
        <v>44634</v>
      </c>
      <c r="B47" s="42">
        <v>19531.66</v>
      </c>
      <c r="C47" s="42">
        <v>223053054400</v>
      </c>
      <c r="D47">
        <f t="shared" si="0"/>
        <v>6555.55</v>
      </c>
      <c r="E47">
        <f t="shared" si="1"/>
        <v>0.55018001794815063</v>
      </c>
      <c r="F47">
        <f t="shared" si="2"/>
        <v>934.7115</v>
      </c>
      <c r="G47" s="42"/>
      <c r="H47" s="41">
        <v>44634</v>
      </c>
      <c r="I47" s="42">
        <v>6555.55</v>
      </c>
      <c r="J47" s="41">
        <v>44634</v>
      </c>
      <c r="K47" s="42">
        <v>0.55018001794815063</v>
      </c>
      <c r="L47" s="41">
        <v>44634</v>
      </c>
      <c r="M47" s="42">
        <v>934.7115</v>
      </c>
    </row>
    <row r="48" spans="1:13">
      <c r="A48" s="41">
        <v>44635</v>
      </c>
      <c r="B48" s="42">
        <v>18415.080000000002</v>
      </c>
      <c r="C48" s="42">
        <v>286168179000</v>
      </c>
      <c r="D48">
        <f t="shared" si="0"/>
        <v>6123.94</v>
      </c>
      <c r="E48">
        <f t="shared" si="1"/>
        <v>0.57130998373031616</v>
      </c>
      <c r="F48">
        <f t="shared" si="2"/>
        <v>885.91520000000003</v>
      </c>
      <c r="G48" s="42"/>
      <c r="H48" s="41">
        <v>44635</v>
      </c>
      <c r="I48" s="42">
        <v>6123.94</v>
      </c>
      <c r="J48" s="41">
        <v>44635</v>
      </c>
      <c r="K48" s="42">
        <v>0.57130998373031616</v>
      </c>
      <c r="L48" s="41">
        <v>44635</v>
      </c>
      <c r="M48" s="42">
        <v>885.91520000000003</v>
      </c>
    </row>
    <row r="49" spans="1:13">
      <c r="A49" s="41">
        <v>44636</v>
      </c>
      <c r="B49" s="42">
        <v>20087.5</v>
      </c>
      <c r="C49" s="42">
        <v>309793095800</v>
      </c>
      <c r="D49">
        <f t="shared" si="0"/>
        <v>6889.45</v>
      </c>
      <c r="E49">
        <f t="shared" si="1"/>
        <v>0.5756000280380249</v>
      </c>
      <c r="F49">
        <f t="shared" si="2"/>
        <v>904.69179999999994</v>
      </c>
      <c r="G49" s="42"/>
      <c r="H49" s="41">
        <v>44636</v>
      </c>
      <c r="I49" s="42">
        <v>6889.45</v>
      </c>
      <c r="J49" s="41">
        <v>44636</v>
      </c>
      <c r="K49" s="42">
        <v>0.5756000280380249</v>
      </c>
      <c r="L49" s="41">
        <v>44636</v>
      </c>
      <c r="M49" s="42">
        <v>904.69179999999994</v>
      </c>
    </row>
    <row r="50" spans="1:13">
      <c r="A50" s="41">
        <v>44637</v>
      </c>
      <c r="B50" s="42">
        <v>21501.23</v>
      </c>
      <c r="C50" s="42">
        <v>300958616000</v>
      </c>
      <c r="D50">
        <f t="shared" si="0"/>
        <v>7407.57</v>
      </c>
      <c r="E50">
        <f t="shared" si="1"/>
        <v>0.5902400016784668</v>
      </c>
      <c r="F50">
        <f t="shared" si="2"/>
        <v>922.6635</v>
      </c>
      <c r="G50" s="42"/>
      <c r="H50" s="41">
        <v>44637</v>
      </c>
      <c r="I50" s="42">
        <v>7407.57</v>
      </c>
      <c r="J50" s="41">
        <v>44637</v>
      </c>
      <c r="K50" s="42">
        <v>0.5902400016784668</v>
      </c>
      <c r="L50" s="41">
        <v>44637</v>
      </c>
      <c r="M50" s="42">
        <v>922.6635</v>
      </c>
    </row>
    <row r="51" spans="1:13">
      <c r="A51" s="41">
        <v>44638</v>
      </c>
      <c r="B51" s="42">
        <v>21412.400000000001</v>
      </c>
      <c r="C51" s="42">
        <v>236684313800</v>
      </c>
      <c r="D51">
        <f t="shared" si="0"/>
        <v>7366.42</v>
      </c>
      <c r="E51">
        <f t="shared" si="1"/>
        <v>0.59886997938156128</v>
      </c>
      <c r="F51">
        <f t="shared" si="2"/>
        <v>950.73739999999998</v>
      </c>
      <c r="G51" s="42"/>
      <c r="H51" s="41">
        <v>44638</v>
      </c>
      <c r="I51" s="42">
        <v>7366.42</v>
      </c>
      <c r="J51" s="41">
        <v>44638</v>
      </c>
      <c r="K51" s="42">
        <v>0.59886997938156128</v>
      </c>
      <c r="L51" s="41">
        <v>44638</v>
      </c>
      <c r="M51" s="42">
        <v>950.73739999999998</v>
      </c>
    </row>
    <row r="52" spans="1:13">
      <c r="A52" s="41">
        <v>44641</v>
      </c>
      <c r="B52" s="42">
        <v>21221.34</v>
      </c>
      <c r="C52" s="42">
        <v>149031681900</v>
      </c>
      <c r="D52">
        <f t="shared" si="0"/>
        <v>7244.48</v>
      </c>
      <c r="E52">
        <f t="shared" si="1"/>
        <v>0.6069599986076355</v>
      </c>
      <c r="F52">
        <f t="shared" si="2"/>
        <v>978.94929999999999</v>
      </c>
      <c r="G52" s="42"/>
      <c r="H52" s="41">
        <v>44641</v>
      </c>
      <c r="I52" s="42">
        <v>7244.48</v>
      </c>
      <c r="J52" s="41">
        <v>44641</v>
      </c>
      <c r="K52" s="42">
        <v>0.6069599986076355</v>
      </c>
      <c r="L52" s="41">
        <v>44641</v>
      </c>
      <c r="M52" s="42">
        <v>978.94929999999999</v>
      </c>
    </row>
    <row r="53" spans="1:13">
      <c r="A53" s="41">
        <v>44642</v>
      </c>
      <c r="B53" s="42">
        <v>21889.279999999999</v>
      </c>
      <c r="C53" s="42">
        <v>140316369200</v>
      </c>
      <c r="D53">
        <f t="shared" si="0"/>
        <v>7538.55</v>
      </c>
      <c r="E53">
        <f t="shared" si="1"/>
        <v>0.61023998260498047</v>
      </c>
      <c r="F53">
        <f t="shared" si="2"/>
        <v>985.87540000000001</v>
      </c>
      <c r="G53" s="42"/>
      <c r="H53" s="41">
        <v>44642</v>
      </c>
      <c r="I53" s="42">
        <v>7538.55</v>
      </c>
      <c r="J53" s="41">
        <v>44642</v>
      </c>
      <c r="K53" s="42">
        <v>0.61023998260498047</v>
      </c>
      <c r="L53" s="41">
        <v>44642</v>
      </c>
      <c r="M53" s="42">
        <v>985.87540000000001</v>
      </c>
    </row>
    <row r="54" spans="1:13">
      <c r="A54" s="41">
        <v>44643</v>
      </c>
      <c r="B54" s="42">
        <v>22154.080000000002</v>
      </c>
      <c r="C54" s="42">
        <v>177337073500</v>
      </c>
      <c r="D54">
        <f t="shared" si="0"/>
        <v>7635.13</v>
      </c>
      <c r="E54">
        <f t="shared" si="1"/>
        <v>0.62928998470306396</v>
      </c>
      <c r="F54">
        <f t="shared" si="2"/>
        <v>987.05960000000005</v>
      </c>
      <c r="G54" s="42"/>
      <c r="H54" s="41">
        <v>44643</v>
      </c>
      <c r="I54" s="42">
        <v>7635.13</v>
      </c>
      <c r="J54" s="41">
        <v>44643</v>
      </c>
      <c r="K54" s="42">
        <v>0.62928998470306396</v>
      </c>
      <c r="L54" s="41">
        <v>44643</v>
      </c>
      <c r="M54" s="42">
        <v>987.05960000000005</v>
      </c>
    </row>
    <row r="55" spans="1:13">
      <c r="A55" s="41">
        <v>44644</v>
      </c>
      <c r="B55" s="42">
        <v>21945.95</v>
      </c>
      <c r="C55" s="42">
        <v>149954324900</v>
      </c>
      <c r="D55">
        <f t="shared" si="0"/>
        <v>7528.14</v>
      </c>
      <c r="E55">
        <f t="shared" si="1"/>
        <v>0.64285999536514282</v>
      </c>
      <c r="F55">
        <f t="shared" si="2"/>
        <v>983.82939999999996</v>
      </c>
      <c r="G55" s="42"/>
      <c r="H55" s="41">
        <v>44644</v>
      </c>
      <c r="I55" s="42">
        <v>7528.14</v>
      </c>
      <c r="J55" s="41">
        <v>44644</v>
      </c>
      <c r="K55" s="42">
        <v>0.64285999536514282</v>
      </c>
      <c r="L55" s="41">
        <v>44644</v>
      </c>
      <c r="M55" s="42">
        <v>983.82939999999996</v>
      </c>
    </row>
    <row r="56" spans="1:13">
      <c r="A56" s="41">
        <v>44645</v>
      </c>
      <c r="B56" s="42">
        <v>21404.880000000001</v>
      </c>
      <c r="C56" s="42">
        <v>147568699400</v>
      </c>
      <c r="D56">
        <f t="shared" si="0"/>
        <v>7283.92</v>
      </c>
      <c r="E56">
        <f t="shared" si="1"/>
        <v>0.6607699990272522</v>
      </c>
      <c r="F56">
        <f t="shared" si="2"/>
        <v>1000.6858999999999</v>
      </c>
      <c r="G56" s="42"/>
      <c r="H56" s="41">
        <v>44645</v>
      </c>
      <c r="I56" s="42">
        <v>7283.92</v>
      </c>
      <c r="J56" s="41">
        <v>44645</v>
      </c>
      <c r="K56" s="42">
        <v>0.6607699990272522</v>
      </c>
      <c r="L56" s="41">
        <v>44645</v>
      </c>
      <c r="M56" s="42">
        <v>1000.6858999999999</v>
      </c>
    </row>
    <row r="57" spans="1:13">
      <c r="A57" s="41">
        <v>44648</v>
      </c>
      <c r="B57" s="42">
        <v>21684.97</v>
      </c>
      <c r="C57" s="42">
        <v>134306437100</v>
      </c>
      <c r="D57">
        <f t="shared" si="0"/>
        <v>7396.25</v>
      </c>
      <c r="E57">
        <f t="shared" si="1"/>
        <v>0.66714000701904297</v>
      </c>
      <c r="F57">
        <f t="shared" si="2"/>
        <v>990.21339999999998</v>
      </c>
      <c r="G57" s="42"/>
      <c r="H57" s="41">
        <v>44648</v>
      </c>
      <c r="I57" s="42">
        <v>7396.25</v>
      </c>
      <c r="J57" s="41">
        <v>44648</v>
      </c>
      <c r="K57" s="42">
        <v>0.66714000701904297</v>
      </c>
      <c r="L57" s="41">
        <v>44648</v>
      </c>
      <c r="M57" s="42">
        <v>990.21339999999998</v>
      </c>
    </row>
    <row r="58" spans="1:13">
      <c r="A58" s="41">
        <v>44649</v>
      </c>
      <c r="B58" s="42">
        <v>21927.63</v>
      </c>
      <c r="C58" s="42">
        <v>125103936900</v>
      </c>
      <c r="D58">
        <f t="shared" si="0"/>
        <v>7513</v>
      </c>
      <c r="E58">
        <f t="shared" si="1"/>
        <v>0.66785997152328491</v>
      </c>
      <c r="F58">
        <f t="shared" si="2"/>
        <v>1026.424</v>
      </c>
      <c r="G58" s="42"/>
      <c r="H58" s="41">
        <v>44649</v>
      </c>
      <c r="I58" s="42">
        <v>7513</v>
      </c>
      <c r="J58" s="41">
        <v>44649</v>
      </c>
      <c r="K58" s="42">
        <v>0.66785997152328491</v>
      </c>
      <c r="L58" s="41">
        <v>44649</v>
      </c>
      <c r="M58" s="42">
        <v>1026.424</v>
      </c>
    </row>
    <row r="59" spans="1:13">
      <c r="A59" s="41">
        <v>44650</v>
      </c>
      <c r="B59" s="42">
        <v>22232.03</v>
      </c>
      <c r="C59" s="42">
        <v>155359195500</v>
      </c>
      <c r="D59">
        <f t="shared" si="0"/>
        <v>7609.37</v>
      </c>
      <c r="E59">
        <f t="shared" si="1"/>
        <v>0.61440998315811157</v>
      </c>
      <c r="F59">
        <f t="shared" si="2"/>
        <v>1022.933</v>
      </c>
      <c r="G59" s="42"/>
      <c r="H59" s="41">
        <v>44650</v>
      </c>
      <c r="I59" s="42">
        <v>7609.37</v>
      </c>
      <c r="J59" s="41">
        <v>44650</v>
      </c>
      <c r="K59" s="42">
        <v>0.61440998315811157</v>
      </c>
      <c r="L59" s="41">
        <v>44650</v>
      </c>
      <c r="M59" s="42">
        <v>1022.933</v>
      </c>
    </row>
    <row r="60" spans="1:13">
      <c r="A60" s="41">
        <v>44651</v>
      </c>
      <c r="B60" s="42">
        <v>21996.85</v>
      </c>
      <c r="C60" s="42">
        <v>102395197500</v>
      </c>
      <c r="D60">
        <f t="shared" si="0"/>
        <v>7525.89</v>
      </c>
      <c r="E60">
        <f t="shared" si="1"/>
        <v>0.55475997924804688</v>
      </c>
      <c r="F60">
        <f t="shared" si="2"/>
        <v>1028.191</v>
      </c>
      <c r="G60" s="42"/>
      <c r="H60" s="41">
        <v>44651</v>
      </c>
      <c r="I60" s="42">
        <v>7525.89</v>
      </c>
      <c r="J60" s="41">
        <v>44651</v>
      </c>
      <c r="K60" s="42">
        <v>0.55475997924804688</v>
      </c>
      <c r="L60" s="41">
        <v>44651</v>
      </c>
      <c r="M60" s="42">
        <v>1028.191</v>
      </c>
    </row>
    <row r="61" spans="1:13">
      <c r="A61" s="41">
        <v>44652</v>
      </c>
      <c r="B61" s="42">
        <v>22039.55</v>
      </c>
      <c r="C61" s="42">
        <v>94599886000</v>
      </c>
      <c r="D61">
        <f t="shared" si="0"/>
        <v>7537.16</v>
      </c>
      <c r="E61">
        <f t="shared" si="1"/>
        <v>0.52886998653411865</v>
      </c>
      <c r="F61">
        <f t="shared" si="2"/>
        <v>1032.1624999999999</v>
      </c>
      <c r="G61" s="42"/>
      <c r="H61" s="41">
        <v>44652</v>
      </c>
      <c r="I61" s="42">
        <v>7537.16</v>
      </c>
      <c r="J61" s="41">
        <v>44652</v>
      </c>
      <c r="K61" s="42">
        <v>0.52886998653411865</v>
      </c>
      <c r="L61" s="41">
        <v>44652</v>
      </c>
      <c r="M61" s="42">
        <v>1032.1624999999999</v>
      </c>
    </row>
    <row r="62" spans="1:13">
      <c r="A62" s="41">
        <v>44657</v>
      </c>
      <c r="B62" s="42">
        <v>22080.52</v>
      </c>
      <c r="C62" s="42">
        <v>134221880699.99998</v>
      </c>
      <c r="D62">
        <f t="shared" si="0"/>
        <v>7608.8</v>
      </c>
      <c r="E62">
        <f t="shared" si="1"/>
        <v>0.50648999214172363</v>
      </c>
      <c r="F62">
        <f t="shared" si="2"/>
        <v>1078.5239999999999</v>
      </c>
      <c r="G62" s="42"/>
      <c r="H62" s="41">
        <v>44657</v>
      </c>
      <c r="I62" s="42">
        <v>7608.8</v>
      </c>
      <c r="J62" s="41">
        <v>44657</v>
      </c>
      <c r="K62" s="42">
        <v>0.50648999214172363</v>
      </c>
      <c r="L62" s="41">
        <v>44657</v>
      </c>
      <c r="M62" s="42">
        <v>1078.5239999999999</v>
      </c>
    </row>
    <row r="63" spans="1:13">
      <c r="A63" s="41">
        <v>44658</v>
      </c>
      <c r="B63" s="42">
        <v>21808.98</v>
      </c>
      <c r="C63" s="42">
        <v>117330859700</v>
      </c>
      <c r="D63">
        <f t="shared" si="0"/>
        <v>7495.54</v>
      </c>
      <c r="E63">
        <f t="shared" si="1"/>
        <v>0.50809997320175171</v>
      </c>
      <c r="F63">
        <f t="shared" si="2"/>
        <v>1021.8792</v>
      </c>
      <c r="G63" s="42"/>
      <c r="H63" s="41">
        <v>44658</v>
      </c>
      <c r="I63" s="42">
        <v>7495.54</v>
      </c>
      <c r="J63" s="41">
        <v>44658</v>
      </c>
      <c r="K63" s="42">
        <v>0.50809997320175171</v>
      </c>
      <c r="L63" s="41">
        <v>44658</v>
      </c>
      <c r="M63" s="42">
        <v>1021.8792</v>
      </c>
    </row>
    <row r="64" spans="1:13">
      <c r="A64" s="41">
        <v>44659</v>
      </c>
      <c r="B64" s="42">
        <v>21872.01</v>
      </c>
      <c r="C64" s="42">
        <v>103130265600</v>
      </c>
      <c r="D64">
        <f t="shared" si="0"/>
        <v>7490.37</v>
      </c>
      <c r="E64">
        <f t="shared" si="1"/>
        <v>0.50738000869750977</v>
      </c>
      <c r="F64">
        <f t="shared" si="2"/>
        <v>980.63329999999996</v>
      </c>
      <c r="G64" s="42"/>
      <c r="H64" s="41">
        <v>44659</v>
      </c>
      <c r="I64" s="42">
        <v>7490.37</v>
      </c>
      <c r="J64" s="41">
        <v>44659</v>
      </c>
      <c r="K64" s="42">
        <v>0.50738000869750977</v>
      </c>
      <c r="L64" s="41">
        <v>44659</v>
      </c>
      <c r="M64" s="42">
        <v>980.63329999999996</v>
      </c>
    </row>
    <row r="65" spans="1:13">
      <c r="A65" s="41">
        <v>44662</v>
      </c>
      <c r="B65" s="42">
        <v>21208.3</v>
      </c>
      <c r="C65" s="42">
        <v>122282304700</v>
      </c>
      <c r="D65">
        <f t="shared" si="0"/>
        <v>7208.49</v>
      </c>
      <c r="E65">
        <f t="shared" si="1"/>
        <v>0.50809997320175171</v>
      </c>
      <c r="F65">
        <f t="shared" si="2"/>
        <v>994.15570000000002</v>
      </c>
      <c r="G65" s="42"/>
      <c r="H65" s="41">
        <v>44662</v>
      </c>
      <c r="I65" s="42">
        <v>7208.49</v>
      </c>
      <c r="J65" s="41">
        <v>44662</v>
      </c>
      <c r="K65" s="42">
        <v>0.50809997320175171</v>
      </c>
      <c r="L65" s="41">
        <v>44662</v>
      </c>
      <c r="M65" s="42">
        <v>994.15570000000002</v>
      </c>
    </row>
    <row r="66" spans="1:13">
      <c r="A66" s="41">
        <v>44663</v>
      </c>
      <c r="B66" s="42">
        <v>21319.13</v>
      </c>
      <c r="C66" s="42">
        <v>128353190100</v>
      </c>
      <c r="D66">
        <f t="shared" si="0"/>
        <v>7264.43</v>
      </c>
      <c r="E66">
        <f t="shared" si="1"/>
        <v>0.5084499716758728</v>
      </c>
      <c r="F66">
        <f t="shared" si="2"/>
        <v>1001.8789</v>
      </c>
      <c r="G66" s="42"/>
      <c r="H66" s="41">
        <v>44663</v>
      </c>
      <c r="I66" s="42">
        <v>7264.43</v>
      </c>
      <c r="J66" s="41">
        <v>44663</v>
      </c>
      <c r="K66" s="42">
        <v>0.5084499716758728</v>
      </c>
      <c r="L66" s="41">
        <v>44663</v>
      </c>
      <c r="M66" s="42">
        <v>1001.8789</v>
      </c>
    </row>
    <row r="67" spans="1:13">
      <c r="A67" s="41">
        <v>44664</v>
      </c>
      <c r="B67" s="42">
        <v>21374.37</v>
      </c>
      <c r="C67" s="42">
        <v>100208680600</v>
      </c>
      <c r="D67">
        <f t="shared" si="0"/>
        <v>7314.82</v>
      </c>
      <c r="E67">
        <f t="shared" si="1"/>
        <v>0.50786000490188599</v>
      </c>
      <c r="F67">
        <f t="shared" si="2"/>
        <v>977.29939999999999</v>
      </c>
      <c r="G67" s="42"/>
      <c r="H67" s="41">
        <v>44664</v>
      </c>
      <c r="I67" s="42">
        <v>7314.82</v>
      </c>
      <c r="J67" s="41">
        <v>44664</v>
      </c>
      <c r="K67" s="42">
        <v>0.50786000490188599</v>
      </c>
      <c r="L67" s="41">
        <v>44664</v>
      </c>
      <c r="M67" s="42">
        <v>977.29939999999999</v>
      </c>
    </row>
    <row r="68" spans="1:13">
      <c r="A68" s="41">
        <v>44665</v>
      </c>
      <c r="B68" s="42">
        <v>21518.080000000002</v>
      </c>
      <c r="C68" s="42">
        <v>98909460300</v>
      </c>
      <c r="D68">
        <f t="shared" ref="D68:D131" si="3">IFERROR(VLOOKUP($A68,$H$3:$I$1100,2,FALSE),"")</f>
        <v>7385.58</v>
      </c>
      <c r="E68">
        <f t="shared" ref="E68:E131" si="4">IFERROR(VLOOKUP($A68,$J$3:$K$1100,2,FALSE),"")</f>
        <v>0.50786000490188599</v>
      </c>
      <c r="F68">
        <f t="shared" ref="F68:F131" si="5">IFERROR(VLOOKUP($A68,$L$3:$M$1100,2,FALSE),"")</f>
        <v>988.23329999999999</v>
      </c>
      <c r="G68" s="42"/>
      <c r="H68" s="41">
        <v>44665</v>
      </c>
      <c r="I68" s="42">
        <v>7385.58</v>
      </c>
      <c r="J68" s="41">
        <v>44665</v>
      </c>
      <c r="K68" s="42">
        <v>0.50786000490188599</v>
      </c>
      <c r="L68" s="41">
        <v>44665</v>
      </c>
      <c r="M68" s="42">
        <v>988.23329999999999</v>
      </c>
    </row>
    <row r="69" spans="1:13">
      <c r="A69" s="41">
        <v>44666</v>
      </c>
      <c r="B69" s="42">
        <v>21518.080000000002</v>
      </c>
      <c r="C69" s="42"/>
      <c r="D69">
        <f t="shared" si="3"/>
        <v>7385.58</v>
      </c>
      <c r="E69">
        <f t="shared" si="4"/>
        <v>0</v>
      </c>
      <c r="F69">
        <f t="shared" si="5"/>
        <v>978.19920000000002</v>
      </c>
      <c r="G69" s="42"/>
      <c r="H69" s="41">
        <v>44666</v>
      </c>
      <c r="I69" s="42">
        <v>7385.58</v>
      </c>
      <c r="J69" s="41">
        <v>44666</v>
      </c>
      <c r="K69" s="42"/>
      <c r="L69" s="41">
        <v>44666</v>
      </c>
      <c r="M69" s="42">
        <v>978.19920000000002</v>
      </c>
    </row>
    <row r="70" spans="1:13">
      <c r="A70" s="41">
        <v>44669</v>
      </c>
      <c r="B70" s="42">
        <v>21518.080000000002</v>
      </c>
      <c r="C70" s="42"/>
      <c r="D70">
        <f t="shared" si="3"/>
        <v>7385.58</v>
      </c>
      <c r="E70">
        <f t="shared" si="4"/>
        <v>0</v>
      </c>
      <c r="F70">
        <f t="shared" si="5"/>
        <v>1058.8009999999999</v>
      </c>
      <c r="G70" s="42"/>
      <c r="H70" s="41">
        <v>44669</v>
      </c>
      <c r="I70" s="42">
        <v>7385.58</v>
      </c>
      <c r="J70" s="41">
        <v>44669</v>
      </c>
      <c r="K70" s="42"/>
      <c r="L70" s="41">
        <v>44669</v>
      </c>
      <c r="M70" s="42">
        <v>1058.8009999999999</v>
      </c>
    </row>
    <row r="71" spans="1:13">
      <c r="A71" s="41">
        <v>44670</v>
      </c>
      <c r="B71" s="42">
        <v>21027.759999999998</v>
      </c>
      <c r="C71" s="42">
        <v>115586489800</v>
      </c>
      <c r="D71">
        <f t="shared" si="3"/>
        <v>7167.67</v>
      </c>
      <c r="E71">
        <f t="shared" si="4"/>
        <v>0.51684999465942383</v>
      </c>
      <c r="F71">
        <f t="shared" si="5"/>
        <v>1080.5497</v>
      </c>
      <c r="G71" s="42"/>
      <c r="H71" s="41">
        <v>44670</v>
      </c>
      <c r="I71" s="42">
        <v>7167.67</v>
      </c>
      <c r="J71" s="41">
        <v>44670</v>
      </c>
      <c r="K71" s="42">
        <v>0.51684999465942383</v>
      </c>
      <c r="L71" s="41">
        <v>44670</v>
      </c>
      <c r="M71" s="42">
        <v>1080.5497</v>
      </c>
    </row>
    <row r="72" spans="1:13">
      <c r="A72" s="41">
        <v>44671</v>
      </c>
      <c r="B72" s="42">
        <v>20944.669999999998</v>
      </c>
      <c r="C72" s="42">
        <v>98034827300</v>
      </c>
      <c r="D72">
        <f t="shared" si="3"/>
        <v>7098.29</v>
      </c>
      <c r="E72">
        <f t="shared" si="4"/>
        <v>0.51499998569488525</v>
      </c>
      <c r="F72">
        <f t="shared" si="5"/>
        <v>1053.5445999999999</v>
      </c>
      <c r="G72" s="42"/>
      <c r="H72" s="41">
        <v>44671</v>
      </c>
      <c r="I72" s="42">
        <v>7098.29</v>
      </c>
      <c r="J72" s="41">
        <v>44671</v>
      </c>
      <c r="K72" s="42">
        <v>0.51499998569488525</v>
      </c>
      <c r="L72" s="41">
        <v>44671</v>
      </c>
      <c r="M72" s="42">
        <v>1053.5445999999999</v>
      </c>
    </row>
    <row r="73" spans="1:13">
      <c r="A73" s="41">
        <v>44672</v>
      </c>
      <c r="B73" s="42">
        <v>20682.22</v>
      </c>
      <c r="C73" s="42">
        <v>120086099900</v>
      </c>
      <c r="D73">
        <f t="shared" si="3"/>
        <v>6962.2</v>
      </c>
      <c r="E73">
        <f t="shared" si="4"/>
        <v>0.52303999662399292</v>
      </c>
      <c r="F73">
        <f t="shared" si="5"/>
        <v>1002.9002</v>
      </c>
      <c r="G73" s="42"/>
      <c r="H73" s="41">
        <v>44672</v>
      </c>
      <c r="I73" s="42">
        <v>6962.2</v>
      </c>
      <c r="J73" s="41">
        <v>44672</v>
      </c>
      <c r="K73" s="42">
        <v>0.52303999662399292</v>
      </c>
      <c r="L73" s="41">
        <v>44672</v>
      </c>
      <c r="M73" s="42">
        <v>1002.9002</v>
      </c>
    </row>
    <row r="74" spans="1:13">
      <c r="A74" s="41">
        <v>44673</v>
      </c>
      <c r="B74" s="42">
        <v>20638.52</v>
      </c>
      <c r="C74" s="42">
        <v>108647764100</v>
      </c>
      <c r="D74">
        <f t="shared" si="3"/>
        <v>6972.38</v>
      </c>
      <c r="E74">
        <f t="shared" si="4"/>
        <v>0.52560001611709595</v>
      </c>
      <c r="F74">
        <f t="shared" si="5"/>
        <v>969.34339999999997</v>
      </c>
      <c r="G74" s="42"/>
      <c r="H74" s="41">
        <v>44673</v>
      </c>
      <c r="I74" s="42">
        <v>6972.38</v>
      </c>
      <c r="J74" s="41">
        <v>44673</v>
      </c>
      <c r="K74" s="42">
        <v>0.52560001611709595</v>
      </c>
      <c r="L74" s="41">
        <v>44673</v>
      </c>
      <c r="M74" s="42">
        <v>969.34339999999997</v>
      </c>
    </row>
    <row r="75" spans="1:13">
      <c r="A75" s="41">
        <v>44676</v>
      </c>
      <c r="B75" s="42">
        <v>19869.34</v>
      </c>
      <c r="C75" s="42">
        <v>134843068100</v>
      </c>
      <c r="D75">
        <f t="shared" si="3"/>
        <v>6684.73</v>
      </c>
      <c r="E75">
        <f t="shared" si="4"/>
        <v>0.55000001192092896</v>
      </c>
      <c r="F75">
        <f t="shared" si="5"/>
        <v>903.06889999999999</v>
      </c>
      <c r="G75" s="42"/>
      <c r="H75" s="41">
        <v>44676</v>
      </c>
      <c r="I75" s="42">
        <v>6684.73</v>
      </c>
      <c r="J75" s="41">
        <v>44676</v>
      </c>
      <c r="K75" s="42">
        <v>0.55000001192092896</v>
      </c>
      <c r="L75" s="41">
        <v>44676</v>
      </c>
      <c r="M75" s="42">
        <v>903.06889999999999</v>
      </c>
    </row>
    <row r="76" spans="1:13">
      <c r="A76" s="41">
        <v>44677</v>
      </c>
      <c r="B76" s="42">
        <v>19934.71</v>
      </c>
      <c r="C76" s="42">
        <v>122794503000</v>
      </c>
      <c r="D76">
        <f t="shared" si="3"/>
        <v>6747.42</v>
      </c>
      <c r="E76">
        <f t="shared" si="4"/>
        <v>0.62417000532150269</v>
      </c>
      <c r="F76">
        <f t="shared" si="5"/>
        <v>854.86590000000001</v>
      </c>
      <c r="G76" s="42"/>
      <c r="H76" s="41">
        <v>44677</v>
      </c>
      <c r="I76" s="42">
        <v>6747.42</v>
      </c>
      <c r="J76" s="41">
        <v>44677</v>
      </c>
      <c r="K76" s="42">
        <v>0.62417000532150269</v>
      </c>
      <c r="L76" s="41">
        <v>44677</v>
      </c>
      <c r="M76" s="42">
        <v>854.86590000000001</v>
      </c>
    </row>
    <row r="77" spans="1:13">
      <c r="A77" s="41">
        <v>44678</v>
      </c>
      <c r="B77" s="42">
        <v>19946.36</v>
      </c>
      <c r="C77" s="42">
        <v>125146354800</v>
      </c>
      <c r="D77">
        <f t="shared" si="3"/>
        <v>6786.02</v>
      </c>
      <c r="E77">
        <f t="shared" si="4"/>
        <v>0.66881000995635986</v>
      </c>
      <c r="F77">
        <f t="shared" si="5"/>
        <v>882.92319999999995</v>
      </c>
      <c r="G77" s="42"/>
      <c r="H77" s="41">
        <v>44678</v>
      </c>
      <c r="I77" s="42">
        <v>6786.02</v>
      </c>
      <c r="J77" s="41">
        <v>44678</v>
      </c>
      <c r="K77" s="42">
        <v>0.66881000995635986</v>
      </c>
      <c r="L77" s="41">
        <v>44678</v>
      </c>
      <c r="M77" s="42">
        <v>882.92319999999995</v>
      </c>
    </row>
    <row r="78" spans="1:13">
      <c r="A78" s="41">
        <v>44679</v>
      </c>
      <c r="B78" s="42">
        <v>20276.169999999998</v>
      </c>
      <c r="C78" s="42">
        <v>105753991500</v>
      </c>
      <c r="D78">
        <f t="shared" si="3"/>
        <v>6918.62</v>
      </c>
      <c r="E78">
        <f t="shared" si="4"/>
        <v>0.69988000392913818</v>
      </c>
      <c r="F78">
        <f t="shared" si="5"/>
        <v>851.08720000000005</v>
      </c>
      <c r="G78" s="42"/>
      <c r="H78" s="41">
        <v>44679</v>
      </c>
      <c r="I78" s="42">
        <v>6918.62</v>
      </c>
      <c r="J78" s="41">
        <v>44679</v>
      </c>
      <c r="K78" s="42">
        <v>0.69988000392913818</v>
      </c>
      <c r="L78" s="41">
        <v>44679</v>
      </c>
      <c r="M78" s="42">
        <v>851.08720000000005</v>
      </c>
    </row>
    <row r="79" spans="1:13">
      <c r="A79" s="41">
        <v>44680</v>
      </c>
      <c r="B79" s="42">
        <v>21089.39</v>
      </c>
      <c r="C79" s="42">
        <v>165116279800</v>
      </c>
      <c r="D79">
        <f t="shared" si="3"/>
        <v>7298.69</v>
      </c>
      <c r="E79">
        <f t="shared" si="4"/>
        <v>0.72874999046325684</v>
      </c>
      <c r="F79">
        <f t="shared" si="5"/>
        <v>859.1354</v>
      </c>
      <c r="G79" s="42"/>
      <c r="H79" s="41">
        <v>44680</v>
      </c>
      <c r="I79" s="42">
        <v>7298.69</v>
      </c>
      <c r="J79" s="41">
        <v>44680</v>
      </c>
      <c r="K79" s="42">
        <v>0.72874999046325684</v>
      </c>
      <c r="L79" s="41">
        <v>44680</v>
      </c>
      <c r="M79" s="42">
        <v>859.1354</v>
      </c>
    </row>
    <row r="80" spans="1:13">
      <c r="A80" s="41">
        <v>44686</v>
      </c>
      <c r="B80" s="42">
        <v>20793.400000000001</v>
      </c>
      <c r="C80" s="42">
        <v>100725921400</v>
      </c>
      <c r="D80">
        <f t="shared" si="3"/>
        <v>7117.75</v>
      </c>
      <c r="E80">
        <f t="shared" si="4"/>
        <v>0.74185001850128174</v>
      </c>
      <c r="F80">
        <f t="shared" si="5"/>
        <v>869.93619999999999</v>
      </c>
      <c r="G80" s="42"/>
      <c r="H80" s="41">
        <v>44686</v>
      </c>
      <c r="I80" s="42">
        <v>7117.75</v>
      </c>
      <c r="J80" s="41">
        <v>44686</v>
      </c>
      <c r="K80" s="42">
        <v>0.74185001850128174</v>
      </c>
      <c r="L80" s="41">
        <v>44686</v>
      </c>
      <c r="M80" s="42">
        <v>869.93619999999999</v>
      </c>
    </row>
    <row r="81" spans="1:13">
      <c r="A81" s="41">
        <v>44687</v>
      </c>
      <c r="B81" s="42">
        <v>20001.96</v>
      </c>
      <c r="C81" s="42">
        <v>117826449600</v>
      </c>
      <c r="D81">
        <f t="shared" si="3"/>
        <v>6809.52</v>
      </c>
      <c r="E81">
        <f t="shared" si="4"/>
        <v>0.74892997741699219</v>
      </c>
      <c r="F81">
        <f t="shared" si="5"/>
        <v>854.64179999999999</v>
      </c>
      <c r="G81" s="42"/>
      <c r="H81" s="41">
        <v>44687</v>
      </c>
      <c r="I81" s="42">
        <v>6809.52</v>
      </c>
      <c r="J81" s="41">
        <v>44687</v>
      </c>
      <c r="K81" s="42">
        <v>0.74892997741699219</v>
      </c>
      <c r="L81" s="41">
        <v>44687</v>
      </c>
      <c r="M81" s="42">
        <v>854.64179999999999</v>
      </c>
    </row>
    <row r="82" spans="1:13">
      <c r="A82" s="41">
        <v>44690</v>
      </c>
      <c r="B82" s="42">
        <v>20001.96</v>
      </c>
      <c r="C82" s="42"/>
      <c r="D82">
        <f t="shared" si="3"/>
        <v>6809.52</v>
      </c>
      <c r="E82">
        <f t="shared" si="4"/>
        <v>0</v>
      </c>
      <c r="F82">
        <f t="shared" si="5"/>
        <v>874.62720000000002</v>
      </c>
      <c r="G82" s="42"/>
      <c r="H82" s="41">
        <v>44690</v>
      </c>
      <c r="I82" s="42">
        <v>6809.52</v>
      </c>
      <c r="J82" s="41">
        <v>44690</v>
      </c>
      <c r="K82" s="42"/>
      <c r="L82" s="41">
        <v>44690</v>
      </c>
      <c r="M82" s="42">
        <v>874.62720000000002</v>
      </c>
    </row>
    <row r="83" spans="1:13">
      <c r="A83" s="41">
        <v>44691</v>
      </c>
      <c r="B83" s="42">
        <v>19633.689999999999</v>
      </c>
      <c r="C83" s="42">
        <v>143680278700</v>
      </c>
      <c r="D83">
        <f t="shared" si="3"/>
        <v>6658.25</v>
      </c>
      <c r="E83">
        <f t="shared" si="4"/>
        <v>0.75291997194290161</v>
      </c>
      <c r="F83">
        <f t="shared" si="5"/>
        <v>880.33820000000003</v>
      </c>
      <c r="G83" s="42"/>
      <c r="H83" s="41">
        <v>44691</v>
      </c>
      <c r="I83" s="42">
        <v>6658.25</v>
      </c>
      <c r="J83" s="41">
        <v>44691</v>
      </c>
      <c r="K83" s="42">
        <v>0.75291997194290161</v>
      </c>
      <c r="L83" s="41">
        <v>44691</v>
      </c>
      <c r="M83" s="42">
        <v>880.33820000000003</v>
      </c>
    </row>
    <row r="84" spans="1:13">
      <c r="A84" s="41">
        <v>44692</v>
      </c>
      <c r="B84" s="42">
        <v>19824.57</v>
      </c>
      <c r="C84" s="42">
        <v>126151800000</v>
      </c>
      <c r="D84">
        <f t="shared" si="3"/>
        <v>6769.72</v>
      </c>
      <c r="E84">
        <f t="shared" si="4"/>
        <v>0.76339000463485718</v>
      </c>
      <c r="F84">
        <f t="shared" si="5"/>
        <v>876.75469999999996</v>
      </c>
      <c r="G84" s="42"/>
      <c r="H84" s="41">
        <v>44692</v>
      </c>
      <c r="I84" s="42">
        <v>6769.72</v>
      </c>
      <c r="J84" s="41">
        <v>44692</v>
      </c>
      <c r="K84" s="42">
        <v>0.76339000463485718</v>
      </c>
      <c r="L84" s="41">
        <v>44692</v>
      </c>
      <c r="M84" s="42">
        <v>876.75469999999996</v>
      </c>
    </row>
    <row r="85" spans="1:13">
      <c r="A85" s="41">
        <v>44693</v>
      </c>
      <c r="B85" s="42">
        <v>19380.34</v>
      </c>
      <c r="C85" s="42">
        <v>115624712400</v>
      </c>
      <c r="D85">
        <f t="shared" si="3"/>
        <v>6594.81</v>
      </c>
      <c r="E85">
        <f t="shared" si="4"/>
        <v>0.79053997993469238</v>
      </c>
      <c r="F85">
        <f t="shared" si="5"/>
        <v>865.97379999999998</v>
      </c>
      <c r="G85" s="42"/>
      <c r="H85" s="41">
        <v>44693</v>
      </c>
      <c r="I85" s="42">
        <v>6594.81</v>
      </c>
      <c r="J85" s="41">
        <v>44693</v>
      </c>
      <c r="K85" s="42">
        <v>0.79053997993469238</v>
      </c>
      <c r="L85" s="41">
        <v>44693</v>
      </c>
      <c r="M85" s="42">
        <v>865.97379999999998</v>
      </c>
    </row>
    <row r="86" spans="1:13">
      <c r="A86" s="41">
        <v>44694</v>
      </c>
      <c r="B86" s="42">
        <v>19898.77</v>
      </c>
      <c r="C86" s="42">
        <v>116648209000</v>
      </c>
      <c r="D86">
        <f t="shared" si="3"/>
        <v>6807.03</v>
      </c>
      <c r="E86">
        <f t="shared" si="4"/>
        <v>0.8266100287437439</v>
      </c>
      <c r="F86">
        <f t="shared" si="5"/>
        <v>856.43089999999995</v>
      </c>
      <c r="G86" s="42"/>
      <c r="H86" s="41">
        <v>44694</v>
      </c>
      <c r="I86" s="42">
        <v>6807.03</v>
      </c>
      <c r="J86" s="41">
        <v>44694</v>
      </c>
      <c r="K86" s="42">
        <v>0.8266100287437439</v>
      </c>
      <c r="L86" s="41">
        <v>44694</v>
      </c>
      <c r="M86" s="42">
        <v>856.43089999999995</v>
      </c>
    </row>
    <row r="87" spans="1:13">
      <c r="A87" s="41">
        <v>44697</v>
      </c>
      <c r="B87" s="42">
        <v>19950.21</v>
      </c>
      <c r="C87" s="42">
        <v>93015297500</v>
      </c>
      <c r="D87">
        <f t="shared" si="3"/>
        <v>6826.31</v>
      </c>
      <c r="E87">
        <f t="shared" si="4"/>
        <v>0.83774000406265259</v>
      </c>
      <c r="F87">
        <f t="shared" si="5"/>
        <v>887.48599999999999</v>
      </c>
      <c r="G87" s="42"/>
      <c r="H87" s="41">
        <v>44697</v>
      </c>
      <c r="I87" s="42">
        <v>6826.31</v>
      </c>
      <c r="J87" s="41">
        <v>44697</v>
      </c>
      <c r="K87" s="42">
        <v>0.83774000406265259</v>
      </c>
      <c r="L87" s="41">
        <v>44697</v>
      </c>
      <c r="M87" s="42">
        <v>887.48599999999999</v>
      </c>
    </row>
    <row r="88" spans="1:13">
      <c r="A88" s="41">
        <v>44698</v>
      </c>
      <c r="B88" s="42">
        <v>20602.52</v>
      </c>
      <c r="C88" s="42">
        <v>124136538300</v>
      </c>
      <c r="D88">
        <f t="shared" si="3"/>
        <v>7076.8</v>
      </c>
      <c r="E88">
        <f t="shared" si="4"/>
        <v>0.85399001836776733</v>
      </c>
      <c r="F88">
        <f t="shared" si="5"/>
        <v>877.55309999999997</v>
      </c>
      <c r="G88" s="42"/>
      <c r="H88" s="41">
        <v>44698</v>
      </c>
      <c r="I88" s="42">
        <v>7076.8</v>
      </c>
      <c r="J88" s="41">
        <v>44698</v>
      </c>
      <c r="K88" s="42">
        <v>0.85399001836776733</v>
      </c>
      <c r="L88" s="41">
        <v>44698</v>
      </c>
      <c r="M88" s="42">
        <v>877.55309999999997</v>
      </c>
    </row>
    <row r="89" spans="1:13">
      <c r="A89" s="41">
        <v>44699</v>
      </c>
      <c r="B89" s="42">
        <v>20644.28</v>
      </c>
      <c r="C89" s="42">
        <v>112675503700</v>
      </c>
      <c r="D89">
        <f t="shared" si="3"/>
        <v>7089.29</v>
      </c>
      <c r="E89">
        <f t="shared" si="4"/>
        <v>0.87119001150131226</v>
      </c>
      <c r="F89">
        <f t="shared" si="5"/>
        <v>873.81269999999995</v>
      </c>
      <c r="G89" s="42"/>
      <c r="H89" s="41">
        <v>44699</v>
      </c>
      <c r="I89" s="42">
        <v>7089.29</v>
      </c>
      <c r="J89" s="41">
        <v>44699</v>
      </c>
      <c r="K89" s="42">
        <v>0.87119001150131226</v>
      </c>
      <c r="L89" s="41">
        <v>44699</v>
      </c>
      <c r="M89" s="42">
        <v>873.81269999999995</v>
      </c>
    </row>
    <row r="90" spans="1:13">
      <c r="A90" s="41">
        <v>44700</v>
      </c>
      <c r="B90" s="42">
        <v>20120.68</v>
      </c>
      <c r="C90" s="42">
        <v>121114520500</v>
      </c>
      <c r="D90">
        <f t="shared" si="3"/>
        <v>6899.19</v>
      </c>
      <c r="E90">
        <f t="shared" si="4"/>
        <v>0.88673001527786255</v>
      </c>
      <c r="F90">
        <f t="shared" si="5"/>
        <v>868.09460000000001</v>
      </c>
      <c r="G90" s="42"/>
      <c r="H90" s="41">
        <v>44700</v>
      </c>
      <c r="I90" s="42">
        <v>6899.19</v>
      </c>
      <c r="J90" s="41">
        <v>44700</v>
      </c>
      <c r="K90" s="42">
        <v>0.88673001527786255</v>
      </c>
      <c r="L90" s="41">
        <v>44700</v>
      </c>
      <c r="M90" s="42">
        <v>868.09460000000001</v>
      </c>
    </row>
    <row r="91" spans="1:13">
      <c r="A91" s="41">
        <v>44701</v>
      </c>
      <c r="B91" s="42">
        <v>20717.240000000002</v>
      </c>
      <c r="C91" s="42">
        <v>122667617500</v>
      </c>
      <c r="D91">
        <f t="shared" si="3"/>
        <v>7121.18</v>
      </c>
      <c r="E91">
        <f t="shared" si="4"/>
        <v>0.89042001962661743</v>
      </c>
      <c r="F91">
        <f t="shared" si="5"/>
        <v>874.00239999999997</v>
      </c>
      <c r="G91" s="42"/>
      <c r="H91" s="41">
        <v>44701</v>
      </c>
      <c r="I91" s="42">
        <v>7121.18</v>
      </c>
      <c r="J91" s="41">
        <v>44701</v>
      </c>
      <c r="K91" s="42">
        <v>0.89042001962661743</v>
      </c>
      <c r="L91" s="41">
        <v>44701</v>
      </c>
      <c r="M91" s="42">
        <v>874.00239999999997</v>
      </c>
    </row>
    <row r="92" spans="1:13">
      <c r="A92" s="41">
        <v>44704</v>
      </c>
      <c r="B92" s="42">
        <v>20470.060000000001</v>
      </c>
      <c r="C92" s="42">
        <v>105130324300</v>
      </c>
      <c r="D92">
        <f t="shared" si="3"/>
        <v>7022.45</v>
      </c>
      <c r="E92">
        <f t="shared" si="4"/>
        <v>0.89774000644683838</v>
      </c>
      <c r="F92">
        <f t="shared" si="5"/>
        <v>901.6105</v>
      </c>
      <c r="G92" s="42"/>
      <c r="H92" s="41">
        <v>44704</v>
      </c>
      <c r="I92" s="42">
        <v>7022.45</v>
      </c>
      <c r="J92" s="41">
        <v>44704</v>
      </c>
      <c r="K92" s="42">
        <v>0.89774000644683838</v>
      </c>
      <c r="L92" s="41">
        <v>44704</v>
      </c>
      <c r="M92" s="42">
        <v>901.6105</v>
      </c>
    </row>
    <row r="93" spans="1:13">
      <c r="A93" s="41">
        <v>44705</v>
      </c>
      <c r="B93" s="42">
        <v>20112.099999999999</v>
      </c>
      <c r="C93" s="42">
        <v>113638992700</v>
      </c>
      <c r="D93">
        <f t="shared" si="3"/>
        <v>6883.14</v>
      </c>
      <c r="E93">
        <f t="shared" si="4"/>
        <v>0.89999997615814209</v>
      </c>
      <c r="F93">
        <f t="shared" si="5"/>
        <v>878.51700000000005</v>
      </c>
      <c r="G93" s="42"/>
      <c r="H93" s="41">
        <v>44705</v>
      </c>
      <c r="I93" s="42">
        <v>6883.14</v>
      </c>
      <c r="J93" s="41">
        <v>44705</v>
      </c>
      <c r="K93" s="42">
        <v>0.89999997615814209</v>
      </c>
      <c r="L93" s="41">
        <v>44705</v>
      </c>
      <c r="M93" s="42">
        <v>878.51700000000005</v>
      </c>
    </row>
    <row r="94" spans="1:13">
      <c r="A94" s="41">
        <v>44706</v>
      </c>
      <c r="B94" s="42">
        <v>20171.27</v>
      </c>
      <c r="C94" s="42">
        <v>103409668100</v>
      </c>
      <c r="D94">
        <f t="shared" si="3"/>
        <v>6898.56</v>
      </c>
      <c r="E94">
        <f t="shared" si="4"/>
        <v>0.89951997995376587</v>
      </c>
      <c r="F94">
        <f t="shared" si="5"/>
        <v>921.74879999999996</v>
      </c>
      <c r="G94" s="42"/>
      <c r="H94" s="41">
        <v>44706</v>
      </c>
      <c r="I94" s="42">
        <v>6898.56</v>
      </c>
      <c r="J94" s="41">
        <v>44706</v>
      </c>
      <c r="K94" s="42">
        <v>0.89951997995376587</v>
      </c>
      <c r="L94" s="41">
        <v>44706</v>
      </c>
      <c r="M94" s="42">
        <v>921.74879999999996</v>
      </c>
    </row>
    <row r="95" spans="1:13">
      <c r="A95" s="41">
        <v>44707</v>
      </c>
      <c r="B95" s="42">
        <v>20116.2</v>
      </c>
      <c r="C95" s="42">
        <v>95506206400</v>
      </c>
      <c r="D95">
        <f t="shared" si="3"/>
        <v>6877.21</v>
      </c>
      <c r="E95">
        <f t="shared" si="4"/>
        <v>0.90143001079559326</v>
      </c>
      <c r="F95">
        <f t="shared" si="5"/>
        <v>919.68020000000001</v>
      </c>
      <c r="G95" s="42"/>
      <c r="H95" s="41">
        <v>44707</v>
      </c>
      <c r="I95" s="42">
        <v>6877.21</v>
      </c>
      <c r="J95" s="41">
        <v>44707</v>
      </c>
      <c r="K95" s="42">
        <v>0.90143001079559326</v>
      </c>
      <c r="L95" s="41">
        <v>44707</v>
      </c>
      <c r="M95" s="42">
        <v>919.68020000000001</v>
      </c>
    </row>
    <row r="96" spans="1:13">
      <c r="A96" s="41">
        <v>44708</v>
      </c>
      <c r="B96" s="42">
        <v>20697.36</v>
      </c>
      <c r="C96" s="42">
        <v>120055166400</v>
      </c>
      <c r="D96">
        <f t="shared" si="3"/>
        <v>7082.38</v>
      </c>
      <c r="E96">
        <f t="shared" si="4"/>
        <v>0.89951997995376587</v>
      </c>
      <c r="F96">
        <f t="shared" si="5"/>
        <v>916.75779999999997</v>
      </c>
      <c r="G96" s="42"/>
      <c r="H96" s="41">
        <v>44708</v>
      </c>
      <c r="I96" s="42">
        <v>7082.38</v>
      </c>
      <c r="J96" s="41">
        <v>44708</v>
      </c>
      <c r="K96" s="42">
        <v>0.89951997995376587</v>
      </c>
      <c r="L96" s="41">
        <v>44708</v>
      </c>
      <c r="M96" s="42">
        <v>916.75779999999997</v>
      </c>
    </row>
    <row r="97" spans="1:13">
      <c r="A97" s="41">
        <v>44711</v>
      </c>
      <c r="B97" s="42">
        <v>21123.93</v>
      </c>
      <c r="C97" s="42">
        <v>128811312200</v>
      </c>
      <c r="D97">
        <f t="shared" si="3"/>
        <v>7255.13</v>
      </c>
      <c r="E97">
        <f t="shared" si="4"/>
        <v>0.89881002902984619</v>
      </c>
      <c r="F97">
        <f t="shared" si="5"/>
        <v>919.49609999999996</v>
      </c>
      <c r="G97" s="42"/>
      <c r="H97" s="41">
        <v>44711</v>
      </c>
      <c r="I97" s="42">
        <v>7255.13</v>
      </c>
      <c r="J97" s="41">
        <v>44711</v>
      </c>
      <c r="K97" s="42">
        <v>0.89881002902984619</v>
      </c>
      <c r="L97" s="41">
        <v>44711</v>
      </c>
      <c r="M97" s="42">
        <v>919.49609999999996</v>
      </c>
    </row>
    <row r="98" spans="1:13">
      <c r="A98" s="41">
        <v>44712</v>
      </c>
      <c r="B98" s="42">
        <v>21415.200000000001</v>
      </c>
      <c r="C98" s="42">
        <v>245601502300</v>
      </c>
      <c r="D98">
        <f t="shared" si="3"/>
        <v>7416.75</v>
      </c>
      <c r="E98">
        <f t="shared" si="4"/>
        <v>0.89737999439239502</v>
      </c>
      <c r="F98">
        <f t="shared" si="5"/>
        <v>944.22519999999997</v>
      </c>
      <c r="G98" s="42"/>
      <c r="H98" s="41">
        <v>44712</v>
      </c>
      <c r="I98" s="42">
        <v>7416.75</v>
      </c>
      <c r="J98" s="41">
        <v>44712</v>
      </c>
      <c r="K98" s="42">
        <v>0.89737999439239502</v>
      </c>
      <c r="L98" s="41">
        <v>44712</v>
      </c>
      <c r="M98" s="42">
        <v>944.22519999999997</v>
      </c>
    </row>
    <row r="99" spans="1:13">
      <c r="A99" s="41">
        <v>44713</v>
      </c>
      <c r="B99" s="42">
        <v>21294.94</v>
      </c>
      <c r="C99" s="42">
        <v>126082074500</v>
      </c>
      <c r="D99">
        <f t="shared" si="3"/>
        <v>7345.64</v>
      </c>
      <c r="E99">
        <f t="shared" si="4"/>
        <v>0.89951997995376587</v>
      </c>
      <c r="F99">
        <f t="shared" si="5"/>
        <v>934.16279999999995</v>
      </c>
      <c r="G99" s="42"/>
      <c r="H99" s="41">
        <v>44713</v>
      </c>
      <c r="I99" s="42">
        <v>7345.64</v>
      </c>
      <c r="J99" s="41">
        <v>44713</v>
      </c>
      <c r="K99" s="42">
        <v>0.89951997995376587</v>
      </c>
      <c r="L99" s="41">
        <v>44713</v>
      </c>
      <c r="M99" s="42">
        <v>934.16279999999995</v>
      </c>
    </row>
    <row r="100" spans="1:13">
      <c r="A100" s="41">
        <v>44714</v>
      </c>
      <c r="B100" s="42">
        <v>21082.13</v>
      </c>
      <c r="C100" s="42">
        <v>103602146300</v>
      </c>
      <c r="D100">
        <f t="shared" si="3"/>
        <v>7267.57</v>
      </c>
      <c r="E100">
        <f t="shared" si="4"/>
        <v>0.89994001388549805</v>
      </c>
      <c r="F100">
        <f t="shared" si="5"/>
        <v>929.65530000000001</v>
      </c>
      <c r="G100" s="42"/>
      <c r="H100" s="41">
        <v>44714</v>
      </c>
      <c r="I100" s="42">
        <v>7267.57</v>
      </c>
      <c r="J100" s="41">
        <v>44714</v>
      </c>
      <c r="K100" s="42">
        <v>0.89994001388549805</v>
      </c>
      <c r="L100" s="41">
        <v>44714</v>
      </c>
      <c r="M100" s="42">
        <v>929.65530000000001</v>
      </c>
    </row>
    <row r="101" spans="1:13">
      <c r="A101" s="41">
        <v>44718</v>
      </c>
      <c r="B101" s="42">
        <v>21653.9</v>
      </c>
      <c r="C101" s="42">
        <v>138515719600</v>
      </c>
      <c r="D101">
        <f t="shared" si="3"/>
        <v>7499.97</v>
      </c>
      <c r="E101">
        <f t="shared" si="4"/>
        <v>0.89923000335693359</v>
      </c>
      <c r="F101">
        <f t="shared" si="5"/>
        <v>935.60760000000005</v>
      </c>
      <c r="G101" s="42"/>
      <c r="H101" s="41">
        <v>44718</v>
      </c>
      <c r="I101" s="42">
        <v>7499.97</v>
      </c>
      <c r="J101" s="41">
        <v>44718</v>
      </c>
      <c r="K101" s="42">
        <v>0.89923000335693359</v>
      </c>
      <c r="L101" s="41">
        <v>44718</v>
      </c>
      <c r="M101" s="42">
        <v>935.60760000000005</v>
      </c>
    </row>
    <row r="102" spans="1:13">
      <c r="A102" s="41">
        <v>44719</v>
      </c>
      <c r="B102" s="42">
        <v>21531.67</v>
      </c>
      <c r="C102" s="42">
        <v>140080283900</v>
      </c>
      <c r="D102">
        <f t="shared" si="3"/>
        <v>7467.87</v>
      </c>
      <c r="E102">
        <f t="shared" si="4"/>
        <v>0.89923000335693359</v>
      </c>
      <c r="F102">
        <f t="shared" si="5"/>
        <v>941.35350000000005</v>
      </c>
      <c r="G102" s="42"/>
      <c r="H102" s="41">
        <v>44719</v>
      </c>
      <c r="I102" s="42">
        <v>7467.87</v>
      </c>
      <c r="J102" s="41">
        <v>44719</v>
      </c>
      <c r="K102" s="42">
        <v>0.89923000335693359</v>
      </c>
      <c r="L102" s="41">
        <v>44719</v>
      </c>
      <c r="M102" s="42">
        <v>941.35350000000005</v>
      </c>
    </row>
    <row r="103" spans="1:13">
      <c r="A103" s="41">
        <v>44720</v>
      </c>
      <c r="B103" s="42">
        <v>22014.59</v>
      </c>
      <c r="C103" s="42">
        <v>184028326300</v>
      </c>
      <c r="D103">
        <f t="shared" si="3"/>
        <v>7679.6</v>
      </c>
      <c r="E103">
        <f t="shared" si="4"/>
        <v>0.8975600004196167</v>
      </c>
      <c r="F103">
        <f t="shared" si="5"/>
        <v>937.78689999999995</v>
      </c>
      <c r="G103" s="42"/>
      <c r="H103" s="41">
        <v>44720</v>
      </c>
      <c r="I103" s="42">
        <v>7679.6</v>
      </c>
      <c r="J103" s="41">
        <v>44720</v>
      </c>
      <c r="K103" s="42">
        <v>0.8975600004196167</v>
      </c>
      <c r="L103" s="41">
        <v>44720</v>
      </c>
      <c r="M103" s="42">
        <v>937.78689999999995</v>
      </c>
    </row>
    <row r="104" spans="1:13">
      <c r="A104" s="41">
        <v>44721</v>
      </c>
      <c r="B104" s="42">
        <v>21869.05</v>
      </c>
      <c r="C104" s="42">
        <v>163702600400</v>
      </c>
      <c r="D104">
        <f t="shared" si="3"/>
        <v>7606.35</v>
      </c>
      <c r="E104">
        <f t="shared" si="4"/>
        <v>0.89994001388549805</v>
      </c>
      <c r="F104">
        <f t="shared" si="5"/>
        <v>950.85680000000002</v>
      </c>
      <c r="G104" s="42"/>
      <c r="H104" s="41">
        <v>44721</v>
      </c>
      <c r="I104" s="42">
        <v>7606.35</v>
      </c>
      <c r="J104" s="41">
        <v>44721</v>
      </c>
      <c r="K104" s="42">
        <v>0.89994001388549805</v>
      </c>
      <c r="L104" s="41">
        <v>44721</v>
      </c>
      <c r="M104" s="42">
        <v>950.85680000000002</v>
      </c>
    </row>
    <row r="105" spans="1:13">
      <c r="A105" s="41">
        <v>44722</v>
      </c>
      <c r="B105" s="42">
        <v>21806.18</v>
      </c>
      <c r="C105" s="42">
        <v>180347095100</v>
      </c>
      <c r="D105">
        <f t="shared" si="3"/>
        <v>7609.56</v>
      </c>
      <c r="E105">
        <f t="shared" si="4"/>
        <v>0.92000001668930054</v>
      </c>
      <c r="F105">
        <f t="shared" si="5"/>
        <v>946.63990000000001</v>
      </c>
      <c r="G105" s="42"/>
      <c r="H105" s="41">
        <v>44722</v>
      </c>
      <c r="I105" s="42">
        <v>7609.56</v>
      </c>
      <c r="J105" s="41">
        <v>44722</v>
      </c>
      <c r="K105" s="42">
        <v>0.92000001668930054</v>
      </c>
      <c r="L105" s="41">
        <v>44722</v>
      </c>
      <c r="M105" s="42">
        <v>946.63990000000001</v>
      </c>
    </row>
    <row r="106" spans="1:13">
      <c r="A106" s="41">
        <v>44725</v>
      </c>
      <c r="B106" s="42">
        <v>21067.58</v>
      </c>
      <c r="C106" s="42">
        <v>159391959400</v>
      </c>
      <c r="D106">
        <f t="shared" si="3"/>
        <v>7340.52</v>
      </c>
      <c r="E106">
        <f t="shared" si="4"/>
        <v>0.94071000814437866</v>
      </c>
      <c r="F106">
        <f t="shared" si="5"/>
        <v>964.93290000000002</v>
      </c>
      <c r="G106" s="42"/>
      <c r="H106" s="41">
        <v>44725</v>
      </c>
      <c r="I106" s="42">
        <v>7340.52</v>
      </c>
      <c r="J106" s="41">
        <v>44725</v>
      </c>
      <c r="K106" s="42">
        <v>0.94071000814437866</v>
      </c>
      <c r="L106" s="41">
        <v>44725</v>
      </c>
      <c r="M106" s="42">
        <v>964.93290000000002</v>
      </c>
    </row>
    <row r="107" spans="1:13">
      <c r="A107" s="41">
        <v>44726</v>
      </c>
      <c r="B107" s="42">
        <v>21067.99</v>
      </c>
      <c r="C107" s="42">
        <v>133047285000</v>
      </c>
      <c r="D107">
        <f t="shared" si="3"/>
        <v>7333.61</v>
      </c>
      <c r="E107">
        <f t="shared" si="4"/>
        <v>1.038390040397644</v>
      </c>
      <c r="F107">
        <f t="shared" si="5"/>
        <v>988.91089999999997</v>
      </c>
      <c r="G107" s="42"/>
      <c r="H107" s="41">
        <v>44726</v>
      </c>
      <c r="I107" s="42">
        <v>7333.61</v>
      </c>
      <c r="J107" s="41">
        <v>44726</v>
      </c>
      <c r="K107" s="42">
        <v>1.038390040397644</v>
      </c>
      <c r="L107" s="41">
        <v>44726</v>
      </c>
      <c r="M107" s="42">
        <v>988.91089999999997</v>
      </c>
    </row>
    <row r="108" spans="1:13">
      <c r="A108" s="41">
        <v>44727</v>
      </c>
      <c r="B108" s="42">
        <v>21308.21</v>
      </c>
      <c r="C108" s="42">
        <v>149065131900</v>
      </c>
      <c r="D108">
        <f t="shared" si="3"/>
        <v>7452.89</v>
      </c>
      <c r="E108">
        <f t="shared" si="4"/>
        <v>1.09375</v>
      </c>
      <c r="F108">
        <f t="shared" si="5"/>
        <v>986.40909999999997</v>
      </c>
      <c r="G108" s="42"/>
      <c r="H108" s="41">
        <v>44727</v>
      </c>
      <c r="I108" s="42">
        <v>7452.89</v>
      </c>
      <c r="J108" s="41">
        <v>44727</v>
      </c>
      <c r="K108" s="42">
        <v>1.09375</v>
      </c>
      <c r="L108" s="41">
        <v>44727</v>
      </c>
      <c r="M108" s="42">
        <v>986.40909999999997</v>
      </c>
    </row>
    <row r="109" spans="1:13">
      <c r="A109" s="41">
        <v>44728</v>
      </c>
      <c r="B109" s="42">
        <v>20845.43</v>
      </c>
      <c r="C109" s="42">
        <v>158485840900</v>
      </c>
      <c r="D109">
        <f t="shared" si="3"/>
        <v>7259.41</v>
      </c>
      <c r="E109">
        <f t="shared" si="4"/>
        <v>1.1752400398254395</v>
      </c>
      <c r="F109">
        <f t="shared" si="5"/>
        <v>1039.6322</v>
      </c>
      <c r="G109" s="42"/>
      <c r="H109" s="41">
        <v>44728</v>
      </c>
      <c r="I109" s="42">
        <v>7259.41</v>
      </c>
      <c r="J109" s="41">
        <v>44728</v>
      </c>
      <c r="K109" s="42">
        <v>1.1752400398254395</v>
      </c>
      <c r="L109" s="41">
        <v>44728</v>
      </c>
      <c r="M109" s="42">
        <v>1039.6322</v>
      </c>
    </row>
    <row r="110" spans="1:13">
      <c r="A110" s="41">
        <v>44729</v>
      </c>
      <c r="B110" s="42">
        <v>21075</v>
      </c>
      <c r="C110" s="42">
        <v>186314869300</v>
      </c>
      <c r="D110">
        <f t="shared" si="3"/>
        <v>7367.68</v>
      </c>
      <c r="E110">
        <f t="shared" si="4"/>
        <v>1.2898199558258057</v>
      </c>
      <c r="F110">
        <f t="shared" si="5"/>
        <v>1041.0648000000001</v>
      </c>
      <c r="G110" s="42"/>
      <c r="H110" s="41">
        <v>44729</v>
      </c>
      <c r="I110" s="42">
        <v>7367.68</v>
      </c>
      <c r="J110" s="41">
        <v>44729</v>
      </c>
      <c r="K110" s="42">
        <v>1.2898199558258057</v>
      </c>
      <c r="L110" s="41">
        <v>44729</v>
      </c>
      <c r="M110" s="42">
        <v>1041.0648000000001</v>
      </c>
    </row>
    <row r="111" spans="1:13">
      <c r="A111" s="41">
        <v>44732</v>
      </c>
      <c r="B111" s="42">
        <v>21163.91</v>
      </c>
      <c r="C111" s="42">
        <v>131852455700</v>
      </c>
      <c r="D111">
        <f t="shared" si="3"/>
        <v>7399.6</v>
      </c>
      <c r="E111">
        <f t="shared" si="4"/>
        <v>1.345770001411438</v>
      </c>
      <c r="F111">
        <f t="shared" si="5"/>
        <v>1048.7295999999999</v>
      </c>
      <c r="G111" s="42"/>
      <c r="H111" s="41">
        <v>44732</v>
      </c>
      <c r="I111" s="42">
        <v>7399.6</v>
      </c>
      <c r="J111" s="41">
        <v>44732</v>
      </c>
      <c r="K111" s="42">
        <v>1.345770001411438</v>
      </c>
      <c r="L111" s="41">
        <v>44732</v>
      </c>
      <c r="M111" s="42">
        <v>1048.7295999999999</v>
      </c>
    </row>
    <row r="112" spans="1:13">
      <c r="A112" s="41">
        <v>44733</v>
      </c>
      <c r="B112" s="42">
        <v>21559.59</v>
      </c>
      <c r="C112" s="42">
        <v>119361686600</v>
      </c>
      <c r="D112">
        <f t="shared" si="3"/>
        <v>7549.58</v>
      </c>
      <c r="E112">
        <f t="shared" si="4"/>
        <v>1.426609992980957</v>
      </c>
      <c r="F112">
        <f t="shared" si="5"/>
        <v>1036.6873000000001</v>
      </c>
      <c r="G112" s="42"/>
      <c r="H112" s="41">
        <v>44733</v>
      </c>
      <c r="I112" s="42">
        <v>7549.58</v>
      </c>
      <c r="J112" s="41">
        <v>44733</v>
      </c>
      <c r="K112" s="42">
        <v>1.426609992980957</v>
      </c>
      <c r="L112" s="41">
        <v>44733</v>
      </c>
      <c r="M112" s="42">
        <v>1036.6873000000001</v>
      </c>
    </row>
    <row r="113" spans="1:13">
      <c r="A113" s="41">
        <v>44734</v>
      </c>
      <c r="B113" s="42">
        <v>21008.34</v>
      </c>
      <c r="C113" s="42">
        <v>126940388900</v>
      </c>
      <c r="D113">
        <f t="shared" si="3"/>
        <v>7335</v>
      </c>
      <c r="E113">
        <f t="shared" si="4"/>
        <v>1.4779200553894043</v>
      </c>
      <c r="F113">
        <f t="shared" si="5"/>
        <v>1050.4354000000001</v>
      </c>
      <c r="G113" s="42"/>
      <c r="H113" s="41">
        <v>44734</v>
      </c>
      <c r="I113" s="42">
        <v>7335</v>
      </c>
      <c r="J113" s="41">
        <v>44734</v>
      </c>
      <c r="K113" s="42">
        <v>1.4779200553894043</v>
      </c>
      <c r="L113" s="41">
        <v>44734</v>
      </c>
      <c r="M113" s="42">
        <v>1050.4354000000001</v>
      </c>
    </row>
    <row r="114" spans="1:13">
      <c r="A114" s="41">
        <v>44735</v>
      </c>
      <c r="B114" s="42">
        <v>21273.87</v>
      </c>
      <c r="C114" s="42">
        <v>120561139400</v>
      </c>
      <c r="D114">
        <f t="shared" si="3"/>
        <v>7463.08</v>
      </c>
      <c r="E114">
        <f t="shared" si="4"/>
        <v>1.6103600263595581</v>
      </c>
      <c r="F114">
        <f t="shared" si="5"/>
        <v>1051.4083000000001</v>
      </c>
      <c r="G114" s="42"/>
      <c r="H114" s="41">
        <v>44735</v>
      </c>
      <c r="I114" s="42">
        <v>7463.08</v>
      </c>
      <c r="J114" s="41">
        <v>44735</v>
      </c>
      <c r="K114" s="42">
        <v>1.6103600263595581</v>
      </c>
      <c r="L114" s="41">
        <v>44735</v>
      </c>
      <c r="M114" s="42">
        <v>1051.4083000000001</v>
      </c>
    </row>
    <row r="115" spans="1:13">
      <c r="A115" s="41">
        <v>44736</v>
      </c>
      <c r="B115" s="42">
        <v>21719.06</v>
      </c>
      <c r="C115" s="42">
        <v>148404820400</v>
      </c>
      <c r="D115">
        <f t="shared" si="3"/>
        <v>7629.06</v>
      </c>
      <c r="E115">
        <f t="shared" si="4"/>
        <v>1.6817899942398071</v>
      </c>
      <c r="F115">
        <f t="shared" si="5"/>
        <v>1057.5858000000001</v>
      </c>
      <c r="G115" s="42"/>
      <c r="H115" s="41">
        <v>44736</v>
      </c>
      <c r="I115" s="42">
        <v>7629.06</v>
      </c>
      <c r="J115" s="41">
        <v>44736</v>
      </c>
      <c r="K115" s="42">
        <v>1.6817899942398071</v>
      </c>
      <c r="L115" s="41">
        <v>44736</v>
      </c>
      <c r="M115" s="42">
        <v>1057.5858000000001</v>
      </c>
    </row>
    <row r="116" spans="1:13">
      <c r="A116" s="41">
        <v>44739</v>
      </c>
      <c r="B116" s="42">
        <v>22229.52</v>
      </c>
      <c r="C116" s="42">
        <v>200008854400</v>
      </c>
      <c r="D116">
        <f t="shared" si="3"/>
        <v>7816.94</v>
      </c>
      <c r="E116">
        <f t="shared" si="4"/>
        <v>1.7279200553894043</v>
      </c>
      <c r="F116">
        <f t="shared" si="5"/>
        <v>1074.9602</v>
      </c>
      <c r="G116" s="42"/>
      <c r="H116" s="41">
        <v>44739</v>
      </c>
      <c r="I116" s="42">
        <v>7816.94</v>
      </c>
      <c r="J116" s="41">
        <v>44739</v>
      </c>
      <c r="K116" s="42">
        <v>1.7279200553894043</v>
      </c>
      <c r="L116" s="41">
        <v>44739</v>
      </c>
      <c r="M116" s="42">
        <v>1074.9602</v>
      </c>
    </row>
    <row r="117" spans="1:13">
      <c r="A117" s="41">
        <v>44740</v>
      </c>
      <c r="B117" s="42">
        <v>22418.97</v>
      </c>
      <c r="C117" s="42">
        <v>175928027200</v>
      </c>
      <c r="D117">
        <f t="shared" si="3"/>
        <v>7893.76</v>
      </c>
      <c r="E117">
        <f t="shared" si="4"/>
        <v>1.7378599643707275</v>
      </c>
      <c r="F117">
        <f t="shared" si="5"/>
        <v>1063.0237999999999</v>
      </c>
      <c r="G117" s="42"/>
      <c r="H117" s="41">
        <v>44740</v>
      </c>
      <c r="I117" s="42">
        <v>7893.76</v>
      </c>
      <c r="J117" s="41">
        <v>44740</v>
      </c>
      <c r="K117" s="42">
        <v>1.7378599643707275</v>
      </c>
      <c r="L117" s="41">
        <v>44740</v>
      </c>
      <c r="M117" s="42">
        <v>1063.0237999999999</v>
      </c>
    </row>
    <row r="118" spans="1:13">
      <c r="A118" s="41">
        <v>44741</v>
      </c>
      <c r="B118" s="42">
        <v>21996.89</v>
      </c>
      <c r="C118" s="42">
        <v>160826807900</v>
      </c>
      <c r="D118">
        <f t="shared" si="3"/>
        <v>7694.64</v>
      </c>
      <c r="E118">
        <f t="shared" si="4"/>
        <v>1.741129994392395</v>
      </c>
      <c r="F118">
        <f t="shared" si="5"/>
        <v>1018.3269</v>
      </c>
      <c r="G118" s="42"/>
      <c r="H118" s="41">
        <v>44741</v>
      </c>
      <c r="I118" s="42">
        <v>7694.64</v>
      </c>
      <c r="J118" s="41">
        <v>44741</v>
      </c>
      <c r="K118" s="42">
        <v>1.741129994392395</v>
      </c>
      <c r="L118" s="41">
        <v>44741</v>
      </c>
      <c r="M118" s="42">
        <v>1018.3269</v>
      </c>
    </row>
    <row r="119" spans="1:13">
      <c r="A119" s="41">
        <v>44742</v>
      </c>
      <c r="B119" s="42">
        <v>21859.79</v>
      </c>
      <c r="C119" s="42">
        <v>151469737900</v>
      </c>
      <c r="D119">
        <f t="shared" si="3"/>
        <v>7666.88</v>
      </c>
      <c r="E119">
        <f t="shared" si="4"/>
        <v>1.7522599697113037</v>
      </c>
      <c r="F119">
        <f t="shared" si="5"/>
        <v>1018.1487</v>
      </c>
      <c r="G119" s="42"/>
      <c r="H119" s="41">
        <v>44742</v>
      </c>
      <c r="I119" s="42">
        <v>7666.88</v>
      </c>
      <c r="J119" s="41">
        <v>44742</v>
      </c>
      <c r="K119" s="42">
        <v>1.7522599697113037</v>
      </c>
      <c r="L119" s="41">
        <v>44742</v>
      </c>
      <c r="M119" s="42">
        <v>1018.1487</v>
      </c>
    </row>
    <row r="120" spans="1:13">
      <c r="A120" s="41">
        <v>44743</v>
      </c>
      <c r="B120" s="42">
        <v>21859.79</v>
      </c>
      <c r="C120" s="42"/>
      <c r="D120">
        <f t="shared" si="3"/>
        <v>7666.88</v>
      </c>
      <c r="E120">
        <f t="shared" si="4"/>
        <v>0</v>
      </c>
      <c r="F120">
        <f t="shared" si="5"/>
        <v>1043.8461</v>
      </c>
      <c r="G120" s="42"/>
      <c r="H120" s="41">
        <v>44743</v>
      </c>
      <c r="I120" s="42">
        <v>7666.88</v>
      </c>
      <c r="J120" s="41">
        <v>44743</v>
      </c>
      <c r="K120" s="42"/>
      <c r="L120" s="41">
        <v>44743</v>
      </c>
      <c r="M120" s="42">
        <v>1043.8461</v>
      </c>
    </row>
    <row r="121" spans="1:13">
      <c r="A121" s="41">
        <v>44746</v>
      </c>
      <c r="B121" s="42">
        <v>21830.35</v>
      </c>
      <c r="C121" s="42">
        <v>131445489100</v>
      </c>
      <c r="D121">
        <f t="shared" si="3"/>
        <v>7647.7</v>
      </c>
      <c r="E121">
        <f t="shared" si="4"/>
        <v>1.7542300224304199</v>
      </c>
      <c r="F121">
        <f t="shared" si="5"/>
        <v>1119.2018</v>
      </c>
      <c r="G121" s="42"/>
      <c r="H121" s="41">
        <v>44746</v>
      </c>
      <c r="I121" s="42">
        <v>7647.7</v>
      </c>
      <c r="J121" s="41">
        <v>44746</v>
      </c>
      <c r="K121" s="42">
        <v>1.7542300224304199</v>
      </c>
      <c r="L121" s="41">
        <v>44746</v>
      </c>
      <c r="M121" s="42">
        <v>1119.2018</v>
      </c>
    </row>
    <row r="122" spans="1:13">
      <c r="A122" s="41">
        <v>44747</v>
      </c>
      <c r="B122" s="42">
        <v>21853.07</v>
      </c>
      <c r="C122" s="42">
        <v>122614256200</v>
      </c>
      <c r="D122">
        <f t="shared" si="3"/>
        <v>7642.45</v>
      </c>
      <c r="E122">
        <f t="shared" si="4"/>
        <v>1.7458900213241577</v>
      </c>
      <c r="F122">
        <f t="shared" si="5"/>
        <v>1100.4820999999999</v>
      </c>
      <c r="G122" s="42"/>
      <c r="H122" s="41">
        <v>44747</v>
      </c>
      <c r="I122" s="42">
        <v>7642.45</v>
      </c>
      <c r="J122" s="41">
        <v>44747</v>
      </c>
      <c r="K122" s="42">
        <v>1.7458900213241577</v>
      </c>
      <c r="L122" s="41">
        <v>44747</v>
      </c>
      <c r="M122" s="42">
        <v>1100.4820999999999</v>
      </c>
    </row>
    <row r="123" spans="1:13">
      <c r="A123" s="41">
        <v>44748</v>
      </c>
      <c r="B123" s="42">
        <v>21586.66</v>
      </c>
      <c r="C123" s="42">
        <v>141252801400</v>
      </c>
      <c r="D123">
        <f t="shared" si="3"/>
        <v>7545.92</v>
      </c>
      <c r="E123">
        <f t="shared" si="4"/>
        <v>1.7303600311279297</v>
      </c>
      <c r="F123">
        <f t="shared" si="5"/>
        <v>1073.9773</v>
      </c>
      <c r="G123" s="42"/>
      <c r="H123" s="41">
        <v>44748</v>
      </c>
      <c r="I123" s="42">
        <v>7545.92</v>
      </c>
      <c r="J123" s="41">
        <v>44748</v>
      </c>
      <c r="K123" s="42">
        <v>1.7303600311279297</v>
      </c>
      <c r="L123" s="41">
        <v>44748</v>
      </c>
      <c r="M123" s="42">
        <v>1073.9773</v>
      </c>
    </row>
    <row r="124" spans="1:13">
      <c r="A124" s="41">
        <v>44749</v>
      </c>
      <c r="B124" s="42">
        <v>21643.58</v>
      </c>
      <c r="C124" s="42">
        <v>112058258100</v>
      </c>
      <c r="D124">
        <f t="shared" si="3"/>
        <v>7538.98</v>
      </c>
      <c r="E124">
        <f t="shared" si="4"/>
        <v>1.7274399995803833</v>
      </c>
      <c r="F124">
        <f t="shared" si="5"/>
        <v>1090.6614</v>
      </c>
      <c r="G124" s="42"/>
      <c r="H124" s="41">
        <v>44749</v>
      </c>
      <c r="I124" s="42">
        <v>7538.98</v>
      </c>
      <c r="J124" s="41">
        <v>44749</v>
      </c>
      <c r="K124" s="42">
        <v>1.7274399995803833</v>
      </c>
      <c r="L124" s="41">
        <v>44749</v>
      </c>
      <c r="M124" s="42">
        <v>1090.6614</v>
      </c>
    </row>
    <row r="125" spans="1:13">
      <c r="A125" s="41">
        <v>44750</v>
      </c>
      <c r="B125" s="42">
        <v>21725.78</v>
      </c>
      <c r="C125" s="42">
        <v>105854369600</v>
      </c>
      <c r="D125">
        <f t="shared" si="3"/>
        <v>7551.7</v>
      </c>
      <c r="E125">
        <f t="shared" si="4"/>
        <v>1.7139300107955933</v>
      </c>
      <c r="F125">
        <f t="shared" si="5"/>
        <v>1100.7121999999999</v>
      </c>
      <c r="G125" s="42"/>
      <c r="H125" s="41">
        <v>44750</v>
      </c>
      <c r="I125" s="42">
        <v>7551.7</v>
      </c>
      <c r="J125" s="41">
        <v>44750</v>
      </c>
      <c r="K125" s="42">
        <v>1.7139300107955933</v>
      </c>
      <c r="L125" s="41">
        <v>44750</v>
      </c>
      <c r="M125" s="42">
        <v>1100.7121999999999</v>
      </c>
    </row>
    <row r="126" spans="1:13">
      <c r="A126" s="41">
        <v>44753</v>
      </c>
      <c r="B126" s="42">
        <v>21124.2</v>
      </c>
      <c r="C126" s="42">
        <v>119464712700</v>
      </c>
      <c r="D126">
        <f t="shared" si="3"/>
        <v>7320.91</v>
      </c>
      <c r="E126">
        <f t="shared" si="4"/>
        <v>1.7067899703979492</v>
      </c>
      <c r="F126">
        <f t="shared" si="5"/>
        <v>1124.9804999999999</v>
      </c>
      <c r="G126" s="42"/>
      <c r="H126" s="41">
        <v>44753</v>
      </c>
      <c r="I126" s="42">
        <v>7320.91</v>
      </c>
      <c r="J126" s="41">
        <v>44753</v>
      </c>
      <c r="K126" s="42">
        <v>1.7067899703979492</v>
      </c>
      <c r="L126" s="41">
        <v>44753</v>
      </c>
      <c r="M126" s="42">
        <v>1124.9804999999999</v>
      </c>
    </row>
    <row r="127" spans="1:13">
      <c r="A127" s="41">
        <v>44754</v>
      </c>
      <c r="B127" s="42">
        <v>20844.740000000002</v>
      </c>
      <c r="C127" s="42">
        <v>115490670400</v>
      </c>
      <c r="D127">
        <f t="shared" si="3"/>
        <v>7191.64</v>
      </c>
      <c r="E127">
        <f t="shared" si="4"/>
        <v>1.7071399688720703</v>
      </c>
      <c r="F127">
        <f t="shared" si="5"/>
        <v>1086.8741</v>
      </c>
      <c r="G127" s="42"/>
      <c r="H127" s="41">
        <v>44754</v>
      </c>
      <c r="I127" s="42">
        <v>7191.64</v>
      </c>
      <c r="J127" s="41">
        <v>44754</v>
      </c>
      <c r="K127" s="42">
        <v>1.7071399688720703</v>
      </c>
      <c r="L127" s="41">
        <v>44754</v>
      </c>
      <c r="M127" s="42">
        <v>1086.8741</v>
      </c>
    </row>
    <row r="128" spans="1:13">
      <c r="A128" s="41">
        <v>44755</v>
      </c>
      <c r="B128" s="42">
        <v>20797.95</v>
      </c>
      <c r="C128" s="42">
        <v>108395754100</v>
      </c>
      <c r="D128">
        <f t="shared" si="3"/>
        <v>7145.83</v>
      </c>
      <c r="E128">
        <f t="shared" si="4"/>
        <v>1.7077399492263794</v>
      </c>
      <c r="F128">
        <f t="shared" si="5"/>
        <v>1086.444</v>
      </c>
      <c r="G128" s="42"/>
      <c r="H128" s="41">
        <v>44755</v>
      </c>
      <c r="I128" s="42">
        <v>7145.83</v>
      </c>
      <c r="J128" s="41">
        <v>44755</v>
      </c>
      <c r="K128" s="42">
        <v>1.7077399492263794</v>
      </c>
      <c r="L128" s="41">
        <v>44755</v>
      </c>
      <c r="M128" s="42">
        <v>1086.444</v>
      </c>
    </row>
    <row r="129" spans="1:13">
      <c r="A129" s="41">
        <v>44756</v>
      </c>
      <c r="B129" s="42">
        <v>20751.21</v>
      </c>
      <c r="C129" s="42">
        <v>112816526200</v>
      </c>
      <c r="D129">
        <f t="shared" si="3"/>
        <v>7125.95</v>
      </c>
      <c r="E129">
        <f t="shared" si="4"/>
        <v>1.7350000143051147</v>
      </c>
      <c r="F129">
        <f t="shared" si="5"/>
        <v>1083.5120999999999</v>
      </c>
      <c r="G129" s="42"/>
      <c r="H129" s="41">
        <v>44756</v>
      </c>
      <c r="I129" s="42">
        <v>7125.95</v>
      </c>
      <c r="J129" s="41">
        <v>44756</v>
      </c>
      <c r="K129" s="42">
        <v>1.7350000143051147</v>
      </c>
      <c r="L129" s="41">
        <v>44756</v>
      </c>
      <c r="M129" s="42">
        <v>1083.5120999999999</v>
      </c>
    </row>
    <row r="130" spans="1:13">
      <c r="A130" s="41">
        <v>44757</v>
      </c>
      <c r="B130" s="42">
        <v>20297.72</v>
      </c>
      <c r="C130" s="42">
        <v>129556976800</v>
      </c>
      <c r="D130">
        <f t="shared" si="3"/>
        <v>6958.02</v>
      </c>
      <c r="E130">
        <f t="shared" si="4"/>
        <v>1.7357100248336792</v>
      </c>
      <c r="F130">
        <f t="shared" si="5"/>
        <v>1055.5688</v>
      </c>
      <c r="G130" s="42"/>
      <c r="H130" s="41">
        <v>44757</v>
      </c>
      <c r="I130" s="42">
        <v>6958.02</v>
      </c>
      <c r="J130" s="41">
        <v>44757</v>
      </c>
      <c r="K130" s="42">
        <v>1.7357100248336792</v>
      </c>
      <c r="L130" s="41">
        <v>44757</v>
      </c>
      <c r="M130" s="42">
        <v>1055.5688</v>
      </c>
    </row>
    <row r="131" spans="1:13">
      <c r="A131" s="41">
        <v>44760</v>
      </c>
      <c r="B131" s="42">
        <v>20846.18</v>
      </c>
      <c r="C131" s="42">
        <v>116088919700</v>
      </c>
      <c r="D131">
        <f t="shared" si="3"/>
        <v>7168.89</v>
      </c>
      <c r="E131">
        <f t="shared" si="4"/>
        <v>1.7553600072860718</v>
      </c>
      <c r="F131">
        <f t="shared" si="5"/>
        <v>1070.9346</v>
      </c>
      <c r="G131" s="42"/>
      <c r="H131" s="41">
        <v>44760</v>
      </c>
      <c r="I131" s="42">
        <v>7168.89</v>
      </c>
      <c r="J131" s="41">
        <v>44760</v>
      </c>
      <c r="K131" s="42">
        <v>1.7553600072860718</v>
      </c>
      <c r="L131" s="41">
        <v>44760</v>
      </c>
      <c r="M131" s="42">
        <v>1070.9346</v>
      </c>
    </row>
    <row r="132" spans="1:13">
      <c r="A132" s="41">
        <v>44761</v>
      </c>
      <c r="B132" s="42">
        <v>20661.060000000001</v>
      </c>
      <c r="C132" s="42">
        <v>83982368000</v>
      </c>
      <c r="D132">
        <f t="shared" ref="D132:D195" si="6">IFERROR(VLOOKUP($A132,$H$3:$I$1100,2,FALSE),"")</f>
        <v>7097.39</v>
      </c>
      <c r="E132">
        <f t="shared" ref="E132:E195" si="7">IFERROR(VLOOKUP($A132,$J$3:$K$1100,2,FALSE),"")</f>
        <v>1.8037500381469727</v>
      </c>
      <c r="F132">
        <f t="shared" ref="F132:F195" si="8">IFERROR(VLOOKUP($A132,$L$3:$M$1100,2,FALSE),"")</f>
        <v>1072.1279</v>
      </c>
      <c r="G132" s="42"/>
      <c r="H132" s="41">
        <v>44761</v>
      </c>
      <c r="I132" s="42">
        <v>7097.39</v>
      </c>
      <c r="J132" s="41">
        <v>44761</v>
      </c>
      <c r="K132" s="42">
        <v>1.8037500381469727</v>
      </c>
      <c r="L132" s="41">
        <v>44761</v>
      </c>
      <c r="M132" s="42">
        <v>1072.1279</v>
      </c>
    </row>
    <row r="133" spans="1:13">
      <c r="A133" s="41">
        <v>44762</v>
      </c>
      <c r="B133" s="42">
        <v>20890.22</v>
      </c>
      <c r="C133" s="42">
        <v>89304300700</v>
      </c>
      <c r="D133">
        <f t="shared" si="6"/>
        <v>7179.07</v>
      </c>
      <c r="E133">
        <f t="shared" si="7"/>
        <v>1.8785099983215332</v>
      </c>
      <c r="F133">
        <f t="shared" si="8"/>
        <v>1055.3105</v>
      </c>
      <c r="G133" s="42"/>
      <c r="H133" s="41">
        <v>44762</v>
      </c>
      <c r="I133" s="42">
        <v>7179.07</v>
      </c>
      <c r="J133" s="41">
        <v>44762</v>
      </c>
      <c r="K133" s="42">
        <v>1.8785099983215332</v>
      </c>
      <c r="L133" s="41">
        <v>44762</v>
      </c>
      <c r="M133" s="42">
        <v>1055.3105</v>
      </c>
    </row>
    <row r="134" spans="1:13">
      <c r="A134" s="41">
        <v>44763</v>
      </c>
      <c r="B134" s="42">
        <v>20574.63</v>
      </c>
      <c r="C134" s="42">
        <v>101639340100</v>
      </c>
      <c r="D134">
        <f t="shared" si="6"/>
        <v>7099.55</v>
      </c>
      <c r="E134">
        <f t="shared" si="7"/>
        <v>1.9215500354766846</v>
      </c>
      <c r="F134">
        <f t="shared" si="8"/>
        <v>1051.6039000000001</v>
      </c>
      <c r="G134" s="42"/>
      <c r="H134" s="41">
        <v>44763</v>
      </c>
      <c r="I134" s="42">
        <v>7099.55</v>
      </c>
      <c r="J134" s="41">
        <v>44763</v>
      </c>
      <c r="K134" s="42">
        <v>1.9215500354766846</v>
      </c>
      <c r="L134" s="41">
        <v>44763</v>
      </c>
      <c r="M134" s="42">
        <v>1051.6039000000001</v>
      </c>
    </row>
    <row r="135" spans="1:13">
      <c r="A135" s="41">
        <v>44764</v>
      </c>
      <c r="B135" s="42">
        <v>20609.14</v>
      </c>
      <c r="C135" s="42">
        <v>85147677100</v>
      </c>
      <c r="D135">
        <f t="shared" si="6"/>
        <v>7106.7</v>
      </c>
      <c r="E135">
        <f t="shared" si="7"/>
        <v>1.9896999597549438</v>
      </c>
      <c r="F135">
        <f t="shared" si="8"/>
        <v>1037.9668999999999</v>
      </c>
      <c r="G135" s="42"/>
      <c r="H135" s="41">
        <v>44764</v>
      </c>
      <c r="I135" s="42">
        <v>7106.7</v>
      </c>
      <c r="J135" s="41">
        <v>44764</v>
      </c>
      <c r="K135" s="42">
        <v>1.9896999597549438</v>
      </c>
      <c r="L135" s="41">
        <v>44764</v>
      </c>
      <c r="M135" s="42">
        <v>1037.9668999999999</v>
      </c>
    </row>
    <row r="136" spans="1:13">
      <c r="A136" s="41">
        <v>44767</v>
      </c>
      <c r="B136" s="42">
        <v>20562.939999999999</v>
      </c>
      <c r="C136" s="42">
        <v>89369151600</v>
      </c>
      <c r="D136">
        <f t="shared" si="6"/>
        <v>7077.09</v>
      </c>
      <c r="E136">
        <f t="shared" si="7"/>
        <v>2.017859935760498</v>
      </c>
      <c r="F136">
        <f t="shared" si="8"/>
        <v>1032.3232</v>
      </c>
      <c r="G136" s="42"/>
      <c r="H136" s="41">
        <v>44767</v>
      </c>
      <c r="I136" s="42">
        <v>7077.09</v>
      </c>
      <c r="J136" s="41">
        <v>44767</v>
      </c>
      <c r="K136" s="42">
        <v>2.017859935760498</v>
      </c>
      <c r="L136" s="41">
        <v>44767</v>
      </c>
      <c r="M136" s="42">
        <v>1032.3232</v>
      </c>
    </row>
    <row r="137" spans="1:13">
      <c r="A137" s="41">
        <v>44768</v>
      </c>
      <c r="B137" s="42">
        <v>20905.88</v>
      </c>
      <c r="C137" s="42">
        <v>96537851800</v>
      </c>
      <c r="D137">
        <f t="shared" si="6"/>
        <v>7185.19</v>
      </c>
      <c r="E137">
        <f t="shared" si="7"/>
        <v>2.0531001091003418</v>
      </c>
      <c r="F137">
        <f t="shared" si="8"/>
        <v>1047.2999</v>
      </c>
      <c r="G137" s="42"/>
      <c r="H137" s="41">
        <v>44768</v>
      </c>
      <c r="I137" s="42">
        <v>7185.19</v>
      </c>
      <c r="J137" s="41">
        <v>44768</v>
      </c>
      <c r="K137" s="42">
        <v>2.0531001091003418</v>
      </c>
      <c r="L137" s="41">
        <v>44768</v>
      </c>
      <c r="M137" s="42">
        <v>1047.2999</v>
      </c>
    </row>
    <row r="138" spans="1:13">
      <c r="A138" s="41">
        <v>44769</v>
      </c>
      <c r="B138" s="42">
        <v>20670.04</v>
      </c>
      <c r="C138" s="42">
        <v>87236278900</v>
      </c>
      <c r="D138">
        <f t="shared" si="6"/>
        <v>7091.47</v>
      </c>
      <c r="E138">
        <f t="shared" si="7"/>
        <v>2.1415500640869141</v>
      </c>
      <c r="F138">
        <f t="shared" si="8"/>
        <v>1059.0818999999999</v>
      </c>
      <c r="G138" s="42"/>
      <c r="H138" s="41">
        <v>44769</v>
      </c>
      <c r="I138" s="42">
        <v>7091.47</v>
      </c>
      <c r="J138" s="41">
        <v>44769</v>
      </c>
      <c r="K138" s="42">
        <v>2.1415500640869141</v>
      </c>
      <c r="L138" s="41">
        <v>44769</v>
      </c>
      <c r="M138" s="42">
        <v>1059.0818999999999</v>
      </c>
    </row>
    <row r="139" spans="1:13">
      <c r="A139" s="41">
        <v>44770</v>
      </c>
      <c r="B139" s="42">
        <v>20622.68</v>
      </c>
      <c r="C139" s="42">
        <v>90190642200</v>
      </c>
      <c r="D139">
        <f t="shared" si="6"/>
        <v>7082.58</v>
      </c>
      <c r="E139">
        <f t="shared" si="7"/>
        <v>2.1916100978851318</v>
      </c>
      <c r="F139">
        <f t="shared" si="8"/>
        <v>1056.4546</v>
      </c>
      <c r="G139" s="42"/>
      <c r="H139" s="41">
        <v>44770</v>
      </c>
      <c r="I139" s="42">
        <v>7082.58</v>
      </c>
      <c r="J139" s="41">
        <v>44770</v>
      </c>
      <c r="K139" s="42">
        <v>2.1916100978851318</v>
      </c>
      <c r="L139" s="41">
        <v>44770</v>
      </c>
      <c r="M139" s="42">
        <v>1056.4546</v>
      </c>
    </row>
    <row r="140" spans="1:13">
      <c r="A140" s="41">
        <v>44771</v>
      </c>
      <c r="B140" s="42">
        <v>20156.509999999998</v>
      </c>
      <c r="C140" s="42">
        <v>129641136700</v>
      </c>
      <c r="D140">
        <f t="shared" si="6"/>
        <v>6885.48</v>
      </c>
      <c r="E140">
        <f t="shared" si="7"/>
        <v>2.2000000476837158</v>
      </c>
      <c r="F140">
        <f t="shared" si="8"/>
        <v>1074.6531</v>
      </c>
      <c r="G140" s="42"/>
      <c r="H140" s="41">
        <v>44771</v>
      </c>
      <c r="I140" s="42">
        <v>6885.48</v>
      </c>
      <c r="J140" s="41">
        <v>44771</v>
      </c>
      <c r="K140" s="42">
        <v>2.2000000476837158</v>
      </c>
      <c r="L140" s="41">
        <v>44771</v>
      </c>
      <c r="M140" s="42">
        <v>1074.6531</v>
      </c>
    </row>
    <row r="141" spans="1:13">
      <c r="A141" s="41">
        <v>44774</v>
      </c>
      <c r="B141" s="42">
        <v>20165.84</v>
      </c>
      <c r="C141" s="42">
        <v>114885249500</v>
      </c>
      <c r="D141">
        <f t="shared" si="6"/>
        <v>6876.71</v>
      </c>
      <c r="E141">
        <f t="shared" si="7"/>
        <v>2.2076799869537354</v>
      </c>
      <c r="F141">
        <f t="shared" si="8"/>
        <v>1064.2345</v>
      </c>
      <c r="G141" s="42"/>
      <c r="H141" s="41">
        <v>44774</v>
      </c>
      <c r="I141" s="42">
        <v>6876.71</v>
      </c>
      <c r="J141" s="41">
        <v>44774</v>
      </c>
      <c r="K141" s="42">
        <v>2.2076799869537354</v>
      </c>
      <c r="L141" s="41">
        <v>44774</v>
      </c>
      <c r="M141" s="42">
        <v>1064.2345</v>
      </c>
    </row>
    <row r="142" spans="1:13">
      <c r="A142" s="41">
        <v>44775</v>
      </c>
      <c r="B142" s="42">
        <v>19689.21</v>
      </c>
      <c r="C142" s="42">
        <v>118089345100</v>
      </c>
      <c r="D142">
        <f t="shared" si="6"/>
        <v>6702.07</v>
      </c>
      <c r="E142">
        <f t="shared" si="7"/>
        <v>2.2005999088287354</v>
      </c>
      <c r="F142">
        <f t="shared" si="8"/>
        <v>1036.1153999999999</v>
      </c>
      <c r="G142" s="42"/>
      <c r="H142" s="41">
        <v>44775</v>
      </c>
      <c r="I142" s="42">
        <v>6702.07</v>
      </c>
      <c r="J142" s="41">
        <v>44775</v>
      </c>
      <c r="K142" s="42">
        <v>2.2005999088287354</v>
      </c>
      <c r="L142" s="41">
        <v>44775</v>
      </c>
      <c r="M142" s="42">
        <v>1036.1153999999999</v>
      </c>
    </row>
    <row r="143" spans="1:13">
      <c r="A143" s="41">
        <v>44776</v>
      </c>
      <c r="B143" s="42">
        <v>19767.09</v>
      </c>
      <c r="C143" s="42">
        <v>95517731800</v>
      </c>
      <c r="D143">
        <f t="shared" si="6"/>
        <v>6736.96</v>
      </c>
      <c r="E143">
        <f t="shared" si="7"/>
        <v>2.2069599628448486</v>
      </c>
      <c r="F143">
        <f t="shared" si="8"/>
        <v>1011.8736</v>
      </c>
      <c r="G143" s="42"/>
      <c r="H143" s="41">
        <v>44776</v>
      </c>
      <c r="I143" s="42">
        <v>6736.96</v>
      </c>
      <c r="J143" s="41">
        <v>44776</v>
      </c>
      <c r="K143" s="42">
        <v>2.2069599628448486</v>
      </c>
      <c r="L143" s="41">
        <v>44776</v>
      </c>
      <c r="M143" s="42">
        <v>1011.8736</v>
      </c>
    </row>
    <row r="144" spans="1:13">
      <c r="A144" s="41">
        <v>44777</v>
      </c>
      <c r="B144" s="42">
        <v>20174.04</v>
      </c>
      <c r="C144" s="42">
        <v>88938595800</v>
      </c>
      <c r="D144">
        <f t="shared" si="6"/>
        <v>6879.69</v>
      </c>
      <c r="E144">
        <f t="shared" si="7"/>
        <v>2.220829963684082</v>
      </c>
      <c r="F144">
        <f t="shared" si="8"/>
        <v>1030.5911000000001</v>
      </c>
      <c r="G144" s="42"/>
      <c r="H144" s="41">
        <v>44777</v>
      </c>
      <c r="I144" s="42">
        <v>6879.69</v>
      </c>
      <c r="J144" s="41">
        <v>44777</v>
      </c>
      <c r="K144" s="42">
        <v>2.220829963684082</v>
      </c>
      <c r="L144" s="41">
        <v>44777</v>
      </c>
      <c r="M144" s="42">
        <v>1030.5911000000001</v>
      </c>
    </row>
    <row r="145" spans="1:13">
      <c r="A145" s="41">
        <v>44778</v>
      </c>
      <c r="B145" s="42">
        <v>20201.939999999999</v>
      </c>
      <c r="C145" s="42">
        <v>85169961400</v>
      </c>
      <c r="D145">
        <f t="shared" si="6"/>
        <v>6902.18</v>
      </c>
      <c r="E145">
        <f t="shared" si="7"/>
        <v>2.2298200130462646</v>
      </c>
      <c r="F145">
        <f t="shared" si="8"/>
        <v>1032.2999</v>
      </c>
      <c r="G145" s="42"/>
      <c r="H145" s="41">
        <v>44778</v>
      </c>
      <c r="I145" s="42">
        <v>6902.18</v>
      </c>
      <c r="J145" s="41">
        <v>44778</v>
      </c>
      <c r="K145" s="42">
        <v>2.2298200130462646</v>
      </c>
      <c r="L145" s="41">
        <v>44778</v>
      </c>
      <c r="M145" s="42">
        <v>1032.2999</v>
      </c>
    </row>
    <row r="146" spans="1:13">
      <c r="A146" s="41">
        <v>44781</v>
      </c>
      <c r="B146" s="42">
        <v>20045.77</v>
      </c>
      <c r="C146" s="42">
        <v>74925782600</v>
      </c>
      <c r="D146">
        <f t="shared" si="6"/>
        <v>6821.52</v>
      </c>
      <c r="E146">
        <f t="shared" si="7"/>
        <v>2.2866098880767822</v>
      </c>
      <c r="F146">
        <f t="shared" si="8"/>
        <v>1050.5818999999999</v>
      </c>
      <c r="G146" s="42"/>
      <c r="H146" s="41">
        <v>44781</v>
      </c>
      <c r="I146" s="42">
        <v>6821.52</v>
      </c>
      <c r="J146" s="41">
        <v>44781</v>
      </c>
      <c r="K146" s="42">
        <v>2.2866098880767822</v>
      </c>
      <c r="L146" s="41">
        <v>44781</v>
      </c>
      <c r="M146" s="42">
        <v>1050.5818999999999</v>
      </c>
    </row>
    <row r="147" spans="1:13">
      <c r="A147" s="41">
        <v>44782</v>
      </c>
      <c r="B147" s="42">
        <v>20003.439999999999</v>
      </c>
      <c r="C147" s="42">
        <v>82183884500</v>
      </c>
      <c r="D147">
        <f t="shared" si="6"/>
        <v>6794.77</v>
      </c>
      <c r="E147">
        <f t="shared" si="7"/>
        <v>2.3095800876617432</v>
      </c>
      <c r="F147">
        <f t="shared" si="8"/>
        <v>1028.9182000000001</v>
      </c>
      <c r="G147" s="42"/>
      <c r="H147" s="41">
        <v>44782</v>
      </c>
      <c r="I147" s="42">
        <v>6794.77</v>
      </c>
      <c r="J147" s="41">
        <v>44782</v>
      </c>
      <c r="K147" s="42">
        <v>2.3095800876617432</v>
      </c>
      <c r="L147" s="41">
        <v>44782</v>
      </c>
      <c r="M147" s="42">
        <v>1028.9182000000001</v>
      </c>
    </row>
    <row r="148" spans="1:13">
      <c r="A148" s="41">
        <v>44783</v>
      </c>
      <c r="B148" s="42">
        <v>19610.84</v>
      </c>
      <c r="C148" s="42">
        <v>89272385500</v>
      </c>
      <c r="D148">
        <f t="shared" si="6"/>
        <v>6644.13</v>
      </c>
      <c r="E148">
        <f t="shared" si="7"/>
        <v>2.3222599029541016</v>
      </c>
      <c r="F148">
        <f t="shared" si="8"/>
        <v>1025.9644000000001</v>
      </c>
      <c r="G148" s="42"/>
      <c r="H148" s="41">
        <v>44783</v>
      </c>
      <c r="I148" s="42">
        <v>6644.13</v>
      </c>
      <c r="J148" s="41">
        <v>44783</v>
      </c>
      <c r="K148" s="42">
        <v>2.3222599029541016</v>
      </c>
      <c r="L148" s="41">
        <v>44783</v>
      </c>
      <c r="M148" s="42">
        <v>1025.9644000000001</v>
      </c>
    </row>
    <row r="149" spans="1:13">
      <c r="A149" s="41">
        <v>44784</v>
      </c>
      <c r="B149" s="42">
        <v>20082.43</v>
      </c>
      <c r="C149" s="42">
        <v>82714217500</v>
      </c>
      <c r="D149">
        <f t="shared" si="6"/>
        <v>6823.39</v>
      </c>
      <c r="E149">
        <f t="shared" si="7"/>
        <v>2.3563098907470703</v>
      </c>
      <c r="F149">
        <f t="shared" si="8"/>
        <v>1043.6531</v>
      </c>
      <c r="G149" s="42"/>
      <c r="H149" s="41">
        <v>44784</v>
      </c>
      <c r="I149" s="42">
        <v>6823.39</v>
      </c>
      <c r="J149" s="41">
        <v>44784</v>
      </c>
      <c r="K149" s="42">
        <v>2.3563098907470703</v>
      </c>
      <c r="L149" s="41">
        <v>44784</v>
      </c>
      <c r="M149" s="42">
        <v>1043.6531</v>
      </c>
    </row>
    <row r="150" spans="1:13">
      <c r="A150" s="41">
        <v>44785</v>
      </c>
      <c r="B150" s="42">
        <v>20175.62</v>
      </c>
      <c r="C150" s="42">
        <v>74994785000</v>
      </c>
      <c r="D150">
        <f t="shared" si="6"/>
        <v>6857.48</v>
      </c>
      <c r="E150">
        <f t="shared" si="7"/>
        <v>2.3778600692749023</v>
      </c>
      <c r="F150">
        <f t="shared" si="8"/>
        <v>1040.9585</v>
      </c>
      <c r="G150" s="42"/>
      <c r="H150" s="41">
        <v>44785</v>
      </c>
      <c r="I150" s="42">
        <v>6857.48</v>
      </c>
      <c r="J150" s="41">
        <v>44785</v>
      </c>
      <c r="K150" s="42">
        <v>2.3778600692749023</v>
      </c>
      <c r="L150" s="41">
        <v>44785</v>
      </c>
      <c r="M150" s="42">
        <v>1040.9585</v>
      </c>
    </row>
    <row r="151" spans="1:13">
      <c r="A151" s="41">
        <v>44788</v>
      </c>
      <c r="B151" s="42">
        <v>20040.86</v>
      </c>
      <c r="C151" s="42">
        <v>73794009200</v>
      </c>
      <c r="D151">
        <f t="shared" si="6"/>
        <v>6814.47</v>
      </c>
      <c r="E151">
        <f t="shared" si="7"/>
        <v>2.3908898830413818</v>
      </c>
      <c r="F151">
        <f t="shared" si="8"/>
        <v>1036.797</v>
      </c>
      <c r="G151" s="42"/>
      <c r="H151" s="41">
        <v>44788</v>
      </c>
      <c r="I151" s="42">
        <v>6814.47</v>
      </c>
      <c r="J151" s="41">
        <v>44788</v>
      </c>
      <c r="K151" s="42">
        <v>2.3908898830413818</v>
      </c>
      <c r="L151" s="41">
        <v>44788</v>
      </c>
      <c r="M151" s="42">
        <v>1036.797</v>
      </c>
    </row>
    <row r="152" spans="1:13">
      <c r="A152" s="41">
        <v>44789</v>
      </c>
      <c r="B152" s="42">
        <v>19830.52</v>
      </c>
      <c r="C152" s="42">
        <v>98696266600</v>
      </c>
      <c r="D152">
        <f t="shared" si="6"/>
        <v>6727.94</v>
      </c>
      <c r="E152">
        <f t="shared" si="7"/>
        <v>2.449350118637085</v>
      </c>
      <c r="F152">
        <f t="shared" si="8"/>
        <v>1070.1560999999999</v>
      </c>
      <c r="G152" s="42"/>
      <c r="H152" s="41">
        <v>44789</v>
      </c>
      <c r="I152" s="42">
        <v>6727.94</v>
      </c>
      <c r="J152" s="41">
        <v>44789</v>
      </c>
      <c r="K152" s="42">
        <v>2.449350118637085</v>
      </c>
      <c r="L152" s="41">
        <v>44789</v>
      </c>
      <c r="M152" s="42">
        <v>1070.1560999999999</v>
      </c>
    </row>
    <row r="153" spans="1:13">
      <c r="A153" s="41">
        <v>44790</v>
      </c>
      <c r="B153" s="42">
        <v>19922.45</v>
      </c>
      <c r="C153" s="42">
        <v>84195366900</v>
      </c>
      <c r="D153">
        <f t="shared" si="6"/>
        <v>6755.31</v>
      </c>
      <c r="E153">
        <f t="shared" si="7"/>
        <v>2.4991099834442139</v>
      </c>
      <c r="F153">
        <f t="shared" si="8"/>
        <v>1069.9048</v>
      </c>
      <c r="G153" s="42"/>
      <c r="H153" s="41">
        <v>44790</v>
      </c>
      <c r="I153" s="42">
        <v>6755.31</v>
      </c>
      <c r="J153" s="41">
        <v>44790</v>
      </c>
      <c r="K153" s="42">
        <v>2.4991099834442139</v>
      </c>
      <c r="L153" s="41">
        <v>44790</v>
      </c>
      <c r="M153" s="42">
        <v>1069.9048</v>
      </c>
    </row>
    <row r="154" spans="1:13">
      <c r="A154" s="41">
        <v>44791</v>
      </c>
      <c r="B154" s="42">
        <v>19763.91</v>
      </c>
      <c r="C154" s="42">
        <v>89335725200</v>
      </c>
      <c r="D154">
        <f t="shared" si="6"/>
        <v>6700.42</v>
      </c>
      <c r="E154">
        <f t="shared" si="7"/>
        <v>2.5079200267791748</v>
      </c>
      <c r="F154">
        <f t="shared" si="8"/>
        <v>1047.4193</v>
      </c>
      <c r="G154" s="42"/>
      <c r="H154" s="41">
        <v>44791</v>
      </c>
      <c r="I154" s="42">
        <v>6700.42</v>
      </c>
      <c r="J154" s="41">
        <v>44791</v>
      </c>
      <c r="K154" s="42">
        <v>2.5079200267791748</v>
      </c>
      <c r="L154" s="41">
        <v>44791</v>
      </c>
      <c r="M154" s="42">
        <v>1047.4193</v>
      </c>
    </row>
    <row r="155" spans="1:13">
      <c r="A155" s="41">
        <v>44792</v>
      </c>
      <c r="B155" s="42">
        <v>19773.03</v>
      </c>
      <c r="C155" s="42">
        <v>82165896500</v>
      </c>
      <c r="D155">
        <f t="shared" si="6"/>
        <v>6719.88</v>
      </c>
      <c r="E155">
        <f t="shared" si="7"/>
        <v>2.5169100761413574</v>
      </c>
      <c r="F155">
        <f t="shared" si="8"/>
        <v>1080.2302999999999</v>
      </c>
      <c r="G155" s="42"/>
      <c r="H155" s="41">
        <v>44792</v>
      </c>
      <c r="I155" s="42">
        <v>6719.88</v>
      </c>
      <c r="J155" s="41">
        <v>44792</v>
      </c>
      <c r="K155" s="42">
        <v>2.5169100761413574</v>
      </c>
      <c r="L155" s="41">
        <v>44792</v>
      </c>
      <c r="M155" s="42">
        <v>1080.2302999999999</v>
      </c>
    </row>
    <row r="156" spans="1:13">
      <c r="A156" s="41">
        <v>44795</v>
      </c>
      <c r="B156" s="42">
        <v>19656.98</v>
      </c>
      <c r="C156" s="42">
        <v>83087379000</v>
      </c>
      <c r="D156">
        <f t="shared" si="6"/>
        <v>6695.29</v>
      </c>
      <c r="E156">
        <f t="shared" si="7"/>
        <v>2.5234498977661133</v>
      </c>
      <c r="F156">
        <f t="shared" si="8"/>
        <v>1097.4259</v>
      </c>
      <c r="G156" s="42"/>
      <c r="H156" s="41">
        <v>44795</v>
      </c>
      <c r="I156" s="42">
        <v>6695.29</v>
      </c>
      <c r="J156" s="41">
        <v>44795</v>
      </c>
      <c r="K156" s="42">
        <v>2.5234498977661133</v>
      </c>
      <c r="L156" s="41">
        <v>44795</v>
      </c>
      <c r="M156" s="42">
        <v>1097.4259</v>
      </c>
    </row>
    <row r="157" spans="1:13">
      <c r="A157" s="41">
        <v>44796</v>
      </c>
      <c r="B157" s="42">
        <v>19503.25</v>
      </c>
      <c r="C157" s="42">
        <v>86630524900</v>
      </c>
      <c r="D157">
        <f t="shared" si="6"/>
        <v>6648.85</v>
      </c>
      <c r="E157">
        <f t="shared" si="7"/>
        <v>2.5410099029541016</v>
      </c>
      <c r="F157">
        <f t="shared" si="8"/>
        <v>1116.3300999999999</v>
      </c>
      <c r="G157" s="42"/>
      <c r="H157" s="41">
        <v>44796</v>
      </c>
      <c r="I157" s="42">
        <v>6648.85</v>
      </c>
      <c r="J157" s="41">
        <v>44796</v>
      </c>
      <c r="K157" s="42">
        <v>2.5410099029541016</v>
      </c>
      <c r="L157" s="41">
        <v>44796</v>
      </c>
      <c r="M157" s="42">
        <v>1116.3300999999999</v>
      </c>
    </row>
    <row r="158" spans="1:13">
      <c r="A158" s="41">
        <v>44797</v>
      </c>
      <c r="B158" s="42">
        <v>19268.740000000002</v>
      </c>
      <c r="C158" s="42">
        <v>99128070900</v>
      </c>
      <c r="D158">
        <f t="shared" si="6"/>
        <v>6565.69</v>
      </c>
      <c r="E158">
        <f t="shared" si="7"/>
        <v>2.5551199913024902</v>
      </c>
      <c r="F158">
        <f t="shared" si="8"/>
        <v>1098.3300999999999</v>
      </c>
      <c r="G158" s="42"/>
      <c r="H158" s="41">
        <v>44797</v>
      </c>
      <c r="I158" s="42">
        <v>6565.69</v>
      </c>
      <c r="J158" s="41">
        <v>44797</v>
      </c>
      <c r="K158" s="42">
        <v>2.5551199913024902</v>
      </c>
      <c r="L158" s="41">
        <v>44797</v>
      </c>
      <c r="M158" s="42">
        <v>1098.3300999999999</v>
      </c>
    </row>
    <row r="159" spans="1:13">
      <c r="A159" s="41">
        <v>44798</v>
      </c>
      <c r="B159" s="42">
        <v>19968.38</v>
      </c>
      <c r="C159" s="42">
        <v>90632989200</v>
      </c>
      <c r="D159">
        <f t="shared" si="6"/>
        <v>6848.89</v>
      </c>
      <c r="E159">
        <f t="shared" si="7"/>
        <v>2.5780398845672607</v>
      </c>
      <c r="F159">
        <f t="shared" si="8"/>
        <v>1119.7158999999999</v>
      </c>
      <c r="G159" s="42"/>
      <c r="H159" s="41">
        <v>44798</v>
      </c>
      <c r="I159" s="42">
        <v>6848.89</v>
      </c>
      <c r="J159" s="41">
        <v>44798</v>
      </c>
      <c r="K159" s="42">
        <v>2.5780398845672607</v>
      </c>
      <c r="L159" s="41">
        <v>44798</v>
      </c>
      <c r="M159" s="42">
        <v>1119.7158999999999</v>
      </c>
    </row>
    <row r="160" spans="1:13">
      <c r="A160" s="41">
        <v>44799</v>
      </c>
      <c r="B160" s="42">
        <v>20170.04</v>
      </c>
      <c r="C160" s="42">
        <v>102777637700</v>
      </c>
      <c r="D160">
        <f t="shared" si="6"/>
        <v>6920.99</v>
      </c>
      <c r="E160">
        <f t="shared" si="7"/>
        <v>2.5988700389862061</v>
      </c>
      <c r="F160">
        <f t="shared" si="8"/>
        <v>1124.2620999999999</v>
      </c>
      <c r="G160" s="42"/>
      <c r="H160" s="41">
        <v>44799</v>
      </c>
      <c r="I160" s="42">
        <v>6920.99</v>
      </c>
      <c r="J160" s="41">
        <v>44799</v>
      </c>
      <c r="K160" s="42">
        <v>2.5988700389862061</v>
      </c>
      <c r="L160" s="41">
        <v>44799</v>
      </c>
      <c r="M160" s="42">
        <v>1124.2620999999999</v>
      </c>
    </row>
    <row r="161" spans="1:13">
      <c r="A161" s="41">
        <v>44802</v>
      </c>
      <c r="B161" s="42">
        <v>20023.22</v>
      </c>
      <c r="C161" s="42">
        <v>91789830800</v>
      </c>
      <c r="D161">
        <f t="shared" si="6"/>
        <v>6872.26</v>
      </c>
      <c r="E161">
        <f t="shared" si="7"/>
        <v>2.619999885559082</v>
      </c>
      <c r="F161">
        <f t="shared" si="8"/>
        <v>1123.4155000000001</v>
      </c>
      <c r="G161" s="42"/>
      <c r="H161" s="41">
        <v>44802</v>
      </c>
      <c r="I161" s="42">
        <v>6872.26</v>
      </c>
      <c r="J161" s="41">
        <v>44802</v>
      </c>
      <c r="K161" s="42">
        <v>2.619999885559082</v>
      </c>
      <c r="L161" s="41">
        <v>44802</v>
      </c>
      <c r="M161" s="42">
        <v>1123.4155000000001</v>
      </c>
    </row>
    <row r="162" spans="1:13">
      <c r="A162" s="41">
        <v>44803</v>
      </c>
      <c r="B162" s="42">
        <v>19949.03</v>
      </c>
      <c r="C162" s="42">
        <v>96138007400</v>
      </c>
      <c r="D162">
        <f t="shared" si="6"/>
        <v>6840.17</v>
      </c>
      <c r="E162">
        <f t="shared" si="7"/>
        <v>2.6296999454498291</v>
      </c>
      <c r="F162">
        <f t="shared" si="8"/>
        <v>1135.3602000000001</v>
      </c>
      <c r="G162" s="42"/>
      <c r="H162" s="41">
        <v>44803</v>
      </c>
      <c r="I162" s="42">
        <v>6840.17</v>
      </c>
      <c r="J162" s="41">
        <v>44803</v>
      </c>
      <c r="K162" s="42">
        <v>2.6296999454498291</v>
      </c>
      <c r="L162" s="41">
        <v>44803</v>
      </c>
      <c r="M162" s="42">
        <v>1135.3602000000001</v>
      </c>
    </row>
    <row r="163" spans="1:13">
      <c r="A163" s="41">
        <v>44804</v>
      </c>
      <c r="B163" s="42">
        <v>19954.39</v>
      </c>
      <c r="C163" s="42">
        <v>136554461300.00002</v>
      </c>
      <c r="D163">
        <f t="shared" si="6"/>
        <v>6865.12</v>
      </c>
      <c r="E163">
        <f t="shared" si="7"/>
        <v>2.6528000831604004</v>
      </c>
      <c r="F163">
        <f t="shared" si="8"/>
        <v>1106.9963</v>
      </c>
      <c r="G163" s="42"/>
      <c r="H163" s="41">
        <v>44804</v>
      </c>
      <c r="I163" s="42">
        <v>6865.12</v>
      </c>
      <c r="J163" s="41">
        <v>44804</v>
      </c>
      <c r="K163" s="42">
        <v>2.6528000831604004</v>
      </c>
      <c r="L163" s="41">
        <v>44804</v>
      </c>
      <c r="M163" s="42">
        <v>1106.9963</v>
      </c>
    </row>
    <row r="164" spans="1:13">
      <c r="A164" s="41">
        <v>44805</v>
      </c>
      <c r="B164" s="42">
        <v>19597.310000000001</v>
      </c>
      <c r="C164" s="42">
        <v>105646327100</v>
      </c>
      <c r="D164">
        <f t="shared" si="6"/>
        <v>6742.04</v>
      </c>
      <c r="E164">
        <f t="shared" si="7"/>
        <v>2.681610107421875</v>
      </c>
      <c r="F164">
        <f t="shared" si="8"/>
        <v>1118.3561999999999</v>
      </c>
      <c r="G164" s="42"/>
      <c r="H164" s="41">
        <v>44805</v>
      </c>
      <c r="I164" s="42">
        <v>6742.04</v>
      </c>
      <c r="J164" s="41">
        <v>44805</v>
      </c>
      <c r="K164" s="42">
        <v>2.681610107421875</v>
      </c>
      <c r="L164" s="41">
        <v>44805</v>
      </c>
      <c r="M164" s="42">
        <v>1118.3561999999999</v>
      </c>
    </row>
    <row r="165" spans="1:13">
      <c r="A165" s="41">
        <v>44806</v>
      </c>
      <c r="B165" s="42">
        <v>19452.09</v>
      </c>
      <c r="C165" s="42">
        <v>110200779700</v>
      </c>
      <c r="D165">
        <f t="shared" si="6"/>
        <v>6672.42</v>
      </c>
      <c r="E165">
        <f t="shared" si="7"/>
        <v>2.7077400684356689</v>
      </c>
      <c r="F165">
        <f t="shared" si="8"/>
        <v>1128.8324</v>
      </c>
      <c r="G165" s="42"/>
      <c r="H165" s="41">
        <v>44806</v>
      </c>
      <c r="I165" s="42">
        <v>6672.42</v>
      </c>
      <c r="J165" s="41">
        <v>44806</v>
      </c>
      <c r="K165" s="42">
        <v>2.7077400684356689</v>
      </c>
      <c r="L165" s="41">
        <v>44806</v>
      </c>
      <c r="M165" s="42">
        <v>1128.8324</v>
      </c>
    </row>
    <row r="166" spans="1:13">
      <c r="A166" s="41">
        <v>44809</v>
      </c>
      <c r="B166" s="42">
        <v>19225.7</v>
      </c>
      <c r="C166" s="42">
        <v>98440488900</v>
      </c>
      <c r="D166">
        <f t="shared" si="6"/>
        <v>6577.53</v>
      </c>
      <c r="E166">
        <f t="shared" si="7"/>
        <v>2.7222599983215332</v>
      </c>
      <c r="F166">
        <f t="shared" si="8"/>
        <v>1122.377</v>
      </c>
      <c r="G166" s="42"/>
      <c r="H166" s="41">
        <v>44809</v>
      </c>
      <c r="I166" s="42">
        <v>6577.53</v>
      </c>
      <c r="J166" s="41">
        <v>44809</v>
      </c>
      <c r="K166" s="42">
        <v>2.7222599983215332</v>
      </c>
      <c r="L166" s="41">
        <v>44809</v>
      </c>
      <c r="M166" s="42">
        <v>1122.377</v>
      </c>
    </row>
    <row r="167" spans="1:13">
      <c r="A167" s="41">
        <v>44810</v>
      </c>
      <c r="B167" s="42">
        <v>19202.73</v>
      </c>
      <c r="C167" s="42">
        <v>82218553900</v>
      </c>
      <c r="D167">
        <f t="shared" si="6"/>
        <v>6555.8</v>
      </c>
      <c r="E167">
        <f t="shared" si="7"/>
        <v>2.7459499835968018</v>
      </c>
      <c r="F167">
        <f t="shared" si="8"/>
        <v>1120.8942999999999</v>
      </c>
      <c r="G167" s="42"/>
      <c r="H167" s="41">
        <v>44810</v>
      </c>
      <c r="I167" s="42">
        <v>6555.8</v>
      </c>
      <c r="J167" s="41">
        <v>44810</v>
      </c>
      <c r="K167" s="42">
        <v>2.7459499835968018</v>
      </c>
      <c r="L167" s="41">
        <v>44810</v>
      </c>
      <c r="M167" s="42">
        <v>1120.8942999999999</v>
      </c>
    </row>
    <row r="168" spans="1:13">
      <c r="A168" s="41">
        <v>44811</v>
      </c>
      <c r="B168" s="42">
        <v>19044.3</v>
      </c>
      <c r="C168" s="42">
        <v>86129892800</v>
      </c>
      <c r="D168">
        <f t="shared" si="6"/>
        <v>6513.22</v>
      </c>
      <c r="E168">
        <f t="shared" si="7"/>
        <v>2.7598199844360352</v>
      </c>
      <c r="F168">
        <f t="shared" si="8"/>
        <v>1110.6887999999999</v>
      </c>
      <c r="G168" s="42"/>
      <c r="H168" s="41">
        <v>44811</v>
      </c>
      <c r="I168" s="42">
        <v>6513.22</v>
      </c>
      <c r="J168" s="41">
        <v>44811</v>
      </c>
      <c r="K168" s="42">
        <v>2.7598199844360352</v>
      </c>
      <c r="L168" s="41">
        <v>44811</v>
      </c>
      <c r="M168" s="42">
        <v>1110.6887999999999</v>
      </c>
    </row>
    <row r="169" spans="1:13">
      <c r="A169" s="41">
        <v>44812</v>
      </c>
      <c r="B169" s="42">
        <v>18854.62</v>
      </c>
      <c r="C169" s="42">
        <v>80016323300</v>
      </c>
      <c r="D169">
        <f t="shared" si="6"/>
        <v>6436.6</v>
      </c>
      <c r="E169">
        <f t="shared" si="7"/>
        <v>2.7644100189208984</v>
      </c>
      <c r="F169">
        <f t="shared" si="8"/>
        <v>1082.6948</v>
      </c>
      <c r="G169" s="42"/>
      <c r="H169" s="41">
        <v>44812</v>
      </c>
      <c r="I169" s="42">
        <v>6436.6</v>
      </c>
      <c r="J169" s="41">
        <v>44812</v>
      </c>
      <c r="K169" s="42">
        <v>2.7644100189208984</v>
      </c>
      <c r="L169" s="41">
        <v>44812</v>
      </c>
      <c r="M169" s="42">
        <v>1082.6948</v>
      </c>
    </row>
    <row r="170" spans="1:13">
      <c r="A170" s="41">
        <v>44813</v>
      </c>
      <c r="B170" s="42">
        <v>19362.25</v>
      </c>
      <c r="C170" s="42">
        <v>92277500600</v>
      </c>
      <c r="D170">
        <f t="shared" si="6"/>
        <v>6628.14</v>
      </c>
      <c r="E170">
        <f t="shared" si="7"/>
        <v>2.7891700267791748</v>
      </c>
      <c r="F170">
        <f t="shared" si="8"/>
        <v>1069.4546</v>
      </c>
      <c r="G170" s="42"/>
      <c r="H170" s="41">
        <v>44813</v>
      </c>
      <c r="I170" s="42">
        <v>6628.14</v>
      </c>
      <c r="J170" s="41">
        <v>44813</v>
      </c>
      <c r="K170" s="42">
        <v>2.7891700267791748</v>
      </c>
      <c r="L170" s="41">
        <v>44813</v>
      </c>
      <c r="M170" s="42">
        <v>1069.4546</v>
      </c>
    </row>
    <row r="171" spans="1:13">
      <c r="A171" s="41">
        <v>44817</v>
      </c>
      <c r="B171" s="42">
        <v>19326.86</v>
      </c>
      <c r="C171" s="42">
        <v>94985888900</v>
      </c>
      <c r="D171">
        <f t="shared" si="6"/>
        <v>6633.05</v>
      </c>
      <c r="E171">
        <f t="shared" si="7"/>
        <v>2.795180082321167</v>
      </c>
      <c r="F171">
        <f t="shared" si="8"/>
        <v>1092.6744000000001</v>
      </c>
      <c r="G171" s="42"/>
      <c r="H171" s="41">
        <v>44817</v>
      </c>
      <c r="I171" s="42">
        <v>6633.05</v>
      </c>
      <c r="J171" s="41">
        <v>44817</v>
      </c>
      <c r="K171" s="42">
        <v>2.795180082321167</v>
      </c>
      <c r="L171" s="41">
        <v>44817</v>
      </c>
      <c r="M171" s="42">
        <v>1092.6744000000001</v>
      </c>
    </row>
    <row r="172" spans="1:13">
      <c r="A172" s="41">
        <v>44818</v>
      </c>
      <c r="B172" s="42">
        <v>18847.099999999999</v>
      </c>
      <c r="C172" s="42">
        <v>93770140100</v>
      </c>
      <c r="D172">
        <f t="shared" si="6"/>
        <v>6470.65</v>
      </c>
      <c r="E172">
        <f t="shared" si="7"/>
        <v>2.8289899826049805</v>
      </c>
      <c r="F172">
        <f t="shared" si="8"/>
        <v>1068.8583000000001</v>
      </c>
      <c r="G172" s="42"/>
      <c r="H172" s="41">
        <v>44818</v>
      </c>
      <c r="I172" s="42">
        <v>6470.65</v>
      </c>
      <c r="J172" s="41">
        <v>44818</v>
      </c>
      <c r="K172" s="42">
        <v>2.8289899826049805</v>
      </c>
      <c r="L172" s="41">
        <v>44818</v>
      </c>
      <c r="M172" s="42">
        <v>1068.8583000000001</v>
      </c>
    </row>
    <row r="173" spans="1:13">
      <c r="A173" s="41">
        <v>44819</v>
      </c>
      <c r="B173" s="42">
        <v>18930.38</v>
      </c>
      <c r="C173" s="42">
        <v>81854749900</v>
      </c>
      <c r="D173">
        <f t="shared" si="6"/>
        <v>6508.99</v>
      </c>
      <c r="E173">
        <f t="shared" si="7"/>
        <v>2.9004199504852295</v>
      </c>
      <c r="F173">
        <f t="shared" si="8"/>
        <v>1037.0962</v>
      </c>
      <c r="G173" s="42"/>
      <c r="H173" s="41">
        <v>44819</v>
      </c>
      <c r="I173" s="42">
        <v>6508.99</v>
      </c>
      <c r="J173" s="41">
        <v>44819</v>
      </c>
      <c r="K173" s="42">
        <v>2.9004199504852295</v>
      </c>
      <c r="L173" s="41">
        <v>44819</v>
      </c>
      <c r="M173" s="42">
        <v>1037.0962</v>
      </c>
    </row>
    <row r="174" spans="1:13">
      <c r="A174" s="41">
        <v>44820</v>
      </c>
      <c r="B174" s="42">
        <v>18761.689999999999</v>
      </c>
      <c r="C174" s="42">
        <v>123942707800</v>
      </c>
      <c r="D174">
        <f t="shared" si="6"/>
        <v>6420.66</v>
      </c>
      <c r="E174">
        <f t="shared" si="7"/>
        <v>2.9787499904632568</v>
      </c>
      <c r="F174">
        <f t="shared" si="8"/>
        <v>1021.4799</v>
      </c>
      <c r="G174" s="42"/>
      <c r="H174" s="41">
        <v>44820</v>
      </c>
      <c r="I174" s="42">
        <v>6420.66</v>
      </c>
      <c r="J174" s="41">
        <v>44820</v>
      </c>
      <c r="K174" s="42">
        <v>2.9787499904632568</v>
      </c>
      <c r="L174" s="41">
        <v>44820</v>
      </c>
      <c r="M174" s="42">
        <v>1021.4799</v>
      </c>
    </row>
    <row r="175" spans="1:13">
      <c r="A175" s="41">
        <v>44823</v>
      </c>
      <c r="B175" s="42">
        <v>18565.97</v>
      </c>
      <c r="C175" s="42">
        <v>91043707600</v>
      </c>
      <c r="D175">
        <f t="shared" si="6"/>
        <v>6338.3</v>
      </c>
      <c r="E175">
        <f t="shared" si="7"/>
        <v>3.0157699584960938</v>
      </c>
      <c r="F175">
        <f t="shared" si="8"/>
        <v>1023.921</v>
      </c>
      <c r="G175" s="42"/>
      <c r="H175" s="41">
        <v>44823</v>
      </c>
      <c r="I175" s="42">
        <v>6338.3</v>
      </c>
      <c r="J175" s="41">
        <v>44823</v>
      </c>
      <c r="K175" s="42">
        <v>3.0157699584960938</v>
      </c>
      <c r="L175" s="41">
        <v>44823</v>
      </c>
      <c r="M175" s="42">
        <v>1023.921</v>
      </c>
    </row>
    <row r="176" spans="1:13">
      <c r="A176" s="41">
        <v>44824</v>
      </c>
      <c r="B176" s="42">
        <v>18781.419999999998</v>
      </c>
      <c r="C176" s="42">
        <v>73012255600</v>
      </c>
      <c r="D176">
        <f t="shared" si="6"/>
        <v>6405.38</v>
      </c>
      <c r="E176">
        <f t="shared" si="7"/>
        <v>3.0846400260925293</v>
      </c>
      <c r="F176">
        <f t="shared" si="8"/>
        <v>1015.3845</v>
      </c>
      <c r="G176" s="42"/>
      <c r="H176" s="41">
        <v>44824</v>
      </c>
      <c r="I176" s="42">
        <v>6405.38</v>
      </c>
      <c r="J176" s="41">
        <v>44824</v>
      </c>
      <c r="K176" s="42">
        <v>3.0846400260925293</v>
      </c>
      <c r="L176" s="41">
        <v>44824</v>
      </c>
      <c r="M176" s="42">
        <v>1015.3845</v>
      </c>
    </row>
    <row r="177" spans="1:13">
      <c r="A177" s="41">
        <v>44825</v>
      </c>
      <c r="B177" s="42">
        <v>18444.62</v>
      </c>
      <c r="C177" s="42">
        <v>81302794500</v>
      </c>
      <c r="D177">
        <f t="shared" si="6"/>
        <v>6267.16</v>
      </c>
      <c r="E177">
        <f t="shared" si="7"/>
        <v>3.1584498882293701</v>
      </c>
      <c r="F177">
        <f t="shared" si="8"/>
        <v>996.93280000000004</v>
      </c>
      <c r="G177" s="42"/>
      <c r="H177" s="41">
        <v>44825</v>
      </c>
      <c r="I177" s="42">
        <v>6267.16</v>
      </c>
      <c r="J177" s="41">
        <v>44825</v>
      </c>
      <c r="K177" s="42">
        <v>3.1584498882293701</v>
      </c>
      <c r="L177" s="41">
        <v>44825</v>
      </c>
      <c r="M177" s="42">
        <v>996.93280000000004</v>
      </c>
    </row>
    <row r="178" spans="1:13">
      <c r="A178" s="41">
        <v>44826</v>
      </c>
      <c r="B178" s="42">
        <v>18147.95</v>
      </c>
      <c r="C178" s="42">
        <v>85193458300</v>
      </c>
      <c r="D178">
        <f t="shared" si="6"/>
        <v>6195.9</v>
      </c>
      <c r="E178">
        <f t="shared" si="7"/>
        <v>3.1820199489593506</v>
      </c>
      <c r="F178">
        <f t="shared" si="8"/>
        <v>985.5951</v>
      </c>
      <c r="G178" s="42"/>
      <c r="H178" s="41">
        <v>44826</v>
      </c>
      <c r="I178" s="42">
        <v>6195.9</v>
      </c>
      <c r="J178" s="41">
        <v>44826</v>
      </c>
      <c r="K178" s="42">
        <v>3.1820199489593506</v>
      </c>
      <c r="L178" s="41">
        <v>44826</v>
      </c>
      <c r="M178" s="42">
        <v>985.5951</v>
      </c>
    </row>
    <row r="179" spans="1:13">
      <c r="A179" s="41">
        <v>44827</v>
      </c>
      <c r="B179" s="42">
        <v>17933.27</v>
      </c>
      <c r="C179" s="42">
        <v>80811338200</v>
      </c>
      <c r="D179">
        <f t="shared" si="6"/>
        <v>6114.4</v>
      </c>
      <c r="E179">
        <f t="shared" si="7"/>
        <v>3.2011299133300781</v>
      </c>
      <c r="F179">
        <f t="shared" si="8"/>
        <v>965.53290000000004</v>
      </c>
      <c r="G179" s="42"/>
      <c r="H179" s="41">
        <v>44827</v>
      </c>
      <c r="I179" s="42">
        <v>6114.4</v>
      </c>
      <c r="J179" s="41">
        <v>44827</v>
      </c>
      <c r="K179" s="42">
        <v>3.2011299133300781</v>
      </c>
      <c r="L179" s="41">
        <v>44827</v>
      </c>
      <c r="M179" s="42">
        <v>965.53290000000004</v>
      </c>
    </row>
    <row r="180" spans="1:13">
      <c r="A180" s="41">
        <v>44830</v>
      </c>
      <c r="B180" s="42">
        <v>17855.14</v>
      </c>
      <c r="C180" s="42">
        <v>104354441600</v>
      </c>
      <c r="D180">
        <f t="shared" si="6"/>
        <v>6137.78</v>
      </c>
      <c r="E180">
        <f t="shared" si="7"/>
        <v>3.2201800346374512</v>
      </c>
      <c r="F180">
        <f t="shared" si="8"/>
        <v>945.46410000000003</v>
      </c>
      <c r="G180" s="42"/>
      <c r="H180" s="41">
        <v>44830</v>
      </c>
      <c r="I180" s="42">
        <v>6137.78</v>
      </c>
      <c r="J180" s="41">
        <v>44830</v>
      </c>
      <c r="K180" s="42">
        <v>3.2201800346374512</v>
      </c>
      <c r="L180" s="41">
        <v>44830</v>
      </c>
      <c r="M180" s="42">
        <v>945.46410000000003</v>
      </c>
    </row>
    <row r="181" spans="1:13">
      <c r="A181" s="41">
        <v>44831</v>
      </c>
      <c r="B181" s="42">
        <v>17860.310000000001</v>
      </c>
      <c r="C181" s="42">
        <v>97528562200</v>
      </c>
      <c r="D181">
        <f t="shared" si="6"/>
        <v>6150.47</v>
      </c>
      <c r="E181">
        <f t="shared" si="7"/>
        <v>3.2445199489593506</v>
      </c>
      <c r="F181">
        <f t="shared" si="8"/>
        <v>975.87919999999997</v>
      </c>
      <c r="G181" s="42"/>
      <c r="H181" s="41">
        <v>44831</v>
      </c>
      <c r="I181" s="42">
        <v>6150.47</v>
      </c>
      <c r="J181" s="41">
        <v>44831</v>
      </c>
      <c r="K181" s="42">
        <v>3.2445199489593506</v>
      </c>
      <c r="L181" s="41">
        <v>44831</v>
      </c>
      <c r="M181" s="42">
        <v>975.87919999999997</v>
      </c>
    </row>
    <row r="182" spans="1:13">
      <c r="A182" s="41">
        <v>44832</v>
      </c>
      <c r="B182" s="42">
        <v>17250.88</v>
      </c>
      <c r="C182" s="42">
        <v>108751557700</v>
      </c>
      <c r="D182">
        <f t="shared" si="6"/>
        <v>5958.62</v>
      </c>
      <c r="E182">
        <f t="shared" si="7"/>
        <v>3.2510700225830078</v>
      </c>
      <c r="F182">
        <f t="shared" si="8"/>
        <v>962.57709999999997</v>
      </c>
      <c r="G182" s="42"/>
      <c r="H182" s="41">
        <v>44832</v>
      </c>
      <c r="I182" s="42">
        <v>5958.62</v>
      </c>
      <c r="J182" s="41">
        <v>44832</v>
      </c>
      <c r="K182" s="42">
        <v>3.2510700225830078</v>
      </c>
      <c r="L182" s="41">
        <v>44832</v>
      </c>
      <c r="M182" s="42">
        <v>962.57709999999997</v>
      </c>
    </row>
    <row r="183" spans="1:13">
      <c r="A183" s="41">
        <v>44833</v>
      </c>
      <c r="B183" s="42">
        <v>17165.87</v>
      </c>
      <c r="C183" s="42">
        <v>91683578400</v>
      </c>
      <c r="D183">
        <f t="shared" si="6"/>
        <v>5912.25</v>
      </c>
      <c r="E183">
        <f t="shared" si="7"/>
        <v>3.2853600978851318</v>
      </c>
      <c r="F183">
        <f t="shared" si="8"/>
        <v>961.72140000000002</v>
      </c>
      <c r="G183" s="42"/>
      <c r="H183" s="41">
        <v>44833</v>
      </c>
      <c r="I183" s="42">
        <v>5912.25</v>
      </c>
      <c r="J183" s="41">
        <v>44833</v>
      </c>
      <c r="K183" s="42">
        <v>3.2853600978851318</v>
      </c>
      <c r="L183" s="41">
        <v>44833</v>
      </c>
      <c r="M183" s="42">
        <v>961.72140000000002</v>
      </c>
    </row>
    <row r="184" spans="1:13">
      <c r="A184" s="41">
        <v>44834</v>
      </c>
      <c r="B184" s="42">
        <v>17222.830000000002</v>
      </c>
      <c r="C184" s="42">
        <v>84909975600</v>
      </c>
      <c r="D184">
        <f t="shared" si="6"/>
        <v>5914.08</v>
      </c>
      <c r="E184">
        <f t="shared" si="7"/>
        <v>3.3332700729370117</v>
      </c>
      <c r="F184">
        <f t="shared" si="8"/>
        <v>951.77589999999998</v>
      </c>
      <c r="G184" s="42"/>
      <c r="H184" s="41">
        <v>44834</v>
      </c>
      <c r="I184" s="42">
        <v>5914.08</v>
      </c>
      <c r="J184" s="41">
        <v>44834</v>
      </c>
      <c r="K184" s="42">
        <v>3.3332700729370117</v>
      </c>
      <c r="L184" s="41">
        <v>44834</v>
      </c>
      <c r="M184" s="42">
        <v>951.77589999999998</v>
      </c>
    </row>
    <row r="185" spans="1:13">
      <c r="A185" s="41">
        <v>44844</v>
      </c>
      <c r="B185" s="42">
        <v>17216.66</v>
      </c>
      <c r="C185" s="42">
        <v>95105334100</v>
      </c>
      <c r="D185">
        <f t="shared" si="6"/>
        <v>5880.71</v>
      </c>
      <c r="E185">
        <f t="shared" si="7"/>
        <v>3.5585699081420898</v>
      </c>
      <c r="F185">
        <f t="shared" si="8"/>
        <v>1032.6447000000001</v>
      </c>
      <c r="G185" s="42"/>
      <c r="H185" s="41">
        <v>44844</v>
      </c>
      <c r="I185" s="42">
        <v>5880.71</v>
      </c>
      <c r="J185" s="41">
        <v>44844</v>
      </c>
      <c r="K185" s="42">
        <v>3.5585699081420898</v>
      </c>
      <c r="L185" s="41">
        <v>44844</v>
      </c>
      <c r="M185" s="42">
        <v>1032.6447000000001</v>
      </c>
    </row>
    <row r="186" spans="1:13">
      <c r="A186" s="41">
        <v>44845</v>
      </c>
      <c r="B186" s="42">
        <v>16832.36</v>
      </c>
      <c r="C186" s="42">
        <v>91210466800</v>
      </c>
      <c r="D186">
        <f t="shared" si="6"/>
        <v>5729.58</v>
      </c>
      <c r="E186">
        <f t="shared" si="7"/>
        <v>3.6033298969268799</v>
      </c>
      <c r="F186">
        <f t="shared" si="8"/>
        <v>1037.4595999999999</v>
      </c>
      <c r="G186" s="42"/>
      <c r="H186" s="41">
        <v>44845</v>
      </c>
      <c r="I186" s="42">
        <v>5729.58</v>
      </c>
      <c r="J186" s="41">
        <v>44845</v>
      </c>
      <c r="K186" s="42">
        <v>3.6033298969268799</v>
      </c>
      <c r="L186" s="41">
        <v>44845</v>
      </c>
      <c r="M186" s="42">
        <v>1037.4595999999999</v>
      </c>
    </row>
    <row r="187" spans="1:13">
      <c r="A187" s="41">
        <v>44846</v>
      </c>
      <c r="B187" s="42">
        <v>16701.03</v>
      </c>
      <c r="C187" s="42">
        <v>112802233300</v>
      </c>
      <c r="D187">
        <f t="shared" si="6"/>
        <v>5692.42</v>
      </c>
      <c r="E187">
        <f t="shared" si="7"/>
        <v>3.622920036315918</v>
      </c>
      <c r="F187">
        <f t="shared" si="8"/>
        <v>1077.5168000000001</v>
      </c>
      <c r="G187" s="42"/>
      <c r="H187" s="41">
        <v>44846</v>
      </c>
      <c r="I187" s="42">
        <v>5692.42</v>
      </c>
      <c r="J187" s="41">
        <v>44846</v>
      </c>
      <c r="K187" s="42">
        <v>3.622920036315918</v>
      </c>
      <c r="L187" s="41">
        <v>44846</v>
      </c>
      <c r="M187" s="42">
        <v>1077.5168000000001</v>
      </c>
    </row>
    <row r="188" spans="1:13">
      <c r="A188" s="41">
        <v>44847</v>
      </c>
      <c r="B188" s="42">
        <v>16389.11</v>
      </c>
      <c r="C188" s="42">
        <v>84991789700</v>
      </c>
      <c r="D188">
        <f t="shared" si="6"/>
        <v>5560.8</v>
      </c>
      <c r="E188">
        <f t="shared" si="7"/>
        <v>3.6850600242614746</v>
      </c>
      <c r="F188">
        <f t="shared" si="8"/>
        <v>1103.9475</v>
      </c>
      <c r="G188" s="42"/>
      <c r="H188" s="41">
        <v>44847</v>
      </c>
      <c r="I188" s="42">
        <v>5560.8</v>
      </c>
      <c r="J188" s="41">
        <v>44847</v>
      </c>
      <c r="K188" s="42">
        <v>3.6850600242614746</v>
      </c>
      <c r="L188" s="41">
        <v>44847</v>
      </c>
      <c r="M188" s="42">
        <v>1103.9475</v>
      </c>
    </row>
    <row r="189" spans="1:13">
      <c r="A189" s="41">
        <v>44848</v>
      </c>
      <c r="B189" s="42">
        <v>16587.689999999999</v>
      </c>
      <c r="C189" s="42">
        <v>101935608300</v>
      </c>
      <c r="D189">
        <f t="shared" si="6"/>
        <v>5629.3</v>
      </c>
      <c r="E189">
        <f t="shared" si="7"/>
        <v>3.8153600692749023</v>
      </c>
      <c r="F189">
        <f t="shared" si="8"/>
        <v>1098.1337000000001</v>
      </c>
      <c r="G189" s="42"/>
      <c r="H189" s="41">
        <v>44848</v>
      </c>
      <c r="I189" s="42">
        <v>5629.3</v>
      </c>
      <c r="J189" s="41">
        <v>44848</v>
      </c>
      <c r="K189" s="42">
        <v>3.8153600692749023</v>
      </c>
      <c r="L189" s="41">
        <v>44848</v>
      </c>
      <c r="M189" s="42">
        <v>1098.1337000000001</v>
      </c>
    </row>
    <row r="190" spans="1:13">
      <c r="A190" s="41">
        <v>44851</v>
      </c>
      <c r="B190" s="42">
        <v>16612.900000000001</v>
      </c>
      <c r="C190" s="42">
        <v>95762809300</v>
      </c>
      <c r="D190">
        <f t="shared" si="6"/>
        <v>5633.23</v>
      </c>
      <c r="E190">
        <f t="shared" si="7"/>
        <v>3.950890064239502</v>
      </c>
      <c r="F190">
        <f t="shared" si="8"/>
        <v>1119.3970999999999</v>
      </c>
      <c r="G190" s="42"/>
      <c r="H190" s="41">
        <v>44851</v>
      </c>
      <c r="I190" s="42">
        <v>5633.23</v>
      </c>
      <c r="J190" s="41">
        <v>44851</v>
      </c>
      <c r="K190" s="42">
        <v>3.950890064239502</v>
      </c>
      <c r="L190" s="41">
        <v>44851</v>
      </c>
      <c r="M190" s="42">
        <v>1119.3970999999999</v>
      </c>
    </row>
    <row r="191" spans="1:13">
      <c r="A191" s="41">
        <v>44852</v>
      </c>
      <c r="B191" s="42">
        <v>16914.580000000002</v>
      </c>
      <c r="C191" s="42">
        <v>99756279100</v>
      </c>
      <c r="D191">
        <f t="shared" si="6"/>
        <v>5756.31</v>
      </c>
      <c r="E191">
        <f t="shared" si="7"/>
        <v>4.0448799133300781</v>
      </c>
      <c r="F191">
        <f t="shared" si="8"/>
        <v>1120.8372999999999</v>
      </c>
      <c r="G191" s="42"/>
      <c r="H191" s="41">
        <v>44852</v>
      </c>
      <c r="I191" s="42">
        <v>5756.31</v>
      </c>
      <c r="J191" s="41">
        <v>44852</v>
      </c>
      <c r="K191" s="42">
        <v>4.0448799133300781</v>
      </c>
      <c r="L191" s="41">
        <v>44852</v>
      </c>
      <c r="M191" s="42">
        <v>1120.8372999999999</v>
      </c>
    </row>
    <row r="192" spans="1:13">
      <c r="A192" s="41">
        <v>44853</v>
      </c>
      <c r="B192" s="42">
        <v>16511.28</v>
      </c>
      <c r="C192" s="42">
        <v>84751201600</v>
      </c>
      <c r="D192">
        <f t="shared" si="6"/>
        <v>5597.79</v>
      </c>
      <c r="E192">
        <f t="shared" si="7"/>
        <v>4.118690013885498</v>
      </c>
      <c r="F192">
        <f t="shared" si="8"/>
        <v>1084.3118999999999</v>
      </c>
      <c r="G192" s="42"/>
      <c r="H192" s="41">
        <v>44853</v>
      </c>
      <c r="I192" s="42">
        <v>5597.79</v>
      </c>
      <c r="J192" s="41">
        <v>44853</v>
      </c>
      <c r="K192" s="42">
        <v>4.118690013885498</v>
      </c>
      <c r="L192" s="41">
        <v>44853</v>
      </c>
      <c r="M192" s="42">
        <v>1084.3118999999999</v>
      </c>
    </row>
    <row r="193" spans="1:13">
      <c r="A193" s="41">
        <v>44854</v>
      </c>
      <c r="B193" s="42">
        <v>16280.22</v>
      </c>
      <c r="C193" s="42">
        <v>126775747700</v>
      </c>
      <c r="D193">
        <f t="shared" si="6"/>
        <v>5512.3</v>
      </c>
      <c r="E193">
        <f t="shared" si="7"/>
        <v>4.1507101058959961</v>
      </c>
      <c r="F193">
        <f t="shared" si="8"/>
        <v>1067.4644000000001</v>
      </c>
      <c r="G193" s="42"/>
      <c r="H193" s="41">
        <v>44854</v>
      </c>
      <c r="I193" s="42">
        <v>5512.3</v>
      </c>
      <c r="J193" s="41">
        <v>44854</v>
      </c>
      <c r="K193" s="42">
        <v>4.1507101058959961</v>
      </c>
      <c r="L193" s="41">
        <v>44854</v>
      </c>
      <c r="M193" s="42">
        <v>1067.4644000000001</v>
      </c>
    </row>
    <row r="194" spans="1:13">
      <c r="A194" s="41">
        <v>44855</v>
      </c>
      <c r="B194" s="42">
        <v>16211.12</v>
      </c>
      <c r="C194" s="42">
        <v>93970257900</v>
      </c>
      <c r="D194">
        <f t="shared" si="6"/>
        <v>5517.44</v>
      </c>
      <c r="E194">
        <f t="shared" si="7"/>
        <v>4.2421398162841797</v>
      </c>
      <c r="F194">
        <f t="shared" si="8"/>
        <v>1077.8792000000001</v>
      </c>
      <c r="G194" s="42"/>
      <c r="H194" s="41">
        <v>44855</v>
      </c>
      <c r="I194" s="42">
        <v>5517.44</v>
      </c>
      <c r="J194" s="41">
        <v>44855</v>
      </c>
      <c r="K194" s="42">
        <v>4.2421398162841797</v>
      </c>
      <c r="L194" s="41">
        <v>44855</v>
      </c>
      <c r="M194" s="42">
        <v>1077.8792000000001</v>
      </c>
    </row>
    <row r="195" spans="1:13">
      <c r="A195" s="41">
        <v>44858</v>
      </c>
      <c r="B195" s="42">
        <v>15180.69</v>
      </c>
      <c r="C195" s="42">
        <v>161752533200</v>
      </c>
      <c r="D195">
        <f t="shared" si="6"/>
        <v>5114.4799999999996</v>
      </c>
      <c r="E195">
        <f t="shared" si="7"/>
        <v>4.3175601959228516</v>
      </c>
      <c r="F195">
        <f t="shared" si="8"/>
        <v>1043.9441999999999</v>
      </c>
      <c r="G195" s="42"/>
      <c r="H195" s="41">
        <v>44858</v>
      </c>
      <c r="I195" s="42">
        <v>5114.4799999999996</v>
      </c>
      <c r="J195" s="41">
        <v>44858</v>
      </c>
      <c r="K195" s="42">
        <v>4.3175601959228516</v>
      </c>
      <c r="L195" s="41">
        <v>44858</v>
      </c>
      <c r="M195" s="42">
        <v>1043.9441999999999</v>
      </c>
    </row>
    <row r="196" spans="1:13">
      <c r="A196" s="41">
        <v>44859</v>
      </c>
      <c r="B196" s="42">
        <v>15165.59</v>
      </c>
      <c r="C196" s="42">
        <v>143448852100</v>
      </c>
      <c r="D196">
        <f t="shared" ref="D196:D259" si="9">IFERROR(VLOOKUP($A196,$H$3:$I$1100,2,FALSE),"")</f>
        <v>5180.3100000000004</v>
      </c>
      <c r="E196">
        <f t="shared" ref="E196:E259" si="10">IFERROR(VLOOKUP($A196,$J$3:$K$1100,2,FALSE),"")</f>
        <v>4.3850598335266113</v>
      </c>
      <c r="F196">
        <f t="shared" ref="F196:F259" si="11">IFERROR(VLOOKUP($A196,$L$3:$M$1100,2,FALSE),"")</f>
        <v>1030.3021000000001</v>
      </c>
      <c r="G196" s="42"/>
      <c r="H196" s="41">
        <v>44859</v>
      </c>
      <c r="I196" s="42">
        <v>5180.3100000000004</v>
      </c>
      <c r="J196" s="41">
        <v>44859</v>
      </c>
      <c r="K196" s="42">
        <v>4.3850598335266113</v>
      </c>
      <c r="L196" s="41">
        <v>44859</v>
      </c>
      <c r="M196" s="42">
        <v>1030.3021000000001</v>
      </c>
    </row>
    <row r="197" spans="1:13">
      <c r="A197" s="41">
        <v>44860</v>
      </c>
      <c r="B197" s="42">
        <v>15317.67</v>
      </c>
      <c r="C197" s="42">
        <v>130751207500</v>
      </c>
      <c r="D197">
        <f t="shared" si="9"/>
        <v>5217.54</v>
      </c>
      <c r="E197">
        <f t="shared" si="10"/>
        <v>4.4147601127624512</v>
      </c>
      <c r="F197">
        <f t="shared" si="11"/>
        <v>1017.155</v>
      </c>
      <c r="G197" s="42"/>
      <c r="H197" s="41">
        <v>44860</v>
      </c>
      <c r="I197" s="42">
        <v>5217.54</v>
      </c>
      <c r="J197" s="41">
        <v>44860</v>
      </c>
      <c r="K197" s="42">
        <v>4.4147601127624512</v>
      </c>
      <c r="L197" s="41">
        <v>44860</v>
      </c>
      <c r="M197" s="42">
        <v>1017.155</v>
      </c>
    </row>
    <row r="198" spans="1:13">
      <c r="A198" s="41">
        <v>44861</v>
      </c>
      <c r="B198" s="42">
        <v>15427.94</v>
      </c>
      <c r="C198" s="42">
        <v>122935517600</v>
      </c>
      <c r="D198">
        <f t="shared" si="9"/>
        <v>5242.8599999999997</v>
      </c>
      <c r="E198">
        <f t="shared" si="10"/>
        <v>4.4798197746276855</v>
      </c>
      <c r="F198">
        <f t="shared" si="11"/>
        <v>1038.5630000000001</v>
      </c>
      <c r="G198" s="42"/>
      <c r="H198" s="41">
        <v>44861</v>
      </c>
      <c r="I198" s="42">
        <v>5242.8599999999997</v>
      </c>
      <c r="J198" s="41">
        <v>44861</v>
      </c>
      <c r="K198" s="42">
        <v>4.4798197746276855</v>
      </c>
      <c r="L198" s="41">
        <v>44861</v>
      </c>
      <c r="M198" s="42">
        <v>1038.5630000000001</v>
      </c>
    </row>
    <row r="199" spans="1:13">
      <c r="A199" s="41">
        <v>44862</v>
      </c>
      <c r="B199" s="42">
        <v>14863.06</v>
      </c>
      <c r="C199" s="42">
        <v>124619691100</v>
      </c>
      <c r="D199">
        <f t="shared" si="9"/>
        <v>5028.9799999999996</v>
      </c>
      <c r="E199">
        <f t="shared" si="10"/>
        <v>4.5535101890563965</v>
      </c>
      <c r="F199">
        <f t="shared" si="11"/>
        <v>971.83309999999994</v>
      </c>
      <c r="G199" s="42"/>
      <c r="H199" s="41">
        <v>44862</v>
      </c>
      <c r="I199" s="42">
        <v>5028.9799999999996</v>
      </c>
      <c r="J199" s="41">
        <v>44862</v>
      </c>
      <c r="K199" s="42">
        <v>4.5535101890563965</v>
      </c>
      <c r="L199" s="41">
        <v>44862</v>
      </c>
      <c r="M199" s="42">
        <v>971.83309999999994</v>
      </c>
    </row>
    <row r="200" spans="1:13">
      <c r="A200" s="41">
        <v>44865</v>
      </c>
      <c r="B200" s="42">
        <v>14687.02</v>
      </c>
      <c r="C200" s="42">
        <v>130991933700</v>
      </c>
      <c r="D200">
        <f t="shared" si="9"/>
        <v>4938.5600000000004</v>
      </c>
      <c r="E200">
        <f t="shared" si="10"/>
        <v>4.585360050201416</v>
      </c>
      <c r="F200">
        <f t="shared" si="11"/>
        <v>994.94230000000005</v>
      </c>
      <c r="G200" s="42"/>
      <c r="H200" s="41">
        <v>44865</v>
      </c>
      <c r="I200" s="42">
        <v>4938.5600000000004</v>
      </c>
      <c r="J200" s="41">
        <v>44865</v>
      </c>
      <c r="K200" s="42">
        <v>4.585360050201416</v>
      </c>
      <c r="L200" s="41">
        <v>44865</v>
      </c>
      <c r="M200" s="42">
        <v>994.94230000000005</v>
      </c>
    </row>
    <row r="201" spans="1:13">
      <c r="A201" s="41">
        <v>44866</v>
      </c>
      <c r="B201" s="42">
        <v>15455.27</v>
      </c>
      <c r="C201" s="42">
        <v>153811639900</v>
      </c>
      <c r="D201">
        <f t="shared" si="9"/>
        <v>5209.6000000000004</v>
      </c>
      <c r="E201">
        <f t="shared" si="10"/>
        <v>4.6323800086975098</v>
      </c>
      <c r="F201">
        <f t="shared" si="11"/>
        <v>1044.5299</v>
      </c>
      <c r="G201" s="42"/>
      <c r="H201" s="41">
        <v>44866</v>
      </c>
      <c r="I201" s="42">
        <v>5209.6000000000004</v>
      </c>
      <c r="J201" s="41">
        <v>44866</v>
      </c>
      <c r="K201" s="42">
        <v>4.6323800086975098</v>
      </c>
      <c r="L201" s="41">
        <v>44866</v>
      </c>
      <c r="M201" s="42">
        <v>1044.5299</v>
      </c>
    </row>
    <row r="202" spans="1:13">
      <c r="A202" s="41">
        <v>44867</v>
      </c>
      <c r="B202" s="42">
        <v>15827.17</v>
      </c>
      <c r="C202" s="42">
        <v>106016629600</v>
      </c>
      <c r="D202">
        <f t="shared" si="9"/>
        <v>5355.03</v>
      </c>
      <c r="E202">
        <f t="shared" si="10"/>
        <v>4.6839900016784668</v>
      </c>
      <c r="F202">
        <f t="shared" si="11"/>
        <v>1055.1487999999999</v>
      </c>
      <c r="G202" s="42"/>
      <c r="H202" s="41">
        <v>44867</v>
      </c>
      <c r="I202" s="42">
        <v>5355.03</v>
      </c>
      <c r="J202" s="41">
        <v>44867</v>
      </c>
      <c r="K202" s="42">
        <v>4.6839900016784668</v>
      </c>
      <c r="L202" s="41">
        <v>44867</v>
      </c>
      <c r="M202" s="42">
        <v>1055.1487999999999</v>
      </c>
    </row>
    <row r="203" spans="1:13">
      <c r="A203" s="41">
        <v>44868</v>
      </c>
      <c r="B203" s="42">
        <v>15339.49</v>
      </c>
      <c r="C203" s="42">
        <v>98653355600</v>
      </c>
      <c r="D203">
        <f t="shared" si="9"/>
        <v>5170.51</v>
      </c>
      <c r="E203">
        <f t="shared" si="10"/>
        <v>4.727139949798584</v>
      </c>
      <c r="F203">
        <f t="shared" si="11"/>
        <v>1071.0056</v>
      </c>
      <c r="G203" s="42"/>
      <c r="H203" s="41">
        <v>44868</v>
      </c>
      <c r="I203" s="42">
        <v>5170.51</v>
      </c>
      <c r="J203" s="41">
        <v>44868</v>
      </c>
      <c r="K203" s="42">
        <v>4.727139949798584</v>
      </c>
      <c r="L203" s="41">
        <v>44868</v>
      </c>
      <c r="M203" s="42">
        <v>1071.0056</v>
      </c>
    </row>
    <row r="204" spans="1:13">
      <c r="A204" s="41">
        <v>44869</v>
      </c>
      <c r="B204" s="42">
        <v>16161.14</v>
      </c>
      <c r="C204" s="42">
        <v>188645230400</v>
      </c>
      <c r="D204">
        <f t="shared" si="9"/>
        <v>5482.52</v>
      </c>
      <c r="E204">
        <f t="shared" si="10"/>
        <v>4.7671399116516113</v>
      </c>
      <c r="F204">
        <f t="shared" si="11"/>
        <v>1071.8317999999999</v>
      </c>
      <c r="G204" s="42"/>
      <c r="H204" s="41">
        <v>44869</v>
      </c>
      <c r="I204" s="42">
        <v>5482.52</v>
      </c>
      <c r="J204" s="41">
        <v>44869</v>
      </c>
      <c r="K204" s="42">
        <v>4.7671399116516113</v>
      </c>
      <c r="L204" s="41">
        <v>44869</v>
      </c>
      <c r="M204" s="42">
        <v>1071.8317999999999</v>
      </c>
    </row>
    <row r="205" spans="1:13">
      <c r="A205" s="41">
        <v>44872</v>
      </c>
      <c r="B205" s="42">
        <v>16595.91</v>
      </c>
      <c r="C205" s="42">
        <v>148595830800</v>
      </c>
      <c r="D205">
        <f t="shared" si="9"/>
        <v>5636.21</v>
      </c>
      <c r="E205">
        <f t="shared" si="10"/>
        <v>4.7777400016784668</v>
      </c>
      <c r="F205">
        <f t="shared" si="11"/>
        <v>1088.7123999999999</v>
      </c>
      <c r="G205" s="42"/>
      <c r="H205" s="41">
        <v>44872</v>
      </c>
      <c r="I205" s="42">
        <v>5636.21</v>
      </c>
      <c r="J205" s="41">
        <v>44872</v>
      </c>
      <c r="K205" s="42">
        <v>4.7777400016784668</v>
      </c>
      <c r="L205" s="41">
        <v>44872</v>
      </c>
      <c r="M205" s="42">
        <v>1088.7123999999999</v>
      </c>
    </row>
    <row r="206" spans="1:13">
      <c r="A206" s="41">
        <v>44873</v>
      </c>
      <c r="B206" s="42">
        <v>16557.310000000001</v>
      </c>
      <c r="C206" s="42">
        <v>104729344200</v>
      </c>
      <c r="D206">
        <f t="shared" si="9"/>
        <v>5602.61</v>
      </c>
      <c r="E206">
        <f t="shared" si="10"/>
        <v>4.7982702255249023</v>
      </c>
      <c r="F206">
        <f t="shared" si="11"/>
        <v>1109.9010000000001</v>
      </c>
      <c r="G206" s="42"/>
      <c r="H206" s="41">
        <v>44873</v>
      </c>
      <c r="I206" s="42">
        <v>5602.61</v>
      </c>
      <c r="J206" s="41">
        <v>44873</v>
      </c>
      <c r="K206" s="42">
        <v>4.7982702255249023</v>
      </c>
      <c r="L206" s="41">
        <v>44873</v>
      </c>
      <c r="M206" s="42">
        <v>1109.9010000000001</v>
      </c>
    </row>
    <row r="207" spans="1:13">
      <c r="A207" s="41">
        <v>44874</v>
      </c>
      <c r="B207" s="42">
        <v>16358.52</v>
      </c>
      <c r="C207" s="42">
        <v>111296702200</v>
      </c>
      <c r="D207">
        <f t="shared" si="9"/>
        <v>5534.76</v>
      </c>
      <c r="E207">
        <f t="shared" si="10"/>
        <v>4.8142900466918945</v>
      </c>
      <c r="F207">
        <f t="shared" si="11"/>
        <v>1088.3335</v>
      </c>
      <c r="G207" s="42"/>
      <c r="H207" s="41">
        <v>44874</v>
      </c>
      <c r="I207" s="42">
        <v>5534.76</v>
      </c>
      <c r="J207" s="41">
        <v>44874</v>
      </c>
      <c r="K207" s="42">
        <v>4.8142900466918945</v>
      </c>
      <c r="L207" s="41">
        <v>44874</v>
      </c>
      <c r="M207" s="42">
        <v>1088.3335</v>
      </c>
    </row>
    <row r="208" spans="1:13">
      <c r="A208" s="41">
        <v>44875</v>
      </c>
      <c r="B208" s="42">
        <v>16081.04</v>
      </c>
      <c r="C208" s="42">
        <v>92108599800</v>
      </c>
      <c r="D208">
        <f t="shared" si="9"/>
        <v>5417.13</v>
      </c>
      <c r="E208">
        <f t="shared" si="10"/>
        <v>4.8208298683166504</v>
      </c>
      <c r="F208">
        <f t="shared" si="11"/>
        <v>1110.8452</v>
      </c>
      <c r="G208" s="42"/>
      <c r="H208" s="41">
        <v>44875</v>
      </c>
      <c r="I208" s="42">
        <v>5417.13</v>
      </c>
      <c r="J208" s="41">
        <v>44875</v>
      </c>
      <c r="K208" s="42">
        <v>4.8208298683166504</v>
      </c>
      <c r="L208" s="41">
        <v>44875</v>
      </c>
      <c r="M208" s="42">
        <v>1110.8452</v>
      </c>
    </row>
    <row r="209" spans="1:13">
      <c r="A209" s="41">
        <v>44876</v>
      </c>
      <c r="B209" s="42">
        <v>17325.66</v>
      </c>
      <c r="C209" s="42">
        <v>182585930500</v>
      </c>
      <c r="D209">
        <f t="shared" si="9"/>
        <v>5867.31</v>
      </c>
      <c r="E209">
        <f t="shared" si="10"/>
        <v>4.8733301162719727</v>
      </c>
      <c r="F209">
        <f t="shared" si="11"/>
        <v>1129.6604</v>
      </c>
      <c r="G209" s="42"/>
      <c r="H209" s="41">
        <v>44876</v>
      </c>
      <c r="I209" s="42">
        <v>5867.31</v>
      </c>
      <c r="J209" s="41">
        <v>44876</v>
      </c>
      <c r="K209" s="42">
        <v>4.8733301162719727</v>
      </c>
      <c r="L209" s="41">
        <v>44876</v>
      </c>
      <c r="M209" s="42">
        <v>1129.6604</v>
      </c>
    </row>
    <row r="210" spans="1:13">
      <c r="A210" s="41">
        <v>44879</v>
      </c>
      <c r="B210" s="42">
        <v>17619.71</v>
      </c>
      <c r="C210" s="42">
        <v>204907800200</v>
      </c>
      <c r="D210">
        <f t="shared" si="9"/>
        <v>5979.8</v>
      </c>
      <c r="E210">
        <f t="shared" si="10"/>
        <v>4.973330020904541</v>
      </c>
      <c r="F210">
        <f t="shared" si="11"/>
        <v>1167.3729000000001</v>
      </c>
      <c r="G210" s="42"/>
      <c r="H210" s="41">
        <v>44879</v>
      </c>
      <c r="I210" s="42">
        <v>5979.8</v>
      </c>
      <c r="J210" s="41">
        <v>44879</v>
      </c>
      <c r="K210" s="42">
        <v>4.973330020904541</v>
      </c>
      <c r="L210" s="41">
        <v>44879</v>
      </c>
      <c r="M210" s="42">
        <v>1167.3729000000001</v>
      </c>
    </row>
    <row r="211" spans="1:13">
      <c r="A211" s="41">
        <v>44880</v>
      </c>
      <c r="B211" s="42">
        <v>18343.12</v>
      </c>
      <c r="C211" s="42">
        <v>205089159300</v>
      </c>
      <c r="D211">
        <f t="shared" si="9"/>
        <v>6269.29</v>
      </c>
      <c r="E211">
        <f t="shared" si="10"/>
        <v>5.0096402168273926</v>
      </c>
      <c r="F211">
        <f t="shared" si="11"/>
        <v>1147.1122</v>
      </c>
      <c r="G211" s="42"/>
      <c r="H211" s="41">
        <v>44880</v>
      </c>
      <c r="I211" s="42">
        <v>6269.29</v>
      </c>
      <c r="J211" s="41">
        <v>44880</v>
      </c>
      <c r="K211" s="42">
        <v>5.0096402168273926</v>
      </c>
      <c r="L211" s="41">
        <v>44880</v>
      </c>
      <c r="M211" s="42">
        <v>1147.1122</v>
      </c>
    </row>
    <row r="212" spans="1:13">
      <c r="A212" s="41">
        <v>44881</v>
      </c>
      <c r="B212" s="42">
        <v>18256.48</v>
      </c>
      <c r="C212" s="42">
        <v>173295004400</v>
      </c>
      <c r="D212">
        <f t="shared" si="9"/>
        <v>6225.71</v>
      </c>
      <c r="E212">
        <f t="shared" si="10"/>
        <v>5.0537500381469727</v>
      </c>
      <c r="F212">
        <f t="shared" si="11"/>
        <v>1136.0491</v>
      </c>
      <c r="G212" s="42"/>
      <c r="H212" s="41">
        <v>44881</v>
      </c>
      <c r="I212" s="42">
        <v>6225.71</v>
      </c>
      <c r="J212" s="41">
        <v>44881</v>
      </c>
      <c r="K212" s="42">
        <v>5.0537500381469727</v>
      </c>
      <c r="L212" s="41">
        <v>44881</v>
      </c>
      <c r="M212" s="42">
        <v>1136.0491</v>
      </c>
    </row>
    <row r="213" spans="1:13">
      <c r="A213" s="41">
        <v>44882</v>
      </c>
      <c r="B213" s="42">
        <v>18045.66</v>
      </c>
      <c r="C213" s="42">
        <v>152563172000</v>
      </c>
      <c r="D213">
        <f t="shared" si="9"/>
        <v>6140.57</v>
      </c>
      <c r="E213">
        <f t="shared" si="10"/>
        <v>5.1107101440429688</v>
      </c>
      <c r="F213">
        <f t="shared" si="11"/>
        <v>1173.8661999999999</v>
      </c>
      <c r="G213" s="42"/>
      <c r="H213" s="41">
        <v>44882</v>
      </c>
      <c r="I213" s="42">
        <v>6140.57</v>
      </c>
      <c r="J213" s="41">
        <v>44882</v>
      </c>
      <c r="K213" s="42">
        <v>5.1107101440429688</v>
      </c>
      <c r="L213" s="41">
        <v>44882</v>
      </c>
      <c r="M213" s="42">
        <v>1173.8661999999999</v>
      </c>
    </row>
    <row r="214" spans="1:13">
      <c r="A214" s="41">
        <v>44883</v>
      </c>
      <c r="B214" s="42">
        <v>17992.54</v>
      </c>
      <c r="C214" s="42">
        <v>139547505600</v>
      </c>
      <c r="D214">
        <f t="shared" si="9"/>
        <v>6125.4</v>
      </c>
      <c r="E214">
        <f t="shared" si="10"/>
        <v>5.1158299446105957</v>
      </c>
      <c r="F214">
        <f t="shared" si="11"/>
        <v>1144.2456</v>
      </c>
      <c r="G214" s="42"/>
      <c r="H214" s="41">
        <v>44883</v>
      </c>
      <c r="I214" s="42">
        <v>6125.4</v>
      </c>
      <c r="J214" s="41">
        <v>44883</v>
      </c>
      <c r="K214" s="42">
        <v>5.1158299446105957</v>
      </c>
      <c r="L214" s="41">
        <v>44883</v>
      </c>
      <c r="M214" s="42">
        <v>1144.2456</v>
      </c>
    </row>
    <row r="215" spans="1:13">
      <c r="A215" s="41">
        <v>44886</v>
      </c>
      <c r="B215" s="42">
        <v>17655.91</v>
      </c>
      <c r="C215" s="42">
        <v>110294568300</v>
      </c>
      <c r="D215">
        <f t="shared" si="9"/>
        <v>6001.9</v>
      </c>
      <c r="E215">
        <f t="shared" si="10"/>
        <v>5.1476202011108398</v>
      </c>
      <c r="F215">
        <f t="shared" si="11"/>
        <v>1150.9005999999999</v>
      </c>
      <c r="G215" s="42"/>
      <c r="H215" s="41">
        <v>44886</v>
      </c>
      <c r="I215" s="42">
        <v>6001.9</v>
      </c>
      <c r="J215" s="41">
        <v>44886</v>
      </c>
      <c r="K215" s="42">
        <v>5.1476202011108398</v>
      </c>
      <c r="L215" s="41">
        <v>44886</v>
      </c>
      <c r="M215" s="42">
        <v>1150.9005999999999</v>
      </c>
    </row>
    <row r="216" spans="1:13">
      <c r="A216" s="41">
        <v>44887</v>
      </c>
      <c r="B216" s="42">
        <v>17424.41</v>
      </c>
      <c r="C216" s="42">
        <v>127196509900</v>
      </c>
      <c r="D216">
        <f t="shared" si="9"/>
        <v>5901.22</v>
      </c>
      <c r="E216">
        <f t="shared" si="10"/>
        <v>5.176609992980957</v>
      </c>
      <c r="F216">
        <f t="shared" si="11"/>
        <v>1127.9123999999999</v>
      </c>
      <c r="G216" s="42"/>
      <c r="H216" s="41">
        <v>44887</v>
      </c>
      <c r="I216" s="42">
        <v>5901.22</v>
      </c>
      <c r="J216" s="41">
        <v>44887</v>
      </c>
      <c r="K216" s="42">
        <v>5.176609992980957</v>
      </c>
      <c r="L216" s="41">
        <v>44887</v>
      </c>
      <c r="M216" s="42">
        <v>1127.9123999999999</v>
      </c>
    </row>
    <row r="217" spans="1:13">
      <c r="A217" s="41">
        <v>44888</v>
      </c>
      <c r="B217" s="42">
        <v>17523.810000000001</v>
      </c>
      <c r="C217" s="42">
        <v>96312382200</v>
      </c>
      <c r="D217">
        <f t="shared" si="9"/>
        <v>5945.11</v>
      </c>
      <c r="E217">
        <f t="shared" si="10"/>
        <v>5.1904201507568359</v>
      </c>
      <c r="F217">
        <f t="shared" si="11"/>
        <v>1114.0011</v>
      </c>
      <c r="G217" s="42"/>
      <c r="H217" s="41">
        <v>44888</v>
      </c>
      <c r="I217" s="42">
        <v>5945.11</v>
      </c>
      <c r="J217" s="41">
        <v>44888</v>
      </c>
      <c r="K217" s="42">
        <v>5.1904201507568359</v>
      </c>
      <c r="L217" s="41">
        <v>44888</v>
      </c>
      <c r="M217" s="42">
        <v>1114.0011</v>
      </c>
    </row>
    <row r="218" spans="1:13">
      <c r="A218" s="41">
        <v>44889</v>
      </c>
      <c r="B218" s="42">
        <v>17660.900000000001</v>
      </c>
      <c r="C218" s="42">
        <v>86131380000</v>
      </c>
      <c r="D218">
        <f t="shared" si="9"/>
        <v>5992.35</v>
      </c>
      <c r="E218">
        <f t="shared" si="10"/>
        <v>5.200660228729248</v>
      </c>
      <c r="F218">
        <f t="shared" si="11"/>
        <v>1118.0145</v>
      </c>
      <c r="G218" s="42"/>
      <c r="H218" s="41">
        <v>44889</v>
      </c>
      <c r="I218" s="42">
        <v>5992.35</v>
      </c>
      <c r="J218" s="41">
        <v>44889</v>
      </c>
      <c r="K218" s="42">
        <v>5.200660228729248</v>
      </c>
      <c r="L218" s="41">
        <v>44889</v>
      </c>
      <c r="M218" s="42">
        <v>1118.0145</v>
      </c>
    </row>
    <row r="219" spans="1:13">
      <c r="A219" s="41">
        <v>44890</v>
      </c>
      <c r="B219" s="42">
        <v>17573.580000000002</v>
      </c>
      <c r="C219" s="42">
        <v>94798267400</v>
      </c>
      <c r="D219">
        <f t="shared" si="9"/>
        <v>5971.1</v>
      </c>
      <c r="E219">
        <f t="shared" si="10"/>
        <v>5.2208900451660156</v>
      </c>
      <c r="F219">
        <f t="shared" si="11"/>
        <v>1129.2864</v>
      </c>
      <c r="G219" s="42"/>
      <c r="H219" s="41">
        <v>44890</v>
      </c>
      <c r="I219" s="42">
        <v>5971.1</v>
      </c>
      <c r="J219" s="41">
        <v>44890</v>
      </c>
      <c r="K219" s="42">
        <v>5.2208900451660156</v>
      </c>
      <c r="L219" s="41">
        <v>44890</v>
      </c>
      <c r="M219" s="42">
        <v>1129.2864</v>
      </c>
    </row>
    <row r="220" spans="1:13">
      <c r="A220" s="41">
        <v>44893</v>
      </c>
      <c r="B220" s="42">
        <v>17297.939999999999</v>
      </c>
      <c r="C220" s="42">
        <v>118286912000</v>
      </c>
      <c r="D220">
        <f t="shared" si="9"/>
        <v>5872.38</v>
      </c>
      <c r="E220">
        <f t="shared" si="10"/>
        <v>5.2291097640991211</v>
      </c>
      <c r="F220">
        <f t="shared" si="11"/>
        <v>1121.2681</v>
      </c>
      <c r="G220" s="42"/>
      <c r="H220" s="41">
        <v>44893</v>
      </c>
      <c r="I220" s="42">
        <v>5872.38</v>
      </c>
      <c r="J220" s="41">
        <v>44893</v>
      </c>
      <c r="K220" s="42">
        <v>5.2291097640991211</v>
      </c>
      <c r="L220" s="41">
        <v>44893</v>
      </c>
      <c r="M220" s="42">
        <v>1121.2681</v>
      </c>
    </row>
    <row r="221" spans="1:13">
      <c r="A221" s="41">
        <v>44894</v>
      </c>
      <c r="B221" s="42">
        <v>18204.68</v>
      </c>
      <c r="C221" s="42">
        <v>166756666300</v>
      </c>
      <c r="D221">
        <f t="shared" si="9"/>
        <v>6236.72</v>
      </c>
      <c r="E221">
        <f t="shared" si="10"/>
        <v>5.2701802253723145</v>
      </c>
      <c r="F221">
        <f t="shared" si="11"/>
        <v>1124.3447000000001</v>
      </c>
      <c r="G221" s="42"/>
      <c r="H221" s="41">
        <v>44894</v>
      </c>
      <c r="I221" s="42">
        <v>6236.72</v>
      </c>
      <c r="J221" s="41">
        <v>44894</v>
      </c>
      <c r="K221" s="42">
        <v>5.2701802253723145</v>
      </c>
      <c r="L221" s="41">
        <v>44894</v>
      </c>
      <c r="M221" s="42">
        <v>1124.3447000000001</v>
      </c>
    </row>
    <row r="222" spans="1:13">
      <c r="A222" s="41">
        <v>44895</v>
      </c>
      <c r="B222" s="42">
        <v>18597.23</v>
      </c>
      <c r="C222" s="42">
        <v>222088613600</v>
      </c>
      <c r="D222">
        <f t="shared" si="9"/>
        <v>6374.44</v>
      </c>
      <c r="E222">
        <f t="shared" si="10"/>
        <v>5.307499885559082</v>
      </c>
      <c r="F222">
        <f t="shared" si="11"/>
        <v>1125.9063000000001</v>
      </c>
      <c r="G222" s="42"/>
      <c r="H222" s="41">
        <v>44895</v>
      </c>
      <c r="I222" s="42">
        <v>6374.44</v>
      </c>
      <c r="J222" s="41">
        <v>44895</v>
      </c>
      <c r="K222" s="42">
        <v>5.307499885559082</v>
      </c>
      <c r="L222" s="41">
        <v>44895</v>
      </c>
      <c r="M222" s="42">
        <v>1125.9063000000001</v>
      </c>
    </row>
    <row r="223" spans="1:13">
      <c r="A223" s="41">
        <v>44896</v>
      </c>
      <c r="B223" s="42">
        <v>18736.439999999999</v>
      </c>
      <c r="C223" s="42">
        <v>198563330500</v>
      </c>
      <c r="D223">
        <f t="shared" si="9"/>
        <v>6384.9</v>
      </c>
      <c r="E223">
        <f t="shared" si="10"/>
        <v>5.3186898231506348</v>
      </c>
      <c r="F223">
        <f t="shared" si="11"/>
        <v>1137.0305000000001</v>
      </c>
      <c r="G223" s="42"/>
      <c r="H223" s="41">
        <v>44896</v>
      </c>
      <c r="I223" s="42">
        <v>6384.9</v>
      </c>
      <c r="J223" s="41">
        <v>44896</v>
      </c>
      <c r="K223" s="42">
        <v>5.3186898231506348</v>
      </c>
      <c r="L223" s="41">
        <v>44896</v>
      </c>
      <c r="M223" s="42">
        <v>1137.0305000000001</v>
      </c>
    </row>
    <row r="224" spans="1:13">
      <c r="A224" s="41">
        <v>44897</v>
      </c>
      <c r="B224" s="42">
        <v>18675.349999999999</v>
      </c>
      <c r="C224" s="42">
        <v>142775148900</v>
      </c>
      <c r="D224">
        <f t="shared" si="9"/>
        <v>6368.74</v>
      </c>
      <c r="E224">
        <f t="shared" si="10"/>
        <v>5.348750114440918</v>
      </c>
      <c r="F224">
        <f t="shared" si="11"/>
        <v>1163.0161000000001</v>
      </c>
      <c r="G224" s="42"/>
      <c r="H224" s="41">
        <v>44897</v>
      </c>
      <c r="I224" s="42">
        <v>6368.74</v>
      </c>
      <c r="J224" s="41">
        <v>44897</v>
      </c>
      <c r="K224" s="42">
        <v>5.348750114440918</v>
      </c>
      <c r="L224" s="41">
        <v>44897</v>
      </c>
      <c r="M224" s="42">
        <v>1163.0161000000001</v>
      </c>
    </row>
    <row r="225" spans="1:13">
      <c r="A225" s="41">
        <v>44900</v>
      </c>
      <c r="B225" s="42">
        <v>19518.29</v>
      </c>
      <c r="C225" s="42">
        <v>222980782200</v>
      </c>
      <c r="D225">
        <f t="shared" si="9"/>
        <v>6706.29</v>
      </c>
      <c r="E225">
        <f t="shared" si="10"/>
        <v>5.3888697624206543</v>
      </c>
      <c r="F225">
        <f t="shared" si="11"/>
        <v>1163.9901</v>
      </c>
      <c r="G225" s="42"/>
      <c r="H225" s="41">
        <v>44900</v>
      </c>
      <c r="I225" s="42">
        <v>6706.29</v>
      </c>
      <c r="J225" s="41">
        <v>44900</v>
      </c>
      <c r="K225" s="42">
        <v>5.3888697624206543</v>
      </c>
      <c r="L225" s="41">
        <v>44900</v>
      </c>
      <c r="M225" s="42">
        <v>1163.9901</v>
      </c>
    </row>
    <row r="226" spans="1:13">
      <c r="A226" s="41">
        <v>44901</v>
      </c>
      <c r="B226" s="42">
        <v>19441.18</v>
      </c>
      <c r="C226" s="42">
        <v>165003861800</v>
      </c>
      <c r="D226">
        <f t="shared" si="9"/>
        <v>6652.95</v>
      </c>
      <c r="E226">
        <f t="shared" si="10"/>
        <v>5.4169101715087891</v>
      </c>
      <c r="F226">
        <f t="shared" si="11"/>
        <v>1157.3368</v>
      </c>
      <c r="G226" s="42"/>
      <c r="H226" s="41">
        <v>44901</v>
      </c>
      <c r="I226" s="42">
        <v>6652.95</v>
      </c>
      <c r="J226" s="41">
        <v>44901</v>
      </c>
      <c r="K226" s="42">
        <v>5.4169101715087891</v>
      </c>
      <c r="L226" s="41">
        <v>44901</v>
      </c>
      <c r="M226" s="42">
        <v>1157.3368</v>
      </c>
    </row>
    <row r="227" spans="1:13">
      <c r="A227" s="41">
        <v>44902</v>
      </c>
      <c r="B227" s="42">
        <v>18814.82</v>
      </c>
      <c r="C227" s="42">
        <v>207416416900</v>
      </c>
      <c r="D227">
        <f t="shared" si="9"/>
        <v>6432.95</v>
      </c>
      <c r="E227">
        <f t="shared" si="10"/>
        <v>5.4057102203369141</v>
      </c>
      <c r="F227">
        <f t="shared" si="11"/>
        <v>1203.8327999999999</v>
      </c>
      <c r="G227" s="42"/>
      <c r="H227" s="41">
        <v>44902</v>
      </c>
      <c r="I227" s="42">
        <v>6432.95</v>
      </c>
      <c r="J227" s="41">
        <v>44902</v>
      </c>
      <c r="K227" s="42">
        <v>5.4057102203369141</v>
      </c>
      <c r="L227" s="41">
        <v>44902</v>
      </c>
      <c r="M227" s="42">
        <v>1203.8327999999999</v>
      </c>
    </row>
    <row r="228" spans="1:13">
      <c r="A228" s="41">
        <v>44903</v>
      </c>
      <c r="B228" s="42">
        <v>19450.23</v>
      </c>
      <c r="C228" s="42">
        <v>160694115600</v>
      </c>
      <c r="D228">
        <f t="shared" si="9"/>
        <v>6666.77</v>
      </c>
      <c r="E228">
        <f t="shared" si="10"/>
        <v>5.3955402374267578</v>
      </c>
      <c r="F228">
        <f t="shared" si="11"/>
        <v>1133.8625</v>
      </c>
      <c r="G228" s="42"/>
      <c r="H228" s="41">
        <v>44903</v>
      </c>
      <c r="I228" s="42">
        <v>6666.77</v>
      </c>
      <c r="J228" s="41">
        <v>44903</v>
      </c>
      <c r="K228" s="42">
        <v>5.3955402374267578</v>
      </c>
      <c r="L228" s="41">
        <v>44903</v>
      </c>
      <c r="M228" s="42">
        <v>1133.8625</v>
      </c>
    </row>
    <row r="229" spans="1:13">
      <c r="A229" s="41">
        <v>44904</v>
      </c>
      <c r="B229" s="42">
        <v>19900.87</v>
      </c>
      <c r="C229" s="42">
        <v>199446926300</v>
      </c>
      <c r="D229">
        <f t="shared" si="9"/>
        <v>6834.21</v>
      </c>
      <c r="E229">
        <f t="shared" si="10"/>
        <v>5.3992900848388672</v>
      </c>
      <c r="F229">
        <f t="shared" si="11"/>
        <v>1132.0282999999999</v>
      </c>
      <c r="G229" s="42"/>
      <c r="H229" s="41">
        <v>44904</v>
      </c>
      <c r="I229" s="42">
        <v>6834.21</v>
      </c>
      <c r="J229" s="41">
        <v>44904</v>
      </c>
      <c r="K229" s="42">
        <v>5.3992900848388672</v>
      </c>
      <c r="L229" s="41">
        <v>44904</v>
      </c>
      <c r="M229" s="42">
        <v>1132.0282999999999</v>
      </c>
    </row>
    <row r="230" spans="1:13">
      <c r="A230" s="41">
        <v>44907</v>
      </c>
      <c r="B230" s="42">
        <v>19463.63</v>
      </c>
      <c r="C230" s="42">
        <v>158751378200</v>
      </c>
      <c r="D230">
        <f t="shared" si="9"/>
        <v>6628.3</v>
      </c>
      <c r="E230">
        <f t="shared" si="10"/>
        <v>5.4076800346374512</v>
      </c>
      <c r="F230">
        <f t="shared" si="11"/>
        <v>1105.5186000000001</v>
      </c>
      <c r="G230" s="42"/>
      <c r="H230" s="41">
        <v>44907</v>
      </c>
      <c r="I230" s="42">
        <v>6628.3</v>
      </c>
      <c r="J230" s="41">
        <v>44907</v>
      </c>
      <c r="K230" s="42">
        <v>5.4076800346374512</v>
      </c>
      <c r="L230" s="41">
        <v>44907</v>
      </c>
      <c r="M230" s="42">
        <v>1105.5186000000001</v>
      </c>
    </row>
    <row r="231" spans="1:13">
      <c r="A231" s="41">
        <v>44908</v>
      </c>
      <c r="B231" s="42">
        <v>19596.2</v>
      </c>
      <c r="C231" s="42">
        <v>124088179100</v>
      </c>
      <c r="D231">
        <f t="shared" si="9"/>
        <v>6654.85</v>
      </c>
      <c r="E231">
        <f t="shared" si="10"/>
        <v>5.4076800346374512</v>
      </c>
      <c r="F231">
        <f t="shared" si="11"/>
        <v>1169.1576</v>
      </c>
      <c r="G231" s="42"/>
      <c r="H231" s="41">
        <v>44908</v>
      </c>
      <c r="I231" s="42">
        <v>6654.85</v>
      </c>
      <c r="J231" s="41">
        <v>44908</v>
      </c>
      <c r="K231" s="42">
        <v>5.4076800346374512</v>
      </c>
      <c r="L231" s="41">
        <v>44908</v>
      </c>
      <c r="M231" s="42">
        <v>1169.1576</v>
      </c>
    </row>
    <row r="232" spans="1:13">
      <c r="A232" s="41">
        <v>44909</v>
      </c>
      <c r="B232" s="42">
        <v>19673.45</v>
      </c>
      <c r="C232" s="42">
        <v>136364073199.99998</v>
      </c>
      <c r="D232">
        <f t="shared" si="9"/>
        <v>6702.36</v>
      </c>
      <c r="E232">
        <f t="shared" si="10"/>
        <v>5.4076800346374512</v>
      </c>
      <c r="F232">
        <f t="shared" si="11"/>
        <v>1165.7338999999999</v>
      </c>
      <c r="G232" s="42"/>
      <c r="H232" s="41">
        <v>44909</v>
      </c>
      <c r="I232" s="42">
        <v>6702.36</v>
      </c>
      <c r="J232" s="41">
        <v>44909</v>
      </c>
      <c r="K232" s="42">
        <v>5.4076800346374512</v>
      </c>
      <c r="L232" s="41">
        <v>44909</v>
      </c>
      <c r="M232" s="42">
        <v>1165.7338999999999</v>
      </c>
    </row>
    <row r="233" spans="1:13">
      <c r="A233" s="41">
        <v>44910</v>
      </c>
      <c r="B233" s="42">
        <v>19368.59</v>
      </c>
      <c r="C233" s="42">
        <v>105617782100</v>
      </c>
      <c r="D233">
        <f t="shared" si="9"/>
        <v>6591.46</v>
      </c>
      <c r="E233">
        <f t="shared" si="10"/>
        <v>5.407139778137207</v>
      </c>
      <c r="F233">
        <f t="shared" si="11"/>
        <v>1155.3341</v>
      </c>
      <c r="G233" s="42"/>
      <c r="H233" s="41">
        <v>44910</v>
      </c>
      <c r="I233" s="42">
        <v>6591.46</v>
      </c>
      <c r="J233" s="41">
        <v>44910</v>
      </c>
      <c r="K233" s="42">
        <v>5.407139778137207</v>
      </c>
      <c r="L233" s="41">
        <v>44910</v>
      </c>
      <c r="M233" s="42">
        <v>1155.3341</v>
      </c>
    </row>
    <row r="234" spans="1:13">
      <c r="A234" s="41">
        <v>44911</v>
      </c>
      <c r="B234" s="42">
        <v>19450.669999999998</v>
      </c>
      <c r="C234" s="42">
        <v>136026194300.00002</v>
      </c>
      <c r="D234">
        <f t="shared" si="9"/>
        <v>6634.75</v>
      </c>
      <c r="E234">
        <f t="shared" si="10"/>
        <v>5.4078598022460938</v>
      </c>
      <c r="F234">
        <f t="shared" si="11"/>
        <v>1145.0784000000001</v>
      </c>
      <c r="G234" s="42"/>
      <c r="H234" s="41">
        <v>44911</v>
      </c>
      <c r="I234" s="42">
        <v>6634.75</v>
      </c>
      <c r="J234" s="41">
        <v>44911</v>
      </c>
      <c r="K234" s="42">
        <v>5.4078598022460938</v>
      </c>
      <c r="L234" s="41">
        <v>44911</v>
      </c>
      <c r="M234" s="42">
        <v>1145.0784000000001</v>
      </c>
    </row>
    <row r="235" spans="1:13">
      <c r="A235" s="41">
        <v>44914</v>
      </c>
      <c r="B235" s="42">
        <v>19352.810000000001</v>
      </c>
      <c r="C235" s="42">
        <v>100665361700</v>
      </c>
      <c r="D235">
        <f t="shared" si="9"/>
        <v>6604.62</v>
      </c>
      <c r="E235">
        <f t="shared" si="10"/>
        <v>5.3760700225830078</v>
      </c>
      <c r="F235">
        <f t="shared" si="11"/>
        <v>1118.2246</v>
      </c>
      <c r="G235" s="42"/>
      <c r="H235" s="41">
        <v>44914</v>
      </c>
      <c r="I235" s="42">
        <v>6604.62</v>
      </c>
      <c r="J235" s="41">
        <v>44914</v>
      </c>
      <c r="K235" s="42">
        <v>5.3760700225830078</v>
      </c>
      <c r="L235" s="41">
        <v>44914</v>
      </c>
      <c r="M235" s="42">
        <v>1118.2246</v>
      </c>
    </row>
    <row r="236" spans="1:13">
      <c r="A236" s="41">
        <v>44915</v>
      </c>
      <c r="B236" s="42">
        <v>19094.8</v>
      </c>
      <c r="C236" s="42">
        <v>96257919800</v>
      </c>
      <c r="D236">
        <f t="shared" si="9"/>
        <v>6472.29</v>
      </c>
      <c r="E236">
        <f t="shared" si="10"/>
        <v>5.3547000885009766</v>
      </c>
      <c r="F236">
        <f t="shared" si="11"/>
        <v>1089.1907000000001</v>
      </c>
      <c r="G236" s="42"/>
      <c r="H236" s="41">
        <v>44915</v>
      </c>
      <c r="I236" s="42">
        <v>6472.29</v>
      </c>
      <c r="J236" s="41">
        <v>44915</v>
      </c>
      <c r="K236" s="42">
        <v>5.3547000885009766</v>
      </c>
      <c r="L236" s="41">
        <v>44915</v>
      </c>
      <c r="M236" s="42">
        <v>1089.1907000000001</v>
      </c>
    </row>
    <row r="237" spans="1:13">
      <c r="A237" s="41">
        <v>44916</v>
      </c>
      <c r="B237" s="42">
        <v>19160.490000000002</v>
      </c>
      <c r="C237" s="42">
        <v>69286083700</v>
      </c>
      <c r="D237">
        <f t="shared" si="9"/>
        <v>6500.18</v>
      </c>
      <c r="E237">
        <f t="shared" si="10"/>
        <v>5.2364301681518555</v>
      </c>
      <c r="F237">
        <f t="shared" si="11"/>
        <v>1110.3938000000001</v>
      </c>
      <c r="G237" s="42"/>
      <c r="H237" s="41">
        <v>44916</v>
      </c>
      <c r="I237" s="42">
        <v>6500.18</v>
      </c>
      <c r="J237" s="41">
        <v>44916</v>
      </c>
      <c r="K237" s="42">
        <v>5.2364301681518555</v>
      </c>
      <c r="L237" s="41">
        <v>44916</v>
      </c>
      <c r="M237" s="42">
        <v>1110.3938000000001</v>
      </c>
    </row>
    <row r="238" spans="1:13">
      <c r="A238" s="41">
        <v>44917</v>
      </c>
      <c r="B238" s="42">
        <v>19679.22</v>
      </c>
      <c r="C238" s="42">
        <v>101469091600</v>
      </c>
      <c r="D238">
        <f t="shared" si="9"/>
        <v>6716.32</v>
      </c>
      <c r="E238">
        <f t="shared" si="10"/>
        <v>5.1203598976135254</v>
      </c>
      <c r="F238">
        <f t="shared" si="11"/>
        <v>1120.2788</v>
      </c>
      <c r="G238" s="42"/>
      <c r="H238" s="41">
        <v>44917</v>
      </c>
      <c r="I238" s="42">
        <v>6716.32</v>
      </c>
      <c r="J238" s="41">
        <v>44917</v>
      </c>
      <c r="K238" s="42">
        <v>5.1203598976135254</v>
      </c>
      <c r="L238" s="41">
        <v>44917</v>
      </c>
      <c r="M238" s="42">
        <v>1120.2788</v>
      </c>
    </row>
    <row r="239" spans="1:13">
      <c r="A239" s="41">
        <v>44918</v>
      </c>
      <c r="B239" s="42">
        <v>19593.060000000001</v>
      </c>
      <c r="C239" s="42">
        <v>79959117800</v>
      </c>
      <c r="D239">
        <f t="shared" si="9"/>
        <v>6642.9</v>
      </c>
      <c r="E239">
        <f t="shared" si="10"/>
        <v>5.0447001457214355</v>
      </c>
      <c r="F239">
        <f t="shared" si="11"/>
        <v>1113.6778999999999</v>
      </c>
      <c r="G239" s="42"/>
      <c r="H239" s="41">
        <v>44918</v>
      </c>
      <c r="I239" s="42">
        <v>6642.9</v>
      </c>
      <c r="J239" s="41">
        <v>44918</v>
      </c>
      <c r="K239" s="42">
        <v>5.0447001457214355</v>
      </c>
      <c r="L239" s="41">
        <v>44918</v>
      </c>
      <c r="M239" s="42">
        <v>1113.6778999999999</v>
      </c>
    </row>
    <row r="240" spans="1:13">
      <c r="A240" s="41">
        <v>44921</v>
      </c>
      <c r="B240" s="42">
        <v>19593.060000000001</v>
      </c>
      <c r="C240" s="42"/>
      <c r="D240">
        <f t="shared" si="9"/>
        <v>6642.9</v>
      </c>
      <c r="E240">
        <f t="shared" si="10"/>
        <v>0</v>
      </c>
      <c r="F240">
        <f t="shared" si="11"/>
        <v>1140.5092</v>
      </c>
      <c r="G240" s="42"/>
      <c r="H240" s="41">
        <v>44921</v>
      </c>
      <c r="I240" s="42">
        <v>6642.9</v>
      </c>
      <c r="J240" s="41">
        <v>44921</v>
      </c>
      <c r="K240" s="42"/>
      <c r="L240" s="41">
        <v>44921</v>
      </c>
      <c r="M240" s="42">
        <v>1140.5092</v>
      </c>
    </row>
    <row r="241" spans="1:13">
      <c r="A241" s="41">
        <v>44922</v>
      </c>
      <c r="B241" s="42">
        <v>19593.060000000001</v>
      </c>
      <c r="C241" s="42"/>
      <c r="D241">
        <f t="shared" si="9"/>
        <v>6642.9</v>
      </c>
      <c r="E241">
        <f t="shared" si="10"/>
        <v>0</v>
      </c>
      <c r="F241">
        <f t="shared" si="11"/>
        <v>1170.5833</v>
      </c>
      <c r="G241" s="42"/>
      <c r="H241" s="41">
        <v>44922</v>
      </c>
      <c r="I241" s="42">
        <v>6642.9</v>
      </c>
      <c r="J241" s="41">
        <v>44922</v>
      </c>
      <c r="K241" s="42"/>
      <c r="L241" s="41">
        <v>44922</v>
      </c>
      <c r="M241" s="42">
        <v>1170.5833</v>
      </c>
    </row>
    <row r="242" spans="1:13">
      <c r="A242" s="41">
        <v>44923</v>
      </c>
      <c r="B242" s="42">
        <v>19898.91</v>
      </c>
      <c r="C242" s="42">
        <v>121952631300</v>
      </c>
      <c r="D242">
        <f t="shared" si="9"/>
        <v>6772.76</v>
      </c>
      <c r="E242">
        <f t="shared" si="10"/>
        <v>5.0281000137329102</v>
      </c>
      <c r="F242">
        <f t="shared" si="11"/>
        <v>1130.1813999999999</v>
      </c>
      <c r="G242" s="42"/>
      <c r="H242" s="41">
        <v>44923</v>
      </c>
      <c r="I242" s="42">
        <v>6772.76</v>
      </c>
      <c r="J242" s="41">
        <v>44923</v>
      </c>
      <c r="K242" s="42">
        <v>5.0281000137329102</v>
      </c>
      <c r="L242" s="41">
        <v>44923</v>
      </c>
      <c r="M242" s="42">
        <v>1130.1813999999999</v>
      </c>
    </row>
    <row r="243" spans="1:13">
      <c r="A243" s="41">
        <v>44924</v>
      </c>
      <c r="B243" s="42">
        <v>19741.14</v>
      </c>
      <c r="C243" s="42">
        <v>90752677800</v>
      </c>
      <c r="D243">
        <f t="shared" si="9"/>
        <v>6695.57</v>
      </c>
      <c r="E243">
        <f t="shared" si="10"/>
        <v>5.0244598388671875</v>
      </c>
      <c r="F243">
        <f t="shared" si="11"/>
        <v>1114.116</v>
      </c>
      <c r="G243" s="42"/>
      <c r="H243" s="41">
        <v>44924</v>
      </c>
      <c r="I243" s="42">
        <v>6695.57</v>
      </c>
      <c r="J243" s="41">
        <v>44924</v>
      </c>
      <c r="K243" s="42">
        <v>5.0244598388671875</v>
      </c>
      <c r="L243" s="41">
        <v>44924</v>
      </c>
      <c r="M243" s="42">
        <v>1114.116</v>
      </c>
    </row>
    <row r="244" spans="1:13">
      <c r="A244" s="41">
        <v>44925</v>
      </c>
      <c r="B244" s="42">
        <v>19781.41</v>
      </c>
      <c r="C244" s="42">
        <v>87020250600</v>
      </c>
      <c r="D244">
        <f t="shared" si="9"/>
        <v>6704.94</v>
      </c>
      <c r="E244">
        <f t="shared" si="10"/>
        <v>4.9935097694396973</v>
      </c>
      <c r="F244">
        <f t="shared" si="11"/>
        <v>1140.3228999999999</v>
      </c>
      <c r="G244" s="42"/>
      <c r="H244" s="41">
        <v>44925</v>
      </c>
      <c r="I244" s="42">
        <v>6704.94</v>
      </c>
      <c r="J244" s="41">
        <v>44925</v>
      </c>
      <c r="K244" s="42">
        <v>4.9935097694396973</v>
      </c>
      <c r="L244" s="41">
        <v>44925</v>
      </c>
      <c r="M244" s="42">
        <v>1140.3228999999999</v>
      </c>
    </row>
    <row r="245" spans="1:13">
      <c r="A245" s="41">
        <v>44929</v>
      </c>
      <c r="B245" s="42">
        <v>20145.29</v>
      </c>
      <c r="C245" s="42">
        <v>120652718200</v>
      </c>
      <c r="D245">
        <f t="shared" si="9"/>
        <v>6833.98</v>
      </c>
      <c r="E245">
        <f t="shared" si="10"/>
        <v>4.9528598785400391</v>
      </c>
      <c r="F245">
        <f t="shared" si="11"/>
        <v>1125.2908</v>
      </c>
      <c r="G245" s="42"/>
      <c r="H245" s="41">
        <v>44929</v>
      </c>
      <c r="I245" s="42">
        <v>6833.98</v>
      </c>
      <c r="J245" s="41">
        <v>44929</v>
      </c>
      <c r="K245" s="42">
        <v>4.9528598785400391</v>
      </c>
      <c r="L245" s="41">
        <v>44929</v>
      </c>
      <c r="M245" s="42">
        <v>1125.2908</v>
      </c>
    </row>
    <row r="246" spans="1:13">
      <c r="A246" s="41">
        <v>44930</v>
      </c>
      <c r="B246" s="42">
        <v>20793.11</v>
      </c>
      <c r="C246" s="42">
        <v>149636024200</v>
      </c>
      <c r="D246">
        <f t="shared" si="9"/>
        <v>7065.53</v>
      </c>
      <c r="E246">
        <f t="shared" si="10"/>
        <v>4.650360107421875</v>
      </c>
      <c r="F246">
        <f t="shared" si="11"/>
        <v>1131.2976000000001</v>
      </c>
      <c r="G246" s="42"/>
      <c r="H246" s="41">
        <v>44930</v>
      </c>
      <c r="I246" s="42">
        <v>7065.53</v>
      </c>
      <c r="J246" s="41">
        <v>44930</v>
      </c>
      <c r="K246" s="42">
        <v>4.650360107421875</v>
      </c>
      <c r="L246" s="41">
        <v>44930</v>
      </c>
      <c r="M246" s="42">
        <v>1131.2976000000001</v>
      </c>
    </row>
    <row r="247" spans="1:13">
      <c r="A247" s="41">
        <v>44931</v>
      </c>
      <c r="B247" s="42">
        <v>21052.17</v>
      </c>
      <c r="C247" s="42">
        <v>174163850200</v>
      </c>
      <c r="D247">
        <f t="shared" si="9"/>
        <v>7172.43</v>
      </c>
      <c r="E247">
        <f t="shared" si="10"/>
        <v>4.429999828338623</v>
      </c>
      <c r="F247">
        <f t="shared" si="11"/>
        <v>1122.5364999999999</v>
      </c>
      <c r="G247" s="42"/>
      <c r="H247" s="41">
        <v>44931</v>
      </c>
      <c r="I247" s="42">
        <v>7172.43</v>
      </c>
      <c r="J247" s="41">
        <v>44931</v>
      </c>
      <c r="K247" s="42">
        <v>4.429999828338623</v>
      </c>
      <c r="L247" s="41">
        <v>44931</v>
      </c>
      <c r="M247" s="42">
        <v>1122.5364999999999</v>
      </c>
    </row>
    <row r="248" spans="1:13">
      <c r="A248" s="41">
        <v>44932</v>
      </c>
      <c r="B248" s="42">
        <v>20991.64</v>
      </c>
      <c r="C248" s="42">
        <v>148275091400</v>
      </c>
      <c r="D248">
        <f t="shared" si="9"/>
        <v>7143.64</v>
      </c>
      <c r="E248">
        <f t="shared" si="10"/>
        <v>4.4465498924255371</v>
      </c>
      <c r="F248">
        <f t="shared" si="11"/>
        <v>1108.4332999999999</v>
      </c>
      <c r="G248" s="42"/>
      <c r="H248" s="41">
        <v>44932</v>
      </c>
      <c r="I248" s="42">
        <v>7143.64</v>
      </c>
      <c r="J248" s="41">
        <v>44932</v>
      </c>
      <c r="K248" s="42">
        <v>4.4465498924255371</v>
      </c>
      <c r="L248" s="41">
        <v>44932</v>
      </c>
      <c r="M248" s="42">
        <v>1108.4332999999999</v>
      </c>
    </row>
    <row r="249" spans="1:13">
      <c r="A249" s="41">
        <v>44935</v>
      </c>
      <c r="B249" s="42">
        <v>21388.34</v>
      </c>
      <c r="C249" s="42">
        <v>156422737000</v>
      </c>
      <c r="D249">
        <f t="shared" si="9"/>
        <v>7286.07</v>
      </c>
      <c r="E249">
        <f t="shared" si="10"/>
        <v>4.3963098526000977</v>
      </c>
      <c r="F249">
        <f t="shared" si="11"/>
        <v>1144.3575000000001</v>
      </c>
      <c r="G249" s="42"/>
      <c r="H249" s="41">
        <v>44935</v>
      </c>
      <c r="I249" s="42">
        <v>7286.07</v>
      </c>
      <c r="J249" s="41">
        <v>44935</v>
      </c>
      <c r="K249" s="42">
        <v>4.3963098526000977</v>
      </c>
      <c r="L249" s="41">
        <v>44935</v>
      </c>
      <c r="M249" s="42">
        <v>1144.3575000000001</v>
      </c>
    </row>
    <row r="250" spans="1:13">
      <c r="A250" s="41">
        <v>44936</v>
      </c>
      <c r="B250" s="42">
        <v>21331.46</v>
      </c>
      <c r="C250" s="42">
        <v>131355837100</v>
      </c>
      <c r="D250">
        <f t="shared" si="9"/>
        <v>7263.63</v>
      </c>
      <c r="E250">
        <f t="shared" si="10"/>
        <v>4.3161897659301758</v>
      </c>
      <c r="F250">
        <f t="shared" si="11"/>
        <v>1149.2201</v>
      </c>
      <c r="G250" s="42"/>
      <c r="H250" s="41">
        <v>44936</v>
      </c>
      <c r="I250" s="42">
        <v>7263.63</v>
      </c>
      <c r="J250" s="41">
        <v>44936</v>
      </c>
      <c r="K250" s="42">
        <v>4.3161897659301758</v>
      </c>
      <c r="L250" s="41">
        <v>44936</v>
      </c>
      <c r="M250" s="42">
        <v>1149.2201</v>
      </c>
    </row>
    <row r="251" spans="1:13">
      <c r="A251" s="41">
        <v>44937</v>
      </c>
      <c r="B251" s="42">
        <v>21436.05</v>
      </c>
      <c r="C251" s="42">
        <v>165846933200</v>
      </c>
      <c r="D251">
        <f t="shared" si="9"/>
        <v>7310.92</v>
      </c>
      <c r="E251">
        <f t="shared" si="10"/>
        <v>4.2027997970581055</v>
      </c>
      <c r="F251">
        <f t="shared" si="11"/>
        <v>1143.0314000000001</v>
      </c>
      <c r="G251" s="42"/>
      <c r="H251" s="41">
        <v>44937</v>
      </c>
      <c r="I251" s="42">
        <v>7310.92</v>
      </c>
      <c r="J251" s="41">
        <v>44937</v>
      </c>
      <c r="K251" s="42">
        <v>4.2027997970581055</v>
      </c>
      <c r="L251" s="41">
        <v>44937</v>
      </c>
      <c r="M251" s="42">
        <v>1143.0314000000001</v>
      </c>
    </row>
    <row r="252" spans="1:13">
      <c r="A252" s="41">
        <v>44938</v>
      </c>
      <c r="B252" s="42">
        <v>21514.1</v>
      </c>
      <c r="C252" s="42">
        <v>159583553200</v>
      </c>
      <c r="D252">
        <f t="shared" si="9"/>
        <v>7311.84</v>
      </c>
      <c r="E252">
        <f t="shared" si="10"/>
        <v>4.1136298179626465</v>
      </c>
      <c r="F252">
        <f t="shared" si="11"/>
        <v>1130.6996999999999</v>
      </c>
      <c r="G252" s="42"/>
      <c r="H252" s="41">
        <v>44938</v>
      </c>
      <c r="I252" s="42">
        <v>7311.84</v>
      </c>
      <c r="J252" s="41">
        <v>44938</v>
      </c>
      <c r="K252" s="42">
        <v>4.1136298179626465</v>
      </c>
      <c r="L252" s="41">
        <v>44938</v>
      </c>
      <c r="M252" s="42">
        <v>1130.6996999999999</v>
      </c>
    </row>
    <row r="253" spans="1:13">
      <c r="A253" s="41">
        <v>44939</v>
      </c>
      <c r="B253" s="42">
        <v>21738.66</v>
      </c>
      <c r="C253" s="42">
        <v>133010746300</v>
      </c>
      <c r="D253">
        <f t="shared" si="9"/>
        <v>7391.18</v>
      </c>
      <c r="E253">
        <f t="shared" si="10"/>
        <v>4.0829801559448242</v>
      </c>
      <c r="F253">
        <f t="shared" si="11"/>
        <v>1158.4458</v>
      </c>
      <c r="G253" s="42"/>
      <c r="H253" s="41">
        <v>44939</v>
      </c>
      <c r="I253" s="42">
        <v>7391.18</v>
      </c>
      <c r="J253" s="41">
        <v>44939</v>
      </c>
      <c r="K253" s="42">
        <v>4.0829801559448242</v>
      </c>
      <c r="L253" s="41">
        <v>44939</v>
      </c>
      <c r="M253" s="42">
        <v>1158.4458</v>
      </c>
    </row>
    <row r="254" spans="1:13">
      <c r="A254" s="41">
        <v>44942</v>
      </c>
      <c r="B254" s="42">
        <v>21746.720000000001</v>
      </c>
      <c r="C254" s="42">
        <v>140769557600</v>
      </c>
      <c r="D254">
        <f t="shared" si="9"/>
        <v>7350.34</v>
      </c>
      <c r="E254">
        <f t="shared" si="10"/>
        <v>3.9838099479675293</v>
      </c>
      <c r="F254">
        <f t="shared" si="11"/>
        <v>1191.5245</v>
      </c>
      <c r="G254" s="42"/>
      <c r="H254" s="41">
        <v>44942</v>
      </c>
      <c r="I254" s="42">
        <v>7350.34</v>
      </c>
      <c r="J254" s="41">
        <v>44942</v>
      </c>
      <c r="K254" s="42">
        <v>3.9838099479675293</v>
      </c>
      <c r="L254" s="41">
        <v>44942</v>
      </c>
      <c r="M254" s="42">
        <v>1191.5245</v>
      </c>
    </row>
    <row r="255" spans="1:13">
      <c r="A255" s="41">
        <v>44943</v>
      </c>
      <c r="B255" s="42">
        <v>21577.64</v>
      </c>
      <c r="C255" s="42">
        <v>126720042500</v>
      </c>
      <c r="D255">
        <f t="shared" si="9"/>
        <v>7314.04</v>
      </c>
      <c r="E255">
        <f t="shared" si="10"/>
        <v>3.9408900737762451</v>
      </c>
      <c r="F255">
        <f t="shared" si="11"/>
        <v>1173.9021</v>
      </c>
      <c r="G255" s="42"/>
      <c r="H255" s="41">
        <v>44943</v>
      </c>
      <c r="I255" s="42">
        <v>7314.04</v>
      </c>
      <c r="J255" s="41">
        <v>44943</v>
      </c>
      <c r="K255" s="42">
        <v>3.9408900737762451</v>
      </c>
      <c r="L255" s="41">
        <v>44943</v>
      </c>
      <c r="M255" s="42">
        <v>1173.9021</v>
      </c>
    </row>
    <row r="256" spans="1:13">
      <c r="A256" s="41">
        <v>44944</v>
      </c>
      <c r="B256" s="42">
        <v>21678</v>
      </c>
      <c r="C256" s="42">
        <v>127834479700</v>
      </c>
      <c r="D256">
        <f t="shared" si="9"/>
        <v>7340.73</v>
      </c>
      <c r="E256">
        <f t="shared" si="10"/>
        <v>3.885890007019043</v>
      </c>
      <c r="F256">
        <f t="shared" si="11"/>
        <v>1168.5287000000001</v>
      </c>
      <c r="G256" s="42"/>
      <c r="H256" s="41">
        <v>44944</v>
      </c>
      <c r="I256" s="42">
        <v>7340.73</v>
      </c>
      <c r="J256" s="41">
        <v>44944</v>
      </c>
      <c r="K256" s="42">
        <v>3.885890007019043</v>
      </c>
      <c r="L256" s="41">
        <v>44944</v>
      </c>
      <c r="M256" s="42">
        <v>1168.5287000000001</v>
      </c>
    </row>
    <row r="257" spans="1:13">
      <c r="A257" s="41">
        <v>44945</v>
      </c>
      <c r="B257" s="42">
        <v>21650.98</v>
      </c>
      <c r="C257" s="42">
        <v>92596858800</v>
      </c>
      <c r="D257">
        <f t="shared" si="9"/>
        <v>7312.76</v>
      </c>
      <c r="E257">
        <f t="shared" si="10"/>
        <v>3.7977399826049805</v>
      </c>
      <c r="F257">
        <f t="shared" si="11"/>
        <v>1160.001</v>
      </c>
      <c r="G257" s="42"/>
      <c r="H257" s="41">
        <v>44945</v>
      </c>
      <c r="I257" s="42">
        <v>7312.76</v>
      </c>
      <c r="J257" s="41">
        <v>44945</v>
      </c>
      <c r="K257" s="42">
        <v>3.7977399826049805</v>
      </c>
      <c r="L257" s="41">
        <v>44945</v>
      </c>
      <c r="M257" s="42">
        <v>1160.001</v>
      </c>
    </row>
    <row r="258" spans="1:13">
      <c r="A258" s="41">
        <v>44946</v>
      </c>
      <c r="B258" s="42">
        <v>22044.65</v>
      </c>
      <c r="C258" s="42">
        <v>95132610700</v>
      </c>
      <c r="D258">
        <f t="shared" si="9"/>
        <v>7483.58</v>
      </c>
      <c r="E258">
        <f t="shared" si="10"/>
        <v>3.758389949798584</v>
      </c>
      <c r="F258">
        <f t="shared" si="11"/>
        <v>1168.4304</v>
      </c>
      <c r="G258" s="42"/>
      <c r="H258" s="41">
        <v>44946</v>
      </c>
      <c r="I258" s="42">
        <v>7483.58</v>
      </c>
      <c r="J258" s="41">
        <v>44946</v>
      </c>
      <c r="K258" s="42">
        <v>3.758389949798584</v>
      </c>
      <c r="L258" s="41">
        <v>44946</v>
      </c>
      <c r="M258" s="42">
        <v>1168.4304</v>
      </c>
    </row>
    <row r="259" spans="1:13">
      <c r="A259" s="41">
        <v>44956</v>
      </c>
      <c r="B259" s="42">
        <v>22069.73</v>
      </c>
      <c r="C259" s="42">
        <v>203247599300</v>
      </c>
      <c r="D259">
        <f t="shared" si="9"/>
        <v>7496.07</v>
      </c>
      <c r="E259">
        <f t="shared" si="10"/>
        <v>3.6944100856781006</v>
      </c>
      <c r="F259">
        <f t="shared" si="11"/>
        <v>1190.8894</v>
      </c>
      <c r="G259" s="42"/>
      <c r="H259" s="41">
        <v>44956</v>
      </c>
      <c r="I259" s="42">
        <v>7496.07</v>
      </c>
      <c r="J259" s="41">
        <v>44956</v>
      </c>
      <c r="K259" s="42">
        <v>3.6944100856781006</v>
      </c>
      <c r="L259" s="41">
        <v>44956</v>
      </c>
      <c r="M259" s="42">
        <v>1190.8894</v>
      </c>
    </row>
    <row r="260" spans="1:13">
      <c r="A260" s="41">
        <v>44957</v>
      </c>
      <c r="B260" s="42">
        <v>21842.33</v>
      </c>
      <c r="C260" s="42">
        <v>173821840800</v>
      </c>
      <c r="D260">
        <f t="shared" ref="D260:D323" si="12">IFERROR(VLOOKUP($A260,$H$3:$I$1100,2,FALSE),"")</f>
        <v>7424.92</v>
      </c>
      <c r="E260">
        <f t="shared" ref="E260:E323" si="13">IFERROR(VLOOKUP($A260,$J$3:$K$1100,2,FALSE),"")</f>
        <v>3.6725599765777588</v>
      </c>
      <c r="F260">
        <f t="shared" ref="F260:F323" si="14">IFERROR(VLOOKUP($A260,$L$3:$M$1100,2,FALSE),"")</f>
        <v>1204.2677000000001</v>
      </c>
      <c r="G260" s="42"/>
      <c r="H260" s="41">
        <v>44957</v>
      </c>
      <c r="I260" s="42">
        <v>7424.92</v>
      </c>
      <c r="J260" s="41">
        <v>44957</v>
      </c>
      <c r="K260" s="42">
        <v>3.6725599765777588</v>
      </c>
      <c r="L260" s="41">
        <v>44957</v>
      </c>
      <c r="M260" s="42">
        <v>1204.2677000000001</v>
      </c>
    </row>
    <row r="261" spans="1:13">
      <c r="A261" s="41">
        <v>44958</v>
      </c>
      <c r="B261" s="42">
        <v>22072.18</v>
      </c>
      <c r="C261" s="42">
        <v>155574347000</v>
      </c>
      <c r="D261">
        <f t="shared" si="12"/>
        <v>7560.4</v>
      </c>
      <c r="E261">
        <f t="shared" si="13"/>
        <v>3.6182100772857666</v>
      </c>
      <c r="F261">
        <f t="shared" si="14"/>
        <v>1207.0409</v>
      </c>
      <c r="G261" s="42"/>
      <c r="H261" s="41">
        <v>44958</v>
      </c>
      <c r="I261" s="42">
        <v>7560.4</v>
      </c>
      <c r="J261" s="41">
        <v>44958</v>
      </c>
      <c r="K261" s="42">
        <v>3.6182100772857666</v>
      </c>
      <c r="L261" s="41">
        <v>44958</v>
      </c>
      <c r="M261" s="42">
        <v>1207.0409</v>
      </c>
    </row>
    <row r="262" spans="1:13">
      <c r="A262" s="41">
        <v>44959</v>
      </c>
      <c r="B262" s="42">
        <v>21958.36</v>
      </c>
      <c r="C262" s="42">
        <v>140050984500</v>
      </c>
      <c r="D262">
        <f t="shared" si="12"/>
        <v>7505.79</v>
      </c>
      <c r="E262">
        <f t="shared" si="13"/>
        <v>3.5466699600219727</v>
      </c>
      <c r="F262">
        <f t="shared" si="14"/>
        <v>1217.8411000000001</v>
      </c>
      <c r="G262" s="42"/>
      <c r="H262" s="41">
        <v>44959</v>
      </c>
      <c r="I262" s="42">
        <v>7505.79</v>
      </c>
      <c r="J262" s="41">
        <v>44959</v>
      </c>
      <c r="K262" s="42">
        <v>3.5466699600219727</v>
      </c>
      <c r="L262" s="41">
        <v>44959</v>
      </c>
      <c r="M262" s="42">
        <v>1217.8411000000001</v>
      </c>
    </row>
    <row r="263" spans="1:13">
      <c r="A263" s="41">
        <v>44960</v>
      </c>
      <c r="B263" s="42">
        <v>21660.47</v>
      </c>
      <c r="C263" s="42">
        <v>129960362100</v>
      </c>
      <c r="D263">
        <f t="shared" si="12"/>
        <v>7387.02</v>
      </c>
      <c r="E263">
        <f t="shared" si="13"/>
        <v>3.4803600311279297</v>
      </c>
      <c r="F263">
        <f t="shared" si="14"/>
        <v>1205.5658000000001</v>
      </c>
      <c r="G263" s="42"/>
      <c r="H263" s="41">
        <v>44960</v>
      </c>
      <c r="I263" s="42">
        <v>7387.02</v>
      </c>
      <c r="J263" s="41">
        <v>44960</v>
      </c>
      <c r="K263" s="42">
        <v>3.4803600311279297</v>
      </c>
      <c r="L263" s="41">
        <v>44960</v>
      </c>
      <c r="M263" s="42">
        <v>1205.5658000000001</v>
      </c>
    </row>
    <row r="264" spans="1:13">
      <c r="A264" s="41">
        <v>44963</v>
      </c>
      <c r="B264" s="42">
        <v>21222.16</v>
      </c>
      <c r="C264" s="42">
        <v>136020118900</v>
      </c>
      <c r="D264">
        <f t="shared" si="12"/>
        <v>7189.37</v>
      </c>
      <c r="E264">
        <f t="shared" si="13"/>
        <v>3.5385100841522217</v>
      </c>
      <c r="F264">
        <f t="shared" si="14"/>
        <v>1213.4004</v>
      </c>
      <c r="G264" s="42"/>
      <c r="H264" s="41">
        <v>44963</v>
      </c>
      <c r="I264" s="42">
        <v>7189.37</v>
      </c>
      <c r="J264" s="41">
        <v>44963</v>
      </c>
      <c r="K264" s="42">
        <v>3.5385100841522217</v>
      </c>
      <c r="L264" s="41">
        <v>44963</v>
      </c>
      <c r="M264" s="42">
        <v>1213.4004</v>
      </c>
    </row>
    <row r="265" spans="1:13">
      <c r="A265" s="41">
        <v>44964</v>
      </c>
      <c r="B265" s="42">
        <v>21298.7</v>
      </c>
      <c r="C265" s="42">
        <v>103776550100</v>
      </c>
      <c r="D265">
        <f t="shared" si="12"/>
        <v>7232.25</v>
      </c>
      <c r="E265">
        <f t="shared" si="13"/>
        <v>3.5227999687194824</v>
      </c>
      <c r="F265">
        <f t="shared" si="14"/>
        <v>1199.2864999999999</v>
      </c>
      <c r="G265" s="42"/>
      <c r="H265" s="41">
        <v>44964</v>
      </c>
      <c r="I265" s="42">
        <v>7232.25</v>
      </c>
      <c r="J265" s="41">
        <v>44964</v>
      </c>
      <c r="K265" s="42">
        <v>3.5227999687194824</v>
      </c>
      <c r="L265" s="41">
        <v>44964</v>
      </c>
      <c r="M265" s="42">
        <v>1199.2864999999999</v>
      </c>
    </row>
    <row r="266" spans="1:13">
      <c r="A266" s="41">
        <v>44965</v>
      </c>
      <c r="B266" s="42">
        <v>21283.52</v>
      </c>
      <c r="C266" s="42">
        <v>115601366400</v>
      </c>
      <c r="D266">
        <f t="shared" si="12"/>
        <v>7189.29</v>
      </c>
      <c r="E266">
        <f t="shared" si="13"/>
        <v>3.4732298851013184</v>
      </c>
      <c r="F266">
        <f t="shared" si="14"/>
        <v>1180.7318</v>
      </c>
      <c r="G266" s="42"/>
      <c r="H266" s="41">
        <v>44965</v>
      </c>
      <c r="I266" s="42">
        <v>7189.29</v>
      </c>
      <c r="J266" s="41">
        <v>44965</v>
      </c>
      <c r="K266" s="42">
        <v>3.4732298851013184</v>
      </c>
      <c r="L266" s="41">
        <v>44965</v>
      </c>
      <c r="M266" s="42">
        <v>1180.7318</v>
      </c>
    </row>
    <row r="267" spans="1:13">
      <c r="A267" s="41">
        <v>44966</v>
      </c>
      <c r="B267" s="42">
        <v>21624.36</v>
      </c>
      <c r="C267" s="42">
        <v>117764660000</v>
      </c>
      <c r="D267">
        <f t="shared" si="12"/>
        <v>7313.73</v>
      </c>
      <c r="E267">
        <f t="shared" si="13"/>
        <v>3.4410700798034668</v>
      </c>
      <c r="F267">
        <f t="shared" si="14"/>
        <v>1188.0024000000001</v>
      </c>
      <c r="G267" s="42"/>
      <c r="H267" s="41">
        <v>44966</v>
      </c>
      <c r="I267" s="42">
        <v>7313.73</v>
      </c>
      <c r="J267" s="41">
        <v>44966</v>
      </c>
      <c r="K267" s="42">
        <v>3.4410700798034668</v>
      </c>
      <c r="L267" s="41">
        <v>44966</v>
      </c>
      <c r="M267" s="42">
        <v>1188.0024000000001</v>
      </c>
    </row>
    <row r="268" spans="1:13">
      <c r="A268" s="41">
        <v>44967</v>
      </c>
      <c r="B268" s="42">
        <v>21190.42</v>
      </c>
      <c r="C268" s="42">
        <v>119780754100</v>
      </c>
      <c r="D268">
        <f t="shared" si="12"/>
        <v>7126.19</v>
      </c>
      <c r="E268">
        <f t="shared" si="13"/>
        <v>3.4328598976135254</v>
      </c>
      <c r="F268">
        <f t="shared" si="14"/>
        <v>1192.1564000000001</v>
      </c>
      <c r="G268" s="42"/>
      <c r="H268" s="41">
        <v>44967</v>
      </c>
      <c r="I268" s="42">
        <v>7126.19</v>
      </c>
      <c r="J268" s="41">
        <v>44967</v>
      </c>
      <c r="K268" s="42">
        <v>3.4328598976135254</v>
      </c>
      <c r="L268" s="41">
        <v>44967</v>
      </c>
      <c r="M268" s="42">
        <v>1192.1564000000001</v>
      </c>
    </row>
    <row r="269" spans="1:13">
      <c r="A269" s="41">
        <v>44970</v>
      </c>
      <c r="B269" s="42">
        <v>21164.42</v>
      </c>
      <c r="C269" s="42">
        <v>112073972400</v>
      </c>
      <c r="D269">
        <f t="shared" si="12"/>
        <v>7144.45</v>
      </c>
      <c r="E269">
        <f t="shared" si="13"/>
        <v>3.4295799732208252</v>
      </c>
      <c r="F269">
        <f t="shared" si="14"/>
        <v>1171.6339</v>
      </c>
      <c r="G269" s="42"/>
      <c r="H269" s="41">
        <v>44970</v>
      </c>
      <c r="I269" s="42">
        <v>7144.45</v>
      </c>
      <c r="J269" s="41">
        <v>44970</v>
      </c>
      <c r="K269" s="42">
        <v>3.4295799732208252</v>
      </c>
      <c r="L269" s="41">
        <v>44970</v>
      </c>
      <c r="M269" s="42">
        <v>1171.6339</v>
      </c>
    </row>
    <row r="270" spans="1:13">
      <c r="A270" s="41">
        <v>44971</v>
      </c>
      <c r="B270" s="42">
        <v>21113.759999999998</v>
      </c>
      <c r="C270" s="42">
        <v>97670629000</v>
      </c>
      <c r="D270">
        <f t="shared" si="12"/>
        <v>7110.42</v>
      </c>
      <c r="E270">
        <f t="shared" si="13"/>
        <v>3.4295799732208252</v>
      </c>
      <c r="F270">
        <f t="shared" si="14"/>
        <v>1175.6668999999999</v>
      </c>
      <c r="G270" s="42"/>
      <c r="H270" s="41">
        <v>44971</v>
      </c>
      <c r="I270" s="42">
        <v>7110.42</v>
      </c>
      <c r="J270" s="41">
        <v>44971</v>
      </c>
      <c r="K270" s="42">
        <v>3.4295799732208252</v>
      </c>
      <c r="L270" s="41">
        <v>44971</v>
      </c>
      <c r="M270" s="42">
        <v>1175.6668999999999</v>
      </c>
    </row>
    <row r="271" spans="1:13">
      <c r="A271" s="41">
        <v>44972</v>
      </c>
      <c r="B271" s="42">
        <v>20812.169999999998</v>
      </c>
      <c r="C271" s="42">
        <v>112312937000</v>
      </c>
      <c r="D271">
        <f t="shared" si="12"/>
        <v>7018.14</v>
      </c>
      <c r="E271">
        <f t="shared" si="13"/>
        <v>3.4224998950958252</v>
      </c>
      <c r="F271">
        <f t="shared" si="14"/>
        <v>1168.2579000000001</v>
      </c>
      <c r="G271" s="42"/>
      <c r="H271" s="41">
        <v>44972</v>
      </c>
      <c r="I271" s="42">
        <v>7018.14</v>
      </c>
      <c r="J271" s="41">
        <v>44972</v>
      </c>
      <c r="K271" s="42">
        <v>3.4224998950958252</v>
      </c>
      <c r="L271" s="41">
        <v>44972</v>
      </c>
      <c r="M271" s="42">
        <v>1168.2579000000001</v>
      </c>
    </row>
    <row r="272" spans="1:13">
      <c r="A272" s="41">
        <v>44973</v>
      </c>
      <c r="B272" s="42">
        <v>20987.67</v>
      </c>
      <c r="C272" s="42">
        <v>122904403000</v>
      </c>
      <c r="D272">
        <f t="shared" si="12"/>
        <v>7089.95</v>
      </c>
      <c r="E272">
        <f t="shared" si="13"/>
        <v>3.4302999973297119</v>
      </c>
      <c r="F272">
        <f t="shared" si="14"/>
        <v>1158.0415</v>
      </c>
      <c r="G272" s="42"/>
      <c r="H272" s="41">
        <v>44973</v>
      </c>
      <c r="I272" s="42">
        <v>7089.95</v>
      </c>
      <c r="J272" s="41">
        <v>44973</v>
      </c>
      <c r="K272" s="42">
        <v>3.4302999973297119</v>
      </c>
      <c r="L272" s="41">
        <v>44973</v>
      </c>
      <c r="M272" s="42">
        <v>1158.0415</v>
      </c>
    </row>
    <row r="273" spans="1:13">
      <c r="A273" s="41">
        <v>44974</v>
      </c>
      <c r="B273" s="42">
        <v>20719.810000000001</v>
      </c>
      <c r="C273" s="42">
        <v>89739391900</v>
      </c>
      <c r="D273">
        <f t="shared" si="12"/>
        <v>6991.27</v>
      </c>
      <c r="E273">
        <f t="shared" si="13"/>
        <v>3.4630999565124512</v>
      </c>
      <c r="F273">
        <f t="shared" si="14"/>
        <v>1172.6133</v>
      </c>
      <c r="G273" s="42"/>
      <c r="H273" s="41">
        <v>44974</v>
      </c>
      <c r="I273" s="42">
        <v>6991.27</v>
      </c>
      <c r="J273" s="41">
        <v>44974</v>
      </c>
      <c r="K273" s="42">
        <v>3.4630999565124512</v>
      </c>
      <c r="L273" s="41">
        <v>44974</v>
      </c>
      <c r="M273" s="42">
        <v>1172.6133</v>
      </c>
    </row>
    <row r="274" spans="1:13">
      <c r="A274" s="41">
        <v>44977</v>
      </c>
      <c r="B274" s="42">
        <v>20886.96</v>
      </c>
      <c r="C274" s="42">
        <v>112061448000</v>
      </c>
      <c r="D274">
        <f t="shared" si="12"/>
        <v>7063.94</v>
      </c>
      <c r="E274">
        <f t="shared" si="13"/>
        <v>3.5463099479675293</v>
      </c>
      <c r="F274">
        <f t="shared" si="14"/>
        <v>1193.1168</v>
      </c>
      <c r="G274" s="42"/>
      <c r="H274" s="41">
        <v>44977</v>
      </c>
      <c r="I274" s="42">
        <v>7063.94</v>
      </c>
      <c r="J274" s="41">
        <v>44977</v>
      </c>
      <c r="K274" s="42">
        <v>3.5463099479675293</v>
      </c>
      <c r="L274" s="41">
        <v>44977</v>
      </c>
      <c r="M274" s="42">
        <v>1193.1168</v>
      </c>
    </row>
    <row r="275" spans="1:13">
      <c r="A275" s="41">
        <v>44978</v>
      </c>
      <c r="B275" s="42">
        <v>20529.490000000002</v>
      </c>
      <c r="C275" s="42">
        <v>111176541900</v>
      </c>
      <c r="D275">
        <f t="shared" si="12"/>
        <v>6925.07</v>
      </c>
      <c r="E275">
        <f t="shared" si="13"/>
        <v>3.6724998950958252</v>
      </c>
      <c r="F275">
        <f t="shared" si="14"/>
        <v>1205.9603</v>
      </c>
      <c r="G275" s="42"/>
      <c r="H275" s="41">
        <v>44978</v>
      </c>
      <c r="I275" s="42">
        <v>6925.07</v>
      </c>
      <c r="J275" s="41">
        <v>44978</v>
      </c>
      <c r="K275" s="42">
        <v>3.6724998950958252</v>
      </c>
      <c r="L275" s="41">
        <v>44978</v>
      </c>
      <c r="M275" s="42">
        <v>1205.9603</v>
      </c>
    </row>
    <row r="276" spans="1:13">
      <c r="A276" s="41">
        <v>44979</v>
      </c>
      <c r="B276" s="42">
        <v>20423.84</v>
      </c>
      <c r="C276" s="42">
        <v>114607214500</v>
      </c>
      <c r="D276">
        <f t="shared" si="12"/>
        <v>6832.76</v>
      </c>
      <c r="E276">
        <f t="shared" si="13"/>
        <v>3.6614398956298828</v>
      </c>
      <c r="F276">
        <f t="shared" si="14"/>
        <v>1214.1666</v>
      </c>
      <c r="G276" s="42"/>
      <c r="H276" s="41">
        <v>44979</v>
      </c>
      <c r="I276" s="42">
        <v>6832.76</v>
      </c>
      <c r="J276" s="41">
        <v>44979</v>
      </c>
      <c r="K276" s="42">
        <v>3.6614398956298828</v>
      </c>
      <c r="L276" s="41">
        <v>44979</v>
      </c>
      <c r="M276" s="42">
        <v>1214.1666</v>
      </c>
    </row>
    <row r="277" spans="1:13">
      <c r="A277" s="41">
        <v>44980</v>
      </c>
      <c r="B277" s="42">
        <v>20351.349999999999</v>
      </c>
      <c r="C277" s="42">
        <v>102661781400</v>
      </c>
      <c r="D277">
        <f t="shared" si="12"/>
        <v>6859.95</v>
      </c>
      <c r="E277">
        <f t="shared" si="13"/>
        <v>3.7081599235534668</v>
      </c>
      <c r="F277">
        <f t="shared" si="14"/>
        <v>1218.2891999999999</v>
      </c>
      <c r="G277" s="42"/>
      <c r="H277" s="41">
        <v>44980</v>
      </c>
      <c r="I277" s="42">
        <v>6859.95</v>
      </c>
      <c r="J277" s="41">
        <v>44980</v>
      </c>
      <c r="K277" s="42">
        <v>3.7081599235534668</v>
      </c>
      <c r="L277" s="41">
        <v>44980</v>
      </c>
      <c r="M277" s="42">
        <v>1218.2891999999999</v>
      </c>
    </row>
    <row r="278" spans="1:13">
      <c r="A278" s="41">
        <v>44981</v>
      </c>
      <c r="B278" s="42">
        <v>20010.04</v>
      </c>
      <c r="C278" s="42">
        <v>116312937600</v>
      </c>
      <c r="D278">
        <f t="shared" si="12"/>
        <v>6703.45</v>
      </c>
      <c r="E278">
        <f t="shared" si="13"/>
        <v>3.7572600841522217</v>
      </c>
      <c r="F278">
        <f t="shared" si="14"/>
        <v>1216.1162999999999</v>
      </c>
      <c r="G278" s="42"/>
      <c r="H278" s="41">
        <v>44981</v>
      </c>
      <c r="I278" s="42">
        <v>6703.45</v>
      </c>
      <c r="J278" s="41">
        <v>44981</v>
      </c>
      <c r="K278" s="42">
        <v>3.7572600841522217</v>
      </c>
      <c r="L278" s="41">
        <v>44981</v>
      </c>
      <c r="M278" s="42">
        <v>1216.1162999999999</v>
      </c>
    </row>
    <row r="279" spans="1:13">
      <c r="A279" s="41">
        <v>44984</v>
      </c>
      <c r="B279" s="42">
        <v>19943.509999999998</v>
      </c>
      <c r="C279" s="42">
        <v>112415538900</v>
      </c>
      <c r="D279">
        <f t="shared" si="12"/>
        <v>6670.22</v>
      </c>
      <c r="E279">
        <f t="shared" si="13"/>
        <v>3.7780399322509766</v>
      </c>
      <c r="F279">
        <f t="shared" si="14"/>
        <v>1202.6642999999999</v>
      </c>
      <c r="G279" s="42"/>
      <c r="H279" s="41">
        <v>44984</v>
      </c>
      <c r="I279" s="42">
        <v>6670.22</v>
      </c>
      <c r="J279" s="41">
        <v>44984</v>
      </c>
      <c r="K279" s="42">
        <v>3.7780399322509766</v>
      </c>
      <c r="L279" s="41">
        <v>44984</v>
      </c>
      <c r="M279" s="42">
        <v>1202.6642999999999</v>
      </c>
    </row>
    <row r="280" spans="1:13">
      <c r="A280" s="41">
        <v>44985</v>
      </c>
      <c r="B280" s="42">
        <v>19785.939999999999</v>
      </c>
      <c r="C280" s="42">
        <v>142472959600</v>
      </c>
      <c r="D280">
        <f t="shared" si="12"/>
        <v>6581.47</v>
      </c>
      <c r="E280">
        <f t="shared" si="13"/>
        <v>3.7997000217437744</v>
      </c>
      <c r="F280">
        <f t="shared" si="14"/>
        <v>1209.1135999999999</v>
      </c>
      <c r="G280" s="42"/>
      <c r="H280" s="41">
        <v>44985</v>
      </c>
      <c r="I280" s="42">
        <v>6581.47</v>
      </c>
      <c r="J280" s="41">
        <v>44985</v>
      </c>
      <c r="K280" s="42">
        <v>3.7997000217437744</v>
      </c>
      <c r="L280" s="41">
        <v>44985</v>
      </c>
      <c r="M280" s="42">
        <v>1209.1135999999999</v>
      </c>
    </row>
    <row r="281" spans="1:13">
      <c r="A281" s="41">
        <v>44986</v>
      </c>
      <c r="B281" s="42">
        <v>20619.71</v>
      </c>
      <c r="C281" s="42">
        <v>153921330400</v>
      </c>
      <c r="D281">
        <f t="shared" si="12"/>
        <v>6914.3</v>
      </c>
      <c r="E281">
        <f t="shared" si="13"/>
        <v>3.8076798915863037</v>
      </c>
      <c r="F281">
        <f t="shared" si="14"/>
        <v>1198.4146000000001</v>
      </c>
      <c r="G281" s="42"/>
      <c r="H281" s="41">
        <v>44986</v>
      </c>
      <c r="I281" s="42">
        <v>6914.3</v>
      </c>
      <c r="J281" s="41">
        <v>44986</v>
      </c>
      <c r="K281" s="42">
        <v>3.8076798915863037</v>
      </c>
      <c r="L281" s="41">
        <v>44986</v>
      </c>
      <c r="M281" s="42">
        <v>1198.4146000000001</v>
      </c>
    </row>
    <row r="282" spans="1:13">
      <c r="A282" s="41">
        <v>44987</v>
      </c>
      <c r="B282" s="42">
        <v>20429.46</v>
      </c>
      <c r="C282" s="42">
        <v>110508183300</v>
      </c>
      <c r="D282">
        <f t="shared" si="12"/>
        <v>6857.2</v>
      </c>
      <c r="E282">
        <f t="shared" si="13"/>
        <v>3.8079299926757813</v>
      </c>
      <c r="F282">
        <f t="shared" si="14"/>
        <v>1189.8706</v>
      </c>
      <c r="G282" s="42"/>
      <c r="H282" s="41">
        <v>44987</v>
      </c>
      <c r="I282" s="42">
        <v>6857.2</v>
      </c>
      <c r="J282" s="41">
        <v>44987</v>
      </c>
      <c r="K282" s="42">
        <v>3.8079299926757813</v>
      </c>
      <c r="L282" s="41">
        <v>44987</v>
      </c>
      <c r="M282" s="42">
        <v>1189.8706</v>
      </c>
    </row>
    <row r="283" spans="1:13">
      <c r="A283" s="41">
        <v>44988</v>
      </c>
      <c r="B283" s="42">
        <v>20567.54</v>
      </c>
      <c r="C283" s="42">
        <v>105783489200</v>
      </c>
      <c r="D283">
        <f t="shared" si="12"/>
        <v>6939.62</v>
      </c>
      <c r="E283">
        <f t="shared" si="13"/>
        <v>3.8184499740600586</v>
      </c>
      <c r="F283">
        <f t="shared" si="14"/>
        <v>1190.0740000000001</v>
      </c>
      <c r="G283" s="42"/>
      <c r="H283" s="41">
        <v>44988</v>
      </c>
      <c r="I283" s="42">
        <v>6939.62</v>
      </c>
      <c r="J283" s="41">
        <v>44988</v>
      </c>
      <c r="K283" s="42">
        <v>3.8184499740600586</v>
      </c>
      <c r="L283" s="41">
        <v>44988</v>
      </c>
      <c r="M283" s="42">
        <v>1190.0740000000001</v>
      </c>
    </row>
    <row r="284" spans="1:13">
      <c r="A284" s="41">
        <v>44991</v>
      </c>
      <c r="B284" s="42">
        <v>20603.189999999999</v>
      </c>
      <c r="C284" s="42">
        <v>109084097300</v>
      </c>
      <c r="D284">
        <f t="shared" si="12"/>
        <v>6937.5</v>
      </c>
      <c r="E284">
        <f t="shared" si="13"/>
        <v>3.8222599029541016</v>
      </c>
      <c r="F284">
        <f t="shared" si="14"/>
        <v>1234.0501999999999</v>
      </c>
      <c r="G284" s="42"/>
      <c r="H284" s="41">
        <v>44991</v>
      </c>
      <c r="I284" s="42">
        <v>6937.5</v>
      </c>
      <c r="J284" s="41">
        <v>44991</v>
      </c>
      <c r="K284" s="42">
        <v>3.8222599029541016</v>
      </c>
      <c r="L284" s="41">
        <v>44991</v>
      </c>
      <c r="M284" s="42">
        <v>1234.0501999999999</v>
      </c>
    </row>
    <row r="285" spans="1:13">
      <c r="A285" s="41">
        <v>44992</v>
      </c>
      <c r="B285" s="42">
        <v>20534.48</v>
      </c>
      <c r="C285" s="42">
        <v>127710599200</v>
      </c>
      <c r="D285">
        <f t="shared" si="12"/>
        <v>6912.28</v>
      </c>
      <c r="E285">
        <f t="shared" si="13"/>
        <v>3.8236899375915527</v>
      </c>
      <c r="F285">
        <f t="shared" si="14"/>
        <v>1218.1237000000001</v>
      </c>
      <c r="G285" s="42"/>
      <c r="H285" s="41">
        <v>44992</v>
      </c>
      <c r="I285" s="42">
        <v>6912.28</v>
      </c>
      <c r="J285" s="41">
        <v>44992</v>
      </c>
      <c r="K285" s="42">
        <v>3.8236899375915527</v>
      </c>
      <c r="L285" s="41">
        <v>44992</v>
      </c>
      <c r="M285" s="42">
        <v>1218.1237000000001</v>
      </c>
    </row>
    <row r="286" spans="1:13">
      <c r="A286" s="41">
        <v>44993</v>
      </c>
      <c r="B286" s="42">
        <v>20051.25</v>
      </c>
      <c r="C286" s="42">
        <v>117478739800</v>
      </c>
      <c r="D286">
        <f t="shared" si="12"/>
        <v>6727.18</v>
      </c>
      <c r="E286">
        <f t="shared" si="13"/>
        <v>3.8651800155639648</v>
      </c>
      <c r="F286">
        <f t="shared" si="14"/>
        <v>1205.9164000000001</v>
      </c>
      <c r="G286" s="42"/>
      <c r="H286" s="41">
        <v>44993</v>
      </c>
      <c r="I286" s="42">
        <v>6727.18</v>
      </c>
      <c r="J286" s="41">
        <v>44993</v>
      </c>
      <c r="K286" s="42">
        <v>3.8651800155639648</v>
      </c>
      <c r="L286" s="41">
        <v>44993</v>
      </c>
      <c r="M286" s="42">
        <v>1205.9164000000001</v>
      </c>
    </row>
    <row r="287" spans="1:13">
      <c r="A287" s="41">
        <v>44994</v>
      </c>
      <c r="B287" s="42">
        <v>19925.740000000002</v>
      </c>
      <c r="C287" s="42">
        <v>102930698200</v>
      </c>
      <c r="D287">
        <f t="shared" si="12"/>
        <v>6649.63</v>
      </c>
      <c r="E287">
        <f t="shared" si="13"/>
        <v>3.9096400737762451</v>
      </c>
      <c r="F287">
        <f t="shared" si="14"/>
        <v>1191.6343999999999</v>
      </c>
      <c r="G287" s="42"/>
      <c r="H287" s="41">
        <v>44994</v>
      </c>
      <c r="I287" s="42">
        <v>6649.63</v>
      </c>
      <c r="J287" s="41">
        <v>44994</v>
      </c>
      <c r="K287" s="42">
        <v>3.9096400737762451</v>
      </c>
      <c r="L287" s="41">
        <v>44994</v>
      </c>
      <c r="M287" s="42">
        <v>1191.6343999999999</v>
      </c>
    </row>
    <row r="288" spans="1:13">
      <c r="A288" s="41">
        <v>44995</v>
      </c>
      <c r="B288" s="42">
        <v>19319.919999999998</v>
      </c>
      <c r="C288" s="42">
        <v>166465176900</v>
      </c>
      <c r="D288">
        <f t="shared" si="12"/>
        <v>6445.9</v>
      </c>
      <c r="E288">
        <f t="shared" si="13"/>
        <v>4.0386900901794434</v>
      </c>
      <c r="F288">
        <f t="shared" si="14"/>
        <v>1169.6437000000001</v>
      </c>
      <c r="G288" s="42"/>
      <c r="H288" s="41">
        <v>44995</v>
      </c>
      <c r="I288" s="42">
        <v>6445.9</v>
      </c>
      <c r="J288" s="41">
        <v>44995</v>
      </c>
      <c r="K288" s="42">
        <v>4.0386900901794434</v>
      </c>
      <c r="L288" s="41">
        <v>44995</v>
      </c>
      <c r="M288" s="42">
        <v>1169.6437000000001</v>
      </c>
    </row>
    <row r="289" spans="1:13">
      <c r="A289" s="41">
        <v>44998</v>
      </c>
      <c r="B289" s="42">
        <v>19695.97</v>
      </c>
      <c r="C289" s="42">
        <v>145185246300</v>
      </c>
      <c r="D289">
        <f t="shared" si="12"/>
        <v>6590.23</v>
      </c>
      <c r="E289">
        <f t="shared" si="13"/>
        <v>4.0607700347900391</v>
      </c>
      <c r="F289">
        <f t="shared" si="14"/>
        <v>1178.1587999999999</v>
      </c>
      <c r="G289" s="42"/>
      <c r="H289" s="41">
        <v>44998</v>
      </c>
      <c r="I289" s="42">
        <v>6590.23</v>
      </c>
      <c r="J289" s="41">
        <v>44998</v>
      </c>
      <c r="K289" s="42">
        <v>4.0607700347900391</v>
      </c>
      <c r="L289" s="41">
        <v>44998</v>
      </c>
      <c r="M289" s="42">
        <v>1178.1587999999999</v>
      </c>
    </row>
    <row r="290" spans="1:13">
      <c r="A290" s="41">
        <v>44999</v>
      </c>
      <c r="B290" s="42">
        <v>19247.96</v>
      </c>
      <c r="C290" s="42">
        <v>130895267900</v>
      </c>
      <c r="D290">
        <f t="shared" si="12"/>
        <v>6439</v>
      </c>
      <c r="E290">
        <f t="shared" si="13"/>
        <v>3.9727399349212646</v>
      </c>
      <c r="F290">
        <f t="shared" si="14"/>
        <v>1196.2891999999999</v>
      </c>
      <c r="G290" s="42"/>
      <c r="H290" s="41">
        <v>44999</v>
      </c>
      <c r="I290" s="42">
        <v>6439</v>
      </c>
      <c r="J290" s="41">
        <v>44999</v>
      </c>
      <c r="K290" s="42">
        <v>3.9727399349212646</v>
      </c>
      <c r="L290" s="41">
        <v>44999</v>
      </c>
      <c r="M290" s="42">
        <v>1196.2891999999999</v>
      </c>
    </row>
    <row r="291" spans="1:13">
      <c r="A291" s="41">
        <v>45000</v>
      </c>
      <c r="B291" s="42">
        <v>19539.87</v>
      </c>
      <c r="C291" s="42">
        <v>108055953900</v>
      </c>
      <c r="D291">
        <f t="shared" si="12"/>
        <v>6559.86</v>
      </c>
      <c r="E291">
        <f t="shared" si="13"/>
        <v>3.8197000026702881</v>
      </c>
      <c r="F291">
        <f t="shared" si="14"/>
        <v>1194.0051000000001</v>
      </c>
      <c r="G291" s="42"/>
      <c r="H291" s="41">
        <v>45000</v>
      </c>
      <c r="I291" s="42">
        <v>6559.86</v>
      </c>
      <c r="J291" s="41">
        <v>45000</v>
      </c>
      <c r="K291" s="42">
        <v>3.8197000026702881</v>
      </c>
      <c r="L291" s="41">
        <v>45000</v>
      </c>
      <c r="M291" s="42">
        <v>1194.0051000000001</v>
      </c>
    </row>
    <row r="292" spans="1:13">
      <c r="A292" s="41">
        <v>45001</v>
      </c>
      <c r="B292" s="42">
        <v>19203.91</v>
      </c>
      <c r="C292" s="42">
        <v>111353504900</v>
      </c>
      <c r="D292">
        <f t="shared" si="12"/>
        <v>6482.47</v>
      </c>
      <c r="E292">
        <f t="shared" si="13"/>
        <v>3.7594599723815918</v>
      </c>
      <c r="F292">
        <f t="shared" si="14"/>
        <v>1164.5393999999999</v>
      </c>
      <c r="G292" s="42"/>
      <c r="H292" s="41">
        <v>45001</v>
      </c>
      <c r="I292" s="42">
        <v>6482.47</v>
      </c>
      <c r="J292" s="41">
        <v>45001</v>
      </c>
      <c r="K292" s="42">
        <v>3.7594599723815918</v>
      </c>
      <c r="L292" s="41">
        <v>45001</v>
      </c>
      <c r="M292" s="42">
        <v>1164.5393999999999</v>
      </c>
    </row>
    <row r="293" spans="1:13">
      <c r="A293" s="41">
        <v>45002</v>
      </c>
      <c r="B293" s="42">
        <v>19518.59</v>
      </c>
      <c r="C293" s="42">
        <v>164923412800</v>
      </c>
      <c r="D293">
        <f t="shared" si="12"/>
        <v>6615.71</v>
      </c>
      <c r="E293">
        <f t="shared" si="13"/>
        <v>3.7270200252532959</v>
      </c>
      <c r="F293">
        <f t="shared" si="14"/>
        <v>1156.0591999999999</v>
      </c>
      <c r="G293" s="42"/>
      <c r="H293" s="41">
        <v>45002</v>
      </c>
      <c r="I293" s="42">
        <v>6615.71</v>
      </c>
      <c r="J293" s="41">
        <v>45002</v>
      </c>
      <c r="K293" s="42">
        <v>3.7270200252532959</v>
      </c>
      <c r="L293" s="41">
        <v>45002</v>
      </c>
      <c r="M293" s="42">
        <v>1156.0591999999999</v>
      </c>
    </row>
    <row r="294" spans="1:13">
      <c r="A294" s="41">
        <v>45005</v>
      </c>
      <c r="B294" s="42">
        <v>19000.71</v>
      </c>
      <c r="C294" s="42">
        <v>129438824200</v>
      </c>
      <c r="D294">
        <f t="shared" si="12"/>
        <v>6469.65</v>
      </c>
      <c r="E294">
        <f t="shared" si="13"/>
        <v>3.7185699939727783</v>
      </c>
      <c r="F294">
        <f t="shared" si="14"/>
        <v>1136.7157</v>
      </c>
      <c r="G294" s="42"/>
      <c r="H294" s="41">
        <v>45005</v>
      </c>
      <c r="I294" s="42">
        <v>6469.65</v>
      </c>
      <c r="J294" s="41">
        <v>45005</v>
      </c>
      <c r="K294" s="42">
        <v>3.7185699939727783</v>
      </c>
      <c r="L294" s="41">
        <v>45005</v>
      </c>
      <c r="M294" s="42">
        <v>1136.7157</v>
      </c>
    </row>
    <row r="295" spans="1:13">
      <c r="A295" s="41">
        <v>45006</v>
      </c>
      <c r="B295" s="42">
        <v>19258.759999999998</v>
      </c>
      <c r="C295" s="42">
        <v>102432885500</v>
      </c>
      <c r="D295">
        <f t="shared" si="12"/>
        <v>6549.78</v>
      </c>
      <c r="E295">
        <f t="shared" si="13"/>
        <v>3.7940499782562256</v>
      </c>
      <c r="F295">
        <f t="shared" si="14"/>
        <v>1147.8047999999999</v>
      </c>
      <c r="G295" s="42"/>
      <c r="H295" s="41">
        <v>45006</v>
      </c>
      <c r="I295" s="42">
        <v>6549.78</v>
      </c>
      <c r="J295" s="41">
        <v>45006</v>
      </c>
      <c r="K295" s="42">
        <v>3.7940499782562256</v>
      </c>
      <c r="L295" s="41">
        <v>45006</v>
      </c>
      <c r="M295" s="42">
        <v>1147.8047999999999</v>
      </c>
    </row>
    <row r="296" spans="1:13">
      <c r="A296" s="41">
        <v>45007</v>
      </c>
      <c r="B296" s="42">
        <v>19591.43</v>
      </c>
      <c r="C296" s="42">
        <v>106865388800</v>
      </c>
      <c r="D296">
        <f t="shared" si="12"/>
        <v>6639.99</v>
      </c>
      <c r="E296">
        <f t="shared" si="13"/>
        <v>3.7216100692749023</v>
      </c>
      <c r="F296">
        <f t="shared" si="14"/>
        <v>1145.3362999999999</v>
      </c>
      <c r="G296" s="42"/>
      <c r="H296" s="41">
        <v>45007</v>
      </c>
      <c r="I296" s="42">
        <v>6639.99</v>
      </c>
      <c r="J296" s="41">
        <v>45007</v>
      </c>
      <c r="K296" s="42">
        <v>3.7216100692749023</v>
      </c>
      <c r="L296" s="41">
        <v>45007</v>
      </c>
      <c r="M296" s="42">
        <v>1145.3362999999999</v>
      </c>
    </row>
    <row r="297" spans="1:13">
      <c r="A297" s="41">
        <v>45008</v>
      </c>
      <c r="B297" s="42">
        <v>20049.64</v>
      </c>
      <c r="C297" s="42">
        <v>136305524300.00002</v>
      </c>
      <c r="D297">
        <f t="shared" si="12"/>
        <v>6836.46</v>
      </c>
      <c r="E297">
        <f t="shared" si="13"/>
        <v>3.7462499141693115</v>
      </c>
      <c r="F297">
        <f t="shared" si="14"/>
        <v>1140.0646999999999</v>
      </c>
      <c r="G297" s="42"/>
      <c r="H297" s="41">
        <v>45008</v>
      </c>
      <c r="I297" s="42">
        <v>6836.46</v>
      </c>
      <c r="J297" s="41">
        <v>45008</v>
      </c>
      <c r="K297" s="42">
        <v>3.7462499141693115</v>
      </c>
      <c r="L297" s="41">
        <v>45008</v>
      </c>
      <c r="M297" s="42">
        <v>1140.0646999999999</v>
      </c>
    </row>
    <row r="298" spans="1:13">
      <c r="A298" s="41">
        <v>45009</v>
      </c>
      <c r="B298" s="42">
        <v>19915.68</v>
      </c>
      <c r="C298" s="42">
        <v>123026903000</v>
      </c>
      <c r="D298">
        <f t="shared" si="12"/>
        <v>6794.8</v>
      </c>
      <c r="E298">
        <f t="shared" si="13"/>
        <v>3.7586901187896729</v>
      </c>
      <c r="F298">
        <f t="shared" si="14"/>
        <v>1149.6333999999999</v>
      </c>
      <c r="G298" s="42"/>
      <c r="H298" s="41">
        <v>45009</v>
      </c>
      <c r="I298" s="42">
        <v>6794.8</v>
      </c>
      <c r="J298" s="41">
        <v>45009</v>
      </c>
      <c r="K298" s="42">
        <v>3.7586901187896729</v>
      </c>
      <c r="L298" s="41">
        <v>45009</v>
      </c>
      <c r="M298" s="42">
        <v>1149.6333999999999</v>
      </c>
    </row>
    <row r="299" spans="1:13">
      <c r="A299" s="41">
        <v>45012</v>
      </c>
      <c r="B299" s="42">
        <v>19567.689999999999</v>
      </c>
      <c r="C299" s="42">
        <v>127196039600</v>
      </c>
      <c r="D299">
        <f t="shared" si="12"/>
        <v>6648.68</v>
      </c>
      <c r="E299">
        <f t="shared" si="13"/>
        <v>3.7389299869537354</v>
      </c>
      <c r="F299">
        <f t="shared" si="14"/>
        <v>1178.9056</v>
      </c>
      <c r="G299" s="42"/>
      <c r="H299" s="41">
        <v>45012</v>
      </c>
      <c r="I299" s="42">
        <v>6648.68</v>
      </c>
      <c r="J299" s="41">
        <v>45012</v>
      </c>
      <c r="K299" s="42">
        <v>3.7389299869537354</v>
      </c>
      <c r="L299" s="41">
        <v>45012</v>
      </c>
      <c r="M299" s="42">
        <v>1178.9056</v>
      </c>
    </row>
    <row r="300" spans="1:13">
      <c r="A300" s="41">
        <v>45013</v>
      </c>
      <c r="B300" s="42">
        <v>19784.650000000001</v>
      </c>
      <c r="C300" s="42">
        <v>106134921700</v>
      </c>
      <c r="D300">
        <f t="shared" si="12"/>
        <v>6729.76</v>
      </c>
      <c r="E300">
        <f t="shared" si="13"/>
        <v>3.7193500995635986</v>
      </c>
      <c r="F300">
        <f t="shared" si="14"/>
        <v>1202.6677</v>
      </c>
      <c r="G300" s="42"/>
      <c r="H300" s="41">
        <v>45013</v>
      </c>
      <c r="I300" s="42">
        <v>6729.76</v>
      </c>
      <c r="J300" s="41">
        <v>45013</v>
      </c>
      <c r="K300" s="42">
        <v>3.7193500995635986</v>
      </c>
      <c r="L300" s="41">
        <v>45013</v>
      </c>
      <c r="M300" s="42">
        <v>1202.6677</v>
      </c>
    </row>
    <row r="301" spans="1:13">
      <c r="A301" s="41">
        <v>45014</v>
      </c>
      <c r="B301" s="42">
        <v>20192.400000000001</v>
      </c>
      <c r="C301" s="42">
        <v>146409814100</v>
      </c>
      <c r="D301">
        <f t="shared" si="12"/>
        <v>6878.93</v>
      </c>
      <c r="E301">
        <f t="shared" si="13"/>
        <v>3.7120800018310547</v>
      </c>
      <c r="F301">
        <f t="shared" si="14"/>
        <v>1173.2893999999999</v>
      </c>
      <c r="G301" s="42"/>
      <c r="H301" s="41">
        <v>45014</v>
      </c>
      <c r="I301" s="42">
        <v>6878.93</v>
      </c>
      <c r="J301" s="41">
        <v>45014</v>
      </c>
      <c r="K301" s="42">
        <v>3.7120800018310547</v>
      </c>
      <c r="L301" s="41">
        <v>45014</v>
      </c>
      <c r="M301" s="42">
        <v>1173.2893999999999</v>
      </c>
    </row>
    <row r="302" spans="1:13">
      <c r="A302" s="41">
        <v>45015</v>
      </c>
      <c r="B302" s="42">
        <v>20309.13</v>
      </c>
      <c r="C302" s="42">
        <v>133593840400</v>
      </c>
      <c r="D302">
        <f t="shared" si="12"/>
        <v>6922.66</v>
      </c>
      <c r="E302">
        <f t="shared" si="13"/>
        <v>3.7095201015472412</v>
      </c>
      <c r="F302">
        <f t="shared" si="14"/>
        <v>1196.1141</v>
      </c>
      <c r="G302" s="42"/>
      <c r="H302" s="41">
        <v>45015</v>
      </c>
      <c r="I302" s="42">
        <v>6922.66</v>
      </c>
      <c r="J302" s="41">
        <v>45015</v>
      </c>
      <c r="K302" s="42">
        <v>3.7095201015472412</v>
      </c>
      <c r="L302" s="41">
        <v>45015</v>
      </c>
      <c r="M302" s="42">
        <v>1196.1141</v>
      </c>
    </row>
    <row r="303" spans="1:13">
      <c r="A303" s="41">
        <v>45016</v>
      </c>
      <c r="B303" s="42">
        <v>20400.11</v>
      </c>
      <c r="C303" s="42">
        <v>140573023000</v>
      </c>
      <c r="D303">
        <f t="shared" si="12"/>
        <v>6968.86</v>
      </c>
      <c r="E303">
        <f t="shared" si="13"/>
        <v>3.7098801136016846</v>
      </c>
      <c r="F303">
        <f t="shared" si="14"/>
        <v>1217.0771</v>
      </c>
      <c r="G303" s="42"/>
      <c r="H303" s="41">
        <v>45016</v>
      </c>
      <c r="I303" s="42">
        <v>6968.86</v>
      </c>
      <c r="J303" s="41">
        <v>45016</v>
      </c>
      <c r="K303" s="42">
        <v>3.7098801136016846</v>
      </c>
      <c r="L303" s="41">
        <v>45016</v>
      </c>
      <c r="M303" s="42">
        <v>1217.0771</v>
      </c>
    </row>
    <row r="304" spans="1:13">
      <c r="A304" s="41">
        <v>45019</v>
      </c>
      <c r="B304" s="42">
        <v>20409.18</v>
      </c>
      <c r="C304" s="42">
        <v>120415839800</v>
      </c>
      <c r="D304">
        <f t="shared" si="12"/>
        <v>6940.45</v>
      </c>
      <c r="E304">
        <f t="shared" si="13"/>
        <v>3.6832098960876465</v>
      </c>
      <c r="F304">
        <f t="shared" si="14"/>
        <v>1234.7910999999999</v>
      </c>
      <c r="G304" s="42"/>
      <c r="H304" s="41">
        <v>45019</v>
      </c>
      <c r="I304" s="42">
        <v>6940.45</v>
      </c>
      <c r="J304" s="41">
        <v>45019</v>
      </c>
      <c r="K304" s="42">
        <v>3.6832098960876465</v>
      </c>
      <c r="L304" s="41">
        <v>45019</v>
      </c>
      <c r="M304" s="42">
        <v>1234.7910999999999</v>
      </c>
    </row>
    <row r="305" spans="1:13">
      <c r="A305" s="41">
        <v>45020</v>
      </c>
      <c r="B305" s="42">
        <v>20274.59</v>
      </c>
      <c r="C305" s="42">
        <v>119399045400</v>
      </c>
      <c r="D305">
        <f t="shared" si="12"/>
        <v>6875.47</v>
      </c>
      <c r="E305">
        <f t="shared" si="13"/>
        <v>3.6256599426269531</v>
      </c>
      <c r="F305">
        <f t="shared" si="14"/>
        <v>1258.866</v>
      </c>
      <c r="G305" s="42"/>
      <c r="H305" s="41">
        <v>45020</v>
      </c>
      <c r="I305" s="42">
        <v>6875.47</v>
      </c>
      <c r="J305" s="41">
        <v>45020</v>
      </c>
      <c r="K305" s="42">
        <v>3.6256599426269531</v>
      </c>
      <c r="L305" s="41">
        <v>45020</v>
      </c>
      <c r="M305" s="42">
        <v>1258.866</v>
      </c>
    </row>
    <row r="306" spans="1:13">
      <c r="A306" s="41">
        <v>45022</v>
      </c>
      <c r="B306" s="42">
        <v>20331.2</v>
      </c>
      <c r="C306" s="42">
        <v>101686289200</v>
      </c>
      <c r="D306">
        <f t="shared" si="12"/>
        <v>6894.05</v>
      </c>
      <c r="E306">
        <f t="shared" si="13"/>
        <v>3.5985701084136963</v>
      </c>
      <c r="F306">
        <f t="shared" si="14"/>
        <v>1251.7295999999999</v>
      </c>
      <c r="G306" s="42"/>
      <c r="H306" s="41">
        <v>45022</v>
      </c>
      <c r="I306" s="42">
        <v>6894.05</v>
      </c>
      <c r="J306" s="41">
        <v>45022</v>
      </c>
      <c r="K306" s="42">
        <v>3.5985701084136963</v>
      </c>
      <c r="L306" s="41">
        <v>45022</v>
      </c>
      <c r="M306" s="42">
        <v>1251.7295999999999</v>
      </c>
    </row>
    <row r="307" spans="1:13">
      <c r="A307" s="41">
        <v>45023</v>
      </c>
      <c r="B307" s="42">
        <v>20331.2</v>
      </c>
      <c r="C307" s="42"/>
      <c r="D307">
        <f t="shared" si="12"/>
        <v>6894.05</v>
      </c>
      <c r="E307">
        <f t="shared" si="13"/>
        <v>0</v>
      </c>
      <c r="F307">
        <f t="shared" si="14"/>
        <v>1236.1237000000001</v>
      </c>
      <c r="G307" s="42"/>
      <c r="H307" s="41">
        <v>45023</v>
      </c>
      <c r="I307" s="42">
        <v>6894.05</v>
      </c>
      <c r="J307" s="41">
        <v>45023</v>
      </c>
      <c r="K307" s="42"/>
      <c r="L307" s="41">
        <v>45023</v>
      </c>
      <c r="M307" s="42">
        <v>1236.1237000000001</v>
      </c>
    </row>
    <row r="308" spans="1:13">
      <c r="A308" s="41">
        <v>45026</v>
      </c>
      <c r="B308" s="42">
        <v>20331.2</v>
      </c>
      <c r="C308" s="42"/>
      <c r="D308">
        <f t="shared" si="12"/>
        <v>6894.05</v>
      </c>
      <c r="E308">
        <f t="shared" si="13"/>
        <v>0</v>
      </c>
      <c r="F308">
        <f t="shared" si="14"/>
        <v>1234.1292000000001</v>
      </c>
      <c r="G308" s="42"/>
      <c r="H308" s="41">
        <v>45026</v>
      </c>
      <c r="I308" s="42">
        <v>6894.05</v>
      </c>
      <c r="J308" s="41">
        <v>45026</v>
      </c>
      <c r="K308" s="42"/>
      <c r="L308" s="41">
        <v>45026</v>
      </c>
      <c r="M308" s="42">
        <v>1234.1292000000001</v>
      </c>
    </row>
    <row r="309" spans="1:13">
      <c r="A309" s="41">
        <v>45027</v>
      </c>
      <c r="B309" s="42">
        <v>20485.240000000002</v>
      </c>
      <c r="C309" s="42">
        <v>126895387500</v>
      </c>
      <c r="D309">
        <f t="shared" si="12"/>
        <v>6950.37</v>
      </c>
      <c r="E309">
        <f t="shared" si="13"/>
        <v>3.5576798915863037</v>
      </c>
      <c r="F309">
        <f t="shared" si="14"/>
        <v>1232.7653</v>
      </c>
      <c r="G309" s="42"/>
      <c r="H309" s="41">
        <v>45027</v>
      </c>
      <c r="I309" s="42">
        <v>6950.37</v>
      </c>
      <c r="J309" s="41">
        <v>45027</v>
      </c>
      <c r="K309" s="42">
        <v>3.5576798915863037</v>
      </c>
      <c r="L309" s="41">
        <v>45027</v>
      </c>
      <c r="M309" s="42">
        <v>1232.7653</v>
      </c>
    </row>
    <row r="310" spans="1:13">
      <c r="A310" s="41">
        <v>45028</v>
      </c>
      <c r="B310" s="42">
        <v>20309.86</v>
      </c>
      <c r="C310" s="42">
        <v>108092142000</v>
      </c>
      <c r="D310">
        <f t="shared" si="12"/>
        <v>6866.5</v>
      </c>
      <c r="E310">
        <f t="shared" si="13"/>
        <v>3.4974400997161865</v>
      </c>
      <c r="F310">
        <f t="shared" si="14"/>
        <v>1211.4108000000001</v>
      </c>
      <c r="G310" s="42"/>
      <c r="H310" s="41">
        <v>45028</v>
      </c>
      <c r="I310" s="42">
        <v>6866.5</v>
      </c>
      <c r="J310" s="41">
        <v>45028</v>
      </c>
      <c r="K310" s="42">
        <v>3.4974400997161865</v>
      </c>
      <c r="L310" s="41">
        <v>45028</v>
      </c>
      <c r="M310" s="42">
        <v>1211.4108000000001</v>
      </c>
    </row>
    <row r="311" spans="1:13">
      <c r="A311" s="41">
        <v>45029</v>
      </c>
      <c r="B311" s="42">
        <v>20344.48</v>
      </c>
      <c r="C311" s="42">
        <v>109995095600</v>
      </c>
      <c r="D311">
        <f t="shared" si="12"/>
        <v>6875.45</v>
      </c>
      <c r="E311">
        <f t="shared" si="13"/>
        <v>3.5112500190734863</v>
      </c>
      <c r="F311">
        <f t="shared" si="14"/>
        <v>1199.6886</v>
      </c>
      <c r="G311" s="42"/>
      <c r="H311" s="41">
        <v>45029</v>
      </c>
      <c r="I311" s="42">
        <v>6875.45</v>
      </c>
      <c r="J311" s="41">
        <v>45029</v>
      </c>
      <c r="K311" s="42">
        <v>3.5112500190734863</v>
      </c>
      <c r="L311" s="41">
        <v>45029</v>
      </c>
      <c r="M311" s="42">
        <v>1199.6886</v>
      </c>
    </row>
    <row r="312" spans="1:13">
      <c r="A312" s="41">
        <v>45030</v>
      </c>
      <c r="B312" s="42">
        <v>20438.810000000001</v>
      </c>
      <c r="C312" s="42">
        <v>108363887500</v>
      </c>
      <c r="D312">
        <f t="shared" si="12"/>
        <v>6914.4</v>
      </c>
      <c r="E312">
        <f t="shared" si="13"/>
        <v>3.5130999088287354</v>
      </c>
      <c r="F312">
        <f t="shared" si="14"/>
        <v>1192.2224000000001</v>
      </c>
      <c r="G312" s="42"/>
      <c r="H312" s="41">
        <v>45030</v>
      </c>
      <c r="I312" s="42">
        <v>6914.4</v>
      </c>
      <c r="J312" s="41">
        <v>45030</v>
      </c>
      <c r="K312" s="42">
        <v>3.5130999088287354</v>
      </c>
      <c r="L312" s="41">
        <v>45030</v>
      </c>
      <c r="M312" s="42">
        <v>1192.2224000000001</v>
      </c>
    </row>
    <row r="313" spans="1:13">
      <c r="A313" s="41">
        <v>45033</v>
      </c>
      <c r="B313" s="42">
        <v>20782.45</v>
      </c>
      <c r="C313" s="42">
        <v>136579342699.99998</v>
      </c>
      <c r="D313">
        <f t="shared" si="12"/>
        <v>7056.16</v>
      </c>
      <c r="E313">
        <f t="shared" si="13"/>
        <v>3.512739896774292</v>
      </c>
      <c r="F313">
        <f t="shared" si="14"/>
        <v>1186.1841999999999</v>
      </c>
      <c r="G313" s="42"/>
      <c r="H313" s="41">
        <v>45033</v>
      </c>
      <c r="I313" s="42">
        <v>7056.16</v>
      </c>
      <c r="J313" s="41">
        <v>45033</v>
      </c>
      <c r="K313" s="42">
        <v>3.512739896774292</v>
      </c>
      <c r="L313" s="41">
        <v>45033</v>
      </c>
      <c r="M313" s="42">
        <v>1186.1841999999999</v>
      </c>
    </row>
    <row r="314" spans="1:13">
      <c r="A314" s="41">
        <v>45034</v>
      </c>
      <c r="B314" s="42">
        <v>20650.509999999998</v>
      </c>
      <c r="C314" s="42">
        <v>109720195100</v>
      </c>
      <c r="D314">
        <f t="shared" si="12"/>
        <v>7002.91</v>
      </c>
      <c r="E314">
        <f t="shared" si="13"/>
        <v>3.5102400779724121</v>
      </c>
      <c r="F314">
        <f t="shared" si="14"/>
        <v>1173.4983</v>
      </c>
      <c r="G314" s="42"/>
      <c r="H314" s="41">
        <v>45034</v>
      </c>
      <c r="I314" s="42">
        <v>7002.91</v>
      </c>
      <c r="J314" s="41">
        <v>45034</v>
      </c>
      <c r="K314" s="42">
        <v>3.5102400779724121</v>
      </c>
      <c r="L314" s="41">
        <v>45034</v>
      </c>
      <c r="M314" s="42">
        <v>1173.4983</v>
      </c>
    </row>
    <row r="315" spans="1:13">
      <c r="A315" s="41">
        <v>45035</v>
      </c>
      <c r="B315" s="42">
        <v>20367.759999999998</v>
      </c>
      <c r="C315" s="42">
        <v>99903201000</v>
      </c>
      <c r="D315">
        <f t="shared" si="12"/>
        <v>6889.01</v>
      </c>
      <c r="E315">
        <f t="shared" si="13"/>
        <v>3.5471398830413818</v>
      </c>
      <c r="F315">
        <f t="shared" si="14"/>
        <v>1169.2583</v>
      </c>
      <c r="G315" s="42"/>
      <c r="H315" s="41">
        <v>45035</v>
      </c>
      <c r="I315" s="42">
        <v>6889.01</v>
      </c>
      <c r="J315" s="41">
        <v>45035</v>
      </c>
      <c r="K315" s="42">
        <v>3.5471398830413818</v>
      </c>
      <c r="L315" s="41">
        <v>45035</v>
      </c>
      <c r="M315" s="42">
        <v>1169.2583</v>
      </c>
    </row>
    <row r="316" spans="1:13">
      <c r="A316" s="41">
        <v>45036</v>
      </c>
      <c r="B316" s="42">
        <v>20396.97</v>
      </c>
      <c r="C316" s="42">
        <v>101560594300</v>
      </c>
      <c r="D316">
        <f t="shared" si="12"/>
        <v>6895.29</v>
      </c>
      <c r="E316">
        <f t="shared" si="13"/>
        <v>3.5740499496459961</v>
      </c>
      <c r="F316">
        <f t="shared" si="14"/>
        <v>1159.5775000000001</v>
      </c>
      <c r="G316" s="42"/>
      <c r="H316" s="41">
        <v>45036</v>
      </c>
      <c r="I316" s="42">
        <v>6895.29</v>
      </c>
      <c r="J316" s="41">
        <v>45036</v>
      </c>
      <c r="K316" s="42">
        <v>3.5740499496459961</v>
      </c>
      <c r="L316" s="41">
        <v>45036</v>
      </c>
      <c r="M316" s="42">
        <v>1159.5775000000001</v>
      </c>
    </row>
    <row r="317" spans="1:13">
      <c r="A317" s="41">
        <v>45037</v>
      </c>
      <c r="B317" s="42">
        <v>20075.73</v>
      </c>
      <c r="C317" s="42">
        <v>106121454500</v>
      </c>
      <c r="D317">
        <f t="shared" si="12"/>
        <v>6764.19</v>
      </c>
      <c r="E317">
        <f t="shared" si="13"/>
        <v>3.6103599071502686</v>
      </c>
      <c r="F317">
        <f t="shared" si="14"/>
        <v>1145.5310999999999</v>
      </c>
      <c r="G317" s="42"/>
      <c r="H317" s="41">
        <v>45037</v>
      </c>
      <c r="I317" s="42">
        <v>6764.19</v>
      </c>
      <c r="J317" s="41">
        <v>45037</v>
      </c>
      <c r="K317" s="42">
        <v>3.6103599071502686</v>
      </c>
      <c r="L317" s="41">
        <v>45037</v>
      </c>
      <c r="M317" s="42">
        <v>1145.5310999999999</v>
      </c>
    </row>
    <row r="318" spans="1:13">
      <c r="A318" s="41">
        <v>45040</v>
      </c>
      <c r="B318" s="42">
        <v>19959.939999999999</v>
      </c>
      <c r="C318" s="42">
        <v>96440250000</v>
      </c>
      <c r="D318">
        <f t="shared" si="12"/>
        <v>6733.14</v>
      </c>
      <c r="E318">
        <f t="shared" si="13"/>
        <v>3.6265499591827393</v>
      </c>
      <c r="F318">
        <f t="shared" si="14"/>
        <v>1139.145</v>
      </c>
      <c r="G318" s="42"/>
      <c r="H318" s="41">
        <v>45040</v>
      </c>
      <c r="I318" s="42">
        <v>6733.14</v>
      </c>
      <c r="J318" s="41">
        <v>45040</v>
      </c>
      <c r="K318" s="42">
        <v>3.6265499591827393</v>
      </c>
      <c r="L318" s="41">
        <v>45040</v>
      </c>
      <c r="M318" s="42">
        <v>1139.145</v>
      </c>
    </row>
    <row r="319" spans="1:13">
      <c r="A319" s="41">
        <v>45041</v>
      </c>
      <c r="B319" s="42">
        <v>19617.88</v>
      </c>
      <c r="C319" s="42">
        <v>106657395400</v>
      </c>
      <c r="D319">
        <f t="shared" si="12"/>
        <v>6601.36</v>
      </c>
      <c r="E319">
        <f t="shared" si="13"/>
        <v>3.6703600883483887</v>
      </c>
      <c r="F319">
        <f t="shared" si="14"/>
        <v>1149.9998000000001</v>
      </c>
      <c r="G319" s="42"/>
      <c r="H319" s="41">
        <v>45041</v>
      </c>
      <c r="I319" s="42">
        <v>6601.36</v>
      </c>
      <c r="J319" s="41">
        <v>45041</v>
      </c>
      <c r="K319" s="42">
        <v>3.6703600883483887</v>
      </c>
      <c r="L319" s="41">
        <v>45041</v>
      </c>
      <c r="M319" s="42">
        <v>1149.9998000000001</v>
      </c>
    </row>
    <row r="320" spans="1:13">
      <c r="A320" s="41">
        <v>45042</v>
      </c>
      <c r="B320" s="42">
        <v>19757.27</v>
      </c>
      <c r="C320" s="42">
        <v>97887997100</v>
      </c>
      <c r="D320">
        <f t="shared" si="12"/>
        <v>6654.4</v>
      </c>
      <c r="E320">
        <f t="shared" si="13"/>
        <v>3.6822600364685059</v>
      </c>
      <c r="F320">
        <f t="shared" si="14"/>
        <v>1148.3402000000001</v>
      </c>
      <c r="G320" s="42"/>
      <c r="H320" s="41">
        <v>45042</v>
      </c>
      <c r="I320" s="42">
        <v>6654.4</v>
      </c>
      <c r="J320" s="41">
        <v>45042</v>
      </c>
      <c r="K320" s="42">
        <v>3.6822600364685059</v>
      </c>
      <c r="L320" s="41">
        <v>45042</v>
      </c>
      <c r="M320" s="42">
        <v>1148.3402000000001</v>
      </c>
    </row>
    <row r="321" spans="1:13">
      <c r="A321" s="41">
        <v>45043</v>
      </c>
      <c r="B321" s="42">
        <v>19840.28</v>
      </c>
      <c r="C321" s="42">
        <v>97087921300</v>
      </c>
      <c r="D321">
        <f t="shared" si="12"/>
        <v>6675.4</v>
      </c>
      <c r="E321">
        <f t="shared" si="13"/>
        <v>3.6833899021148682</v>
      </c>
      <c r="F321">
        <f t="shared" si="14"/>
        <v>1137.7936999999999</v>
      </c>
      <c r="G321" s="42"/>
      <c r="H321" s="41">
        <v>45043</v>
      </c>
      <c r="I321" s="42">
        <v>6675.4</v>
      </c>
      <c r="J321" s="41">
        <v>45043</v>
      </c>
      <c r="K321" s="42">
        <v>3.6833899021148682</v>
      </c>
      <c r="L321" s="41">
        <v>45043</v>
      </c>
      <c r="M321" s="42">
        <v>1137.7936999999999</v>
      </c>
    </row>
    <row r="322" spans="1:13">
      <c r="A322" s="41">
        <v>45044</v>
      </c>
      <c r="B322" s="42">
        <v>19894.57</v>
      </c>
      <c r="C322" s="42">
        <v>101510967600</v>
      </c>
      <c r="D322">
        <f t="shared" si="12"/>
        <v>6702.15</v>
      </c>
      <c r="E322">
        <f t="shared" si="13"/>
        <v>3.6833899021148682</v>
      </c>
      <c r="F322">
        <f t="shared" si="14"/>
        <v>1122.7668000000001</v>
      </c>
      <c r="G322" s="42"/>
      <c r="H322" s="41">
        <v>45044</v>
      </c>
      <c r="I322" s="42">
        <v>6702.15</v>
      </c>
      <c r="J322" s="41">
        <v>45044</v>
      </c>
      <c r="K322" s="42">
        <v>3.6833899021148682</v>
      </c>
      <c r="L322" s="41">
        <v>45044</v>
      </c>
      <c r="M322" s="42">
        <v>1122.7668000000001</v>
      </c>
    </row>
    <row r="323" spans="1:13">
      <c r="A323" s="41">
        <v>45050</v>
      </c>
      <c r="B323" s="42">
        <v>19948.73</v>
      </c>
      <c r="C323" s="42">
        <v>105288755500</v>
      </c>
      <c r="D323">
        <f t="shared" si="12"/>
        <v>6718.8</v>
      </c>
      <c r="E323">
        <f t="shared" si="13"/>
        <v>3.9942300319671631</v>
      </c>
      <c r="F323">
        <f t="shared" si="14"/>
        <v>1124.0744999999999</v>
      </c>
      <c r="G323" s="42"/>
      <c r="H323" s="41">
        <v>45050</v>
      </c>
      <c r="I323" s="42">
        <v>6718.8</v>
      </c>
      <c r="J323" s="41">
        <v>45050</v>
      </c>
      <c r="K323" s="42">
        <v>3.9942300319671631</v>
      </c>
      <c r="L323" s="41">
        <v>45050</v>
      </c>
      <c r="M323" s="42">
        <v>1124.0744999999999</v>
      </c>
    </row>
    <row r="324" spans="1:13">
      <c r="A324" s="41">
        <v>45051</v>
      </c>
      <c r="B324" s="42">
        <v>20049.310000000001</v>
      </c>
      <c r="C324" s="42">
        <v>98274662800</v>
      </c>
      <c r="D324">
        <f t="shared" ref="D324:D387" si="15">IFERROR(VLOOKUP($A324,$H$3:$I$1100,2,FALSE),"")</f>
        <v>6797.75</v>
      </c>
      <c r="E324">
        <f t="shared" ref="E324:E387" si="16">IFERROR(VLOOKUP($A324,$J$3:$K$1100,2,FALSE),"")</f>
        <v>4.0359501838684082</v>
      </c>
      <c r="F324">
        <f t="shared" ref="F324:F387" si="17">IFERROR(VLOOKUP($A324,$L$3:$M$1100,2,FALSE),"")</f>
        <v>1097.3864000000001</v>
      </c>
      <c r="G324" s="42"/>
      <c r="H324" s="41">
        <v>45051</v>
      </c>
      <c r="I324" s="42">
        <v>6797.75</v>
      </c>
      <c r="J324" s="41">
        <v>45051</v>
      </c>
      <c r="K324" s="42">
        <v>4.0359501838684082</v>
      </c>
      <c r="L324" s="41">
        <v>45051</v>
      </c>
      <c r="M324" s="42">
        <v>1097.3864000000001</v>
      </c>
    </row>
    <row r="325" spans="1:13">
      <c r="A325" s="41">
        <v>45054</v>
      </c>
      <c r="B325" s="42">
        <v>20297.03</v>
      </c>
      <c r="C325" s="42">
        <v>108000104000</v>
      </c>
      <c r="D325">
        <f t="shared" si="15"/>
        <v>6897.68</v>
      </c>
      <c r="E325">
        <f t="shared" si="16"/>
        <v>4.0574398040771484</v>
      </c>
      <c r="F325">
        <f t="shared" si="17"/>
        <v>1085.8100999999999</v>
      </c>
      <c r="G325" s="42"/>
      <c r="H325" s="41">
        <v>45054</v>
      </c>
      <c r="I325" s="42">
        <v>6897.68</v>
      </c>
      <c r="J325" s="41">
        <v>45054</v>
      </c>
      <c r="K325" s="42">
        <v>4.0574398040771484</v>
      </c>
      <c r="L325" s="41">
        <v>45054</v>
      </c>
      <c r="M325" s="42">
        <v>1085.8100999999999</v>
      </c>
    </row>
    <row r="326" spans="1:13">
      <c r="A326" s="41">
        <v>45055</v>
      </c>
      <c r="B326" s="42">
        <v>19867.580000000002</v>
      </c>
      <c r="C326" s="42">
        <v>122140242300</v>
      </c>
      <c r="D326">
        <f t="shared" si="15"/>
        <v>6735.13</v>
      </c>
      <c r="E326">
        <f t="shared" si="16"/>
        <v>4.0933899879455566</v>
      </c>
      <c r="F326">
        <f t="shared" si="17"/>
        <v>1089.2227</v>
      </c>
      <c r="G326" s="42"/>
      <c r="H326" s="41">
        <v>45055</v>
      </c>
      <c r="I326" s="42">
        <v>6735.13</v>
      </c>
      <c r="J326" s="41">
        <v>45055</v>
      </c>
      <c r="K326" s="42">
        <v>4.0933899879455566</v>
      </c>
      <c r="L326" s="41">
        <v>45055</v>
      </c>
      <c r="M326" s="42">
        <v>1089.2227</v>
      </c>
    </row>
    <row r="327" spans="1:13">
      <c r="A327" s="41">
        <v>45056</v>
      </c>
      <c r="B327" s="42">
        <v>19762.2</v>
      </c>
      <c r="C327" s="42">
        <v>98803211300</v>
      </c>
      <c r="D327">
        <f t="shared" si="15"/>
        <v>6683.23</v>
      </c>
      <c r="E327">
        <f t="shared" si="16"/>
        <v>4.2618999481201172</v>
      </c>
      <c r="F327">
        <f t="shared" si="17"/>
        <v>1076.7953</v>
      </c>
      <c r="G327" s="42"/>
      <c r="H327" s="41">
        <v>45056</v>
      </c>
      <c r="I327" s="42">
        <v>6683.23</v>
      </c>
      <c r="J327" s="41">
        <v>45056</v>
      </c>
      <c r="K327" s="42">
        <v>4.2618999481201172</v>
      </c>
      <c r="L327" s="41">
        <v>45056</v>
      </c>
      <c r="M327" s="42">
        <v>1076.7953</v>
      </c>
    </row>
    <row r="328" spans="1:13">
      <c r="A328" s="41">
        <v>45057</v>
      </c>
      <c r="B328" s="42">
        <v>19743.79</v>
      </c>
      <c r="C328" s="42">
        <v>97091903000</v>
      </c>
      <c r="D328">
        <f t="shared" si="15"/>
        <v>6695.11</v>
      </c>
      <c r="E328">
        <f t="shared" si="16"/>
        <v>4.4907097816467285</v>
      </c>
      <c r="F328">
        <f t="shared" si="17"/>
        <v>1082.1636000000001</v>
      </c>
      <c r="G328" s="42"/>
      <c r="H328" s="41">
        <v>45057</v>
      </c>
      <c r="I328" s="42">
        <v>6695.11</v>
      </c>
      <c r="J328" s="41">
        <v>45057</v>
      </c>
      <c r="K328" s="42">
        <v>4.4907097816467285</v>
      </c>
      <c r="L328" s="41">
        <v>45057</v>
      </c>
      <c r="M328" s="42">
        <v>1082.1636000000001</v>
      </c>
    </row>
    <row r="329" spans="1:13">
      <c r="A329" s="41">
        <v>45058</v>
      </c>
      <c r="B329" s="42">
        <v>19627.240000000002</v>
      </c>
      <c r="C329" s="42">
        <v>102773224200</v>
      </c>
      <c r="D329">
        <f t="shared" si="15"/>
        <v>6663.55</v>
      </c>
      <c r="E329">
        <f t="shared" si="16"/>
        <v>4.438809871673584</v>
      </c>
      <c r="F329">
        <f t="shared" si="17"/>
        <v>1069.9558</v>
      </c>
      <c r="G329" s="42"/>
      <c r="H329" s="41">
        <v>45058</v>
      </c>
      <c r="I329" s="42">
        <v>6663.55</v>
      </c>
      <c r="J329" s="41">
        <v>45058</v>
      </c>
      <c r="K329" s="42">
        <v>4.438809871673584</v>
      </c>
      <c r="L329" s="41">
        <v>45058</v>
      </c>
      <c r="M329" s="42">
        <v>1069.9558</v>
      </c>
    </row>
    <row r="330" spans="1:13">
      <c r="A330" s="41">
        <v>45061</v>
      </c>
      <c r="B330" s="42">
        <v>19971.13</v>
      </c>
      <c r="C330" s="42">
        <v>101624210800</v>
      </c>
      <c r="D330">
        <f t="shared" si="15"/>
        <v>6780.08</v>
      </c>
      <c r="E330">
        <f t="shared" si="16"/>
        <v>4.4142899513244629</v>
      </c>
      <c r="F330">
        <f t="shared" si="17"/>
        <v>1069.4667999999999</v>
      </c>
      <c r="G330" s="42"/>
      <c r="H330" s="41">
        <v>45061</v>
      </c>
      <c r="I330" s="42">
        <v>6780.08</v>
      </c>
      <c r="J330" s="41">
        <v>45061</v>
      </c>
      <c r="K330" s="42">
        <v>4.4142899513244629</v>
      </c>
      <c r="L330" s="41">
        <v>45061</v>
      </c>
      <c r="M330" s="42">
        <v>1069.4667999999999</v>
      </c>
    </row>
    <row r="331" spans="1:13">
      <c r="A331" s="41">
        <v>45062</v>
      </c>
      <c r="B331" s="42">
        <v>19978.25</v>
      </c>
      <c r="C331" s="42">
        <v>78390417300</v>
      </c>
      <c r="D331">
        <f t="shared" si="15"/>
        <v>6789.37</v>
      </c>
      <c r="E331">
        <f t="shared" si="16"/>
        <v>4.4742298126220703</v>
      </c>
      <c r="F331">
        <f t="shared" si="17"/>
        <v>1075.0463999999999</v>
      </c>
      <c r="G331" s="42"/>
      <c r="H331" s="41">
        <v>45062</v>
      </c>
      <c r="I331" s="42">
        <v>6789.37</v>
      </c>
      <c r="J331" s="41">
        <v>45062</v>
      </c>
      <c r="K331" s="42">
        <v>4.4742298126220703</v>
      </c>
      <c r="L331" s="41">
        <v>45062</v>
      </c>
      <c r="M331" s="42">
        <v>1075.0463999999999</v>
      </c>
    </row>
    <row r="332" spans="1:13">
      <c r="A332" s="41">
        <v>45063</v>
      </c>
      <c r="B332" s="42">
        <v>19560.57</v>
      </c>
      <c r="C332" s="42">
        <v>101604541900</v>
      </c>
      <c r="D332">
        <f t="shared" si="15"/>
        <v>6636.66</v>
      </c>
      <c r="E332">
        <f t="shared" si="16"/>
        <v>4.5182099342346191</v>
      </c>
      <c r="F332">
        <f t="shared" si="17"/>
        <v>1074.4010000000001</v>
      </c>
      <c r="G332" s="42"/>
      <c r="H332" s="41">
        <v>45063</v>
      </c>
      <c r="I332" s="42">
        <v>6636.66</v>
      </c>
      <c r="J332" s="41">
        <v>45063</v>
      </c>
      <c r="K332" s="42">
        <v>4.5182099342346191</v>
      </c>
      <c r="L332" s="41">
        <v>45063</v>
      </c>
      <c r="M332" s="42">
        <v>1074.4010000000001</v>
      </c>
    </row>
    <row r="333" spans="1:13">
      <c r="A333" s="41">
        <v>45064</v>
      </c>
      <c r="B333" s="42">
        <v>19727.25</v>
      </c>
      <c r="C333" s="42">
        <v>98624909400</v>
      </c>
      <c r="D333">
        <f t="shared" si="15"/>
        <v>6715.56</v>
      </c>
      <c r="E333">
        <f t="shared" si="16"/>
        <v>4.6110100746154785</v>
      </c>
      <c r="F333">
        <f t="shared" si="17"/>
        <v>1061.6748</v>
      </c>
      <c r="G333" s="42"/>
      <c r="H333" s="41">
        <v>45064</v>
      </c>
      <c r="I333" s="42">
        <v>6715.56</v>
      </c>
      <c r="J333" s="41">
        <v>45064</v>
      </c>
      <c r="K333" s="42">
        <v>4.6110100746154785</v>
      </c>
      <c r="L333" s="41">
        <v>45064</v>
      </c>
      <c r="M333" s="42">
        <v>1061.6748</v>
      </c>
    </row>
    <row r="334" spans="1:13">
      <c r="A334" s="41">
        <v>45065</v>
      </c>
      <c r="B334" s="42">
        <v>19450.57</v>
      </c>
      <c r="C334" s="42">
        <v>95235650700</v>
      </c>
      <c r="D334">
        <f t="shared" si="15"/>
        <v>6593.92</v>
      </c>
      <c r="E334">
        <f t="shared" si="16"/>
        <v>4.7095198631286621</v>
      </c>
      <c r="F334">
        <f t="shared" si="17"/>
        <v>1078.7605000000001</v>
      </c>
      <c r="G334" s="42"/>
      <c r="H334" s="41">
        <v>45065</v>
      </c>
      <c r="I334" s="42">
        <v>6593.92</v>
      </c>
      <c r="J334" s="41">
        <v>45065</v>
      </c>
      <c r="K334" s="42">
        <v>4.7095198631286621</v>
      </c>
      <c r="L334" s="41">
        <v>45065</v>
      </c>
      <c r="M334" s="42">
        <v>1078.7605000000001</v>
      </c>
    </row>
    <row r="335" spans="1:13">
      <c r="A335" s="41">
        <v>45068</v>
      </c>
      <c r="B335" s="42">
        <v>19678.169999999998</v>
      </c>
      <c r="C335" s="42">
        <v>93977616000</v>
      </c>
      <c r="D335">
        <f t="shared" si="15"/>
        <v>6693.64</v>
      </c>
      <c r="E335">
        <f t="shared" si="16"/>
        <v>4.7761898040771484</v>
      </c>
      <c r="F335">
        <f t="shared" si="17"/>
        <v>1086.1469</v>
      </c>
      <c r="G335" s="42"/>
      <c r="H335" s="41">
        <v>45068</v>
      </c>
      <c r="I335" s="42">
        <v>6693.64</v>
      </c>
      <c r="J335" s="41">
        <v>45068</v>
      </c>
      <c r="K335" s="42">
        <v>4.7761898040771484</v>
      </c>
      <c r="L335" s="41">
        <v>45068</v>
      </c>
      <c r="M335" s="42">
        <v>1086.1469</v>
      </c>
    </row>
    <row r="336" spans="1:13">
      <c r="A336" s="41">
        <v>45069</v>
      </c>
      <c r="B336" s="42">
        <v>19431.25</v>
      </c>
      <c r="C336" s="42">
        <v>86379640400</v>
      </c>
      <c r="D336">
        <f t="shared" si="15"/>
        <v>6603.57</v>
      </c>
      <c r="E336">
        <f t="shared" si="16"/>
        <v>4.7326197624206543</v>
      </c>
      <c r="F336">
        <f t="shared" si="17"/>
        <v>1070.2234000000001</v>
      </c>
      <c r="G336" s="42"/>
      <c r="H336" s="41">
        <v>45069</v>
      </c>
      <c r="I336" s="42">
        <v>6603.57</v>
      </c>
      <c r="J336" s="41">
        <v>45069</v>
      </c>
      <c r="K336" s="42">
        <v>4.7326197624206543</v>
      </c>
      <c r="L336" s="41">
        <v>45069</v>
      </c>
      <c r="M336" s="42">
        <v>1070.2234000000001</v>
      </c>
    </row>
    <row r="337" spans="1:13">
      <c r="A337" s="41">
        <v>45070</v>
      </c>
      <c r="B337" s="42">
        <v>19115.93</v>
      </c>
      <c r="C337" s="42">
        <v>97966691700</v>
      </c>
      <c r="D337">
        <f t="shared" si="15"/>
        <v>6478.08</v>
      </c>
      <c r="E337">
        <f t="shared" si="16"/>
        <v>4.6110701560974121</v>
      </c>
      <c r="F337">
        <f t="shared" si="17"/>
        <v>1067.0944</v>
      </c>
      <c r="G337" s="42"/>
      <c r="H337" s="41">
        <v>45070</v>
      </c>
      <c r="I337" s="42">
        <v>6478.08</v>
      </c>
      <c r="J337" s="41">
        <v>45070</v>
      </c>
      <c r="K337" s="42">
        <v>4.6110701560974121</v>
      </c>
      <c r="L337" s="41">
        <v>45070</v>
      </c>
      <c r="M337" s="42">
        <v>1067.0944</v>
      </c>
    </row>
    <row r="338" spans="1:13">
      <c r="A338" s="41">
        <v>45071</v>
      </c>
      <c r="B338" s="42">
        <v>18746.919999999998</v>
      </c>
      <c r="C338" s="42">
        <v>115547303300</v>
      </c>
      <c r="D338">
        <f t="shared" si="15"/>
        <v>6333.63</v>
      </c>
      <c r="E338">
        <f t="shared" si="16"/>
        <v>4.6320199966430664</v>
      </c>
      <c r="F338">
        <f t="shared" si="17"/>
        <v>1043.989</v>
      </c>
      <c r="G338" s="42"/>
      <c r="H338" s="41">
        <v>45071</v>
      </c>
      <c r="I338" s="42">
        <v>6333.63</v>
      </c>
      <c r="J338" s="41">
        <v>45071</v>
      </c>
      <c r="K338" s="42">
        <v>4.6320199966430664</v>
      </c>
      <c r="L338" s="41">
        <v>45071</v>
      </c>
      <c r="M338" s="42">
        <v>1043.989</v>
      </c>
    </row>
    <row r="339" spans="1:13">
      <c r="A339" s="41">
        <v>45072</v>
      </c>
      <c r="B339" s="42">
        <v>18746.919999999998</v>
      </c>
      <c r="C339" s="42"/>
      <c r="D339">
        <f t="shared" si="15"/>
        <v>6333.63</v>
      </c>
      <c r="E339">
        <f t="shared" si="16"/>
        <v>0</v>
      </c>
      <c r="F339">
        <f t="shared" si="17"/>
        <v>1042.8511000000001</v>
      </c>
      <c r="G339" s="42"/>
      <c r="H339" s="41">
        <v>45072</v>
      </c>
      <c r="I339" s="42">
        <v>6333.63</v>
      </c>
      <c r="J339" s="41">
        <v>45072</v>
      </c>
      <c r="K339" s="42"/>
      <c r="L339" s="41">
        <v>45072</v>
      </c>
      <c r="M339" s="42">
        <v>1042.8511000000001</v>
      </c>
    </row>
    <row r="340" spans="1:13">
      <c r="A340" s="41">
        <v>45075</v>
      </c>
      <c r="B340" s="42">
        <v>18551.11</v>
      </c>
      <c r="C340" s="42">
        <v>110483348600</v>
      </c>
      <c r="D340">
        <f t="shared" si="15"/>
        <v>6251.04</v>
      </c>
      <c r="E340">
        <f t="shared" si="16"/>
        <v>4.6395201683044434</v>
      </c>
      <c r="F340">
        <f t="shared" si="17"/>
        <v>1032.0436999999999</v>
      </c>
      <c r="G340" s="42"/>
      <c r="H340" s="41">
        <v>45075</v>
      </c>
      <c r="I340" s="42">
        <v>6251.04</v>
      </c>
      <c r="J340" s="41">
        <v>45075</v>
      </c>
      <c r="K340" s="42">
        <v>4.6395201683044434</v>
      </c>
      <c r="L340" s="41">
        <v>45075</v>
      </c>
      <c r="M340" s="42">
        <v>1032.0436999999999</v>
      </c>
    </row>
    <row r="341" spans="1:13">
      <c r="A341" s="41">
        <v>45076</v>
      </c>
      <c r="B341" s="42">
        <v>18595.78</v>
      </c>
      <c r="C341" s="42">
        <v>94541578600</v>
      </c>
      <c r="D341">
        <f t="shared" si="15"/>
        <v>6283.71</v>
      </c>
      <c r="E341">
        <f t="shared" si="16"/>
        <v>4.7348198890686035</v>
      </c>
      <c r="F341">
        <f t="shared" si="17"/>
        <v>1034.4004</v>
      </c>
      <c r="G341" s="42"/>
      <c r="H341" s="41">
        <v>45076</v>
      </c>
      <c r="I341" s="42">
        <v>6283.71</v>
      </c>
      <c r="J341" s="41">
        <v>45076</v>
      </c>
      <c r="K341" s="42">
        <v>4.7348198890686035</v>
      </c>
      <c r="L341" s="41">
        <v>45076</v>
      </c>
      <c r="M341" s="42">
        <v>1034.4004</v>
      </c>
    </row>
    <row r="342" spans="1:13">
      <c r="A342" s="41">
        <v>45077</v>
      </c>
      <c r="B342" s="42">
        <v>18234.27</v>
      </c>
      <c r="C342" s="42">
        <v>170953110100</v>
      </c>
      <c r="D342">
        <f t="shared" si="15"/>
        <v>6163.34</v>
      </c>
      <c r="E342">
        <f t="shared" si="16"/>
        <v>4.7722601890563965</v>
      </c>
      <c r="F342">
        <f t="shared" si="17"/>
        <v>1016.2756000000001</v>
      </c>
      <c r="G342" s="42"/>
      <c r="H342" s="41">
        <v>45077</v>
      </c>
      <c r="I342" s="42">
        <v>6163.34</v>
      </c>
      <c r="J342" s="41">
        <v>45077</v>
      </c>
      <c r="K342" s="42">
        <v>4.7722601890563965</v>
      </c>
      <c r="L342" s="41">
        <v>45077</v>
      </c>
      <c r="M342" s="42">
        <v>1016.2756000000001</v>
      </c>
    </row>
    <row r="343" spans="1:13">
      <c r="A343" s="41">
        <v>45078</v>
      </c>
      <c r="B343" s="42">
        <v>18216.91</v>
      </c>
      <c r="C343" s="42">
        <v>128513790600</v>
      </c>
      <c r="D343">
        <f t="shared" si="15"/>
        <v>6149.64</v>
      </c>
      <c r="E343">
        <f t="shared" si="16"/>
        <v>4.784639835357666</v>
      </c>
      <c r="F343">
        <f t="shared" si="17"/>
        <v>1031.845</v>
      </c>
      <c r="G343" s="42"/>
      <c r="H343" s="41">
        <v>45078</v>
      </c>
      <c r="I343" s="42">
        <v>6149.64</v>
      </c>
      <c r="J343" s="41">
        <v>45078</v>
      </c>
      <c r="K343" s="42">
        <v>4.784639835357666</v>
      </c>
      <c r="L343" s="41">
        <v>45078</v>
      </c>
      <c r="M343" s="42">
        <v>1031.845</v>
      </c>
    </row>
    <row r="344" spans="1:13">
      <c r="A344" s="41">
        <v>45079</v>
      </c>
      <c r="B344" s="42">
        <v>18949.939999999999</v>
      </c>
      <c r="C344" s="42">
        <v>149136993600</v>
      </c>
      <c r="D344">
        <f t="shared" si="15"/>
        <v>6428.33</v>
      </c>
      <c r="E344">
        <f t="shared" si="16"/>
        <v>4.750420093536377</v>
      </c>
      <c r="F344">
        <f t="shared" si="17"/>
        <v>1040.4851000000001</v>
      </c>
      <c r="G344" s="42"/>
      <c r="H344" s="41">
        <v>45079</v>
      </c>
      <c r="I344" s="42">
        <v>6428.33</v>
      </c>
      <c r="J344" s="41">
        <v>45079</v>
      </c>
      <c r="K344" s="42">
        <v>4.750420093536377</v>
      </c>
      <c r="L344" s="41">
        <v>45079</v>
      </c>
      <c r="M344" s="42">
        <v>1040.4851000000001</v>
      </c>
    </row>
    <row r="345" spans="1:13">
      <c r="A345" s="41">
        <v>45082</v>
      </c>
      <c r="B345" s="42">
        <v>19108.5</v>
      </c>
      <c r="C345" s="42">
        <v>99900617700</v>
      </c>
      <c r="D345">
        <f t="shared" si="15"/>
        <v>6463.9</v>
      </c>
      <c r="E345">
        <f t="shared" si="16"/>
        <v>4.6541099548339844</v>
      </c>
      <c r="F345">
        <f t="shared" si="17"/>
        <v>1023.3316</v>
      </c>
      <c r="G345" s="42"/>
      <c r="H345" s="41">
        <v>45082</v>
      </c>
      <c r="I345" s="42">
        <v>6463.9</v>
      </c>
      <c r="J345" s="41">
        <v>45082</v>
      </c>
      <c r="K345" s="42">
        <v>4.6541099548339844</v>
      </c>
      <c r="L345" s="41">
        <v>45082</v>
      </c>
      <c r="M345" s="42">
        <v>1023.3316</v>
      </c>
    </row>
    <row r="346" spans="1:13">
      <c r="A346" s="41">
        <v>45083</v>
      </c>
      <c r="B346" s="42">
        <v>19099.28</v>
      </c>
      <c r="C346" s="42">
        <v>102488877000</v>
      </c>
      <c r="D346">
        <f t="shared" si="15"/>
        <v>6479.64</v>
      </c>
      <c r="E346">
        <f t="shared" si="16"/>
        <v>4.5829200744628906</v>
      </c>
      <c r="F346">
        <f t="shared" si="17"/>
        <v>1011.2189</v>
      </c>
      <c r="G346" s="42"/>
      <c r="H346" s="41">
        <v>45083</v>
      </c>
      <c r="I346" s="42">
        <v>6479.64</v>
      </c>
      <c r="J346" s="41">
        <v>45083</v>
      </c>
      <c r="K346" s="42">
        <v>4.5829200744628906</v>
      </c>
      <c r="L346" s="41">
        <v>45083</v>
      </c>
      <c r="M346" s="42">
        <v>1011.2189</v>
      </c>
    </row>
    <row r="347" spans="1:13">
      <c r="A347" s="41">
        <v>45084</v>
      </c>
      <c r="B347" s="42">
        <v>19252</v>
      </c>
      <c r="C347" s="42">
        <v>86724473200</v>
      </c>
      <c r="D347">
        <f t="shared" si="15"/>
        <v>6541.16</v>
      </c>
      <c r="E347">
        <f t="shared" si="16"/>
        <v>4.6004199981689453</v>
      </c>
      <c r="F347">
        <f t="shared" si="17"/>
        <v>1010.9004</v>
      </c>
      <c r="G347" s="42"/>
      <c r="H347" s="41">
        <v>45084</v>
      </c>
      <c r="I347" s="42">
        <v>6541.16</v>
      </c>
      <c r="J347" s="41">
        <v>45084</v>
      </c>
      <c r="K347" s="42">
        <v>4.6004199981689453</v>
      </c>
      <c r="L347" s="41">
        <v>45084</v>
      </c>
      <c r="M347" s="42">
        <v>1010.9004</v>
      </c>
    </row>
    <row r="348" spans="1:13">
      <c r="A348" s="41">
        <v>45085</v>
      </c>
      <c r="B348" s="42">
        <v>19299.18</v>
      </c>
      <c r="C348" s="42">
        <v>84497996500</v>
      </c>
      <c r="D348">
        <f t="shared" si="15"/>
        <v>6540.03</v>
      </c>
      <c r="E348">
        <f t="shared" si="16"/>
        <v>4.6069598197937012</v>
      </c>
      <c r="F348">
        <f t="shared" si="17"/>
        <v>1048.1632</v>
      </c>
      <c r="G348" s="42"/>
      <c r="H348" s="41">
        <v>45085</v>
      </c>
      <c r="I348" s="42">
        <v>6540.03</v>
      </c>
      <c r="J348" s="41">
        <v>45085</v>
      </c>
      <c r="K348" s="42">
        <v>4.6069598197937012</v>
      </c>
      <c r="L348" s="41">
        <v>45085</v>
      </c>
      <c r="M348" s="42">
        <v>1048.1632</v>
      </c>
    </row>
    <row r="349" spans="1:13">
      <c r="A349" s="41">
        <v>45086</v>
      </c>
      <c r="B349" s="42">
        <v>19389.95</v>
      </c>
      <c r="C349" s="42">
        <v>86609543300</v>
      </c>
      <c r="D349">
        <f t="shared" si="15"/>
        <v>6589.32</v>
      </c>
      <c r="E349">
        <f t="shared" si="16"/>
        <v>4.6602401733398438</v>
      </c>
      <c r="F349">
        <f t="shared" si="17"/>
        <v>1042.6793</v>
      </c>
      <c r="G349" s="42"/>
      <c r="H349" s="41">
        <v>45086</v>
      </c>
      <c r="I349" s="42">
        <v>6589.32</v>
      </c>
      <c r="J349" s="41">
        <v>45086</v>
      </c>
      <c r="K349" s="42">
        <v>4.6602401733398438</v>
      </c>
      <c r="L349" s="41">
        <v>45086</v>
      </c>
      <c r="M349" s="42">
        <v>1042.6793</v>
      </c>
    </row>
    <row r="350" spans="1:13">
      <c r="A350" s="41">
        <v>45089</v>
      </c>
      <c r="B350" s="42">
        <v>19404.310000000001</v>
      </c>
      <c r="C350" s="42">
        <v>80254054800</v>
      </c>
      <c r="D350">
        <f t="shared" si="15"/>
        <v>6585.68</v>
      </c>
      <c r="E350">
        <f t="shared" si="16"/>
        <v>4.6967301368713379</v>
      </c>
      <c r="F350">
        <f t="shared" si="17"/>
        <v>1040.1445000000001</v>
      </c>
      <c r="G350" s="42"/>
      <c r="H350" s="41">
        <v>45089</v>
      </c>
      <c r="I350" s="42">
        <v>6585.68</v>
      </c>
      <c r="J350" s="41">
        <v>45089</v>
      </c>
      <c r="K350" s="42">
        <v>4.6967301368713379</v>
      </c>
      <c r="L350" s="41">
        <v>45089</v>
      </c>
      <c r="M350" s="42">
        <v>1040.1445000000001</v>
      </c>
    </row>
    <row r="351" spans="1:13">
      <c r="A351" s="41">
        <v>45090</v>
      </c>
      <c r="B351" s="42">
        <v>19521.419999999998</v>
      </c>
      <c r="C351" s="42">
        <v>99775118300</v>
      </c>
      <c r="D351">
        <f t="shared" si="15"/>
        <v>6618.29</v>
      </c>
      <c r="E351">
        <f t="shared" si="16"/>
        <v>4.7091097831726074</v>
      </c>
      <c r="F351">
        <f t="shared" si="17"/>
        <v>1036.3411000000001</v>
      </c>
      <c r="G351" s="42"/>
      <c r="H351" s="41">
        <v>45090</v>
      </c>
      <c r="I351" s="42">
        <v>6618.29</v>
      </c>
      <c r="J351" s="41">
        <v>45090</v>
      </c>
      <c r="K351" s="42">
        <v>4.7091097831726074</v>
      </c>
      <c r="L351" s="41">
        <v>45090</v>
      </c>
      <c r="M351" s="42">
        <v>1036.3411000000001</v>
      </c>
    </row>
    <row r="352" spans="1:13">
      <c r="A352" s="41">
        <v>45091</v>
      </c>
      <c r="B352" s="42">
        <v>19408.419999999998</v>
      </c>
      <c r="C352" s="42">
        <v>93127622400</v>
      </c>
      <c r="D352">
        <f t="shared" si="15"/>
        <v>6576.79</v>
      </c>
      <c r="E352">
        <f t="shared" si="16"/>
        <v>4.7266101837158203</v>
      </c>
      <c r="F352">
        <f t="shared" si="17"/>
        <v>1030.2378000000001</v>
      </c>
      <c r="G352" s="42"/>
      <c r="H352" s="41">
        <v>45091</v>
      </c>
      <c r="I352" s="42">
        <v>6576.79</v>
      </c>
      <c r="J352" s="41">
        <v>45091</v>
      </c>
      <c r="K352" s="42">
        <v>4.7266101837158203</v>
      </c>
      <c r="L352" s="41">
        <v>45091</v>
      </c>
      <c r="M352" s="42">
        <v>1030.2378000000001</v>
      </c>
    </row>
    <row r="353" spans="1:13">
      <c r="A353" s="41">
        <v>45092</v>
      </c>
      <c r="B353" s="42">
        <v>19828.919999999998</v>
      </c>
      <c r="C353" s="42">
        <v>121407785300</v>
      </c>
      <c r="D353">
        <f t="shared" si="15"/>
        <v>6772.61</v>
      </c>
      <c r="E353">
        <f t="shared" si="16"/>
        <v>4.793330192565918</v>
      </c>
      <c r="F353">
        <f t="shared" si="17"/>
        <v>1026.6605</v>
      </c>
      <c r="G353" s="42"/>
      <c r="H353" s="41">
        <v>45092</v>
      </c>
      <c r="I353" s="42">
        <v>6772.61</v>
      </c>
      <c r="J353" s="41">
        <v>45092</v>
      </c>
      <c r="K353" s="42">
        <v>4.793330192565918</v>
      </c>
      <c r="L353" s="41">
        <v>45092</v>
      </c>
      <c r="M353" s="42">
        <v>1026.6605</v>
      </c>
    </row>
    <row r="354" spans="1:13">
      <c r="A354" s="41">
        <v>45093</v>
      </c>
      <c r="B354" s="42">
        <v>20040.37</v>
      </c>
      <c r="C354" s="42">
        <v>175459548700</v>
      </c>
      <c r="D354">
        <f t="shared" si="15"/>
        <v>6833</v>
      </c>
      <c r="E354">
        <f t="shared" si="16"/>
        <v>4.9699997901916504</v>
      </c>
      <c r="F354">
        <f t="shared" si="17"/>
        <v>1045.1179999999999</v>
      </c>
      <c r="G354" s="42"/>
      <c r="H354" s="41">
        <v>45093</v>
      </c>
      <c r="I354" s="42">
        <v>6833</v>
      </c>
      <c r="J354" s="41">
        <v>45093</v>
      </c>
      <c r="K354" s="42">
        <v>4.9699997901916504</v>
      </c>
      <c r="L354" s="41">
        <v>45093</v>
      </c>
      <c r="M354" s="42">
        <v>1045.1179999999999</v>
      </c>
    </row>
    <row r="355" spans="1:13">
      <c r="A355" s="41">
        <v>45096</v>
      </c>
      <c r="B355" s="42">
        <v>19912.89</v>
      </c>
      <c r="C355" s="42">
        <v>102991542900</v>
      </c>
      <c r="D355">
        <f t="shared" si="15"/>
        <v>6776.55</v>
      </c>
      <c r="E355">
        <f t="shared" si="16"/>
        <v>5.0267901420593262</v>
      </c>
      <c r="F355">
        <f t="shared" si="17"/>
        <v>1038.3063</v>
      </c>
      <c r="G355" s="42"/>
      <c r="H355" s="41">
        <v>45096</v>
      </c>
      <c r="I355" s="42">
        <v>6776.55</v>
      </c>
      <c r="J355" s="41">
        <v>45096</v>
      </c>
      <c r="K355" s="42">
        <v>5.0267901420593262</v>
      </c>
      <c r="L355" s="41">
        <v>45096</v>
      </c>
      <c r="M355" s="42">
        <v>1038.3063</v>
      </c>
    </row>
    <row r="356" spans="1:13">
      <c r="A356" s="41">
        <v>45097</v>
      </c>
      <c r="B356" s="42">
        <v>19607.080000000002</v>
      </c>
      <c r="C356" s="42">
        <v>94439516100</v>
      </c>
      <c r="D356">
        <f t="shared" si="15"/>
        <v>6654.94</v>
      </c>
      <c r="E356">
        <f t="shared" si="16"/>
        <v>5.1026201248168945</v>
      </c>
      <c r="F356">
        <f t="shared" si="17"/>
        <v>1032.9944</v>
      </c>
      <c r="G356" s="42"/>
      <c r="H356" s="41">
        <v>45097</v>
      </c>
      <c r="I356" s="42">
        <v>6654.94</v>
      </c>
      <c r="J356" s="41">
        <v>45097</v>
      </c>
      <c r="K356" s="42">
        <v>5.1026201248168945</v>
      </c>
      <c r="L356" s="41">
        <v>45097</v>
      </c>
      <c r="M356" s="42">
        <v>1032.9944</v>
      </c>
    </row>
    <row r="357" spans="1:13">
      <c r="A357" s="41">
        <v>45098</v>
      </c>
      <c r="B357" s="42">
        <v>19218.349999999999</v>
      </c>
      <c r="C357" s="42">
        <v>98172264800</v>
      </c>
      <c r="D357">
        <f t="shared" si="15"/>
        <v>6505.81</v>
      </c>
      <c r="E357">
        <f t="shared" si="16"/>
        <v>5.074580192565918</v>
      </c>
      <c r="F357">
        <f t="shared" si="17"/>
        <v>1017.1017000000001</v>
      </c>
      <c r="G357" s="42"/>
      <c r="H357" s="41">
        <v>45098</v>
      </c>
      <c r="I357" s="42">
        <v>6505.81</v>
      </c>
      <c r="J357" s="41">
        <v>45098</v>
      </c>
      <c r="K357" s="42">
        <v>5.074580192565918</v>
      </c>
      <c r="L357" s="41">
        <v>45098</v>
      </c>
      <c r="M357" s="42">
        <v>1017.1017000000001</v>
      </c>
    </row>
    <row r="358" spans="1:13">
      <c r="A358" s="41">
        <v>45103</v>
      </c>
      <c r="B358" s="42">
        <v>18794.13</v>
      </c>
      <c r="C358" s="42">
        <v>83805083200</v>
      </c>
      <c r="D358">
        <f t="shared" si="15"/>
        <v>6372.19</v>
      </c>
      <c r="E358">
        <f t="shared" si="16"/>
        <v>5.0457701683044434</v>
      </c>
      <c r="F358">
        <f t="shared" si="17"/>
        <v>1007.585</v>
      </c>
      <c r="G358" s="42"/>
      <c r="H358" s="41">
        <v>45103</v>
      </c>
      <c r="I358" s="42">
        <v>6372.19</v>
      </c>
      <c r="J358" s="41">
        <v>45103</v>
      </c>
      <c r="K358" s="42">
        <v>5.0457701683044434</v>
      </c>
      <c r="L358" s="41">
        <v>45103</v>
      </c>
      <c r="M358" s="42">
        <v>1007.585</v>
      </c>
    </row>
    <row r="359" spans="1:13">
      <c r="A359" s="41">
        <v>45104</v>
      </c>
      <c r="B359" s="42">
        <v>19148.13</v>
      </c>
      <c r="C359" s="42">
        <v>91688039700</v>
      </c>
      <c r="D359">
        <f t="shared" si="15"/>
        <v>6504.62</v>
      </c>
      <c r="E359">
        <f t="shared" si="16"/>
        <v>4.9927401542663574</v>
      </c>
      <c r="F359">
        <f t="shared" si="17"/>
        <v>1023.8463</v>
      </c>
      <c r="G359" s="42"/>
      <c r="H359" s="41">
        <v>45104</v>
      </c>
      <c r="I359" s="42">
        <v>6504.62</v>
      </c>
      <c r="J359" s="41">
        <v>45104</v>
      </c>
      <c r="K359" s="42">
        <v>4.9927401542663574</v>
      </c>
      <c r="L359" s="41">
        <v>45104</v>
      </c>
      <c r="M359" s="42">
        <v>1023.8463</v>
      </c>
    </row>
    <row r="360" spans="1:13">
      <c r="A360" s="41">
        <v>45105</v>
      </c>
      <c r="B360" s="42">
        <v>19172.05</v>
      </c>
      <c r="C360" s="42">
        <v>79318450600</v>
      </c>
      <c r="D360">
        <f t="shared" si="15"/>
        <v>6521.22</v>
      </c>
      <c r="E360">
        <f t="shared" si="16"/>
        <v>4.9707098007202148</v>
      </c>
      <c r="F360">
        <f t="shared" si="17"/>
        <v>1019.5289</v>
      </c>
      <c r="G360" s="42"/>
      <c r="H360" s="41">
        <v>45105</v>
      </c>
      <c r="I360" s="42">
        <v>6521.22</v>
      </c>
      <c r="J360" s="41">
        <v>45105</v>
      </c>
      <c r="K360" s="42">
        <v>4.9707098007202148</v>
      </c>
      <c r="L360" s="41">
        <v>45105</v>
      </c>
      <c r="M360" s="42">
        <v>1019.5289</v>
      </c>
    </row>
    <row r="361" spans="1:13">
      <c r="A361" s="41">
        <v>45106</v>
      </c>
      <c r="B361" s="42">
        <v>18934.36</v>
      </c>
      <c r="C361" s="42">
        <v>82175562100</v>
      </c>
      <c r="D361">
        <f t="shared" si="15"/>
        <v>6426.59</v>
      </c>
      <c r="E361">
        <f t="shared" si="16"/>
        <v>4.9663100242614746</v>
      </c>
      <c r="F361">
        <f t="shared" si="17"/>
        <v>1030.5536</v>
      </c>
      <c r="G361" s="42"/>
      <c r="H361" s="41">
        <v>45106</v>
      </c>
      <c r="I361" s="42">
        <v>6426.59</v>
      </c>
      <c r="J361" s="41">
        <v>45106</v>
      </c>
      <c r="K361" s="42">
        <v>4.9663100242614746</v>
      </c>
      <c r="L361" s="41">
        <v>45106</v>
      </c>
      <c r="M361" s="42">
        <v>1030.5536</v>
      </c>
    </row>
    <row r="362" spans="1:13">
      <c r="A362" s="41">
        <v>45107</v>
      </c>
      <c r="B362" s="42">
        <v>18916.43</v>
      </c>
      <c r="C362" s="42">
        <v>81147650500</v>
      </c>
      <c r="D362">
        <f t="shared" si="15"/>
        <v>6424.88</v>
      </c>
      <c r="E362">
        <f t="shared" si="16"/>
        <v>4.9677400588989258</v>
      </c>
      <c r="F362">
        <f t="shared" si="17"/>
        <v>1034.0146</v>
      </c>
      <c r="G362" s="42"/>
      <c r="H362" s="41">
        <v>45107</v>
      </c>
      <c r="I362" s="42">
        <v>6424.88</v>
      </c>
      <c r="J362" s="41">
        <v>45107</v>
      </c>
      <c r="K362" s="42">
        <v>4.9677400588989258</v>
      </c>
      <c r="L362" s="41">
        <v>45107</v>
      </c>
      <c r="M362" s="42">
        <v>1034.0146</v>
      </c>
    </row>
    <row r="363" spans="1:13">
      <c r="A363" s="41">
        <v>45110</v>
      </c>
      <c r="B363" s="42">
        <v>19306.59</v>
      </c>
      <c r="C363" s="42">
        <v>89735747600</v>
      </c>
      <c r="D363">
        <f t="shared" si="15"/>
        <v>6590.82</v>
      </c>
      <c r="E363">
        <f t="shared" si="16"/>
        <v>4.9677400588989258</v>
      </c>
      <c r="F363">
        <f t="shared" si="17"/>
        <v>1037.5118</v>
      </c>
      <c r="G363" s="42"/>
      <c r="H363" s="41">
        <v>45110</v>
      </c>
      <c r="I363" s="42">
        <v>6590.82</v>
      </c>
      <c r="J363" s="41">
        <v>45110</v>
      </c>
      <c r="K363" s="42">
        <v>4.9677400588989258</v>
      </c>
      <c r="L363" s="41">
        <v>45110</v>
      </c>
      <c r="M363" s="42">
        <v>1037.5118</v>
      </c>
    </row>
    <row r="364" spans="1:13">
      <c r="A364" s="41">
        <v>45111</v>
      </c>
      <c r="B364" s="42">
        <v>19415.68</v>
      </c>
      <c r="C364" s="42">
        <v>76045790500</v>
      </c>
      <c r="D364">
        <f t="shared" si="15"/>
        <v>6613.4</v>
      </c>
      <c r="E364">
        <f t="shared" si="16"/>
        <v>4.9698801040649414</v>
      </c>
      <c r="F364">
        <f t="shared" si="17"/>
        <v>1032.7091</v>
      </c>
      <c r="G364" s="42"/>
      <c r="H364" s="41">
        <v>45111</v>
      </c>
      <c r="I364" s="42">
        <v>6613.4</v>
      </c>
      <c r="J364" s="41">
        <v>45111</v>
      </c>
      <c r="K364" s="42">
        <v>4.9698801040649414</v>
      </c>
      <c r="L364" s="41">
        <v>45111</v>
      </c>
      <c r="M364" s="42">
        <v>1032.7091</v>
      </c>
    </row>
    <row r="365" spans="1:13">
      <c r="A365" s="41">
        <v>45112</v>
      </c>
      <c r="B365" s="42">
        <v>19110.38</v>
      </c>
      <c r="C365" s="42">
        <v>86888144200</v>
      </c>
      <c r="D365">
        <f t="shared" si="15"/>
        <v>6489.94</v>
      </c>
      <c r="E365">
        <f t="shared" si="16"/>
        <v>4.9820199012756348</v>
      </c>
      <c r="F365">
        <f t="shared" si="17"/>
        <v>1013.0972</v>
      </c>
      <c r="G365" s="42"/>
      <c r="H365" s="41">
        <v>45112</v>
      </c>
      <c r="I365" s="42">
        <v>6489.94</v>
      </c>
      <c r="J365" s="41">
        <v>45112</v>
      </c>
      <c r="K365" s="42">
        <v>4.9820199012756348</v>
      </c>
      <c r="L365" s="41">
        <v>45112</v>
      </c>
      <c r="M365" s="42">
        <v>1013.0972</v>
      </c>
    </row>
    <row r="366" spans="1:13">
      <c r="A366" s="41">
        <v>45113</v>
      </c>
      <c r="B366" s="42">
        <v>18533.05</v>
      </c>
      <c r="C366" s="42">
        <v>97290991700</v>
      </c>
      <c r="D366">
        <f t="shared" si="15"/>
        <v>6268.53</v>
      </c>
      <c r="E366">
        <f t="shared" si="16"/>
        <v>5.0468502044677734</v>
      </c>
      <c r="F366">
        <f t="shared" si="17"/>
        <v>1023.1486</v>
      </c>
      <c r="G366" s="42"/>
      <c r="H366" s="41">
        <v>45113</v>
      </c>
      <c r="I366" s="42">
        <v>6268.53</v>
      </c>
      <c r="J366" s="41">
        <v>45113</v>
      </c>
      <c r="K366" s="42">
        <v>5.0468502044677734</v>
      </c>
      <c r="L366" s="41">
        <v>45113</v>
      </c>
      <c r="M366" s="42">
        <v>1023.1486</v>
      </c>
    </row>
    <row r="367" spans="1:13">
      <c r="A367" s="41">
        <v>45114</v>
      </c>
      <c r="B367" s="42">
        <v>18365.7</v>
      </c>
      <c r="C367" s="42">
        <v>99455868700</v>
      </c>
      <c r="D367">
        <f t="shared" si="15"/>
        <v>6198.86</v>
      </c>
      <c r="E367">
        <f t="shared" si="16"/>
        <v>5.0604801177978516</v>
      </c>
      <c r="F367">
        <f t="shared" si="17"/>
        <v>1043.5786000000001</v>
      </c>
      <c r="G367" s="42"/>
      <c r="H367" s="41">
        <v>45114</v>
      </c>
      <c r="I367" s="42">
        <v>6198.86</v>
      </c>
      <c r="J367" s="41">
        <v>45114</v>
      </c>
      <c r="K367" s="42">
        <v>5.0604801177978516</v>
      </c>
      <c r="L367" s="41">
        <v>45114</v>
      </c>
      <c r="M367" s="42">
        <v>1043.5786000000001</v>
      </c>
    </row>
    <row r="368" spans="1:13">
      <c r="A368" s="41">
        <v>45117</v>
      </c>
      <c r="B368" s="42">
        <v>18479.72</v>
      </c>
      <c r="C368" s="42">
        <v>78291486200</v>
      </c>
      <c r="D368">
        <f t="shared" si="15"/>
        <v>6235.24</v>
      </c>
      <c r="E368">
        <f t="shared" si="16"/>
        <v>5.0194602012634277</v>
      </c>
      <c r="F368">
        <f t="shared" si="17"/>
        <v>1056.5568000000001</v>
      </c>
      <c r="G368" s="42"/>
      <c r="H368" s="41">
        <v>45117</v>
      </c>
      <c r="I368" s="42">
        <v>6235.24</v>
      </c>
      <c r="J368" s="41">
        <v>45117</v>
      </c>
      <c r="K368" s="42">
        <v>5.0194602012634277</v>
      </c>
      <c r="L368" s="41">
        <v>45117</v>
      </c>
      <c r="M368" s="42">
        <v>1056.5568000000001</v>
      </c>
    </row>
    <row r="369" spans="1:13">
      <c r="A369" s="41">
        <v>45118</v>
      </c>
      <c r="B369" s="42">
        <v>18659.830000000002</v>
      </c>
      <c r="C369" s="42">
        <v>83908836700</v>
      </c>
      <c r="D369">
        <f t="shared" si="15"/>
        <v>6295.85</v>
      </c>
      <c r="E369">
        <f t="shared" si="16"/>
        <v>5.0142297744750977</v>
      </c>
      <c r="F369">
        <f t="shared" si="17"/>
        <v>1058.3382999999999</v>
      </c>
      <c r="G369" s="42"/>
      <c r="H369" s="41">
        <v>45118</v>
      </c>
      <c r="I369" s="42">
        <v>6295.85</v>
      </c>
      <c r="J369" s="41">
        <v>45118</v>
      </c>
      <c r="K369" s="42">
        <v>5.0142297744750977</v>
      </c>
      <c r="L369" s="41">
        <v>45118</v>
      </c>
      <c r="M369" s="42">
        <v>1058.3382999999999</v>
      </c>
    </row>
    <row r="370" spans="1:13">
      <c r="A370" s="41">
        <v>45119</v>
      </c>
      <c r="B370" s="42">
        <v>18860.95</v>
      </c>
      <c r="C370" s="42">
        <v>83847876600</v>
      </c>
      <c r="D370">
        <f t="shared" si="15"/>
        <v>6377.99</v>
      </c>
      <c r="E370">
        <f t="shared" si="16"/>
        <v>5.0082101821899414</v>
      </c>
      <c r="F370">
        <f t="shared" si="17"/>
        <v>1055.5784000000001</v>
      </c>
      <c r="G370" s="42"/>
      <c r="H370" s="41">
        <v>45119</v>
      </c>
      <c r="I370" s="42">
        <v>6377.99</v>
      </c>
      <c r="J370" s="41">
        <v>45119</v>
      </c>
      <c r="K370" s="42">
        <v>5.0082101821899414</v>
      </c>
      <c r="L370" s="41">
        <v>45119</v>
      </c>
      <c r="M370" s="42">
        <v>1055.5784000000001</v>
      </c>
    </row>
    <row r="371" spans="1:13">
      <c r="A371" s="41">
        <v>45120</v>
      </c>
      <c r="B371" s="42">
        <v>19350.62</v>
      </c>
      <c r="C371" s="42">
        <v>111333914000</v>
      </c>
      <c r="D371">
        <f t="shared" si="15"/>
        <v>6543.91</v>
      </c>
      <c r="E371">
        <f t="shared" si="16"/>
        <v>5.0071401596069336</v>
      </c>
      <c r="F371">
        <f t="shared" si="17"/>
        <v>1066.6505999999999</v>
      </c>
      <c r="G371" s="42"/>
      <c r="H371" s="41">
        <v>45120</v>
      </c>
      <c r="I371" s="42">
        <v>6543.91</v>
      </c>
      <c r="J371" s="41">
        <v>45120</v>
      </c>
      <c r="K371" s="42">
        <v>5.0071401596069336</v>
      </c>
      <c r="L371" s="41">
        <v>45120</v>
      </c>
      <c r="M371" s="42">
        <v>1066.6505999999999</v>
      </c>
    </row>
    <row r="372" spans="1:13">
      <c r="A372" s="41">
        <v>45121</v>
      </c>
      <c r="B372" s="42">
        <v>19413.78</v>
      </c>
      <c r="C372" s="42">
        <v>91249516600</v>
      </c>
      <c r="D372">
        <f t="shared" si="15"/>
        <v>6558.88</v>
      </c>
      <c r="E372">
        <f t="shared" si="16"/>
        <v>5.0088100433349609</v>
      </c>
      <c r="F372">
        <f t="shared" si="17"/>
        <v>1053.2438999999999</v>
      </c>
      <c r="G372" s="42"/>
      <c r="H372" s="41">
        <v>45121</v>
      </c>
      <c r="I372" s="42">
        <v>6558.88</v>
      </c>
      <c r="J372" s="41">
        <v>45121</v>
      </c>
      <c r="K372" s="42">
        <v>5.0088100433349609</v>
      </c>
      <c r="L372" s="41">
        <v>45121</v>
      </c>
      <c r="M372" s="42">
        <v>1053.2438999999999</v>
      </c>
    </row>
    <row r="373" spans="1:13">
      <c r="A373" s="41">
        <v>45124</v>
      </c>
      <c r="B373" s="42">
        <v>19413.78</v>
      </c>
      <c r="C373" s="42"/>
      <c r="D373">
        <f t="shared" si="15"/>
        <v>6558.88</v>
      </c>
      <c r="E373">
        <f t="shared" si="16"/>
        <v>0</v>
      </c>
      <c r="F373">
        <f t="shared" si="17"/>
        <v>1062.7906</v>
      </c>
      <c r="G373" s="42"/>
      <c r="H373" s="41">
        <v>45124</v>
      </c>
      <c r="I373" s="42">
        <v>6558.88</v>
      </c>
      <c r="J373" s="41">
        <v>45124</v>
      </c>
      <c r="K373" s="42"/>
      <c r="L373" s="41">
        <v>45124</v>
      </c>
      <c r="M373" s="42">
        <v>1062.7906</v>
      </c>
    </row>
    <row r="374" spans="1:13">
      <c r="A374" s="41">
        <v>45125</v>
      </c>
      <c r="B374" s="42">
        <v>19015.72</v>
      </c>
      <c r="C374" s="42">
        <v>95049572100</v>
      </c>
      <c r="D374">
        <f t="shared" si="15"/>
        <v>6400.09</v>
      </c>
      <c r="E374">
        <f t="shared" si="16"/>
        <v>5.0633301734924316</v>
      </c>
      <c r="F374">
        <f t="shared" si="17"/>
        <v>1078.3073999999999</v>
      </c>
      <c r="G374" s="42"/>
      <c r="H374" s="41">
        <v>45125</v>
      </c>
      <c r="I374" s="42">
        <v>6400.09</v>
      </c>
      <c r="J374" s="41">
        <v>45125</v>
      </c>
      <c r="K374" s="42">
        <v>5.0633301734924316</v>
      </c>
      <c r="L374" s="41">
        <v>45125</v>
      </c>
      <c r="M374" s="42">
        <v>1078.3073999999999</v>
      </c>
    </row>
    <row r="375" spans="1:13">
      <c r="A375" s="41">
        <v>45126</v>
      </c>
      <c r="B375" s="42">
        <v>18952.310000000001</v>
      </c>
      <c r="C375" s="42">
        <v>111716092600</v>
      </c>
      <c r="D375">
        <f t="shared" si="15"/>
        <v>6381.94</v>
      </c>
      <c r="E375">
        <f t="shared" si="16"/>
        <v>5.128270149230957</v>
      </c>
      <c r="F375">
        <f t="shared" si="17"/>
        <v>1080.0971999999999</v>
      </c>
      <c r="G375" s="42"/>
      <c r="H375" s="41">
        <v>45126</v>
      </c>
      <c r="I375" s="42">
        <v>6381.94</v>
      </c>
      <c r="J375" s="41">
        <v>45126</v>
      </c>
      <c r="K375" s="42">
        <v>5.128270149230957</v>
      </c>
      <c r="L375" s="41">
        <v>45126</v>
      </c>
      <c r="M375" s="42">
        <v>1080.0971999999999</v>
      </c>
    </row>
    <row r="376" spans="1:13">
      <c r="A376" s="41">
        <v>45127</v>
      </c>
      <c r="B376" s="42">
        <v>18928.02</v>
      </c>
      <c r="C376" s="42">
        <v>104858019600</v>
      </c>
      <c r="D376">
        <f t="shared" si="15"/>
        <v>6364.12</v>
      </c>
      <c r="E376">
        <f t="shared" si="16"/>
        <v>5.2342901229858398</v>
      </c>
      <c r="F376">
        <f t="shared" si="17"/>
        <v>1071.1967999999999</v>
      </c>
      <c r="G376" s="42"/>
      <c r="H376" s="41">
        <v>45127</v>
      </c>
      <c r="I376" s="42">
        <v>6364.12</v>
      </c>
      <c r="J376" s="41">
        <v>45127</v>
      </c>
      <c r="K376" s="42">
        <v>5.2342901229858398</v>
      </c>
      <c r="L376" s="41">
        <v>45127</v>
      </c>
      <c r="M376" s="42">
        <v>1071.1967999999999</v>
      </c>
    </row>
    <row r="377" spans="1:13">
      <c r="A377" s="41">
        <v>45128</v>
      </c>
      <c r="B377" s="42">
        <v>19075.259999999998</v>
      </c>
      <c r="C377" s="42">
        <v>76622941400</v>
      </c>
      <c r="D377">
        <f t="shared" si="15"/>
        <v>6415.02</v>
      </c>
      <c r="E377">
        <f t="shared" si="16"/>
        <v>5.1979799270629883</v>
      </c>
      <c r="F377">
        <f t="shared" si="17"/>
        <v>1085.4164000000001</v>
      </c>
      <c r="G377" s="42"/>
      <c r="H377" s="41">
        <v>45128</v>
      </c>
      <c r="I377" s="42">
        <v>6415.02</v>
      </c>
      <c r="J377" s="41">
        <v>45128</v>
      </c>
      <c r="K377" s="42">
        <v>5.1979799270629883</v>
      </c>
      <c r="L377" s="41">
        <v>45128</v>
      </c>
      <c r="M377" s="42">
        <v>1085.4164000000001</v>
      </c>
    </row>
    <row r="378" spans="1:13">
      <c r="A378" s="41">
        <v>45131</v>
      </c>
      <c r="B378" s="42">
        <v>18668.150000000001</v>
      </c>
      <c r="C378" s="42">
        <v>93503346300</v>
      </c>
      <c r="D378">
        <f t="shared" si="15"/>
        <v>6271.03</v>
      </c>
      <c r="E378">
        <f t="shared" si="16"/>
        <v>5.1598200798034668</v>
      </c>
      <c r="F378">
        <f t="shared" si="17"/>
        <v>1065.2918999999999</v>
      </c>
      <c r="G378" s="42"/>
      <c r="H378" s="41">
        <v>45131</v>
      </c>
      <c r="I378" s="42">
        <v>6271.03</v>
      </c>
      <c r="J378" s="41">
        <v>45131</v>
      </c>
      <c r="K378" s="42">
        <v>5.1598200798034668</v>
      </c>
      <c r="L378" s="41">
        <v>45131</v>
      </c>
      <c r="M378" s="42">
        <v>1065.2918999999999</v>
      </c>
    </row>
    <row r="379" spans="1:13">
      <c r="A379" s="41">
        <v>45132</v>
      </c>
      <c r="B379" s="42">
        <v>19434.400000000001</v>
      </c>
      <c r="C379" s="42">
        <v>142106218000</v>
      </c>
      <c r="D379">
        <f t="shared" si="15"/>
        <v>6604.2</v>
      </c>
      <c r="E379">
        <f t="shared" si="16"/>
        <v>5.1457700729370117</v>
      </c>
      <c r="F379">
        <f t="shared" si="17"/>
        <v>1059.8429000000001</v>
      </c>
      <c r="G379" s="42"/>
      <c r="H379" s="41">
        <v>45132</v>
      </c>
      <c r="I379" s="42">
        <v>6604.2</v>
      </c>
      <c r="J379" s="41">
        <v>45132</v>
      </c>
      <c r="K379" s="42">
        <v>5.1457700729370117</v>
      </c>
      <c r="L379" s="41">
        <v>45132</v>
      </c>
      <c r="M379" s="42">
        <v>1059.8429000000001</v>
      </c>
    </row>
    <row r="380" spans="1:13">
      <c r="A380" s="41">
        <v>45133</v>
      </c>
      <c r="B380" s="42">
        <v>19365.14</v>
      </c>
      <c r="C380" s="42">
        <v>87492057800</v>
      </c>
      <c r="D380">
        <f t="shared" si="15"/>
        <v>6549.19</v>
      </c>
      <c r="E380">
        <f t="shared" si="16"/>
        <v>5.1819601058959961</v>
      </c>
      <c r="F380">
        <f t="shared" si="17"/>
        <v>1071.4359999999999</v>
      </c>
      <c r="G380" s="42"/>
      <c r="H380" s="41">
        <v>45133</v>
      </c>
      <c r="I380" s="42">
        <v>6549.19</v>
      </c>
      <c r="J380" s="41">
        <v>45133</v>
      </c>
      <c r="K380" s="42">
        <v>5.1819601058959961</v>
      </c>
      <c r="L380" s="41">
        <v>45133</v>
      </c>
      <c r="M380" s="42">
        <v>1071.4359999999999</v>
      </c>
    </row>
    <row r="381" spans="1:13">
      <c r="A381" s="41">
        <v>45134</v>
      </c>
      <c r="B381" s="42">
        <v>19639.11</v>
      </c>
      <c r="C381" s="42">
        <v>113563971200</v>
      </c>
      <c r="D381">
        <f t="shared" si="15"/>
        <v>6670.68</v>
      </c>
      <c r="E381">
        <f t="shared" si="16"/>
        <v>5.2841100692749023</v>
      </c>
      <c r="F381">
        <f t="shared" si="17"/>
        <v>1072.2345</v>
      </c>
      <c r="G381" s="42"/>
      <c r="H381" s="41">
        <v>45134</v>
      </c>
      <c r="I381" s="42">
        <v>6670.68</v>
      </c>
      <c r="J381" s="41">
        <v>45134</v>
      </c>
      <c r="K381" s="42">
        <v>5.2841100692749023</v>
      </c>
      <c r="L381" s="41">
        <v>45134</v>
      </c>
      <c r="M381" s="42">
        <v>1072.2345</v>
      </c>
    </row>
    <row r="382" spans="1:13">
      <c r="A382" s="41">
        <v>45135</v>
      </c>
      <c r="B382" s="42">
        <v>19916.560000000001</v>
      </c>
      <c r="C382" s="42">
        <v>137727621600</v>
      </c>
      <c r="D382">
        <f t="shared" si="15"/>
        <v>6808.47</v>
      </c>
      <c r="E382">
        <f t="shared" si="16"/>
        <v>5.2826800346374512</v>
      </c>
      <c r="F382">
        <f t="shared" si="17"/>
        <v>1078.807</v>
      </c>
      <c r="G382" s="42"/>
      <c r="H382" s="41">
        <v>45135</v>
      </c>
      <c r="I382" s="42">
        <v>6808.47</v>
      </c>
      <c r="J382" s="41">
        <v>45135</v>
      </c>
      <c r="K382" s="42">
        <v>5.2826800346374512</v>
      </c>
      <c r="L382" s="41">
        <v>45135</v>
      </c>
      <c r="M382" s="42">
        <v>1078.807</v>
      </c>
    </row>
    <row r="383" spans="1:13">
      <c r="A383" s="41">
        <v>45138</v>
      </c>
      <c r="B383" s="42">
        <v>20078.939999999999</v>
      </c>
      <c r="C383" s="42">
        <v>182561434400</v>
      </c>
      <c r="D383">
        <f t="shared" si="15"/>
        <v>6899.31</v>
      </c>
      <c r="E383">
        <f t="shared" si="16"/>
        <v>5.2907099723815918</v>
      </c>
      <c r="F383">
        <f t="shared" si="17"/>
        <v>1105.6324</v>
      </c>
      <c r="G383" s="42"/>
      <c r="H383" s="41">
        <v>45138</v>
      </c>
      <c r="I383" s="42">
        <v>6899.31</v>
      </c>
      <c r="J383" s="41">
        <v>45138</v>
      </c>
      <c r="K383" s="42">
        <v>5.2907099723815918</v>
      </c>
      <c r="L383" s="41">
        <v>45138</v>
      </c>
      <c r="M383" s="42">
        <v>1105.6324</v>
      </c>
    </row>
    <row r="384" spans="1:13">
      <c r="A384" s="41">
        <v>45139</v>
      </c>
      <c r="B384" s="42">
        <v>20011.12</v>
      </c>
      <c r="C384" s="42">
        <v>135190269500</v>
      </c>
      <c r="D384">
        <f t="shared" si="15"/>
        <v>6854.52</v>
      </c>
      <c r="E384">
        <f t="shared" si="16"/>
        <v>5.3109498023986816</v>
      </c>
      <c r="F384">
        <f t="shared" si="17"/>
        <v>1088.7936</v>
      </c>
      <c r="G384" s="42"/>
      <c r="H384" s="41">
        <v>45139</v>
      </c>
      <c r="I384" s="42">
        <v>6854.52</v>
      </c>
      <c r="J384" s="41">
        <v>45139</v>
      </c>
      <c r="K384" s="42">
        <v>5.3109498023986816</v>
      </c>
      <c r="L384" s="41">
        <v>45139</v>
      </c>
      <c r="M384" s="42">
        <v>1088.7936</v>
      </c>
    </row>
    <row r="385" spans="1:13">
      <c r="A385" s="41">
        <v>45140</v>
      </c>
      <c r="B385" s="42">
        <v>19517.38</v>
      </c>
      <c r="C385" s="42">
        <v>113361924200</v>
      </c>
      <c r="D385">
        <f t="shared" si="15"/>
        <v>6669.37</v>
      </c>
      <c r="E385">
        <f t="shared" si="16"/>
        <v>5.4310698509216309</v>
      </c>
      <c r="F385">
        <f t="shared" si="17"/>
        <v>1076.2037</v>
      </c>
      <c r="G385" s="42"/>
      <c r="H385" s="41">
        <v>45140</v>
      </c>
      <c r="I385" s="42">
        <v>6669.37</v>
      </c>
      <c r="J385" s="41">
        <v>45140</v>
      </c>
      <c r="K385" s="42">
        <v>5.4310698509216309</v>
      </c>
      <c r="L385" s="41">
        <v>45140</v>
      </c>
      <c r="M385" s="42">
        <v>1076.2037</v>
      </c>
    </row>
    <row r="386" spans="1:13">
      <c r="A386" s="41">
        <v>45141</v>
      </c>
      <c r="B386" s="42">
        <v>19420.87</v>
      </c>
      <c r="C386" s="42">
        <v>101162408300</v>
      </c>
      <c r="D386">
        <f t="shared" si="15"/>
        <v>6652.16</v>
      </c>
      <c r="E386">
        <f t="shared" si="16"/>
        <v>5.3954200744628906</v>
      </c>
      <c r="F386">
        <f t="shared" si="17"/>
        <v>1083.2943</v>
      </c>
      <c r="G386" s="42"/>
      <c r="H386" s="41">
        <v>45141</v>
      </c>
      <c r="I386" s="42">
        <v>6652.16</v>
      </c>
      <c r="J386" s="41">
        <v>45141</v>
      </c>
      <c r="K386" s="42">
        <v>5.3954200744628906</v>
      </c>
      <c r="L386" s="41">
        <v>45141</v>
      </c>
      <c r="M386" s="42">
        <v>1083.2943</v>
      </c>
    </row>
    <row r="387" spans="1:13">
      <c r="A387" s="41">
        <v>45142</v>
      </c>
      <c r="B387" s="42">
        <v>19539.46</v>
      </c>
      <c r="C387" s="42">
        <v>114413232400</v>
      </c>
      <c r="D387">
        <f t="shared" si="15"/>
        <v>6732.58</v>
      </c>
      <c r="E387">
        <f t="shared" si="16"/>
        <v>5.342440128326416</v>
      </c>
      <c r="F387">
        <f t="shared" si="17"/>
        <v>1070.7128</v>
      </c>
      <c r="G387" s="42"/>
      <c r="H387" s="41">
        <v>45142</v>
      </c>
      <c r="I387" s="42">
        <v>6732.58</v>
      </c>
      <c r="J387" s="41">
        <v>45142</v>
      </c>
      <c r="K387" s="42">
        <v>5.342440128326416</v>
      </c>
      <c r="L387" s="41">
        <v>45142</v>
      </c>
      <c r="M387" s="42">
        <v>1070.7128</v>
      </c>
    </row>
    <row r="388" spans="1:13">
      <c r="A388" s="41">
        <v>45145</v>
      </c>
      <c r="B388" s="42">
        <v>19537.919999999998</v>
      </c>
      <c r="C388" s="42">
        <v>78979304200</v>
      </c>
      <c r="D388">
        <f t="shared" ref="D388:D451" si="18">IFERROR(VLOOKUP($A388,$H$3:$I$1100,2,FALSE),"")</f>
        <v>6734.31</v>
      </c>
      <c r="E388">
        <f t="shared" ref="E388:E451" si="19">IFERROR(VLOOKUP($A388,$J$3:$K$1100,2,FALSE),"")</f>
        <v>5.2937498092651367</v>
      </c>
      <c r="F388">
        <f t="shared" ref="F388:F451" si="20">IFERROR(VLOOKUP($A388,$L$3:$M$1100,2,FALSE),"")</f>
        <v>1080.8252</v>
      </c>
      <c r="G388" s="42"/>
      <c r="H388" s="41">
        <v>45145</v>
      </c>
      <c r="I388" s="42">
        <v>6734.31</v>
      </c>
      <c r="J388" s="41">
        <v>45145</v>
      </c>
      <c r="K388" s="42">
        <v>5.2937498092651367</v>
      </c>
      <c r="L388" s="41">
        <v>45145</v>
      </c>
      <c r="M388" s="42">
        <v>1080.8252</v>
      </c>
    </row>
    <row r="389" spans="1:13">
      <c r="A389" s="41">
        <v>45146</v>
      </c>
      <c r="B389" s="42">
        <v>19184.169999999998</v>
      </c>
      <c r="C389" s="42">
        <v>104619768400</v>
      </c>
      <c r="D389">
        <f t="shared" si="18"/>
        <v>6587.75</v>
      </c>
      <c r="E389">
        <f t="shared" si="19"/>
        <v>5.3065500259399414</v>
      </c>
      <c r="F389">
        <f t="shared" si="20"/>
        <v>1081.5334</v>
      </c>
      <c r="G389" s="42"/>
      <c r="H389" s="41">
        <v>45146</v>
      </c>
      <c r="I389" s="42">
        <v>6587.75</v>
      </c>
      <c r="J389" s="41">
        <v>45146</v>
      </c>
      <c r="K389" s="42">
        <v>5.3065500259399414</v>
      </c>
      <c r="L389" s="41">
        <v>45146</v>
      </c>
      <c r="M389" s="42">
        <v>1081.5334</v>
      </c>
    </row>
    <row r="390" spans="1:13">
      <c r="A390" s="41">
        <v>45147</v>
      </c>
      <c r="B390" s="42">
        <v>19246.03</v>
      </c>
      <c r="C390" s="42">
        <v>85038707900</v>
      </c>
      <c r="D390">
        <f t="shared" si="18"/>
        <v>6613.23</v>
      </c>
      <c r="E390">
        <f t="shared" si="19"/>
        <v>5.1985697746276855</v>
      </c>
      <c r="F390">
        <f t="shared" si="20"/>
        <v>1058.4698000000001</v>
      </c>
      <c r="G390" s="42"/>
      <c r="H390" s="41">
        <v>45147</v>
      </c>
      <c r="I390" s="42">
        <v>6613.23</v>
      </c>
      <c r="J390" s="41">
        <v>45147</v>
      </c>
      <c r="K390" s="42">
        <v>5.1985697746276855</v>
      </c>
      <c r="L390" s="41">
        <v>45147</v>
      </c>
      <c r="M390" s="42">
        <v>1058.4698000000001</v>
      </c>
    </row>
    <row r="391" spans="1:13">
      <c r="A391" s="41">
        <v>45148</v>
      </c>
      <c r="B391" s="42">
        <v>19248.259999999998</v>
      </c>
      <c r="C391" s="42">
        <v>81086493900</v>
      </c>
      <c r="D391">
        <f t="shared" si="18"/>
        <v>6628.55</v>
      </c>
      <c r="E391">
        <f t="shared" si="19"/>
        <v>5.1096401214599609</v>
      </c>
      <c r="F391">
        <f t="shared" si="20"/>
        <v>1061.8140000000001</v>
      </c>
      <c r="G391" s="42"/>
      <c r="H391" s="41">
        <v>45148</v>
      </c>
      <c r="I391" s="42">
        <v>6628.55</v>
      </c>
      <c r="J391" s="41">
        <v>45148</v>
      </c>
      <c r="K391" s="42">
        <v>5.1096401214599609</v>
      </c>
      <c r="L391" s="41">
        <v>45148</v>
      </c>
      <c r="M391" s="42">
        <v>1061.8140000000001</v>
      </c>
    </row>
    <row r="392" spans="1:13">
      <c r="A392" s="41">
        <v>45149</v>
      </c>
      <c r="B392" s="42">
        <v>19075.189999999999</v>
      </c>
      <c r="C392" s="42">
        <v>96579155600</v>
      </c>
      <c r="D392">
        <f t="shared" si="18"/>
        <v>6540.63</v>
      </c>
      <c r="E392">
        <f t="shared" si="19"/>
        <v>5.1084499359130859</v>
      </c>
      <c r="F392">
        <f t="shared" si="20"/>
        <v>1037.4729</v>
      </c>
      <c r="G392" s="42"/>
      <c r="H392" s="41">
        <v>45149</v>
      </c>
      <c r="I392" s="42">
        <v>6540.63</v>
      </c>
      <c r="J392" s="41">
        <v>45149</v>
      </c>
      <c r="K392" s="42">
        <v>5.1084499359130859</v>
      </c>
      <c r="L392" s="41">
        <v>45149</v>
      </c>
      <c r="M392" s="42">
        <v>1037.4729</v>
      </c>
    </row>
    <row r="393" spans="1:13">
      <c r="A393" s="41">
        <v>45152</v>
      </c>
      <c r="B393" s="42">
        <v>18773.55</v>
      </c>
      <c r="C393" s="42">
        <v>104146705200</v>
      </c>
      <c r="D393">
        <f t="shared" si="18"/>
        <v>6423.84</v>
      </c>
      <c r="E393">
        <f t="shared" si="19"/>
        <v>5.1279802322387695</v>
      </c>
      <c r="F393">
        <f t="shared" si="20"/>
        <v>1029.3293000000001</v>
      </c>
      <c r="G393" s="42"/>
      <c r="H393" s="41">
        <v>45152</v>
      </c>
      <c r="I393" s="42">
        <v>6423.84</v>
      </c>
      <c r="J393" s="41">
        <v>45152</v>
      </c>
      <c r="K393" s="42">
        <v>5.1279802322387695</v>
      </c>
      <c r="L393" s="41">
        <v>45152</v>
      </c>
      <c r="M393" s="42">
        <v>1029.3293000000001</v>
      </c>
    </row>
    <row r="394" spans="1:13">
      <c r="A394" s="41">
        <v>45153</v>
      </c>
      <c r="B394" s="42">
        <v>18581.11</v>
      </c>
      <c r="C394" s="42">
        <v>81903847700</v>
      </c>
      <c r="D394">
        <f t="shared" si="18"/>
        <v>6366.48</v>
      </c>
      <c r="E394">
        <f t="shared" si="19"/>
        <v>5.1044101715087891</v>
      </c>
      <c r="F394">
        <f t="shared" si="20"/>
        <v>1023.2855</v>
      </c>
      <c r="G394" s="42"/>
      <c r="H394" s="41">
        <v>45153</v>
      </c>
      <c r="I394" s="42">
        <v>6366.48</v>
      </c>
      <c r="J394" s="41">
        <v>45153</v>
      </c>
      <c r="K394" s="42">
        <v>5.1044101715087891</v>
      </c>
      <c r="L394" s="41">
        <v>45153</v>
      </c>
      <c r="M394" s="42">
        <v>1023.2855</v>
      </c>
    </row>
    <row r="395" spans="1:13">
      <c r="A395" s="41">
        <v>45154</v>
      </c>
      <c r="B395" s="42">
        <v>18329.3</v>
      </c>
      <c r="C395" s="42">
        <v>97930366200</v>
      </c>
      <c r="D395">
        <f t="shared" si="18"/>
        <v>6272.86</v>
      </c>
      <c r="E395">
        <f t="shared" si="19"/>
        <v>5.0763697624206543</v>
      </c>
      <c r="F395">
        <f t="shared" si="20"/>
        <v>1017.1432</v>
      </c>
      <c r="G395" s="42"/>
      <c r="H395" s="41">
        <v>45154</v>
      </c>
      <c r="I395" s="42">
        <v>6272.86</v>
      </c>
      <c r="J395" s="41">
        <v>45154</v>
      </c>
      <c r="K395" s="42">
        <v>5.0763697624206543</v>
      </c>
      <c r="L395" s="41">
        <v>45154</v>
      </c>
      <c r="M395" s="42">
        <v>1017.1432</v>
      </c>
    </row>
    <row r="396" spans="1:13">
      <c r="A396" s="41">
        <v>45155</v>
      </c>
      <c r="B396" s="42">
        <v>18326.63</v>
      </c>
      <c r="C396" s="42">
        <v>112923678700</v>
      </c>
      <c r="D396">
        <f t="shared" si="18"/>
        <v>6292.33</v>
      </c>
      <c r="E396">
        <f t="shared" si="19"/>
        <v>5.0181598663330078</v>
      </c>
      <c r="F396">
        <f t="shared" si="20"/>
        <v>1021.0779</v>
      </c>
      <c r="G396" s="42"/>
      <c r="H396" s="41">
        <v>45155</v>
      </c>
      <c r="I396" s="42">
        <v>6292.33</v>
      </c>
      <c r="J396" s="41">
        <v>45155</v>
      </c>
      <c r="K396" s="42">
        <v>5.0181598663330078</v>
      </c>
      <c r="L396" s="41">
        <v>45155</v>
      </c>
      <c r="M396" s="42">
        <v>1021.0779</v>
      </c>
    </row>
    <row r="397" spans="1:13">
      <c r="A397" s="41">
        <v>45156</v>
      </c>
      <c r="B397" s="42">
        <v>17950.849999999999</v>
      </c>
      <c r="C397" s="42">
        <v>106385912800</v>
      </c>
      <c r="D397">
        <f t="shared" si="18"/>
        <v>6146.99</v>
      </c>
      <c r="E397">
        <f t="shared" si="19"/>
        <v>5.0243501663208008</v>
      </c>
      <c r="F397">
        <f t="shared" si="20"/>
        <v>1000.1692</v>
      </c>
      <c r="G397" s="42"/>
      <c r="H397" s="41">
        <v>45156</v>
      </c>
      <c r="I397" s="42">
        <v>6146.99</v>
      </c>
      <c r="J397" s="41">
        <v>45156</v>
      </c>
      <c r="K397" s="42">
        <v>5.0243501663208008</v>
      </c>
      <c r="L397" s="41">
        <v>45156</v>
      </c>
      <c r="M397" s="42">
        <v>1000.1692</v>
      </c>
    </row>
    <row r="398" spans="1:13">
      <c r="A398" s="41">
        <v>45159</v>
      </c>
      <c r="B398" s="42">
        <v>17623.29</v>
      </c>
      <c r="C398" s="42">
        <v>108543134400</v>
      </c>
      <c r="D398">
        <f t="shared" si="18"/>
        <v>6030.64</v>
      </c>
      <c r="E398">
        <f t="shared" si="19"/>
        <v>4.9405398368835449</v>
      </c>
      <c r="F398">
        <f t="shared" si="20"/>
        <v>989.20219999999995</v>
      </c>
      <c r="G398" s="42"/>
      <c r="H398" s="41">
        <v>45159</v>
      </c>
      <c r="I398" s="42">
        <v>6030.64</v>
      </c>
      <c r="J398" s="41">
        <v>45159</v>
      </c>
      <c r="K398" s="42">
        <v>4.9405398368835449</v>
      </c>
      <c r="L398" s="41">
        <v>45159</v>
      </c>
      <c r="M398" s="42">
        <v>989.20219999999995</v>
      </c>
    </row>
    <row r="399" spans="1:13">
      <c r="A399" s="41">
        <v>45160</v>
      </c>
      <c r="B399" s="42">
        <v>17791.009999999998</v>
      </c>
      <c r="C399" s="42">
        <v>102266636200</v>
      </c>
      <c r="D399">
        <f t="shared" si="18"/>
        <v>6097.59</v>
      </c>
      <c r="E399">
        <f t="shared" si="19"/>
        <v>4.8305997848510742</v>
      </c>
      <c r="F399">
        <f t="shared" si="20"/>
        <v>979.38430000000005</v>
      </c>
      <c r="G399" s="42"/>
      <c r="H399" s="41">
        <v>45160</v>
      </c>
      <c r="I399" s="42">
        <v>6097.59</v>
      </c>
      <c r="J399" s="41">
        <v>45160</v>
      </c>
      <c r="K399" s="42">
        <v>4.8305997848510742</v>
      </c>
      <c r="L399" s="41">
        <v>45160</v>
      </c>
      <c r="M399" s="42">
        <v>979.38430000000005</v>
      </c>
    </row>
    <row r="400" spans="1:13">
      <c r="A400" s="41">
        <v>45161</v>
      </c>
      <c r="B400" s="42">
        <v>17845.919999999998</v>
      </c>
      <c r="C400" s="42">
        <v>84220957200</v>
      </c>
      <c r="D400">
        <f t="shared" si="18"/>
        <v>6117.27</v>
      </c>
      <c r="E400">
        <f t="shared" si="19"/>
        <v>4.7823801040649414</v>
      </c>
      <c r="F400">
        <f t="shared" si="20"/>
        <v>980.53819999999996</v>
      </c>
      <c r="G400" s="42"/>
      <c r="H400" s="41">
        <v>45161</v>
      </c>
      <c r="I400" s="42">
        <v>6117.27</v>
      </c>
      <c r="J400" s="41">
        <v>45161</v>
      </c>
      <c r="K400" s="42">
        <v>4.7823801040649414</v>
      </c>
      <c r="L400" s="41">
        <v>45161</v>
      </c>
      <c r="M400" s="42">
        <v>980.53819999999996</v>
      </c>
    </row>
    <row r="401" spans="1:13">
      <c r="A401" s="41">
        <v>45162</v>
      </c>
      <c r="B401" s="42">
        <v>18212.169999999998</v>
      </c>
      <c r="C401" s="42">
        <v>101519918800</v>
      </c>
      <c r="D401">
        <f t="shared" si="18"/>
        <v>6267.95</v>
      </c>
      <c r="E401">
        <f t="shared" si="19"/>
        <v>4.7083902359008789</v>
      </c>
      <c r="F401">
        <f t="shared" si="20"/>
        <v>1017.0345</v>
      </c>
      <c r="G401" s="42"/>
      <c r="H401" s="41">
        <v>45162</v>
      </c>
      <c r="I401" s="42">
        <v>6267.95</v>
      </c>
      <c r="J401" s="41">
        <v>45162</v>
      </c>
      <c r="K401" s="42">
        <v>4.7083902359008789</v>
      </c>
      <c r="L401" s="41">
        <v>45162</v>
      </c>
      <c r="M401" s="42">
        <v>1017.0345</v>
      </c>
    </row>
    <row r="402" spans="1:13">
      <c r="A402" s="41">
        <v>45163</v>
      </c>
      <c r="B402" s="42">
        <v>17956.38</v>
      </c>
      <c r="C402" s="42">
        <v>81365653100</v>
      </c>
      <c r="D402">
        <f t="shared" si="18"/>
        <v>6175.29</v>
      </c>
      <c r="E402">
        <f t="shared" si="19"/>
        <v>4.6075000762939453</v>
      </c>
      <c r="F402">
        <f t="shared" si="20"/>
        <v>1012.2712</v>
      </c>
      <c r="G402" s="42"/>
      <c r="H402" s="41">
        <v>45163</v>
      </c>
      <c r="I402" s="42">
        <v>6175.29</v>
      </c>
      <c r="J402" s="41">
        <v>45163</v>
      </c>
      <c r="K402" s="42">
        <v>4.6075000762939453</v>
      </c>
      <c r="L402" s="41">
        <v>45163</v>
      </c>
      <c r="M402" s="42">
        <v>1012.2712</v>
      </c>
    </row>
    <row r="403" spans="1:13">
      <c r="A403" s="41">
        <v>45166</v>
      </c>
      <c r="B403" s="42">
        <v>18130.740000000002</v>
      </c>
      <c r="C403" s="42">
        <v>101022637300</v>
      </c>
      <c r="D403">
        <f t="shared" si="18"/>
        <v>6246.22</v>
      </c>
      <c r="E403">
        <f t="shared" si="19"/>
        <v>4.5174999237060547</v>
      </c>
      <c r="F403">
        <f t="shared" si="20"/>
        <v>1006.79</v>
      </c>
      <c r="G403" s="42"/>
      <c r="H403" s="41">
        <v>45166</v>
      </c>
      <c r="I403" s="42">
        <v>6246.22</v>
      </c>
      <c r="J403" s="41">
        <v>45166</v>
      </c>
      <c r="K403" s="42">
        <v>4.5174999237060547</v>
      </c>
      <c r="L403" s="41">
        <v>45166</v>
      </c>
      <c r="M403" s="42">
        <v>1006.79</v>
      </c>
    </row>
    <row r="404" spans="1:13">
      <c r="A404" s="41">
        <v>45167</v>
      </c>
      <c r="B404" s="42">
        <v>18484.03</v>
      </c>
      <c r="C404" s="42">
        <v>101385425700</v>
      </c>
      <c r="D404">
        <f t="shared" si="18"/>
        <v>6386.8</v>
      </c>
      <c r="E404">
        <f t="shared" si="19"/>
        <v>4.4532699584960938</v>
      </c>
      <c r="F404">
        <f t="shared" si="20"/>
        <v>1015.4820999999999</v>
      </c>
      <c r="G404" s="42"/>
      <c r="H404" s="41">
        <v>45167</v>
      </c>
      <c r="I404" s="42">
        <v>6386.8</v>
      </c>
      <c r="J404" s="41">
        <v>45167</v>
      </c>
      <c r="K404" s="42">
        <v>4.4532699584960938</v>
      </c>
      <c r="L404" s="41">
        <v>45167</v>
      </c>
      <c r="M404" s="42">
        <v>1015.4820999999999</v>
      </c>
    </row>
    <row r="405" spans="1:13">
      <c r="A405" s="41">
        <v>45168</v>
      </c>
      <c r="B405" s="42">
        <v>18482.86</v>
      </c>
      <c r="C405" s="42">
        <v>108085861800</v>
      </c>
      <c r="D405">
        <f t="shared" si="18"/>
        <v>6356.5</v>
      </c>
      <c r="E405">
        <f t="shared" si="19"/>
        <v>4.4827399253845215</v>
      </c>
      <c r="F405">
        <f t="shared" si="20"/>
        <v>1001.2048</v>
      </c>
      <c r="G405" s="42"/>
      <c r="H405" s="41">
        <v>45168</v>
      </c>
      <c r="I405" s="42">
        <v>6356.5</v>
      </c>
      <c r="J405" s="41">
        <v>45168</v>
      </c>
      <c r="K405" s="42">
        <v>4.4827399253845215</v>
      </c>
      <c r="L405" s="41">
        <v>45168</v>
      </c>
      <c r="M405" s="42">
        <v>1001.2048</v>
      </c>
    </row>
    <row r="406" spans="1:13">
      <c r="A406" s="41">
        <v>45169</v>
      </c>
      <c r="B406" s="42">
        <v>18382.060000000001</v>
      </c>
      <c r="C406" s="42">
        <v>136542096600</v>
      </c>
      <c r="D406">
        <f t="shared" si="18"/>
        <v>6332.42</v>
      </c>
      <c r="E406">
        <f t="shared" si="19"/>
        <v>4.4466099739074707</v>
      </c>
      <c r="F406">
        <f t="shared" si="20"/>
        <v>986.13909999999998</v>
      </c>
      <c r="G406" s="42"/>
      <c r="H406" s="41">
        <v>45169</v>
      </c>
      <c r="I406" s="42">
        <v>6332.42</v>
      </c>
      <c r="J406" s="41">
        <v>45169</v>
      </c>
      <c r="K406" s="42">
        <v>4.4466099739074707</v>
      </c>
      <c r="L406" s="41">
        <v>45169</v>
      </c>
      <c r="M406" s="42">
        <v>986.13909999999998</v>
      </c>
    </row>
    <row r="407" spans="1:13">
      <c r="A407" s="41">
        <v>45170</v>
      </c>
      <c r="B407" s="42">
        <v>18382.060000000001</v>
      </c>
      <c r="C407" s="42"/>
      <c r="D407">
        <f t="shared" si="18"/>
        <v>6332.42</v>
      </c>
      <c r="E407">
        <f t="shared" si="19"/>
        <v>0</v>
      </c>
      <c r="F407">
        <f t="shared" si="20"/>
        <v>999.83249999999998</v>
      </c>
      <c r="G407" s="42"/>
      <c r="H407" s="41">
        <v>45170</v>
      </c>
      <c r="I407" s="42">
        <v>6332.42</v>
      </c>
      <c r="J407" s="41">
        <v>45170</v>
      </c>
      <c r="K407" s="42"/>
      <c r="L407" s="41">
        <v>45170</v>
      </c>
      <c r="M407" s="42">
        <v>999.83249999999998</v>
      </c>
    </row>
    <row r="408" spans="1:13">
      <c r="A408" s="41">
        <v>45173</v>
      </c>
      <c r="B408" s="42">
        <v>18844.16</v>
      </c>
      <c r="C408" s="42">
        <v>152687484100</v>
      </c>
      <c r="D408">
        <f t="shared" si="18"/>
        <v>6533.45</v>
      </c>
      <c r="E408">
        <f t="shared" si="19"/>
        <v>4.4427399635314941</v>
      </c>
      <c r="F408">
        <f t="shared" si="20"/>
        <v>1009.1130000000001</v>
      </c>
      <c r="G408" s="42"/>
      <c r="H408" s="41">
        <v>45173</v>
      </c>
      <c r="I408" s="42">
        <v>6533.45</v>
      </c>
      <c r="J408" s="41">
        <v>45173</v>
      </c>
      <c r="K408" s="42">
        <v>4.4427399635314941</v>
      </c>
      <c r="L408" s="41">
        <v>45173</v>
      </c>
      <c r="M408" s="42">
        <v>1009.1130000000001</v>
      </c>
    </row>
    <row r="409" spans="1:13">
      <c r="A409" s="41">
        <v>45174</v>
      </c>
      <c r="B409" s="42">
        <v>18456.91</v>
      </c>
      <c r="C409" s="42">
        <v>101498915200</v>
      </c>
      <c r="D409">
        <f t="shared" si="18"/>
        <v>6396.76</v>
      </c>
      <c r="E409">
        <f t="shared" si="19"/>
        <v>4.5247001647949219</v>
      </c>
      <c r="F409">
        <f t="shared" si="20"/>
        <v>1001.7478</v>
      </c>
      <c r="G409" s="42"/>
      <c r="H409" s="41">
        <v>45174</v>
      </c>
      <c r="I409" s="42">
        <v>6396.76</v>
      </c>
      <c r="J409" s="41">
        <v>45174</v>
      </c>
      <c r="K409" s="42">
        <v>4.5247001647949219</v>
      </c>
      <c r="L409" s="41">
        <v>45174</v>
      </c>
      <c r="M409" s="42">
        <v>1001.7478</v>
      </c>
    </row>
    <row r="410" spans="1:13">
      <c r="A410" s="41">
        <v>45175</v>
      </c>
      <c r="B410" s="42">
        <v>18449.98</v>
      </c>
      <c r="C410" s="42">
        <v>92928431300</v>
      </c>
      <c r="D410">
        <f t="shared" si="18"/>
        <v>6403.7</v>
      </c>
      <c r="E410">
        <f t="shared" si="19"/>
        <v>4.565889835357666</v>
      </c>
      <c r="F410">
        <f t="shared" si="20"/>
        <v>993.17460000000005</v>
      </c>
      <c r="G410" s="42"/>
      <c r="H410" s="41">
        <v>45175</v>
      </c>
      <c r="I410" s="42">
        <v>6403.7</v>
      </c>
      <c r="J410" s="41">
        <v>45175</v>
      </c>
      <c r="K410" s="42">
        <v>4.565889835357666</v>
      </c>
      <c r="L410" s="41">
        <v>45175</v>
      </c>
      <c r="M410" s="42">
        <v>993.17460000000005</v>
      </c>
    </row>
    <row r="411" spans="1:13">
      <c r="A411" s="41">
        <v>45176</v>
      </c>
      <c r="B411" s="42">
        <v>18202.07</v>
      </c>
      <c r="C411" s="42">
        <v>86846016900</v>
      </c>
      <c r="D411">
        <f t="shared" si="18"/>
        <v>6314.67</v>
      </c>
      <c r="E411">
        <f t="shared" si="19"/>
        <v>4.5813097953796387</v>
      </c>
      <c r="F411">
        <f t="shared" si="20"/>
        <v>980.50120000000004</v>
      </c>
      <c r="G411" s="42"/>
      <c r="H411" s="41">
        <v>45176</v>
      </c>
      <c r="I411" s="42">
        <v>6314.67</v>
      </c>
      <c r="J411" s="41">
        <v>45176</v>
      </c>
      <c r="K411" s="42">
        <v>4.5813097953796387</v>
      </c>
      <c r="L411" s="41">
        <v>45176</v>
      </c>
      <c r="M411" s="42">
        <v>980.50120000000004</v>
      </c>
    </row>
    <row r="412" spans="1:13">
      <c r="A412" s="41">
        <v>45177</v>
      </c>
      <c r="B412" s="42">
        <v>18202.07</v>
      </c>
      <c r="C412" s="42"/>
      <c r="D412">
        <f t="shared" si="18"/>
        <v>6314.67</v>
      </c>
      <c r="E412">
        <f t="shared" si="19"/>
        <v>0</v>
      </c>
      <c r="F412">
        <f t="shared" si="20"/>
        <v>979.02729999999997</v>
      </c>
      <c r="G412" s="42"/>
      <c r="H412" s="41">
        <v>45177</v>
      </c>
      <c r="I412" s="42">
        <v>6314.67</v>
      </c>
      <c r="J412" s="41">
        <v>45177</v>
      </c>
      <c r="K412" s="42"/>
      <c r="L412" s="41">
        <v>45177</v>
      </c>
      <c r="M412" s="42">
        <v>979.02729999999997</v>
      </c>
    </row>
    <row r="413" spans="1:13">
      <c r="A413" s="41">
        <v>45180</v>
      </c>
      <c r="B413" s="42">
        <v>18096.45</v>
      </c>
      <c r="C413" s="42">
        <v>124482802500</v>
      </c>
      <c r="D413">
        <f t="shared" si="18"/>
        <v>6298.72</v>
      </c>
      <c r="E413">
        <f t="shared" si="19"/>
        <v>4.6513700485229492</v>
      </c>
      <c r="F413">
        <f t="shared" si="20"/>
        <v>990.21420000000001</v>
      </c>
      <c r="G413" s="42"/>
      <c r="H413" s="41">
        <v>45180</v>
      </c>
      <c r="I413" s="42">
        <v>6298.72</v>
      </c>
      <c r="J413" s="41">
        <v>45180</v>
      </c>
      <c r="K413" s="42">
        <v>4.6513700485229492</v>
      </c>
      <c r="L413" s="41">
        <v>45180</v>
      </c>
      <c r="M413" s="42">
        <v>990.21420000000001</v>
      </c>
    </row>
    <row r="414" spans="1:13">
      <c r="A414" s="41">
        <v>45181</v>
      </c>
      <c r="B414" s="42">
        <v>18025.89</v>
      </c>
      <c r="C414" s="42">
        <v>84111157900</v>
      </c>
      <c r="D414">
        <f t="shared" si="18"/>
        <v>6260.19</v>
      </c>
      <c r="E414">
        <f t="shared" si="19"/>
        <v>4.8167901039123535</v>
      </c>
      <c r="F414">
        <f t="shared" si="20"/>
        <v>1007.2476</v>
      </c>
      <c r="G414" s="42"/>
      <c r="H414" s="41">
        <v>45181</v>
      </c>
      <c r="I414" s="42">
        <v>6260.19</v>
      </c>
      <c r="J414" s="41">
        <v>45181</v>
      </c>
      <c r="K414" s="42">
        <v>4.8167901039123535</v>
      </c>
      <c r="L414" s="41">
        <v>45181</v>
      </c>
      <c r="M414" s="42">
        <v>1007.2476</v>
      </c>
    </row>
    <row r="415" spans="1:13">
      <c r="A415" s="41">
        <v>45182</v>
      </c>
      <c r="B415" s="42">
        <v>18009.22</v>
      </c>
      <c r="C415" s="42">
        <v>79858921400</v>
      </c>
      <c r="D415">
        <f t="shared" si="18"/>
        <v>6235.71</v>
      </c>
      <c r="E415">
        <f t="shared" si="19"/>
        <v>4.9843502044677734</v>
      </c>
      <c r="F415">
        <f t="shared" si="20"/>
        <v>986.21280000000002</v>
      </c>
      <c r="G415" s="42"/>
      <c r="H415" s="41">
        <v>45182</v>
      </c>
      <c r="I415" s="42">
        <v>6235.71</v>
      </c>
      <c r="J415" s="41">
        <v>45182</v>
      </c>
      <c r="K415" s="42">
        <v>4.9843502044677734</v>
      </c>
      <c r="L415" s="41">
        <v>45182</v>
      </c>
      <c r="M415" s="42">
        <v>986.21280000000002</v>
      </c>
    </row>
    <row r="416" spans="1:13">
      <c r="A416" s="41">
        <v>45183</v>
      </c>
      <c r="B416" s="42">
        <v>18047.919999999998</v>
      </c>
      <c r="C416" s="42">
        <v>81603934500</v>
      </c>
      <c r="D416">
        <f t="shared" si="18"/>
        <v>6275.15</v>
      </c>
      <c r="E416">
        <f t="shared" si="19"/>
        <v>4.9745798110961914</v>
      </c>
      <c r="F416">
        <f t="shared" si="20"/>
        <v>971.1671</v>
      </c>
      <c r="G416" s="42"/>
      <c r="H416" s="41">
        <v>45183</v>
      </c>
      <c r="I416" s="42">
        <v>6275.15</v>
      </c>
      <c r="J416" s="41">
        <v>45183</v>
      </c>
      <c r="K416" s="42">
        <v>4.9745798110961914</v>
      </c>
      <c r="L416" s="41">
        <v>45183</v>
      </c>
      <c r="M416" s="42">
        <v>971.1671</v>
      </c>
    </row>
    <row r="417" spans="1:13">
      <c r="A417" s="41">
        <v>45184</v>
      </c>
      <c r="B417" s="42">
        <v>18182.89</v>
      </c>
      <c r="C417" s="42">
        <v>118078541400</v>
      </c>
      <c r="D417">
        <f t="shared" si="18"/>
        <v>6309.59</v>
      </c>
      <c r="E417">
        <f t="shared" si="19"/>
        <v>5.0018501281738281</v>
      </c>
      <c r="F417">
        <f t="shared" si="20"/>
        <v>972.74289999999996</v>
      </c>
      <c r="G417" s="42"/>
      <c r="H417" s="41">
        <v>45184</v>
      </c>
      <c r="I417" s="42">
        <v>6309.59</v>
      </c>
      <c r="J417" s="41">
        <v>45184</v>
      </c>
      <c r="K417" s="42">
        <v>5.0018501281738281</v>
      </c>
      <c r="L417" s="41">
        <v>45184</v>
      </c>
      <c r="M417" s="42">
        <v>972.74289999999996</v>
      </c>
    </row>
    <row r="418" spans="1:13">
      <c r="A418" s="41">
        <v>45187</v>
      </c>
      <c r="B418" s="42">
        <v>17930.55</v>
      </c>
      <c r="C418" s="42">
        <v>84505581900</v>
      </c>
      <c r="D418">
        <f t="shared" si="18"/>
        <v>6209.52</v>
      </c>
      <c r="E418">
        <f t="shared" si="19"/>
        <v>5.089940071105957</v>
      </c>
      <c r="F418">
        <f t="shared" si="20"/>
        <v>979.78920000000005</v>
      </c>
      <c r="G418" s="42"/>
      <c r="H418" s="41">
        <v>45187</v>
      </c>
      <c r="I418" s="42">
        <v>6209.52</v>
      </c>
      <c r="J418" s="41">
        <v>45187</v>
      </c>
      <c r="K418" s="42">
        <v>5.089940071105957</v>
      </c>
      <c r="L418" s="41">
        <v>45187</v>
      </c>
      <c r="M418" s="42">
        <v>979.78920000000005</v>
      </c>
    </row>
    <row r="419" spans="1:13">
      <c r="A419" s="41">
        <v>45188</v>
      </c>
      <c r="B419" s="42">
        <v>17997.169999999998</v>
      </c>
      <c r="C419" s="42">
        <v>76231752400</v>
      </c>
      <c r="D419">
        <f t="shared" si="18"/>
        <v>6235.65</v>
      </c>
      <c r="E419">
        <f t="shared" si="19"/>
        <v>5.2176198959350586</v>
      </c>
      <c r="F419">
        <f t="shared" si="20"/>
        <v>979.20619999999997</v>
      </c>
      <c r="G419" s="42"/>
      <c r="H419" s="41">
        <v>45188</v>
      </c>
      <c r="I419" s="42">
        <v>6235.65</v>
      </c>
      <c r="J419" s="41">
        <v>45188</v>
      </c>
      <c r="K419" s="42">
        <v>5.2176198959350586</v>
      </c>
      <c r="L419" s="41">
        <v>45188</v>
      </c>
      <c r="M419" s="42">
        <v>979.20619999999997</v>
      </c>
    </row>
    <row r="420" spans="1:13">
      <c r="A420" s="41">
        <v>45189</v>
      </c>
      <c r="B420" s="42">
        <v>17885.599999999999</v>
      </c>
      <c r="C420" s="42">
        <v>71296759700</v>
      </c>
      <c r="D420">
        <f t="shared" si="18"/>
        <v>6181.73</v>
      </c>
      <c r="E420">
        <f t="shared" si="19"/>
        <v>5.21875</v>
      </c>
      <c r="F420">
        <f t="shared" si="20"/>
        <v>989.42330000000004</v>
      </c>
      <c r="G420" s="42"/>
      <c r="H420" s="41">
        <v>45189</v>
      </c>
      <c r="I420" s="42">
        <v>6181.73</v>
      </c>
      <c r="J420" s="41">
        <v>45189</v>
      </c>
      <c r="K420" s="42">
        <v>5.21875</v>
      </c>
      <c r="L420" s="41">
        <v>45189</v>
      </c>
      <c r="M420" s="42">
        <v>989.42330000000004</v>
      </c>
    </row>
    <row r="421" spans="1:13">
      <c r="A421" s="41">
        <v>45190</v>
      </c>
      <c r="B421" s="42">
        <v>17655.41</v>
      </c>
      <c r="C421" s="42">
        <v>77429936400</v>
      </c>
      <c r="D421">
        <f t="shared" si="18"/>
        <v>6099.26</v>
      </c>
      <c r="E421">
        <f t="shared" si="19"/>
        <v>5.2128000259399414</v>
      </c>
      <c r="F421">
        <f t="shared" si="20"/>
        <v>972.39589999999998</v>
      </c>
      <c r="G421" s="42"/>
      <c r="H421" s="41">
        <v>45190</v>
      </c>
      <c r="I421" s="42">
        <v>6099.26</v>
      </c>
      <c r="J421" s="41">
        <v>45190</v>
      </c>
      <c r="K421" s="42">
        <v>5.2128000259399414</v>
      </c>
      <c r="L421" s="41">
        <v>45190</v>
      </c>
      <c r="M421" s="42">
        <v>972.39589999999998</v>
      </c>
    </row>
    <row r="422" spans="1:13">
      <c r="A422" s="41">
        <v>45191</v>
      </c>
      <c r="B422" s="42">
        <v>18057.45</v>
      </c>
      <c r="C422" s="42">
        <v>101847196200</v>
      </c>
      <c r="D422">
        <f t="shared" si="18"/>
        <v>6262.61</v>
      </c>
      <c r="E422">
        <f t="shared" si="19"/>
        <v>5.2283902168273926</v>
      </c>
      <c r="F422">
        <f t="shared" si="20"/>
        <v>981.81600000000003</v>
      </c>
      <c r="G422" s="42"/>
      <c r="H422" s="41">
        <v>45191</v>
      </c>
      <c r="I422" s="42">
        <v>6262.61</v>
      </c>
      <c r="J422" s="41">
        <v>45191</v>
      </c>
      <c r="K422" s="42">
        <v>5.2283902168273926</v>
      </c>
      <c r="L422" s="41">
        <v>45191</v>
      </c>
      <c r="M422" s="42">
        <v>981.81600000000003</v>
      </c>
    </row>
    <row r="423" spans="1:13">
      <c r="A423" s="41">
        <v>45194</v>
      </c>
      <c r="B423" s="42">
        <v>17729.29</v>
      </c>
      <c r="C423" s="42">
        <v>74260626000</v>
      </c>
      <c r="D423">
        <f t="shared" si="18"/>
        <v>6130.25</v>
      </c>
      <c r="E423">
        <f t="shared" si="19"/>
        <v>5.2869100570678711</v>
      </c>
      <c r="F423">
        <f t="shared" si="20"/>
        <v>980.15949999999998</v>
      </c>
      <c r="G423" s="42"/>
      <c r="H423" s="41">
        <v>45194</v>
      </c>
      <c r="I423" s="42">
        <v>6130.25</v>
      </c>
      <c r="J423" s="41">
        <v>45194</v>
      </c>
      <c r="K423" s="42">
        <v>5.2869100570678711</v>
      </c>
      <c r="L423" s="41">
        <v>45194</v>
      </c>
      <c r="M423" s="42">
        <v>980.15949999999998</v>
      </c>
    </row>
    <row r="424" spans="1:13">
      <c r="A424" s="41">
        <v>45195</v>
      </c>
      <c r="B424" s="42">
        <v>17466.900000000001</v>
      </c>
      <c r="C424" s="42">
        <v>82467900700</v>
      </c>
      <c r="D424">
        <f t="shared" si="18"/>
        <v>6030.77</v>
      </c>
      <c r="E424">
        <f t="shared" si="19"/>
        <v>5.3065500259399414</v>
      </c>
      <c r="F424">
        <f t="shared" si="20"/>
        <v>973.20280000000002</v>
      </c>
      <c r="G424" s="42"/>
      <c r="H424" s="41">
        <v>45195</v>
      </c>
      <c r="I424" s="42">
        <v>6030.77</v>
      </c>
      <c r="J424" s="41">
        <v>45195</v>
      </c>
      <c r="K424" s="42">
        <v>5.3065500259399414</v>
      </c>
      <c r="L424" s="41">
        <v>45195</v>
      </c>
      <c r="M424" s="42">
        <v>973.20280000000002</v>
      </c>
    </row>
    <row r="425" spans="1:13">
      <c r="A425" s="41">
        <v>45196</v>
      </c>
      <c r="B425" s="42">
        <v>17611.87</v>
      </c>
      <c r="C425" s="42">
        <v>75934662100</v>
      </c>
      <c r="D425">
        <f t="shared" si="18"/>
        <v>6069.84</v>
      </c>
      <c r="E425">
        <f t="shared" si="19"/>
        <v>5.2817897796630859</v>
      </c>
      <c r="F425">
        <f t="shared" si="20"/>
        <v>974.26009999999997</v>
      </c>
      <c r="G425" s="42"/>
      <c r="H425" s="41">
        <v>45196</v>
      </c>
      <c r="I425" s="42">
        <v>6069.84</v>
      </c>
      <c r="J425" s="41">
        <v>45196</v>
      </c>
      <c r="K425" s="42">
        <v>5.2817897796630859</v>
      </c>
      <c r="L425" s="41">
        <v>45196</v>
      </c>
      <c r="M425" s="42">
        <v>974.26009999999997</v>
      </c>
    </row>
    <row r="426" spans="1:13">
      <c r="A426" s="41">
        <v>45197</v>
      </c>
      <c r="B426" s="42">
        <v>17373.03</v>
      </c>
      <c r="C426" s="42">
        <v>80184358100</v>
      </c>
      <c r="D426">
        <f t="shared" si="18"/>
        <v>5990.56</v>
      </c>
      <c r="E426">
        <f t="shared" si="19"/>
        <v>5.2731599807739258</v>
      </c>
      <c r="F426">
        <f t="shared" si="20"/>
        <v>965.72249999999997</v>
      </c>
      <c r="G426" s="42"/>
      <c r="H426" s="41">
        <v>45197</v>
      </c>
      <c r="I426" s="42">
        <v>5990.56</v>
      </c>
      <c r="J426" s="41">
        <v>45197</v>
      </c>
      <c r="K426" s="42">
        <v>5.2731599807739258</v>
      </c>
      <c r="L426" s="41">
        <v>45197</v>
      </c>
      <c r="M426" s="42">
        <v>965.72249999999997</v>
      </c>
    </row>
    <row r="427" spans="1:13">
      <c r="A427" s="41">
        <v>45208</v>
      </c>
      <c r="B427" s="42">
        <v>17517.400000000001</v>
      </c>
      <c r="C427" s="42">
        <v>46872668800</v>
      </c>
      <c r="D427">
        <f t="shared" si="18"/>
        <v>5998.3</v>
      </c>
      <c r="E427">
        <f t="shared" si="19"/>
        <v>5.2073798179626465</v>
      </c>
      <c r="F427">
        <f t="shared" si="20"/>
        <v>950.47760000000005</v>
      </c>
      <c r="G427" s="42"/>
      <c r="H427" s="41">
        <v>45208</v>
      </c>
      <c r="I427" s="42">
        <v>5998.3</v>
      </c>
      <c r="J427" s="41">
        <v>45208</v>
      </c>
      <c r="K427" s="42">
        <v>5.2073798179626465</v>
      </c>
      <c r="L427" s="41">
        <v>45208</v>
      </c>
      <c r="M427" s="42">
        <v>950.47760000000005</v>
      </c>
    </row>
    <row r="428" spans="1:13">
      <c r="A428" s="41">
        <v>45209</v>
      </c>
      <c r="B428" s="42">
        <v>17664.73</v>
      </c>
      <c r="C428" s="42">
        <v>79678653300</v>
      </c>
      <c r="D428">
        <f t="shared" si="18"/>
        <v>6052.51</v>
      </c>
      <c r="E428">
        <f t="shared" si="19"/>
        <v>5.1794099807739258</v>
      </c>
      <c r="F428">
        <f t="shared" si="20"/>
        <v>953.05600000000004</v>
      </c>
      <c r="G428" s="42"/>
      <c r="H428" s="41">
        <v>45209</v>
      </c>
      <c r="I428" s="42">
        <v>6052.51</v>
      </c>
      <c r="J428" s="41">
        <v>45209</v>
      </c>
      <c r="K428" s="42">
        <v>5.1794099807739258</v>
      </c>
      <c r="L428" s="41">
        <v>45209</v>
      </c>
      <c r="M428" s="42">
        <v>953.05600000000004</v>
      </c>
    </row>
    <row r="429" spans="1:13">
      <c r="A429" s="41">
        <v>45210</v>
      </c>
      <c r="B429" s="42">
        <v>17893.099999999999</v>
      </c>
      <c r="C429" s="42">
        <v>88795725300</v>
      </c>
      <c r="D429">
        <f t="shared" si="18"/>
        <v>6132.87</v>
      </c>
      <c r="E429">
        <f t="shared" si="19"/>
        <v>5.2197599411010742</v>
      </c>
      <c r="F429">
        <f t="shared" si="20"/>
        <v>944.65219999999999</v>
      </c>
      <c r="G429" s="42"/>
      <c r="H429" s="41">
        <v>45210</v>
      </c>
      <c r="I429" s="42">
        <v>6132.87</v>
      </c>
      <c r="J429" s="41">
        <v>45210</v>
      </c>
      <c r="K429" s="42">
        <v>5.2197599411010742</v>
      </c>
      <c r="L429" s="41">
        <v>45210</v>
      </c>
      <c r="M429" s="42">
        <v>944.65219999999999</v>
      </c>
    </row>
    <row r="430" spans="1:13">
      <c r="A430" s="41">
        <v>45211</v>
      </c>
      <c r="B430" s="42">
        <v>18238.21</v>
      </c>
      <c r="C430" s="42">
        <v>101118565500</v>
      </c>
      <c r="D430">
        <f t="shared" si="18"/>
        <v>6267.34</v>
      </c>
      <c r="E430">
        <f t="shared" si="19"/>
        <v>5.2113699913024902</v>
      </c>
      <c r="F430">
        <f t="shared" si="20"/>
        <v>952.399</v>
      </c>
      <c r="G430" s="42"/>
      <c r="H430" s="41">
        <v>45211</v>
      </c>
      <c r="I430" s="42">
        <v>6267.34</v>
      </c>
      <c r="J430" s="41">
        <v>45211</v>
      </c>
      <c r="K430" s="42">
        <v>5.2113699913024902</v>
      </c>
      <c r="L430" s="41">
        <v>45211</v>
      </c>
      <c r="M430" s="42">
        <v>952.399</v>
      </c>
    </row>
    <row r="431" spans="1:13">
      <c r="A431" s="41">
        <v>45212</v>
      </c>
      <c r="B431" s="42">
        <v>17813.45</v>
      </c>
      <c r="C431" s="42">
        <v>84195376700</v>
      </c>
      <c r="D431">
        <f t="shared" si="18"/>
        <v>6115.88</v>
      </c>
      <c r="E431">
        <f t="shared" si="19"/>
        <v>5.2128000259399414</v>
      </c>
      <c r="F431">
        <f t="shared" si="20"/>
        <v>934.16189999999995</v>
      </c>
      <c r="G431" s="42"/>
      <c r="H431" s="41">
        <v>45212</v>
      </c>
      <c r="I431" s="42">
        <v>6115.88</v>
      </c>
      <c r="J431" s="41">
        <v>45212</v>
      </c>
      <c r="K431" s="42">
        <v>5.2128000259399414</v>
      </c>
      <c r="L431" s="41">
        <v>45212</v>
      </c>
      <c r="M431" s="42">
        <v>934.16189999999995</v>
      </c>
    </row>
    <row r="432" spans="1:13">
      <c r="A432" s="41">
        <v>45215</v>
      </c>
      <c r="B432" s="42">
        <v>17640.36</v>
      </c>
      <c r="C432" s="42">
        <v>73791140700</v>
      </c>
      <c r="D432">
        <f t="shared" si="18"/>
        <v>6049.82</v>
      </c>
      <c r="E432">
        <f t="shared" si="19"/>
        <v>5.226250171661377</v>
      </c>
      <c r="F432">
        <f t="shared" si="20"/>
        <v>931.04600000000005</v>
      </c>
      <c r="G432" s="42"/>
      <c r="H432" s="41">
        <v>45215</v>
      </c>
      <c r="I432" s="42">
        <v>6049.82</v>
      </c>
      <c r="J432" s="41">
        <v>45215</v>
      </c>
      <c r="K432" s="42">
        <v>5.226250171661377</v>
      </c>
      <c r="L432" s="41">
        <v>45215</v>
      </c>
      <c r="M432" s="42">
        <v>931.04600000000005</v>
      </c>
    </row>
    <row r="433" spans="1:13">
      <c r="A433" s="41">
        <v>45216</v>
      </c>
      <c r="B433" s="42">
        <v>17773.34</v>
      </c>
      <c r="C433" s="42">
        <v>63539887100</v>
      </c>
      <c r="D433">
        <f t="shared" si="18"/>
        <v>6092.55</v>
      </c>
      <c r="E433">
        <f t="shared" si="19"/>
        <v>5.2920799255371094</v>
      </c>
      <c r="F433">
        <f t="shared" si="20"/>
        <v>933.70259999999996</v>
      </c>
      <c r="G433" s="42"/>
      <c r="H433" s="41">
        <v>45216</v>
      </c>
      <c r="I433" s="42">
        <v>6092.55</v>
      </c>
      <c r="J433" s="41">
        <v>45216</v>
      </c>
      <c r="K433" s="42">
        <v>5.2920799255371094</v>
      </c>
      <c r="L433" s="41">
        <v>45216</v>
      </c>
      <c r="M433" s="42">
        <v>933.70259999999996</v>
      </c>
    </row>
    <row r="434" spans="1:13">
      <c r="A434" s="41">
        <v>45217</v>
      </c>
      <c r="B434" s="42">
        <v>17732.52</v>
      </c>
      <c r="C434" s="42">
        <v>88884305000</v>
      </c>
      <c r="D434">
        <f t="shared" si="18"/>
        <v>6075.68</v>
      </c>
      <c r="E434">
        <f t="shared" si="19"/>
        <v>5.275479793548584</v>
      </c>
      <c r="F434">
        <f t="shared" si="20"/>
        <v>923.40989999999999</v>
      </c>
      <c r="G434" s="42"/>
      <c r="H434" s="41">
        <v>45217</v>
      </c>
      <c r="I434" s="42">
        <v>6075.68</v>
      </c>
      <c r="J434" s="41">
        <v>45217</v>
      </c>
      <c r="K434" s="42">
        <v>5.275479793548584</v>
      </c>
      <c r="L434" s="41">
        <v>45217</v>
      </c>
      <c r="M434" s="42">
        <v>923.40989999999999</v>
      </c>
    </row>
    <row r="435" spans="1:13">
      <c r="A435" s="41">
        <v>45218</v>
      </c>
      <c r="B435" s="42">
        <v>17295.89</v>
      </c>
      <c r="C435" s="42">
        <v>91197666200</v>
      </c>
      <c r="D435">
        <f t="shared" si="18"/>
        <v>5924.23</v>
      </c>
      <c r="E435">
        <f t="shared" si="19"/>
        <v>5.1874399185180664</v>
      </c>
      <c r="F435">
        <f t="shared" si="20"/>
        <v>905.08569999999997</v>
      </c>
      <c r="G435" s="42"/>
      <c r="H435" s="41">
        <v>45218</v>
      </c>
      <c r="I435" s="42">
        <v>5924.23</v>
      </c>
      <c r="J435" s="41">
        <v>45218</v>
      </c>
      <c r="K435" s="42">
        <v>5.1874399185180664</v>
      </c>
      <c r="L435" s="41">
        <v>45218</v>
      </c>
      <c r="M435" s="42">
        <v>905.08569999999997</v>
      </c>
    </row>
    <row r="436" spans="1:13">
      <c r="A436" s="41">
        <v>45219</v>
      </c>
      <c r="B436" s="42">
        <v>17172.13</v>
      </c>
      <c r="C436" s="42">
        <v>82775872200</v>
      </c>
      <c r="D436">
        <f t="shared" si="18"/>
        <v>5871.71</v>
      </c>
      <c r="E436">
        <f t="shared" si="19"/>
        <v>5.2061901092529297</v>
      </c>
      <c r="F436">
        <f t="shared" si="20"/>
        <v>896.99689999999998</v>
      </c>
      <c r="G436" s="42"/>
      <c r="H436" s="41">
        <v>45219</v>
      </c>
      <c r="I436" s="42">
        <v>5871.71</v>
      </c>
      <c r="J436" s="41">
        <v>45219</v>
      </c>
      <c r="K436" s="42">
        <v>5.2061901092529297</v>
      </c>
      <c r="L436" s="41">
        <v>45219</v>
      </c>
      <c r="M436" s="42">
        <v>896.99689999999998</v>
      </c>
    </row>
    <row r="437" spans="1:13">
      <c r="A437" s="41">
        <v>45222</v>
      </c>
      <c r="B437" s="42">
        <v>17172.13</v>
      </c>
      <c r="C437" s="42"/>
      <c r="D437">
        <f t="shared" si="18"/>
        <v>5871.71</v>
      </c>
      <c r="E437">
        <f t="shared" si="19"/>
        <v>0</v>
      </c>
      <c r="F437">
        <f t="shared" si="20"/>
        <v>887.02689999999996</v>
      </c>
      <c r="G437" s="42"/>
      <c r="H437" s="41">
        <v>45222</v>
      </c>
      <c r="I437" s="42">
        <v>5871.71</v>
      </c>
      <c r="J437" s="41">
        <v>45222</v>
      </c>
      <c r="K437" s="42"/>
      <c r="L437" s="41">
        <v>45222</v>
      </c>
      <c r="M437" s="42">
        <v>887.02689999999996</v>
      </c>
    </row>
    <row r="438" spans="1:13">
      <c r="A438" s="41">
        <v>45223</v>
      </c>
      <c r="B438" s="42">
        <v>16991.53</v>
      </c>
      <c r="C438" s="42">
        <v>89954894700</v>
      </c>
      <c r="D438">
        <f t="shared" si="18"/>
        <v>5799.38</v>
      </c>
      <c r="E438">
        <f t="shared" si="19"/>
        <v>5.2305998802185059</v>
      </c>
      <c r="F438">
        <f t="shared" si="20"/>
        <v>909.68820000000005</v>
      </c>
      <c r="G438" s="42"/>
      <c r="H438" s="41">
        <v>45223</v>
      </c>
      <c r="I438" s="42">
        <v>5799.38</v>
      </c>
      <c r="J438" s="41">
        <v>45223</v>
      </c>
      <c r="K438" s="42">
        <v>5.2305998802185059</v>
      </c>
      <c r="L438" s="41">
        <v>45223</v>
      </c>
      <c r="M438" s="42">
        <v>909.68820000000005</v>
      </c>
    </row>
    <row r="439" spans="1:13">
      <c r="A439" s="41">
        <v>45224</v>
      </c>
      <c r="B439" s="42">
        <v>17085.330000000002</v>
      </c>
      <c r="C439" s="42">
        <v>95472262200</v>
      </c>
      <c r="D439">
        <f t="shared" si="18"/>
        <v>5853.97</v>
      </c>
      <c r="E439">
        <f t="shared" si="19"/>
        <v>5.226250171661377</v>
      </c>
      <c r="F439">
        <f t="shared" si="20"/>
        <v>911.72320000000002</v>
      </c>
      <c r="G439" s="42"/>
      <c r="H439" s="41">
        <v>45224</v>
      </c>
      <c r="I439" s="42">
        <v>5853.97</v>
      </c>
      <c r="J439" s="41">
        <v>45224</v>
      </c>
      <c r="K439" s="42">
        <v>5.226250171661377</v>
      </c>
      <c r="L439" s="41">
        <v>45224</v>
      </c>
      <c r="M439" s="42">
        <v>911.72320000000002</v>
      </c>
    </row>
    <row r="440" spans="1:13">
      <c r="A440" s="41">
        <v>45225</v>
      </c>
      <c r="B440" s="42">
        <v>17044.61</v>
      </c>
      <c r="C440" s="42">
        <v>80807352200</v>
      </c>
      <c r="D440">
        <f t="shared" si="18"/>
        <v>5859.55</v>
      </c>
      <c r="E440">
        <f t="shared" si="19"/>
        <v>5.2120800018310547</v>
      </c>
      <c r="F440">
        <f t="shared" si="20"/>
        <v>921.60149999999999</v>
      </c>
      <c r="G440" s="42"/>
      <c r="H440" s="41">
        <v>45225</v>
      </c>
      <c r="I440" s="42">
        <v>5859.55</v>
      </c>
      <c r="J440" s="41">
        <v>45225</v>
      </c>
      <c r="K440" s="42">
        <v>5.2120800018310547</v>
      </c>
      <c r="L440" s="41">
        <v>45225</v>
      </c>
      <c r="M440" s="42">
        <v>921.60149999999999</v>
      </c>
    </row>
    <row r="441" spans="1:13">
      <c r="A441" s="41">
        <v>45226</v>
      </c>
      <c r="B441" s="42">
        <v>17398.73</v>
      </c>
      <c r="C441" s="42">
        <v>91478097100</v>
      </c>
      <c r="D441">
        <f t="shared" si="18"/>
        <v>5979.01</v>
      </c>
      <c r="E441">
        <f t="shared" si="19"/>
        <v>5.2409501075744629</v>
      </c>
      <c r="F441">
        <f t="shared" si="20"/>
        <v>940.91189999999995</v>
      </c>
      <c r="G441" s="42"/>
      <c r="H441" s="41">
        <v>45226</v>
      </c>
      <c r="I441" s="42">
        <v>5979.01</v>
      </c>
      <c r="J441" s="41">
        <v>45226</v>
      </c>
      <c r="K441" s="42">
        <v>5.2409501075744629</v>
      </c>
      <c r="L441" s="41">
        <v>45226</v>
      </c>
      <c r="M441" s="42">
        <v>940.91189999999995</v>
      </c>
    </row>
    <row r="442" spans="1:13">
      <c r="A442" s="41">
        <v>45229</v>
      </c>
      <c r="B442" s="42">
        <v>17406.36</v>
      </c>
      <c r="C442" s="42">
        <v>92471678500</v>
      </c>
      <c r="D442">
        <f t="shared" si="18"/>
        <v>5960.33</v>
      </c>
      <c r="E442">
        <f t="shared" si="19"/>
        <v>5.2612500190734863</v>
      </c>
      <c r="F442">
        <f t="shared" si="20"/>
        <v>953.73559999999998</v>
      </c>
      <c r="G442" s="42"/>
      <c r="H442" s="41">
        <v>45229</v>
      </c>
      <c r="I442" s="42">
        <v>5960.33</v>
      </c>
      <c r="J442" s="41">
        <v>45229</v>
      </c>
      <c r="K442" s="42">
        <v>5.2612500190734863</v>
      </c>
      <c r="L442" s="41">
        <v>45229</v>
      </c>
      <c r="M442" s="42">
        <v>953.73559999999998</v>
      </c>
    </row>
    <row r="443" spans="1:13">
      <c r="A443" s="41">
        <v>45230</v>
      </c>
      <c r="B443" s="42">
        <v>17112.48</v>
      </c>
      <c r="C443" s="42">
        <v>84651864300</v>
      </c>
      <c r="D443">
        <f t="shared" si="18"/>
        <v>5861.74</v>
      </c>
      <c r="E443">
        <f t="shared" si="19"/>
        <v>5.2426199913024902</v>
      </c>
      <c r="F443">
        <f t="shared" si="20"/>
        <v>947.17139999999995</v>
      </c>
      <c r="G443" s="42"/>
      <c r="H443" s="41">
        <v>45230</v>
      </c>
      <c r="I443" s="42">
        <v>5861.74</v>
      </c>
      <c r="J443" s="41">
        <v>45230</v>
      </c>
      <c r="K443" s="42">
        <v>5.2426199913024902</v>
      </c>
      <c r="L443" s="41">
        <v>45230</v>
      </c>
      <c r="M443" s="42">
        <v>947.17139999999995</v>
      </c>
    </row>
    <row r="444" spans="1:13">
      <c r="A444" s="41">
        <v>45231</v>
      </c>
      <c r="B444" s="42">
        <v>17101.78</v>
      </c>
      <c r="C444" s="42">
        <v>67969711599.999992</v>
      </c>
      <c r="D444">
        <f t="shared" si="18"/>
        <v>5859.57</v>
      </c>
      <c r="E444">
        <f t="shared" si="19"/>
        <v>5.2263097763061523</v>
      </c>
      <c r="F444">
        <f t="shared" si="20"/>
        <v>965.18409999999994</v>
      </c>
      <c r="G444" s="42"/>
      <c r="H444" s="41">
        <v>45231</v>
      </c>
      <c r="I444" s="42">
        <v>5859.57</v>
      </c>
      <c r="J444" s="41">
        <v>45231</v>
      </c>
      <c r="K444" s="42">
        <v>5.2263097763061523</v>
      </c>
      <c r="L444" s="41">
        <v>45231</v>
      </c>
      <c r="M444" s="42">
        <v>965.18409999999994</v>
      </c>
    </row>
    <row r="445" spans="1:13">
      <c r="A445" s="41">
        <v>45232</v>
      </c>
      <c r="B445" s="42">
        <v>17230.59</v>
      </c>
      <c r="C445" s="42">
        <v>71124129500</v>
      </c>
      <c r="D445">
        <f t="shared" si="18"/>
        <v>5911.08</v>
      </c>
      <c r="E445">
        <f t="shared" si="19"/>
        <v>5.2587499618530273</v>
      </c>
      <c r="F445">
        <f t="shared" si="20"/>
        <v>966.95389999999998</v>
      </c>
      <c r="G445" s="42"/>
      <c r="H445" s="41">
        <v>45232</v>
      </c>
      <c r="I445" s="42">
        <v>5911.08</v>
      </c>
      <c r="J445" s="41">
        <v>45232</v>
      </c>
      <c r="K445" s="42">
        <v>5.2587499618530273</v>
      </c>
      <c r="L445" s="41">
        <v>45232</v>
      </c>
      <c r="M445" s="42">
        <v>966.95389999999998</v>
      </c>
    </row>
    <row r="446" spans="1:13">
      <c r="A446" s="41">
        <v>45233</v>
      </c>
      <c r="B446" s="42">
        <v>17664.12</v>
      </c>
      <c r="C446" s="42">
        <v>90915124500</v>
      </c>
      <c r="D446">
        <f t="shared" si="18"/>
        <v>6052.31</v>
      </c>
      <c r="E446">
        <f t="shared" si="19"/>
        <v>5.228449821472168</v>
      </c>
      <c r="F446">
        <f t="shared" si="20"/>
        <v>964.52430000000004</v>
      </c>
      <c r="G446" s="42"/>
      <c r="H446" s="41">
        <v>45233</v>
      </c>
      <c r="I446" s="42">
        <v>6052.31</v>
      </c>
      <c r="J446" s="41">
        <v>45233</v>
      </c>
      <c r="K446" s="42">
        <v>5.228449821472168</v>
      </c>
      <c r="L446" s="41">
        <v>45233</v>
      </c>
      <c r="M446" s="42">
        <v>964.52430000000004</v>
      </c>
    </row>
    <row r="447" spans="1:13">
      <c r="A447" s="41">
        <v>45236</v>
      </c>
      <c r="B447" s="42">
        <v>17966.59</v>
      </c>
      <c r="C447" s="42">
        <v>115189427400</v>
      </c>
      <c r="D447">
        <f t="shared" si="18"/>
        <v>6182.05</v>
      </c>
      <c r="E447">
        <f t="shared" si="19"/>
        <v>5.2448201179504395</v>
      </c>
      <c r="F447">
        <f t="shared" si="20"/>
        <v>959.36689999999999</v>
      </c>
      <c r="G447" s="42"/>
      <c r="H447" s="41">
        <v>45236</v>
      </c>
      <c r="I447" s="42">
        <v>6182.05</v>
      </c>
      <c r="J447" s="41">
        <v>45236</v>
      </c>
      <c r="K447" s="42">
        <v>5.2448201179504395</v>
      </c>
      <c r="L447" s="41">
        <v>45236</v>
      </c>
      <c r="M447" s="42">
        <v>959.36689999999999</v>
      </c>
    </row>
    <row r="448" spans="1:13">
      <c r="A448" s="41">
        <v>45237</v>
      </c>
      <c r="B448" s="42">
        <v>17670.16</v>
      </c>
      <c r="C448" s="42">
        <v>89629010700</v>
      </c>
      <c r="D448">
        <f t="shared" si="18"/>
        <v>6087.1</v>
      </c>
      <c r="E448">
        <f t="shared" si="19"/>
        <v>5.246610164642334</v>
      </c>
      <c r="F448">
        <f t="shared" si="20"/>
        <v>964.21579999999994</v>
      </c>
      <c r="G448" s="42"/>
      <c r="H448" s="41">
        <v>45237</v>
      </c>
      <c r="I448" s="42">
        <v>6087.1</v>
      </c>
      <c r="J448" s="41">
        <v>45237</v>
      </c>
      <c r="K448" s="42">
        <v>5.246610164642334</v>
      </c>
      <c r="L448" s="41">
        <v>45237</v>
      </c>
      <c r="M448" s="42">
        <v>964.21579999999994</v>
      </c>
    </row>
    <row r="449" spans="1:13">
      <c r="A449" s="41">
        <v>45238</v>
      </c>
      <c r="B449" s="42">
        <v>17568.46</v>
      </c>
      <c r="C449" s="42">
        <v>94146136200</v>
      </c>
      <c r="D449">
        <f t="shared" si="18"/>
        <v>6039.91</v>
      </c>
      <c r="E449">
        <f t="shared" si="19"/>
        <v>5.269169807434082</v>
      </c>
      <c r="F449">
        <f t="shared" si="20"/>
        <v>962.12570000000005</v>
      </c>
      <c r="G449" s="42"/>
      <c r="H449" s="41">
        <v>45238</v>
      </c>
      <c r="I449" s="42">
        <v>6039.91</v>
      </c>
      <c r="J449" s="41">
        <v>45238</v>
      </c>
      <c r="K449" s="42">
        <v>5.269169807434082</v>
      </c>
      <c r="L449" s="41">
        <v>45238</v>
      </c>
      <c r="M449" s="42">
        <v>962.12570000000005</v>
      </c>
    </row>
    <row r="450" spans="1:13">
      <c r="A450" s="41">
        <v>45239</v>
      </c>
      <c r="B450" s="42">
        <v>17511.29</v>
      </c>
      <c r="C450" s="42">
        <v>75319822700</v>
      </c>
      <c r="D450">
        <f t="shared" si="18"/>
        <v>6030.26</v>
      </c>
      <c r="E450">
        <f t="shared" si="19"/>
        <v>5.3295798301696777</v>
      </c>
      <c r="F450">
        <f t="shared" si="20"/>
        <v>960.37559999999996</v>
      </c>
      <c r="G450" s="42"/>
      <c r="H450" s="41">
        <v>45239</v>
      </c>
      <c r="I450" s="42">
        <v>6030.26</v>
      </c>
      <c r="J450" s="41">
        <v>45239</v>
      </c>
      <c r="K450" s="42">
        <v>5.3295798301696777</v>
      </c>
      <c r="L450" s="41">
        <v>45239</v>
      </c>
      <c r="M450" s="42">
        <v>960.37559999999996</v>
      </c>
    </row>
    <row r="451" spans="1:13">
      <c r="A451" s="41">
        <v>45240</v>
      </c>
      <c r="B451" s="42">
        <v>17203.259999999998</v>
      </c>
      <c r="C451" s="42">
        <v>75091281300</v>
      </c>
      <c r="D451">
        <f t="shared" si="18"/>
        <v>5900.82</v>
      </c>
      <c r="E451">
        <f t="shared" si="19"/>
        <v>5.3466701507568359</v>
      </c>
      <c r="F451">
        <f t="shared" si="20"/>
        <v>969.15949999999998</v>
      </c>
      <c r="G451" s="42"/>
      <c r="H451" s="41">
        <v>45240</v>
      </c>
      <c r="I451" s="42">
        <v>5900.82</v>
      </c>
      <c r="J451" s="41">
        <v>45240</v>
      </c>
      <c r="K451" s="42">
        <v>5.3466701507568359</v>
      </c>
      <c r="L451" s="41">
        <v>45240</v>
      </c>
      <c r="M451" s="42">
        <v>969.15949999999998</v>
      </c>
    </row>
    <row r="452" spans="1:13">
      <c r="A452" s="41">
        <v>45243</v>
      </c>
      <c r="B452" s="42">
        <v>17426.21</v>
      </c>
      <c r="C452" s="42">
        <v>75188285300</v>
      </c>
      <c r="D452">
        <f t="shared" ref="D452:D515" si="21">IFERROR(VLOOKUP($A452,$H$3:$I$1100,2,FALSE),"")</f>
        <v>5989.1</v>
      </c>
      <c r="E452">
        <f t="shared" ref="E452:E515" si="22">IFERROR(VLOOKUP($A452,$J$3:$K$1100,2,FALSE),"")</f>
        <v>5.3587498664855957</v>
      </c>
      <c r="F452">
        <f t="shared" ref="F452:F515" si="23">IFERROR(VLOOKUP($A452,$L$3:$M$1100,2,FALSE),"")</f>
        <v>965.19460000000004</v>
      </c>
      <c r="G452" s="42"/>
      <c r="H452" s="41">
        <v>45243</v>
      </c>
      <c r="I452" s="42">
        <v>5989.1</v>
      </c>
      <c r="J452" s="41">
        <v>45243</v>
      </c>
      <c r="K452" s="42">
        <v>5.3587498664855957</v>
      </c>
      <c r="L452" s="41">
        <v>45243</v>
      </c>
      <c r="M452" s="42">
        <v>965.19460000000004</v>
      </c>
    </row>
    <row r="453" spans="1:13">
      <c r="A453" s="41">
        <v>45244</v>
      </c>
      <c r="B453" s="42">
        <v>17396.86</v>
      </c>
      <c r="C453" s="42">
        <v>76780029700</v>
      </c>
      <c r="D453">
        <f t="shared" si="21"/>
        <v>5964.54</v>
      </c>
      <c r="E453">
        <f t="shared" si="22"/>
        <v>5.3608899116516113</v>
      </c>
      <c r="F453">
        <f t="shared" si="23"/>
        <v>962.79949999999997</v>
      </c>
      <c r="G453" s="42"/>
      <c r="H453" s="41">
        <v>45244</v>
      </c>
      <c r="I453" s="42">
        <v>5964.54</v>
      </c>
      <c r="J453" s="41">
        <v>45244</v>
      </c>
      <c r="K453" s="42">
        <v>5.3608899116516113</v>
      </c>
      <c r="L453" s="41">
        <v>45244</v>
      </c>
      <c r="M453" s="42">
        <v>962.79949999999997</v>
      </c>
    </row>
    <row r="454" spans="1:13">
      <c r="A454" s="41">
        <v>45245</v>
      </c>
      <c r="B454" s="42">
        <v>18079</v>
      </c>
      <c r="C454" s="42">
        <v>134948740199.99998</v>
      </c>
      <c r="D454">
        <f t="shared" si="21"/>
        <v>6204.22</v>
      </c>
      <c r="E454">
        <f t="shared" si="22"/>
        <v>5.3608899116516113</v>
      </c>
      <c r="F454">
        <f t="shared" si="23"/>
        <v>958.79480000000001</v>
      </c>
      <c r="G454" s="42"/>
      <c r="H454" s="41">
        <v>45245</v>
      </c>
      <c r="I454" s="42">
        <v>6204.22</v>
      </c>
      <c r="J454" s="41">
        <v>45245</v>
      </c>
      <c r="K454" s="42">
        <v>5.3608899116516113</v>
      </c>
      <c r="L454" s="41">
        <v>45245</v>
      </c>
      <c r="M454" s="42">
        <v>958.79480000000001</v>
      </c>
    </row>
    <row r="455" spans="1:13">
      <c r="A455" s="41">
        <v>45246</v>
      </c>
      <c r="B455" s="42">
        <v>17832.82</v>
      </c>
      <c r="C455" s="42">
        <v>115199624700</v>
      </c>
      <c r="D455">
        <f t="shared" si="21"/>
        <v>6116.7</v>
      </c>
      <c r="E455">
        <f t="shared" si="22"/>
        <v>5.3551797866821289</v>
      </c>
      <c r="F455">
        <f t="shared" si="23"/>
        <v>953.59460000000001</v>
      </c>
      <c r="G455" s="42"/>
      <c r="H455" s="41">
        <v>45246</v>
      </c>
      <c r="I455" s="42">
        <v>6116.7</v>
      </c>
      <c r="J455" s="41">
        <v>45246</v>
      </c>
      <c r="K455" s="42">
        <v>5.3551797866821289</v>
      </c>
      <c r="L455" s="41">
        <v>45246</v>
      </c>
      <c r="M455" s="42">
        <v>953.59460000000001</v>
      </c>
    </row>
    <row r="456" spans="1:13">
      <c r="A456" s="41">
        <v>45247</v>
      </c>
      <c r="B456" s="42">
        <v>17454.189999999999</v>
      </c>
      <c r="C456" s="42">
        <v>97989441700</v>
      </c>
      <c r="D456">
        <f t="shared" si="21"/>
        <v>5974.47</v>
      </c>
      <c r="E456">
        <f t="shared" si="22"/>
        <v>5.4222598075866699</v>
      </c>
      <c r="F456">
        <f t="shared" si="23"/>
        <v>955.61400000000003</v>
      </c>
      <c r="G456" s="42"/>
      <c r="H456" s="41">
        <v>45247</v>
      </c>
      <c r="I456" s="42">
        <v>5974.47</v>
      </c>
      <c r="J456" s="41">
        <v>45247</v>
      </c>
      <c r="K456" s="42">
        <v>5.4222598075866699</v>
      </c>
      <c r="L456" s="41">
        <v>45247</v>
      </c>
      <c r="M456" s="42">
        <v>955.61400000000003</v>
      </c>
    </row>
    <row r="457" spans="1:13">
      <c r="A457" s="41">
        <v>45250</v>
      </c>
      <c r="B457" s="42">
        <v>17778.07</v>
      </c>
      <c r="C457" s="42">
        <v>106364719700</v>
      </c>
      <c r="D457">
        <f t="shared" si="21"/>
        <v>6103.34</v>
      </c>
      <c r="E457">
        <f t="shared" si="22"/>
        <v>5.4599399566650391</v>
      </c>
      <c r="F457">
        <f t="shared" si="23"/>
        <v>976.47709999999995</v>
      </c>
      <c r="G457" s="42"/>
      <c r="H457" s="41">
        <v>45250</v>
      </c>
      <c r="I457" s="42">
        <v>6103.34</v>
      </c>
      <c r="J457" s="41">
        <v>45250</v>
      </c>
      <c r="K457" s="42">
        <v>5.4599399566650391</v>
      </c>
      <c r="L457" s="41">
        <v>45250</v>
      </c>
      <c r="M457" s="42">
        <v>976.47709999999995</v>
      </c>
    </row>
    <row r="458" spans="1:13">
      <c r="A458" s="41">
        <v>45251</v>
      </c>
      <c r="B458" s="42">
        <v>17733.89</v>
      </c>
      <c r="C458" s="42">
        <v>107244100300</v>
      </c>
      <c r="D458">
        <f t="shared" si="21"/>
        <v>6076.67</v>
      </c>
      <c r="E458">
        <f t="shared" si="22"/>
        <v>5.527979850769043</v>
      </c>
      <c r="F458">
        <f t="shared" si="23"/>
        <v>969.93979999999999</v>
      </c>
      <c r="G458" s="42"/>
      <c r="H458" s="41">
        <v>45251</v>
      </c>
      <c r="I458" s="42">
        <v>6076.67</v>
      </c>
      <c r="J458" s="41">
        <v>45251</v>
      </c>
      <c r="K458" s="42">
        <v>5.527979850769043</v>
      </c>
      <c r="L458" s="41">
        <v>45251</v>
      </c>
      <c r="M458" s="42">
        <v>969.93979999999999</v>
      </c>
    </row>
    <row r="459" spans="1:13">
      <c r="A459" s="41">
        <v>45252</v>
      </c>
      <c r="B459" s="42">
        <v>17734.599999999999</v>
      </c>
      <c r="C459" s="42">
        <v>81135234700</v>
      </c>
      <c r="D459">
        <f t="shared" si="21"/>
        <v>6074.83</v>
      </c>
      <c r="E459">
        <f t="shared" si="22"/>
        <v>5.5921998023986816</v>
      </c>
      <c r="F459">
        <f t="shared" si="23"/>
        <v>978.97130000000004</v>
      </c>
      <c r="G459" s="42"/>
      <c r="H459" s="41">
        <v>45252</v>
      </c>
      <c r="I459" s="42">
        <v>6074.83</v>
      </c>
      <c r="J459" s="41">
        <v>45252</v>
      </c>
      <c r="K459" s="42">
        <v>5.5921998023986816</v>
      </c>
      <c r="L459" s="41">
        <v>45252</v>
      </c>
      <c r="M459" s="42">
        <v>978.97130000000004</v>
      </c>
    </row>
    <row r="460" spans="1:13">
      <c r="A460" s="41">
        <v>45253</v>
      </c>
      <c r="B460" s="42">
        <v>17910.84</v>
      </c>
      <c r="C460" s="42">
        <v>97741962300</v>
      </c>
      <c r="D460">
        <f t="shared" si="21"/>
        <v>6171.01</v>
      </c>
      <c r="E460">
        <f t="shared" si="22"/>
        <v>5.6271400451660156</v>
      </c>
      <c r="F460">
        <f t="shared" si="23"/>
        <v>981.25300000000004</v>
      </c>
      <c r="G460" s="42"/>
      <c r="H460" s="41">
        <v>45253</v>
      </c>
      <c r="I460" s="42">
        <v>6171.01</v>
      </c>
      <c r="J460" s="41">
        <v>45253</v>
      </c>
      <c r="K460" s="42">
        <v>5.6271400451660156</v>
      </c>
      <c r="L460" s="41">
        <v>45253</v>
      </c>
      <c r="M460" s="42">
        <v>981.25300000000004</v>
      </c>
    </row>
    <row r="461" spans="1:13">
      <c r="A461" s="41">
        <v>45254</v>
      </c>
      <c r="B461" s="42">
        <v>17559.419999999998</v>
      </c>
      <c r="C461" s="42">
        <v>88149008500</v>
      </c>
      <c r="D461">
        <f t="shared" si="21"/>
        <v>6041.15</v>
      </c>
      <c r="E461">
        <f t="shared" si="22"/>
        <v>5.6416702270507813</v>
      </c>
      <c r="F461">
        <f t="shared" si="23"/>
        <v>992.12720000000002</v>
      </c>
      <c r="G461" s="42"/>
      <c r="H461" s="41">
        <v>45254</v>
      </c>
      <c r="I461" s="42">
        <v>6041.15</v>
      </c>
      <c r="J461" s="41">
        <v>45254</v>
      </c>
      <c r="K461" s="42">
        <v>5.6416702270507813</v>
      </c>
      <c r="L461" s="41">
        <v>45254</v>
      </c>
      <c r="M461" s="42">
        <v>992.12720000000002</v>
      </c>
    </row>
    <row r="462" spans="1:13">
      <c r="A462" s="41">
        <v>45257</v>
      </c>
      <c r="B462" s="42">
        <v>17525.060000000001</v>
      </c>
      <c r="C462" s="42">
        <v>75914468500</v>
      </c>
      <c r="D462">
        <f t="shared" si="21"/>
        <v>6025.22</v>
      </c>
      <c r="E462">
        <f t="shared" si="22"/>
        <v>5.7076802253723145</v>
      </c>
      <c r="F462">
        <f t="shared" si="23"/>
        <v>989.36019999999996</v>
      </c>
      <c r="G462" s="42"/>
      <c r="H462" s="41">
        <v>45257</v>
      </c>
      <c r="I462" s="42">
        <v>6025.22</v>
      </c>
      <c r="J462" s="41">
        <v>45257</v>
      </c>
      <c r="K462" s="42">
        <v>5.7076802253723145</v>
      </c>
      <c r="L462" s="41">
        <v>45257</v>
      </c>
      <c r="M462" s="42">
        <v>989.36019999999996</v>
      </c>
    </row>
    <row r="463" spans="1:13">
      <c r="A463" s="41">
        <v>45258</v>
      </c>
      <c r="B463" s="42">
        <v>17354.14</v>
      </c>
      <c r="C463" s="42">
        <v>95009375500</v>
      </c>
      <c r="D463">
        <f t="shared" si="21"/>
        <v>5957.08</v>
      </c>
      <c r="E463">
        <f t="shared" si="22"/>
        <v>5.7322602272033691</v>
      </c>
      <c r="F463">
        <f t="shared" si="23"/>
        <v>983.5539</v>
      </c>
      <c r="G463" s="42"/>
      <c r="H463" s="41">
        <v>45258</v>
      </c>
      <c r="I463" s="42">
        <v>5957.08</v>
      </c>
      <c r="J463" s="41">
        <v>45258</v>
      </c>
      <c r="K463" s="42">
        <v>5.7322602272033691</v>
      </c>
      <c r="L463" s="41">
        <v>45258</v>
      </c>
      <c r="M463" s="42">
        <v>983.5539</v>
      </c>
    </row>
    <row r="464" spans="1:13">
      <c r="A464" s="41">
        <v>45259</v>
      </c>
      <c r="B464" s="42">
        <v>16993.439999999999</v>
      </c>
      <c r="C464" s="42">
        <v>130164856500</v>
      </c>
      <c r="D464">
        <f t="shared" si="21"/>
        <v>5818.87</v>
      </c>
      <c r="E464">
        <f t="shared" si="22"/>
        <v>5.730830192565918</v>
      </c>
      <c r="F464">
        <f t="shared" si="23"/>
        <v>973.73540000000003</v>
      </c>
      <c r="G464" s="42"/>
      <c r="H464" s="41">
        <v>45259</v>
      </c>
      <c r="I464" s="42">
        <v>5818.87</v>
      </c>
      <c r="J464" s="41">
        <v>45259</v>
      </c>
      <c r="K464" s="42">
        <v>5.730830192565918</v>
      </c>
      <c r="L464" s="41">
        <v>45259</v>
      </c>
      <c r="M464" s="42">
        <v>973.73540000000003</v>
      </c>
    </row>
    <row r="465" spans="1:13">
      <c r="A465" s="41">
        <v>45260</v>
      </c>
      <c r="B465" s="42">
        <v>17042.88</v>
      </c>
      <c r="C465" s="42">
        <v>139119251900</v>
      </c>
      <c r="D465">
        <f t="shared" si="21"/>
        <v>5857.54</v>
      </c>
      <c r="E465">
        <f t="shared" si="22"/>
        <v>5.6105399131774902</v>
      </c>
      <c r="F465">
        <f t="shared" si="23"/>
        <v>981.04610000000002</v>
      </c>
      <c r="G465" s="42"/>
      <c r="H465" s="41">
        <v>45260</v>
      </c>
      <c r="I465" s="42">
        <v>5857.54</v>
      </c>
      <c r="J465" s="41">
        <v>45260</v>
      </c>
      <c r="K465" s="42">
        <v>5.6105399131774902</v>
      </c>
      <c r="L465" s="41">
        <v>45260</v>
      </c>
      <c r="M465" s="42">
        <v>981.04610000000002</v>
      </c>
    </row>
    <row r="466" spans="1:13">
      <c r="A466" s="41">
        <v>45261</v>
      </c>
      <c r="B466" s="42">
        <v>16830.3</v>
      </c>
      <c r="C466" s="42">
        <v>114200471800</v>
      </c>
      <c r="D466">
        <f t="shared" si="21"/>
        <v>5761.73</v>
      </c>
      <c r="E466">
        <f t="shared" si="22"/>
        <v>5.5535697937011719</v>
      </c>
      <c r="F466">
        <f t="shared" si="23"/>
        <v>972.78530000000001</v>
      </c>
      <c r="G466" s="42"/>
      <c r="H466" s="41">
        <v>45261</v>
      </c>
      <c r="I466" s="42">
        <v>5761.73</v>
      </c>
      <c r="J466" s="41">
        <v>45261</v>
      </c>
      <c r="K466" s="42">
        <v>5.5535697937011719</v>
      </c>
      <c r="L466" s="41">
        <v>45261</v>
      </c>
      <c r="M466" s="42">
        <v>972.78530000000001</v>
      </c>
    </row>
    <row r="467" spans="1:13">
      <c r="A467" s="41">
        <v>45264</v>
      </c>
      <c r="B467" s="42">
        <v>16646.05</v>
      </c>
      <c r="C467" s="42">
        <v>106385061400</v>
      </c>
      <c r="D467">
        <f t="shared" si="21"/>
        <v>5703.33</v>
      </c>
      <c r="E467">
        <f t="shared" si="22"/>
        <v>5.5152997970581055</v>
      </c>
      <c r="F467">
        <f t="shared" si="23"/>
        <v>990.75070000000005</v>
      </c>
      <c r="G467" s="42"/>
      <c r="H467" s="41">
        <v>45264</v>
      </c>
      <c r="I467" s="42">
        <v>5703.33</v>
      </c>
      <c r="J467" s="41">
        <v>45264</v>
      </c>
      <c r="K467" s="42">
        <v>5.5152997970581055</v>
      </c>
      <c r="L467" s="41">
        <v>45264</v>
      </c>
      <c r="M467" s="42">
        <v>990.75070000000005</v>
      </c>
    </row>
    <row r="468" spans="1:13">
      <c r="A468" s="41">
        <v>45265</v>
      </c>
      <c r="B468" s="42">
        <v>16327.86</v>
      </c>
      <c r="C468" s="42">
        <v>118025150500</v>
      </c>
      <c r="D468">
        <f t="shared" si="21"/>
        <v>5609.63</v>
      </c>
      <c r="E468">
        <f t="shared" si="22"/>
        <v>5.4639902114868164</v>
      </c>
      <c r="F468">
        <f t="shared" si="23"/>
        <v>981.2473</v>
      </c>
      <c r="G468" s="42"/>
      <c r="H468" s="41">
        <v>45265</v>
      </c>
      <c r="I468" s="42">
        <v>5609.63</v>
      </c>
      <c r="J468" s="41">
        <v>45265</v>
      </c>
      <c r="K468" s="42">
        <v>5.4639902114868164</v>
      </c>
      <c r="L468" s="41">
        <v>45265</v>
      </c>
      <c r="M468" s="42">
        <v>981.2473</v>
      </c>
    </row>
    <row r="469" spans="1:13">
      <c r="A469" s="41">
        <v>45266</v>
      </c>
      <c r="B469" s="42">
        <v>16463.259999999998</v>
      </c>
      <c r="C469" s="42">
        <v>98863852600</v>
      </c>
      <c r="D469">
        <f t="shared" si="21"/>
        <v>5663.92</v>
      </c>
      <c r="E469">
        <f t="shared" si="22"/>
        <v>5.3777999877929688</v>
      </c>
      <c r="F469">
        <f t="shared" si="23"/>
        <v>1021.5339</v>
      </c>
      <c r="G469" s="42"/>
      <c r="H469" s="41">
        <v>45266</v>
      </c>
      <c r="I469" s="42">
        <v>5663.92</v>
      </c>
      <c r="J469" s="41">
        <v>45266</v>
      </c>
      <c r="K469" s="42">
        <v>5.3777999877929688</v>
      </c>
      <c r="L469" s="41">
        <v>45266</v>
      </c>
      <c r="M469" s="42">
        <v>1021.5339</v>
      </c>
    </row>
    <row r="470" spans="1:13">
      <c r="A470" s="41">
        <v>45267</v>
      </c>
      <c r="B470" s="42">
        <v>16345.89</v>
      </c>
      <c r="C470" s="42">
        <v>89036969600</v>
      </c>
      <c r="D470">
        <f t="shared" si="21"/>
        <v>5615.8</v>
      </c>
      <c r="E470">
        <f t="shared" si="22"/>
        <v>5.401130199432373</v>
      </c>
      <c r="F470">
        <f t="shared" si="23"/>
        <v>1027.875</v>
      </c>
      <c r="G470" s="42"/>
      <c r="H470" s="41">
        <v>45267</v>
      </c>
      <c r="I470" s="42">
        <v>5615.8</v>
      </c>
      <c r="J470" s="41">
        <v>45267</v>
      </c>
      <c r="K470" s="42">
        <v>5.401130199432373</v>
      </c>
      <c r="L470" s="41">
        <v>45267</v>
      </c>
      <c r="M470" s="42">
        <v>1027.875</v>
      </c>
    </row>
    <row r="471" spans="1:13">
      <c r="A471" s="41">
        <v>45268</v>
      </c>
      <c r="B471" s="42">
        <v>16334.37</v>
      </c>
      <c r="C471" s="42">
        <v>88367357800</v>
      </c>
      <c r="D471">
        <f t="shared" si="21"/>
        <v>5598.16</v>
      </c>
      <c r="E471">
        <f t="shared" si="22"/>
        <v>5.3747000694274902</v>
      </c>
      <c r="F471">
        <f t="shared" si="23"/>
        <v>998.41579999999999</v>
      </c>
      <c r="G471" s="42"/>
      <c r="H471" s="41">
        <v>45268</v>
      </c>
      <c r="I471" s="42">
        <v>5598.16</v>
      </c>
      <c r="J471" s="41">
        <v>45268</v>
      </c>
      <c r="K471" s="42">
        <v>5.3747000694274902</v>
      </c>
      <c r="L471" s="41">
        <v>45268</v>
      </c>
      <c r="M471" s="42">
        <v>998.41579999999999</v>
      </c>
    </row>
    <row r="472" spans="1:13">
      <c r="A472" s="41">
        <v>45271</v>
      </c>
      <c r="B472" s="42">
        <v>16201.49</v>
      </c>
      <c r="C472" s="42">
        <v>98728494600</v>
      </c>
      <c r="D472">
        <f t="shared" si="21"/>
        <v>5532.49</v>
      </c>
      <c r="E472">
        <f t="shared" si="22"/>
        <v>5.369880199432373</v>
      </c>
      <c r="F472">
        <f t="shared" si="23"/>
        <v>1010.8368</v>
      </c>
      <c r="G472" s="42"/>
      <c r="H472" s="41">
        <v>45271</v>
      </c>
      <c r="I472" s="42">
        <v>5532.49</v>
      </c>
      <c r="J472" s="41">
        <v>45271</v>
      </c>
      <c r="K472" s="42">
        <v>5.369880199432373</v>
      </c>
      <c r="L472" s="41">
        <v>45271</v>
      </c>
      <c r="M472" s="42">
        <v>1010.8368</v>
      </c>
    </row>
    <row r="473" spans="1:13">
      <c r="A473" s="41">
        <v>45272</v>
      </c>
      <c r="B473" s="42">
        <v>16374.5</v>
      </c>
      <c r="C473" s="42">
        <v>86628497300</v>
      </c>
      <c r="D473">
        <f t="shared" si="21"/>
        <v>5614.5</v>
      </c>
      <c r="E473">
        <f t="shared" si="22"/>
        <v>5.3663101196289063</v>
      </c>
      <c r="F473">
        <f t="shared" si="23"/>
        <v>1009.8295000000001</v>
      </c>
      <c r="G473" s="42"/>
      <c r="H473" s="41">
        <v>45272</v>
      </c>
      <c r="I473" s="42">
        <v>5614.5</v>
      </c>
      <c r="J473" s="41">
        <v>45272</v>
      </c>
      <c r="K473" s="42">
        <v>5.3663101196289063</v>
      </c>
      <c r="L473" s="41">
        <v>45272</v>
      </c>
      <c r="M473" s="42">
        <v>1009.8295000000001</v>
      </c>
    </row>
    <row r="474" spans="1:13">
      <c r="A474" s="41">
        <v>45273</v>
      </c>
      <c r="B474" s="42">
        <v>16228.75</v>
      </c>
      <c r="C474" s="42">
        <v>75456449400</v>
      </c>
      <c r="D474">
        <f t="shared" si="21"/>
        <v>5550.9</v>
      </c>
      <c r="E474">
        <f t="shared" si="22"/>
        <v>5.3528599739074707</v>
      </c>
      <c r="F474">
        <f t="shared" si="23"/>
        <v>979.11210000000005</v>
      </c>
      <c r="G474" s="42"/>
      <c r="H474" s="41">
        <v>45273</v>
      </c>
      <c r="I474" s="42">
        <v>5550.9</v>
      </c>
      <c r="J474" s="41">
        <v>45273</v>
      </c>
      <c r="K474" s="42">
        <v>5.3528599739074707</v>
      </c>
      <c r="L474" s="41">
        <v>45273</v>
      </c>
      <c r="M474" s="42">
        <v>979.11210000000005</v>
      </c>
    </row>
    <row r="475" spans="1:13">
      <c r="A475" s="41">
        <v>45274</v>
      </c>
      <c r="B475" s="42">
        <v>16402.189999999999</v>
      </c>
      <c r="C475" s="42">
        <v>102234798400</v>
      </c>
      <c r="D475">
        <f t="shared" si="21"/>
        <v>5573.53</v>
      </c>
      <c r="E475">
        <f t="shared" si="22"/>
        <v>5.344170093536377</v>
      </c>
      <c r="F475">
        <f t="shared" si="23"/>
        <v>974.19320000000005</v>
      </c>
      <c r="G475" s="42"/>
      <c r="H475" s="41">
        <v>45274</v>
      </c>
      <c r="I475" s="42">
        <v>5573.53</v>
      </c>
      <c r="J475" s="41">
        <v>45274</v>
      </c>
      <c r="K475" s="42">
        <v>5.344170093536377</v>
      </c>
      <c r="L475" s="41">
        <v>45274</v>
      </c>
      <c r="M475" s="42">
        <v>974.19320000000005</v>
      </c>
    </row>
    <row r="476" spans="1:13">
      <c r="A476" s="41">
        <v>45275</v>
      </c>
      <c r="B476" s="42">
        <v>16792.189999999999</v>
      </c>
      <c r="C476" s="42">
        <v>136258931300.00002</v>
      </c>
      <c r="D476">
        <f t="shared" si="21"/>
        <v>5700.39</v>
      </c>
      <c r="E476">
        <f t="shared" si="22"/>
        <v>5.3264298439025879</v>
      </c>
      <c r="F476">
        <f t="shared" si="23"/>
        <v>976.05849999999998</v>
      </c>
      <c r="G476" s="42"/>
      <c r="H476" s="41">
        <v>45275</v>
      </c>
      <c r="I476" s="42">
        <v>5700.39</v>
      </c>
      <c r="J476" s="41">
        <v>45275</v>
      </c>
      <c r="K476" s="42">
        <v>5.3264298439025879</v>
      </c>
      <c r="L476" s="41">
        <v>45275</v>
      </c>
      <c r="M476" s="42">
        <v>976.05849999999998</v>
      </c>
    </row>
    <row r="477" spans="1:13">
      <c r="A477" s="41">
        <v>45278</v>
      </c>
      <c r="B477" s="42">
        <v>16629.23</v>
      </c>
      <c r="C477" s="42">
        <v>94316811700</v>
      </c>
      <c r="D477">
        <f t="shared" si="21"/>
        <v>5634.42</v>
      </c>
      <c r="E477">
        <f t="shared" si="22"/>
        <v>5.3409500122070313</v>
      </c>
      <c r="F477">
        <f t="shared" si="23"/>
        <v>972.08820000000003</v>
      </c>
      <c r="G477" s="42"/>
      <c r="H477" s="41">
        <v>45278</v>
      </c>
      <c r="I477" s="42">
        <v>5634.42</v>
      </c>
      <c r="J477" s="41">
        <v>45278</v>
      </c>
      <c r="K477" s="42">
        <v>5.3409500122070313</v>
      </c>
      <c r="L477" s="41">
        <v>45278</v>
      </c>
      <c r="M477" s="42">
        <v>972.08820000000003</v>
      </c>
    </row>
    <row r="478" spans="1:13">
      <c r="A478" s="41">
        <v>45279</v>
      </c>
      <c r="B478" s="42">
        <v>16505</v>
      </c>
      <c r="C478" s="42">
        <v>76597864100</v>
      </c>
      <c r="D478">
        <f t="shared" si="21"/>
        <v>5592.76</v>
      </c>
      <c r="E478">
        <f t="shared" si="22"/>
        <v>5.3826799392700195</v>
      </c>
      <c r="F478">
        <f t="shared" si="23"/>
        <v>963.83609999999999</v>
      </c>
      <c r="G478" s="42"/>
      <c r="H478" s="41">
        <v>45279</v>
      </c>
      <c r="I478" s="42">
        <v>5592.76</v>
      </c>
      <c r="J478" s="41">
        <v>45279</v>
      </c>
      <c r="K478" s="42">
        <v>5.3826799392700195</v>
      </c>
      <c r="L478" s="41">
        <v>45279</v>
      </c>
      <c r="M478" s="42">
        <v>963.83609999999999</v>
      </c>
    </row>
    <row r="479" spans="1:13">
      <c r="A479" s="41">
        <v>45280</v>
      </c>
      <c r="B479" s="42">
        <v>16613.810000000001</v>
      </c>
      <c r="C479" s="42">
        <v>90036112100</v>
      </c>
      <c r="D479">
        <f t="shared" si="21"/>
        <v>5612.65</v>
      </c>
      <c r="E479">
        <f t="shared" si="22"/>
        <v>5.3710098266601563</v>
      </c>
      <c r="F479">
        <f t="shared" si="23"/>
        <v>951.18</v>
      </c>
      <c r="G479" s="42"/>
      <c r="H479" s="41">
        <v>45280</v>
      </c>
      <c r="I479" s="42">
        <v>5612.65</v>
      </c>
      <c r="J479" s="41">
        <v>45280</v>
      </c>
      <c r="K479" s="42">
        <v>5.3710098266601563</v>
      </c>
      <c r="L479" s="41">
        <v>45280</v>
      </c>
      <c r="M479" s="42">
        <v>951.18</v>
      </c>
    </row>
    <row r="480" spans="1:13">
      <c r="A480" s="41">
        <v>45281</v>
      </c>
      <c r="B480" s="42">
        <v>16621.13</v>
      </c>
      <c r="C480" s="42">
        <v>69566600400</v>
      </c>
      <c r="D480">
        <f t="shared" si="21"/>
        <v>5619.91</v>
      </c>
      <c r="E480">
        <f t="shared" si="22"/>
        <v>5.3695797920227051</v>
      </c>
      <c r="F480">
        <f t="shared" si="23"/>
        <v>954.07159999999999</v>
      </c>
      <c r="G480" s="42"/>
      <c r="H480" s="41">
        <v>45281</v>
      </c>
      <c r="I480" s="42">
        <v>5619.91</v>
      </c>
      <c r="J480" s="41">
        <v>45281</v>
      </c>
      <c r="K480" s="42">
        <v>5.3695797920227051</v>
      </c>
      <c r="L480" s="41">
        <v>45281</v>
      </c>
      <c r="M480" s="42">
        <v>954.07159999999999</v>
      </c>
    </row>
    <row r="481" spans="1:13">
      <c r="A481" s="41">
        <v>45282</v>
      </c>
      <c r="B481" s="42">
        <v>16340.41</v>
      </c>
      <c r="C481" s="42">
        <v>141163294800</v>
      </c>
      <c r="D481">
        <f t="shared" si="21"/>
        <v>5488.99</v>
      </c>
      <c r="E481">
        <f t="shared" si="22"/>
        <v>5.3620800971984863</v>
      </c>
      <c r="F481">
        <f t="shared" si="23"/>
        <v>949.64430000000004</v>
      </c>
      <c r="G481" s="42"/>
      <c r="H481" s="41">
        <v>45282</v>
      </c>
      <c r="I481" s="42">
        <v>5488.99</v>
      </c>
      <c r="J481" s="41">
        <v>45282</v>
      </c>
      <c r="K481" s="42">
        <v>5.3620800971984863</v>
      </c>
      <c r="L481" s="41">
        <v>45282</v>
      </c>
      <c r="M481" s="42">
        <v>949.64430000000004</v>
      </c>
    </row>
    <row r="482" spans="1:13">
      <c r="A482" s="41">
        <v>45285</v>
      </c>
      <c r="B482" s="42">
        <v>16340.41</v>
      </c>
      <c r="C482" s="42"/>
      <c r="D482">
        <f t="shared" si="21"/>
        <v>5488.99</v>
      </c>
      <c r="E482">
        <f t="shared" si="22"/>
        <v>0</v>
      </c>
      <c r="F482">
        <f t="shared" si="23"/>
        <v>946.57950000000005</v>
      </c>
      <c r="G482" s="42"/>
      <c r="H482" s="41">
        <v>45285</v>
      </c>
      <c r="I482" s="42">
        <v>5488.99</v>
      </c>
      <c r="J482" s="41">
        <v>45285</v>
      </c>
      <c r="K482" s="42"/>
      <c r="L482" s="41">
        <v>45285</v>
      </c>
      <c r="M482" s="42">
        <v>946.57950000000005</v>
      </c>
    </row>
    <row r="483" spans="1:13">
      <c r="A483" s="41">
        <v>45286</v>
      </c>
      <c r="B483" s="42">
        <v>16340.41</v>
      </c>
      <c r="C483" s="42"/>
      <c r="D483">
        <f t="shared" si="21"/>
        <v>5488.99</v>
      </c>
      <c r="E483">
        <f t="shared" si="22"/>
        <v>0</v>
      </c>
      <c r="F483">
        <f t="shared" si="23"/>
        <v>945.99159999999995</v>
      </c>
      <c r="G483" s="42"/>
      <c r="H483" s="41">
        <v>45286</v>
      </c>
      <c r="I483" s="42">
        <v>5488.99</v>
      </c>
      <c r="J483" s="41">
        <v>45286</v>
      </c>
      <c r="K483" s="42"/>
      <c r="L483" s="41">
        <v>45286</v>
      </c>
      <c r="M483" s="42">
        <v>945.99159999999995</v>
      </c>
    </row>
    <row r="484" spans="1:13">
      <c r="A484" s="41">
        <v>45287</v>
      </c>
      <c r="B484" s="42">
        <v>16624.84</v>
      </c>
      <c r="C484" s="42">
        <v>99245865600</v>
      </c>
      <c r="D484">
        <f t="shared" si="21"/>
        <v>5603.7</v>
      </c>
      <c r="E484">
        <f t="shared" si="22"/>
        <v>5.350059986114502</v>
      </c>
      <c r="F484">
        <f t="shared" si="23"/>
        <v>972.09709999999995</v>
      </c>
      <c r="G484" s="42"/>
      <c r="H484" s="41">
        <v>45287</v>
      </c>
      <c r="I484" s="42">
        <v>5603.7</v>
      </c>
      <c r="J484" s="41">
        <v>45287</v>
      </c>
      <c r="K484" s="42">
        <v>5.350059986114502</v>
      </c>
      <c r="L484" s="41">
        <v>45287</v>
      </c>
      <c r="M484" s="42">
        <v>972.09709999999995</v>
      </c>
    </row>
    <row r="485" spans="1:13">
      <c r="A485" s="41">
        <v>45288</v>
      </c>
      <c r="B485" s="42">
        <v>17043.53</v>
      </c>
      <c r="C485" s="42">
        <v>109942719600</v>
      </c>
      <c r="D485">
        <f t="shared" si="21"/>
        <v>5764.77</v>
      </c>
      <c r="E485">
        <f t="shared" si="22"/>
        <v>5.2692899703979492</v>
      </c>
      <c r="F485">
        <f t="shared" si="23"/>
        <v>974.20730000000003</v>
      </c>
      <c r="G485" s="42"/>
      <c r="H485" s="41">
        <v>45288</v>
      </c>
      <c r="I485" s="42">
        <v>5764.77</v>
      </c>
      <c r="J485" s="41">
        <v>45288</v>
      </c>
      <c r="K485" s="42">
        <v>5.2692899703979492</v>
      </c>
      <c r="L485" s="41">
        <v>45288</v>
      </c>
      <c r="M485" s="42">
        <v>974.20730000000003</v>
      </c>
    </row>
    <row r="486" spans="1:13">
      <c r="A486" s="41">
        <v>45289</v>
      </c>
      <c r="B486" s="42">
        <v>17047.39</v>
      </c>
      <c r="C486" s="42">
        <v>75168024000</v>
      </c>
      <c r="D486">
        <f t="shared" si="21"/>
        <v>5768.5</v>
      </c>
      <c r="E486">
        <f t="shared" si="22"/>
        <v>5.1523799896240234</v>
      </c>
      <c r="F486">
        <f t="shared" si="23"/>
        <v>981.92089999999996</v>
      </c>
      <c r="G486" s="42"/>
      <c r="H486" s="41">
        <v>45289</v>
      </c>
      <c r="I486" s="42">
        <v>5768.5</v>
      </c>
      <c r="J486" s="41">
        <v>45289</v>
      </c>
      <c r="K486" s="42">
        <v>5.1523799896240234</v>
      </c>
      <c r="L486" s="41">
        <v>45289</v>
      </c>
      <c r="M486" s="42">
        <v>981.92089999999996</v>
      </c>
    </row>
    <row r="487" spans="1:13">
      <c r="A487" s="41">
        <v>45293</v>
      </c>
      <c r="B487" s="42">
        <v>16788.55</v>
      </c>
      <c r="C487" s="42">
        <v>76641260900</v>
      </c>
      <c r="D487">
        <f t="shared" si="21"/>
        <v>5672.53</v>
      </c>
      <c r="E487">
        <f t="shared" si="22"/>
        <v>5.0716099739074707</v>
      </c>
      <c r="F487">
        <f t="shared" si="23"/>
        <v>983.62480000000005</v>
      </c>
      <c r="G487" s="42"/>
      <c r="H487" s="41">
        <v>45293</v>
      </c>
      <c r="I487" s="42">
        <v>5672.53</v>
      </c>
      <c r="J487" s="41">
        <v>45293</v>
      </c>
      <c r="K487" s="42">
        <v>5.0716099739074707</v>
      </c>
      <c r="L487" s="41">
        <v>45293</v>
      </c>
      <c r="M487" s="42">
        <v>983.62480000000005</v>
      </c>
    </row>
    <row r="488" spans="1:13">
      <c r="A488" s="41">
        <v>45294</v>
      </c>
      <c r="B488" s="42">
        <v>16646.41</v>
      </c>
      <c r="C488" s="42">
        <v>79269709300</v>
      </c>
      <c r="D488">
        <f t="shared" si="21"/>
        <v>5628.79</v>
      </c>
      <c r="E488">
        <f t="shared" si="22"/>
        <v>5.012080192565918</v>
      </c>
      <c r="F488">
        <f t="shared" si="23"/>
        <v>975.85879999999997</v>
      </c>
      <c r="G488" s="42"/>
      <c r="H488" s="41">
        <v>45294</v>
      </c>
      <c r="I488" s="42">
        <v>5628.79</v>
      </c>
      <c r="J488" s="41">
        <v>45294</v>
      </c>
      <c r="K488" s="42">
        <v>5.012080192565918</v>
      </c>
      <c r="L488" s="41">
        <v>45294</v>
      </c>
      <c r="M488" s="42">
        <v>975.85879999999997</v>
      </c>
    </row>
    <row r="489" spans="1:13">
      <c r="A489" s="41">
        <v>45295</v>
      </c>
      <c r="B489" s="42">
        <v>16645.98</v>
      </c>
      <c r="C489" s="42">
        <v>70390040800</v>
      </c>
      <c r="D489">
        <f t="shared" si="21"/>
        <v>5649.23</v>
      </c>
      <c r="E489">
        <f t="shared" si="22"/>
        <v>4.9692897796630859</v>
      </c>
      <c r="F489">
        <f t="shared" si="23"/>
        <v>971.85209999999995</v>
      </c>
      <c r="G489" s="42"/>
      <c r="H489" s="41">
        <v>45295</v>
      </c>
      <c r="I489" s="42">
        <v>5649.23</v>
      </c>
      <c r="J489" s="41">
        <v>45295</v>
      </c>
      <c r="K489" s="42">
        <v>4.9692897796630859</v>
      </c>
      <c r="L489" s="41">
        <v>45295</v>
      </c>
      <c r="M489" s="42">
        <v>971.85209999999995</v>
      </c>
    </row>
    <row r="490" spans="1:13">
      <c r="A490" s="41">
        <v>45296</v>
      </c>
      <c r="B490" s="42">
        <v>16535.330000000002</v>
      </c>
      <c r="C490" s="42">
        <v>81830000400</v>
      </c>
      <c r="D490">
        <f t="shared" si="21"/>
        <v>5606.98</v>
      </c>
      <c r="E490">
        <f t="shared" si="22"/>
        <v>4.9471402168273926</v>
      </c>
      <c r="F490">
        <f t="shared" si="23"/>
        <v>954.63319999999999</v>
      </c>
      <c r="G490" s="42"/>
      <c r="H490" s="41">
        <v>45296</v>
      </c>
      <c r="I490" s="42">
        <v>5606.98</v>
      </c>
      <c r="J490" s="41">
        <v>45296</v>
      </c>
      <c r="K490" s="42">
        <v>4.9471402168273926</v>
      </c>
      <c r="L490" s="41">
        <v>45296</v>
      </c>
      <c r="M490" s="42">
        <v>954.63319999999999</v>
      </c>
    </row>
    <row r="491" spans="1:13">
      <c r="A491" s="41">
        <v>45299</v>
      </c>
      <c r="B491" s="42">
        <v>16224.45</v>
      </c>
      <c r="C491" s="42">
        <v>84442057100</v>
      </c>
      <c r="D491">
        <f t="shared" si="21"/>
        <v>5480.82</v>
      </c>
      <c r="E491">
        <f t="shared" si="22"/>
        <v>4.9484500885009766</v>
      </c>
      <c r="F491">
        <f t="shared" si="23"/>
        <v>932.88879999999995</v>
      </c>
      <c r="G491" s="42"/>
      <c r="H491" s="41">
        <v>45299</v>
      </c>
      <c r="I491" s="42">
        <v>5480.82</v>
      </c>
      <c r="J491" s="41">
        <v>45299</v>
      </c>
      <c r="K491" s="42">
        <v>4.9484500885009766</v>
      </c>
      <c r="L491" s="41">
        <v>45299</v>
      </c>
      <c r="M491" s="42">
        <v>932.88879999999995</v>
      </c>
    </row>
    <row r="492" spans="1:13">
      <c r="A492" s="41">
        <v>45300</v>
      </c>
      <c r="B492" s="42">
        <v>16190.02</v>
      </c>
      <c r="C492" s="42">
        <v>81908021000</v>
      </c>
      <c r="D492">
        <f t="shared" si="21"/>
        <v>5449.76</v>
      </c>
      <c r="E492">
        <f t="shared" si="22"/>
        <v>4.9477400779724121</v>
      </c>
      <c r="F492">
        <f t="shared" si="23"/>
        <v>933.57330000000002</v>
      </c>
      <c r="G492" s="42"/>
      <c r="H492" s="41">
        <v>45300</v>
      </c>
      <c r="I492" s="42">
        <v>5449.76</v>
      </c>
      <c r="J492" s="41">
        <v>45300</v>
      </c>
      <c r="K492" s="42">
        <v>4.9477400779724121</v>
      </c>
      <c r="L492" s="41">
        <v>45300</v>
      </c>
      <c r="M492" s="42">
        <v>933.57330000000002</v>
      </c>
    </row>
    <row r="493" spans="1:13">
      <c r="A493" s="41">
        <v>45301</v>
      </c>
      <c r="B493" s="42">
        <v>16097.28</v>
      </c>
      <c r="C493" s="42">
        <v>74514433900</v>
      </c>
      <c r="D493">
        <f t="shared" si="21"/>
        <v>5421.23</v>
      </c>
      <c r="E493">
        <f t="shared" si="22"/>
        <v>4.8773798942565918</v>
      </c>
      <c r="F493">
        <f t="shared" si="23"/>
        <v>934.22339999999997</v>
      </c>
      <c r="G493" s="42"/>
      <c r="H493" s="41">
        <v>45301</v>
      </c>
      <c r="I493" s="42">
        <v>5421.23</v>
      </c>
      <c r="J493" s="41">
        <v>45301</v>
      </c>
      <c r="K493" s="42">
        <v>4.8773798942565918</v>
      </c>
      <c r="L493" s="41">
        <v>45301</v>
      </c>
      <c r="M493" s="42">
        <v>934.22339999999997</v>
      </c>
    </row>
    <row r="494" spans="1:13">
      <c r="A494" s="41">
        <v>45302</v>
      </c>
      <c r="B494" s="42">
        <v>16302.04</v>
      </c>
      <c r="C494" s="42">
        <v>93716765500</v>
      </c>
      <c r="D494">
        <f t="shared" si="21"/>
        <v>5494.48</v>
      </c>
      <c r="E494">
        <f t="shared" si="22"/>
        <v>4.8281598091125488</v>
      </c>
      <c r="F494">
        <f t="shared" si="23"/>
        <v>956.57590000000005</v>
      </c>
      <c r="G494" s="42"/>
      <c r="H494" s="41">
        <v>45302</v>
      </c>
      <c r="I494" s="42">
        <v>5494.48</v>
      </c>
      <c r="J494" s="41">
        <v>45302</v>
      </c>
      <c r="K494" s="42">
        <v>4.8281598091125488</v>
      </c>
      <c r="L494" s="41">
        <v>45302</v>
      </c>
      <c r="M494" s="42">
        <v>956.57590000000005</v>
      </c>
    </row>
    <row r="495" spans="1:13">
      <c r="A495" s="41">
        <v>45303</v>
      </c>
      <c r="B495" s="42">
        <v>16244.58</v>
      </c>
      <c r="C495" s="42">
        <v>69483048000</v>
      </c>
      <c r="D495">
        <f t="shared" si="21"/>
        <v>5481.94</v>
      </c>
      <c r="E495">
        <f t="shared" si="22"/>
        <v>4.8061299324035645</v>
      </c>
      <c r="F495">
        <f t="shared" si="23"/>
        <v>966.05359999999996</v>
      </c>
      <c r="G495" s="42"/>
      <c r="H495" s="41">
        <v>45303</v>
      </c>
      <c r="I495" s="42">
        <v>5481.94</v>
      </c>
      <c r="J495" s="41">
        <v>45303</v>
      </c>
      <c r="K495" s="42">
        <v>4.8061299324035645</v>
      </c>
      <c r="L495" s="41">
        <v>45303</v>
      </c>
      <c r="M495" s="42">
        <v>966.05359999999996</v>
      </c>
    </row>
    <row r="496" spans="1:13">
      <c r="A496" s="41">
        <v>45306</v>
      </c>
      <c r="B496" s="42">
        <v>16216.33</v>
      </c>
      <c r="C496" s="42">
        <v>71079306900</v>
      </c>
      <c r="D496">
        <f t="shared" si="21"/>
        <v>5446.52</v>
      </c>
      <c r="E496">
        <f t="shared" si="22"/>
        <v>4.7981600761413574</v>
      </c>
      <c r="F496">
        <f t="shared" si="23"/>
        <v>949.85910000000001</v>
      </c>
      <c r="G496" s="42"/>
      <c r="H496" s="41">
        <v>45306</v>
      </c>
      <c r="I496" s="42">
        <v>5446.52</v>
      </c>
      <c r="J496" s="41">
        <v>45306</v>
      </c>
      <c r="K496" s="42">
        <v>4.7981600761413574</v>
      </c>
      <c r="L496" s="41">
        <v>45306</v>
      </c>
      <c r="M496" s="42">
        <v>949.85910000000001</v>
      </c>
    </row>
    <row r="497" spans="1:13">
      <c r="A497" s="41">
        <v>45307</v>
      </c>
      <c r="B497" s="42">
        <v>15865.92</v>
      </c>
      <c r="C497" s="42">
        <v>84412885900</v>
      </c>
      <c r="D497">
        <f t="shared" si="21"/>
        <v>5343.3</v>
      </c>
      <c r="E497">
        <f t="shared" si="22"/>
        <v>4.7810702323913574</v>
      </c>
      <c r="F497">
        <f t="shared" si="23"/>
        <v>951.73350000000005</v>
      </c>
      <c r="G497" s="42"/>
      <c r="H497" s="41">
        <v>45307</v>
      </c>
      <c r="I497" s="42">
        <v>5343.3</v>
      </c>
      <c r="J497" s="41">
        <v>45307</v>
      </c>
      <c r="K497" s="42">
        <v>4.7810702323913574</v>
      </c>
      <c r="L497" s="41">
        <v>45307</v>
      </c>
      <c r="M497" s="42">
        <v>951.73350000000005</v>
      </c>
    </row>
    <row r="498" spans="1:13">
      <c r="A498" s="41">
        <v>45308</v>
      </c>
      <c r="B498" s="42">
        <v>15276.9</v>
      </c>
      <c r="C498" s="42">
        <v>130541441300</v>
      </c>
      <c r="D498">
        <f t="shared" si="21"/>
        <v>5132.82</v>
      </c>
      <c r="E498">
        <f t="shared" si="22"/>
        <v>4.7513699531555176</v>
      </c>
      <c r="F498">
        <f t="shared" si="23"/>
        <v>927.15570000000002</v>
      </c>
      <c r="G498" s="42"/>
      <c r="H498" s="41">
        <v>45308</v>
      </c>
      <c r="I498" s="42">
        <v>5132.82</v>
      </c>
      <c r="J498" s="41">
        <v>45308</v>
      </c>
      <c r="K498" s="42">
        <v>4.7513699531555176</v>
      </c>
      <c r="L498" s="41">
        <v>45308</v>
      </c>
      <c r="M498" s="42">
        <v>927.15570000000002</v>
      </c>
    </row>
    <row r="499" spans="1:13">
      <c r="A499" s="41">
        <v>45309</v>
      </c>
      <c r="B499" s="42">
        <v>15391.79</v>
      </c>
      <c r="C499" s="42">
        <v>107352172600</v>
      </c>
      <c r="D499">
        <f t="shared" si="21"/>
        <v>5172.05</v>
      </c>
      <c r="E499">
        <f t="shared" si="22"/>
        <v>4.7394099235534668</v>
      </c>
      <c r="F499">
        <f t="shared" si="23"/>
        <v>928.62009999999998</v>
      </c>
      <c r="G499" s="42"/>
      <c r="H499" s="41">
        <v>45309</v>
      </c>
      <c r="I499" s="42">
        <v>5172.05</v>
      </c>
      <c r="J499" s="41">
        <v>45309</v>
      </c>
      <c r="K499" s="42">
        <v>4.7394099235534668</v>
      </c>
      <c r="L499" s="41">
        <v>45309</v>
      </c>
      <c r="M499" s="42">
        <v>928.62009999999998</v>
      </c>
    </row>
    <row r="500" spans="1:13">
      <c r="A500" s="41">
        <v>45310</v>
      </c>
      <c r="B500" s="42">
        <v>15308.69</v>
      </c>
      <c r="C500" s="42">
        <v>96871865400</v>
      </c>
      <c r="D500">
        <f t="shared" si="21"/>
        <v>5127.24</v>
      </c>
      <c r="E500">
        <f t="shared" si="22"/>
        <v>4.7633299827575684</v>
      </c>
      <c r="F500">
        <f t="shared" si="23"/>
        <v>921.15020000000004</v>
      </c>
      <c r="G500" s="42"/>
      <c r="H500" s="41">
        <v>45310</v>
      </c>
      <c r="I500" s="42">
        <v>5127.24</v>
      </c>
      <c r="J500" s="41">
        <v>45310</v>
      </c>
      <c r="K500" s="42">
        <v>4.7633299827575684</v>
      </c>
      <c r="L500" s="41">
        <v>45310</v>
      </c>
      <c r="M500" s="42">
        <v>921.15020000000004</v>
      </c>
    </row>
    <row r="501" spans="1:13">
      <c r="A501" s="41">
        <v>45313</v>
      </c>
      <c r="B501" s="42">
        <v>14961.18</v>
      </c>
      <c r="C501" s="42">
        <v>112177866700</v>
      </c>
      <c r="D501">
        <f t="shared" si="21"/>
        <v>5001.95</v>
      </c>
      <c r="E501">
        <f t="shared" si="22"/>
        <v>4.7647600173950195</v>
      </c>
      <c r="F501">
        <f t="shared" si="23"/>
        <v>869.69110000000001</v>
      </c>
      <c r="G501" s="42"/>
      <c r="H501" s="41">
        <v>45313</v>
      </c>
      <c r="I501" s="42">
        <v>5001.95</v>
      </c>
      <c r="J501" s="41">
        <v>45313</v>
      </c>
      <c r="K501" s="42">
        <v>4.7647600173950195</v>
      </c>
      <c r="L501" s="41">
        <v>45313</v>
      </c>
      <c r="M501" s="42">
        <v>869.69110000000001</v>
      </c>
    </row>
    <row r="502" spans="1:13">
      <c r="A502" s="41">
        <v>45314</v>
      </c>
      <c r="B502" s="42">
        <v>15353.98</v>
      </c>
      <c r="C502" s="42">
        <v>124067087500</v>
      </c>
      <c r="D502">
        <f t="shared" si="21"/>
        <v>5140.93</v>
      </c>
      <c r="E502">
        <f t="shared" si="22"/>
        <v>4.7654800415039063</v>
      </c>
      <c r="F502">
        <f t="shared" si="23"/>
        <v>864.28179999999998</v>
      </c>
      <c r="G502" s="42"/>
      <c r="H502" s="41">
        <v>45314</v>
      </c>
      <c r="I502" s="42">
        <v>5140.93</v>
      </c>
      <c r="J502" s="41">
        <v>45314</v>
      </c>
      <c r="K502" s="42">
        <v>4.7654800415039063</v>
      </c>
      <c r="L502" s="41">
        <v>45314</v>
      </c>
      <c r="M502" s="42">
        <v>864.28179999999998</v>
      </c>
    </row>
    <row r="503" spans="1:13">
      <c r="A503" s="41">
        <v>45315</v>
      </c>
      <c r="B503" s="42">
        <v>15899.87</v>
      </c>
      <c r="C503" s="42">
        <v>128806837800</v>
      </c>
      <c r="D503">
        <f t="shared" si="21"/>
        <v>5353.05</v>
      </c>
      <c r="E503">
        <f t="shared" si="22"/>
        <v>4.7381000518798828</v>
      </c>
      <c r="F503">
        <f t="shared" si="23"/>
        <v>871.31989999999996</v>
      </c>
      <c r="G503" s="42"/>
      <c r="H503" s="41">
        <v>45315</v>
      </c>
      <c r="I503" s="42">
        <v>5353.05</v>
      </c>
      <c r="J503" s="41">
        <v>45315</v>
      </c>
      <c r="K503" s="42">
        <v>4.7381000518798828</v>
      </c>
      <c r="L503" s="41">
        <v>45315</v>
      </c>
      <c r="M503" s="42">
        <v>871.31989999999996</v>
      </c>
    </row>
    <row r="504" spans="1:13">
      <c r="A504" s="41">
        <v>45316</v>
      </c>
      <c r="B504" s="42">
        <v>16211.96</v>
      </c>
      <c r="C504" s="42">
        <v>132086228700</v>
      </c>
      <c r="D504">
        <f t="shared" si="21"/>
        <v>5468.71</v>
      </c>
      <c r="E504">
        <f t="shared" si="22"/>
        <v>4.711249828338623</v>
      </c>
      <c r="F504">
        <f t="shared" si="23"/>
        <v>898.62950000000001</v>
      </c>
      <c r="G504" s="42"/>
      <c r="H504" s="41">
        <v>45316</v>
      </c>
      <c r="I504" s="42">
        <v>5468.71</v>
      </c>
      <c r="J504" s="41">
        <v>45316</v>
      </c>
      <c r="K504" s="42">
        <v>4.711249828338623</v>
      </c>
      <c r="L504" s="41">
        <v>45316</v>
      </c>
      <c r="M504" s="42">
        <v>898.62950000000001</v>
      </c>
    </row>
    <row r="505" spans="1:13">
      <c r="A505" s="41">
        <v>45317</v>
      </c>
      <c r="B505" s="42">
        <v>15952.23</v>
      </c>
      <c r="C505" s="42">
        <v>131624258300</v>
      </c>
      <c r="D505">
        <f t="shared" si="21"/>
        <v>5360.24</v>
      </c>
      <c r="E505">
        <f t="shared" si="22"/>
        <v>4.6683897972106934</v>
      </c>
      <c r="F505">
        <f t="shared" si="23"/>
        <v>905.255</v>
      </c>
      <c r="G505" s="42"/>
      <c r="H505" s="41">
        <v>45317</v>
      </c>
      <c r="I505" s="42">
        <v>5360.24</v>
      </c>
      <c r="J505" s="41">
        <v>45317</v>
      </c>
      <c r="K505" s="42">
        <v>4.6683897972106934</v>
      </c>
      <c r="L505" s="41">
        <v>45317</v>
      </c>
      <c r="M505" s="42">
        <v>905.255</v>
      </c>
    </row>
    <row r="506" spans="1:13">
      <c r="A506" s="41">
        <v>45320</v>
      </c>
      <c r="B506" s="42">
        <v>16077.24</v>
      </c>
      <c r="C506" s="42">
        <v>100124216000</v>
      </c>
      <c r="D506">
        <f t="shared" si="21"/>
        <v>5408.93</v>
      </c>
      <c r="E506">
        <f t="shared" si="22"/>
        <v>4.6999998092651367</v>
      </c>
      <c r="F506">
        <f t="shared" si="23"/>
        <v>887.60289999999998</v>
      </c>
      <c r="G506" s="42"/>
      <c r="H506" s="41">
        <v>45320</v>
      </c>
      <c r="I506" s="42">
        <v>5408.93</v>
      </c>
      <c r="J506" s="41">
        <v>45320</v>
      </c>
      <c r="K506" s="42">
        <v>4.6999998092651367</v>
      </c>
      <c r="L506" s="41">
        <v>45320</v>
      </c>
      <c r="M506" s="42">
        <v>887.60289999999998</v>
      </c>
    </row>
    <row r="507" spans="1:13">
      <c r="A507" s="41">
        <v>45321</v>
      </c>
      <c r="B507" s="42">
        <v>15703.45</v>
      </c>
      <c r="C507" s="42">
        <v>94860253900</v>
      </c>
      <c r="D507">
        <f t="shared" si="21"/>
        <v>5275.37</v>
      </c>
      <c r="E507">
        <f t="shared" si="22"/>
        <v>4.7091097831726074</v>
      </c>
      <c r="F507">
        <f t="shared" si="23"/>
        <v>861.79010000000005</v>
      </c>
      <c r="G507" s="42"/>
      <c r="H507" s="41">
        <v>45321</v>
      </c>
      <c r="I507" s="42">
        <v>5275.37</v>
      </c>
      <c r="J507" s="41">
        <v>45321</v>
      </c>
      <c r="K507" s="42">
        <v>4.7091097831726074</v>
      </c>
      <c r="L507" s="41">
        <v>45321</v>
      </c>
      <c r="M507" s="42">
        <v>861.79010000000005</v>
      </c>
    </row>
    <row r="508" spans="1:13">
      <c r="A508" s="41">
        <v>45322</v>
      </c>
      <c r="B508" s="42">
        <v>15485.07</v>
      </c>
      <c r="C508" s="42">
        <v>98845463500</v>
      </c>
      <c r="D508">
        <f t="shared" si="21"/>
        <v>5194.04</v>
      </c>
      <c r="E508">
        <f t="shared" si="22"/>
        <v>4.7083902359008789</v>
      </c>
      <c r="F508">
        <f t="shared" si="23"/>
        <v>833.13139999999999</v>
      </c>
      <c r="G508" s="42"/>
      <c r="H508" s="41">
        <v>45322</v>
      </c>
      <c r="I508" s="42">
        <v>5194.04</v>
      </c>
      <c r="J508" s="41">
        <v>45322</v>
      </c>
      <c r="K508" s="42">
        <v>4.7083902359008789</v>
      </c>
      <c r="L508" s="41">
        <v>45322</v>
      </c>
      <c r="M508" s="42">
        <v>833.13139999999999</v>
      </c>
    </row>
    <row r="509" spans="1:13">
      <c r="A509" s="41">
        <v>45323</v>
      </c>
      <c r="B509" s="42">
        <v>15566.21</v>
      </c>
      <c r="C509" s="42">
        <v>94907173700</v>
      </c>
      <c r="D509">
        <f t="shared" si="21"/>
        <v>5223.4799999999996</v>
      </c>
      <c r="E509">
        <f t="shared" si="22"/>
        <v>4.6934499740600586</v>
      </c>
      <c r="F509">
        <f t="shared" si="23"/>
        <v>826.2681</v>
      </c>
      <c r="G509" s="42"/>
      <c r="H509" s="41">
        <v>45323</v>
      </c>
      <c r="I509" s="42">
        <v>5223.4799999999996</v>
      </c>
      <c r="J509" s="41">
        <v>45323</v>
      </c>
      <c r="K509" s="42">
        <v>4.6934499740600586</v>
      </c>
      <c r="L509" s="41">
        <v>45323</v>
      </c>
      <c r="M509" s="42">
        <v>826.2681</v>
      </c>
    </row>
    <row r="510" spans="1:13">
      <c r="A510" s="41">
        <v>45324</v>
      </c>
      <c r="B510" s="42">
        <v>15533.56</v>
      </c>
      <c r="C510" s="42">
        <v>103155850000</v>
      </c>
      <c r="D510">
        <f t="shared" si="21"/>
        <v>5218.99</v>
      </c>
      <c r="E510">
        <f t="shared" si="22"/>
        <v>4.677800178527832</v>
      </c>
      <c r="F510">
        <f t="shared" si="23"/>
        <v>812.21040000000005</v>
      </c>
      <c r="G510" s="42"/>
      <c r="H510" s="41">
        <v>45324</v>
      </c>
      <c r="I510" s="42">
        <v>5218.99</v>
      </c>
      <c r="J510" s="41">
        <v>45324</v>
      </c>
      <c r="K510" s="42">
        <v>4.677800178527832</v>
      </c>
      <c r="L510" s="41">
        <v>45324</v>
      </c>
      <c r="M510" s="42">
        <v>812.21040000000005</v>
      </c>
    </row>
    <row r="511" spans="1:13">
      <c r="A511" s="41">
        <v>45327</v>
      </c>
      <c r="B511" s="42">
        <v>15510.01</v>
      </c>
      <c r="C511" s="42">
        <v>94713279500</v>
      </c>
      <c r="D511">
        <f t="shared" si="21"/>
        <v>5217.3599999999997</v>
      </c>
      <c r="E511">
        <f t="shared" si="22"/>
        <v>4.6724400520324707</v>
      </c>
      <c r="F511">
        <f t="shared" si="23"/>
        <v>761.3759</v>
      </c>
      <c r="G511" s="42"/>
      <c r="H511" s="41">
        <v>45327</v>
      </c>
      <c r="I511" s="42">
        <v>5217.3599999999997</v>
      </c>
      <c r="J511" s="41">
        <v>45327</v>
      </c>
      <c r="K511" s="42">
        <v>4.6724400520324707</v>
      </c>
      <c r="L511" s="41">
        <v>45327</v>
      </c>
      <c r="M511" s="42">
        <v>761.3759</v>
      </c>
    </row>
    <row r="512" spans="1:13">
      <c r="A512" s="41">
        <v>45328</v>
      </c>
      <c r="B512" s="42">
        <v>16136.87</v>
      </c>
      <c r="C512" s="42">
        <v>128040660300</v>
      </c>
      <c r="D512">
        <f t="shared" si="21"/>
        <v>5473.75</v>
      </c>
      <c r="E512">
        <f t="shared" si="22"/>
        <v>4.6705999374389648</v>
      </c>
      <c r="F512">
        <f t="shared" si="23"/>
        <v>785.26829999999995</v>
      </c>
      <c r="G512" s="42"/>
      <c r="H512" s="41">
        <v>45328</v>
      </c>
      <c r="I512" s="42">
        <v>5473.75</v>
      </c>
      <c r="J512" s="41">
        <v>45328</v>
      </c>
      <c r="K512" s="42">
        <v>4.6705999374389648</v>
      </c>
      <c r="L512" s="41">
        <v>45328</v>
      </c>
      <c r="M512" s="42">
        <v>785.26829999999995</v>
      </c>
    </row>
    <row r="513" spans="1:13">
      <c r="A513" s="41">
        <v>45329</v>
      </c>
      <c r="B513" s="42">
        <v>16081.89</v>
      </c>
      <c r="C513" s="42">
        <v>103632695700</v>
      </c>
      <c r="D513">
        <f t="shared" si="21"/>
        <v>5421.53</v>
      </c>
      <c r="E513">
        <f t="shared" si="22"/>
        <v>4.6708297729492188</v>
      </c>
      <c r="F513">
        <f t="shared" si="23"/>
        <v>791.11400000000003</v>
      </c>
      <c r="G513" s="42"/>
      <c r="H513" s="41">
        <v>45329</v>
      </c>
      <c r="I513" s="42">
        <v>5421.53</v>
      </c>
      <c r="J513" s="41">
        <v>45329</v>
      </c>
      <c r="K513" s="42">
        <v>4.6708297729492188</v>
      </c>
      <c r="L513" s="41">
        <v>45329</v>
      </c>
      <c r="M513" s="42">
        <v>791.11400000000003</v>
      </c>
    </row>
    <row r="514" spans="1:13">
      <c r="A514" s="41">
        <v>45330</v>
      </c>
      <c r="B514" s="42">
        <v>15878.07</v>
      </c>
      <c r="C514" s="42">
        <v>77712740400</v>
      </c>
      <c r="D514">
        <f t="shared" si="21"/>
        <v>5360.08</v>
      </c>
      <c r="E514">
        <f t="shared" si="22"/>
        <v>4.6713099479675293</v>
      </c>
      <c r="F514">
        <f t="shared" si="23"/>
        <v>821.38099999999997</v>
      </c>
      <c r="G514" s="42"/>
      <c r="H514" s="41">
        <v>45330</v>
      </c>
      <c r="I514" s="42">
        <v>5360.08</v>
      </c>
      <c r="J514" s="41">
        <v>45330</v>
      </c>
      <c r="K514" s="42">
        <v>4.6713099479675293</v>
      </c>
      <c r="L514" s="41">
        <v>45330</v>
      </c>
      <c r="M514" s="42">
        <v>821.38099999999997</v>
      </c>
    </row>
    <row r="515" spans="1:13">
      <c r="A515" s="41">
        <v>45341</v>
      </c>
      <c r="B515" s="42">
        <v>16155.61</v>
      </c>
      <c r="C515" s="42">
        <v>82087427400</v>
      </c>
      <c r="D515">
        <f t="shared" si="21"/>
        <v>5484.88</v>
      </c>
      <c r="E515">
        <f t="shared" si="22"/>
        <v>4.6827998161315918</v>
      </c>
      <c r="F515">
        <f t="shared" si="23"/>
        <v>809.44500000000005</v>
      </c>
      <c r="G515" s="42"/>
      <c r="H515" s="41">
        <v>45341</v>
      </c>
      <c r="I515" s="42">
        <v>5484.88</v>
      </c>
      <c r="J515" s="41">
        <v>45341</v>
      </c>
      <c r="K515" s="42">
        <v>4.6827998161315918</v>
      </c>
      <c r="L515" s="41">
        <v>45341</v>
      </c>
      <c r="M515" s="42">
        <v>809.44500000000005</v>
      </c>
    </row>
    <row r="516" spans="1:13">
      <c r="A516" s="41">
        <v>45342</v>
      </c>
      <c r="B516" s="42">
        <v>16247.51</v>
      </c>
      <c r="C516" s="42">
        <v>76961393800</v>
      </c>
      <c r="D516">
        <f t="shared" ref="D516:D579" si="24">IFERROR(VLOOKUP($A516,$H$3:$I$1100,2,FALSE),"")</f>
        <v>5519.23</v>
      </c>
      <c r="E516">
        <f t="shared" ref="E516:E579" si="25">IFERROR(VLOOKUP($A516,$J$3:$K$1100,2,FALSE),"")</f>
        <v>4.6367301940917969</v>
      </c>
      <c r="F516">
        <f t="shared" ref="F516:F579" si="26">IFERROR(VLOOKUP($A516,$L$3:$M$1100,2,FALSE),"")</f>
        <v>817.84050000000002</v>
      </c>
      <c r="G516" s="42"/>
      <c r="H516" s="41">
        <v>45342</v>
      </c>
      <c r="I516" s="42">
        <v>5519.23</v>
      </c>
      <c r="J516" s="41">
        <v>45342</v>
      </c>
      <c r="K516" s="42">
        <v>4.6367301940917969</v>
      </c>
      <c r="L516" s="41">
        <v>45342</v>
      </c>
      <c r="M516" s="42">
        <v>817.84050000000002</v>
      </c>
    </row>
    <row r="517" spans="1:13">
      <c r="A517" s="41">
        <v>45343</v>
      </c>
      <c r="B517" s="42">
        <v>16503.099999999999</v>
      </c>
      <c r="C517" s="42">
        <v>122444240200</v>
      </c>
      <c r="D517">
        <f t="shared" si="24"/>
        <v>5642.78</v>
      </c>
      <c r="E517">
        <f t="shared" si="25"/>
        <v>4.6713099479675293</v>
      </c>
      <c r="F517">
        <f t="shared" si="26"/>
        <v>821.08529999999996</v>
      </c>
      <c r="G517" s="42"/>
      <c r="H517" s="41">
        <v>45343</v>
      </c>
      <c r="I517" s="42">
        <v>5642.78</v>
      </c>
      <c r="J517" s="41">
        <v>45343</v>
      </c>
      <c r="K517" s="42">
        <v>4.6713099479675293</v>
      </c>
      <c r="L517" s="41">
        <v>45343</v>
      </c>
      <c r="M517" s="42">
        <v>821.08529999999996</v>
      </c>
    </row>
    <row r="518" spans="1:13">
      <c r="A518" s="41">
        <v>45344</v>
      </c>
      <c r="B518" s="42">
        <v>16742.95</v>
      </c>
      <c r="C518" s="42">
        <v>100096629600</v>
      </c>
      <c r="D518">
        <f t="shared" si="24"/>
        <v>5758.46</v>
      </c>
      <c r="E518">
        <f t="shared" si="25"/>
        <v>4.6845798492431641</v>
      </c>
      <c r="F518">
        <f t="shared" si="26"/>
        <v>829.85080000000005</v>
      </c>
      <c r="G518" s="42"/>
      <c r="H518" s="41">
        <v>45344</v>
      </c>
      <c r="I518" s="42">
        <v>5758.46</v>
      </c>
      <c r="J518" s="41">
        <v>45344</v>
      </c>
      <c r="K518" s="42">
        <v>4.6845798492431641</v>
      </c>
      <c r="L518" s="41">
        <v>45344</v>
      </c>
      <c r="M518" s="42">
        <v>829.85080000000005</v>
      </c>
    </row>
    <row r="519" spans="1:13">
      <c r="A519" s="41">
        <v>45345</v>
      </c>
      <c r="B519" s="42">
        <v>16725.86</v>
      </c>
      <c r="C519" s="42">
        <v>96052614500</v>
      </c>
      <c r="D519">
        <f t="shared" si="24"/>
        <v>5765.1</v>
      </c>
      <c r="E519">
        <f t="shared" si="25"/>
        <v>4.6838698387145996</v>
      </c>
      <c r="F519">
        <f t="shared" si="26"/>
        <v>840.59379999999999</v>
      </c>
      <c r="G519" s="42"/>
      <c r="H519" s="41">
        <v>45345</v>
      </c>
      <c r="I519" s="42">
        <v>5765.1</v>
      </c>
      <c r="J519" s="41">
        <v>45345</v>
      </c>
      <c r="K519" s="42">
        <v>4.6838698387145996</v>
      </c>
      <c r="L519" s="41">
        <v>45345</v>
      </c>
      <c r="M519" s="42">
        <v>840.59379999999999</v>
      </c>
    </row>
    <row r="520" spans="1:13">
      <c r="A520" s="41">
        <v>45348</v>
      </c>
      <c r="B520" s="42">
        <v>16634.740000000002</v>
      </c>
      <c r="C520" s="42">
        <v>83545699200</v>
      </c>
      <c r="D520">
        <f t="shared" si="24"/>
        <v>5723.36</v>
      </c>
      <c r="E520">
        <f t="shared" si="25"/>
        <v>4.6838698387145996</v>
      </c>
      <c r="F520">
        <f t="shared" si="26"/>
        <v>853.02329999999995</v>
      </c>
      <c r="G520" s="42"/>
      <c r="H520" s="41">
        <v>45348</v>
      </c>
      <c r="I520" s="42">
        <v>5723.36</v>
      </c>
      <c r="J520" s="41">
        <v>45348</v>
      </c>
      <c r="K520" s="42">
        <v>4.6838698387145996</v>
      </c>
      <c r="L520" s="41">
        <v>45348</v>
      </c>
      <c r="M520" s="42">
        <v>853.02329999999995</v>
      </c>
    </row>
    <row r="521" spans="1:13">
      <c r="A521" s="41">
        <v>45349</v>
      </c>
      <c r="B521" s="42">
        <v>16790.8</v>
      </c>
      <c r="C521" s="42">
        <v>102600757700</v>
      </c>
      <c r="D521">
        <f t="shared" si="24"/>
        <v>5806.9</v>
      </c>
      <c r="E521">
        <f t="shared" si="25"/>
        <v>4.6852998733520508</v>
      </c>
      <c r="F521">
        <f t="shared" si="26"/>
        <v>880.29830000000004</v>
      </c>
      <c r="G521" s="42"/>
      <c r="H521" s="41">
        <v>45349</v>
      </c>
      <c r="I521" s="42">
        <v>5806.9</v>
      </c>
      <c r="J521" s="41">
        <v>45349</v>
      </c>
      <c r="K521" s="42">
        <v>4.6852998733520508</v>
      </c>
      <c r="L521" s="41">
        <v>45349</v>
      </c>
      <c r="M521" s="42">
        <v>880.29830000000004</v>
      </c>
    </row>
    <row r="522" spans="1:13">
      <c r="A522" s="41">
        <v>45350</v>
      </c>
      <c r="B522" s="42">
        <v>16536.849999999999</v>
      </c>
      <c r="C522" s="42">
        <v>107016656500</v>
      </c>
      <c r="D522">
        <f t="shared" si="24"/>
        <v>5688.46</v>
      </c>
      <c r="E522">
        <f t="shared" si="25"/>
        <v>4.6845798492431641</v>
      </c>
      <c r="F522">
        <f t="shared" si="26"/>
        <v>835.29229999999995</v>
      </c>
      <c r="G522" s="42"/>
      <c r="H522" s="41">
        <v>45350</v>
      </c>
      <c r="I522" s="42">
        <v>5688.46</v>
      </c>
      <c r="J522" s="41">
        <v>45350</v>
      </c>
      <c r="K522" s="42">
        <v>4.6845798492431641</v>
      </c>
      <c r="L522" s="41">
        <v>45350</v>
      </c>
      <c r="M522" s="42">
        <v>835.29229999999995</v>
      </c>
    </row>
    <row r="523" spans="1:13">
      <c r="A523" s="41">
        <v>45351</v>
      </c>
      <c r="B523" s="42">
        <v>16511.439999999999</v>
      </c>
      <c r="C523" s="42">
        <v>130351372300</v>
      </c>
      <c r="D523">
        <f t="shared" si="24"/>
        <v>5677.88</v>
      </c>
      <c r="E523">
        <f t="shared" si="25"/>
        <v>4.6838698387145996</v>
      </c>
      <c r="F523">
        <f t="shared" si="26"/>
        <v>849.65949999999998</v>
      </c>
      <c r="G523" s="42"/>
      <c r="H523" s="41">
        <v>45351</v>
      </c>
      <c r="I523" s="42">
        <v>5677.88</v>
      </c>
      <c r="J523" s="41">
        <v>45351</v>
      </c>
      <c r="K523" s="42">
        <v>4.6838698387145996</v>
      </c>
      <c r="L523" s="41">
        <v>45351</v>
      </c>
      <c r="M523" s="42">
        <v>849.65949999999998</v>
      </c>
    </row>
    <row r="524" spans="1:13">
      <c r="A524" s="41">
        <v>45352</v>
      </c>
      <c r="B524" s="42">
        <v>16589.439999999999</v>
      </c>
      <c r="C524" s="42">
        <v>121831893200</v>
      </c>
      <c r="D524">
        <f t="shared" si="24"/>
        <v>5728.84</v>
      </c>
      <c r="E524">
        <f t="shared" si="25"/>
        <v>4.6831498146057129</v>
      </c>
      <c r="F524">
        <f t="shared" si="26"/>
        <v>839.58320000000003</v>
      </c>
      <c r="G524" s="42"/>
      <c r="H524" s="41">
        <v>45352</v>
      </c>
      <c r="I524" s="42">
        <v>5728.84</v>
      </c>
      <c r="J524" s="41">
        <v>45352</v>
      </c>
      <c r="K524" s="42">
        <v>4.6831498146057129</v>
      </c>
      <c r="L524" s="41">
        <v>45352</v>
      </c>
      <c r="M524" s="42">
        <v>839.58320000000003</v>
      </c>
    </row>
    <row r="525" spans="1:13">
      <c r="A525" s="41">
        <v>45355</v>
      </c>
      <c r="B525" s="42">
        <v>16595.97</v>
      </c>
      <c r="C525" s="42">
        <v>106866930800</v>
      </c>
      <c r="D525">
        <f t="shared" si="24"/>
        <v>5712.83</v>
      </c>
      <c r="E525">
        <f t="shared" si="25"/>
        <v>4.6845798492431641</v>
      </c>
      <c r="F525">
        <f t="shared" si="26"/>
        <v>833.98239999999998</v>
      </c>
      <c r="G525" s="42"/>
      <c r="H525" s="41">
        <v>45355</v>
      </c>
      <c r="I525" s="42">
        <v>5712.83</v>
      </c>
      <c r="J525" s="41">
        <v>45355</v>
      </c>
      <c r="K525" s="42">
        <v>4.6845798492431641</v>
      </c>
      <c r="L525" s="41">
        <v>45355</v>
      </c>
      <c r="M525" s="42">
        <v>833.98239999999998</v>
      </c>
    </row>
    <row r="526" spans="1:13">
      <c r="A526" s="41">
        <v>45356</v>
      </c>
      <c r="B526" s="42">
        <v>16162.64</v>
      </c>
      <c r="C526" s="42">
        <v>112129319100</v>
      </c>
      <c r="D526">
        <f t="shared" si="24"/>
        <v>5562.73</v>
      </c>
      <c r="E526">
        <f t="shared" si="25"/>
        <v>4.6852998733520508</v>
      </c>
      <c r="F526">
        <f t="shared" si="26"/>
        <v>842.09529999999995</v>
      </c>
      <c r="G526" s="42"/>
      <c r="H526" s="41">
        <v>45356</v>
      </c>
      <c r="I526" s="42">
        <v>5562.73</v>
      </c>
      <c r="J526" s="41">
        <v>45356</v>
      </c>
      <c r="K526" s="42">
        <v>4.6852998733520508</v>
      </c>
      <c r="L526" s="41">
        <v>45356</v>
      </c>
      <c r="M526" s="42">
        <v>842.09529999999995</v>
      </c>
    </row>
    <row r="527" spans="1:13">
      <c r="A527" s="41">
        <v>45357</v>
      </c>
      <c r="B527" s="42">
        <v>16438.09</v>
      </c>
      <c r="C527" s="42">
        <v>102377141600</v>
      </c>
      <c r="D527">
        <f t="shared" si="24"/>
        <v>5672.97</v>
      </c>
      <c r="E527">
        <f t="shared" si="25"/>
        <v>4.6845798492431641</v>
      </c>
      <c r="F527">
        <f t="shared" si="26"/>
        <v>836.60839999999996</v>
      </c>
      <c r="G527" s="42"/>
      <c r="H527" s="41">
        <v>45357</v>
      </c>
      <c r="I527" s="42">
        <v>5672.97</v>
      </c>
      <c r="J527" s="41">
        <v>45357</v>
      </c>
      <c r="K527" s="42">
        <v>4.6845798492431641</v>
      </c>
      <c r="L527" s="41">
        <v>45357</v>
      </c>
      <c r="M527" s="42">
        <v>836.60839999999996</v>
      </c>
    </row>
    <row r="528" spans="1:13">
      <c r="A528" s="41">
        <v>45358</v>
      </c>
      <c r="B528" s="42">
        <v>16229.78</v>
      </c>
      <c r="C528" s="42">
        <v>98008817200</v>
      </c>
      <c r="D528">
        <f t="shared" si="24"/>
        <v>5613.83</v>
      </c>
      <c r="E528">
        <f t="shared" si="25"/>
        <v>4.6838698387145996</v>
      </c>
      <c r="F528">
        <f t="shared" si="26"/>
        <v>836.47249999999997</v>
      </c>
      <c r="G528" s="42"/>
      <c r="H528" s="41">
        <v>45358</v>
      </c>
      <c r="I528" s="42">
        <v>5613.83</v>
      </c>
      <c r="J528" s="41">
        <v>45358</v>
      </c>
      <c r="K528" s="42">
        <v>4.6838698387145996</v>
      </c>
      <c r="L528" s="41">
        <v>45358</v>
      </c>
      <c r="M528" s="42">
        <v>836.47249999999997</v>
      </c>
    </row>
    <row r="529" spans="1:13">
      <c r="A529" s="41">
        <v>45359</v>
      </c>
      <c r="B529" s="42">
        <v>16353.39</v>
      </c>
      <c r="C529" s="42">
        <v>86687906300</v>
      </c>
      <c r="D529">
        <f t="shared" si="24"/>
        <v>5656.72</v>
      </c>
      <c r="E529">
        <f t="shared" si="25"/>
        <v>4.6831498146057129</v>
      </c>
      <c r="F529">
        <f t="shared" si="26"/>
        <v>829.43299999999999</v>
      </c>
      <c r="G529" s="42"/>
      <c r="H529" s="41">
        <v>45359</v>
      </c>
      <c r="I529" s="42">
        <v>5656.72</v>
      </c>
      <c r="J529" s="41">
        <v>45359</v>
      </c>
      <c r="K529" s="42">
        <v>4.6831498146057129</v>
      </c>
      <c r="L529" s="41">
        <v>45359</v>
      </c>
      <c r="M529" s="42">
        <v>829.43299999999999</v>
      </c>
    </row>
    <row r="530" spans="1:13">
      <c r="A530" s="41">
        <v>45362</v>
      </c>
      <c r="B530" s="42">
        <v>16587.57</v>
      </c>
      <c r="C530" s="42">
        <v>92945031500</v>
      </c>
      <c r="D530">
        <f t="shared" si="24"/>
        <v>5748.89</v>
      </c>
      <c r="E530">
        <f t="shared" si="25"/>
        <v>4.6833300590515137</v>
      </c>
      <c r="F530">
        <f t="shared" si="26"/>
        <v>842.37379999999996</v>
      </c>
      <c r="G530" s="42"/>
      <c r="H530" s="41">
        <v>45362</v>
      </c>
      <c r="I530" s="42">
        <v>5748.89</v>
      </c>
      <c r="J530" s="41">
        <v>45362</v>
      </c>
      <c r="K530" s="42">
        <v>4.6833300590515137</v>
      </c>
      <c r="L530" s="41">
        <v>45362</v>
      </c>
      <c r="M530" s="42">
        <v>842.37379999999996</v>
      </c>
    </row>
    <row r="531" spans="1:13">
      <c r="A531" s="41">
        <v>45363</v>
      </c>
      <c r="B531" s="42">
        <v>17093.5</v>
      </c>
      <c r="C531" s="42">
        <v>149965506700</v>
      </c>
      <c r="D531">
        <f t="shared" si="24"/>
        <v>5949.52</v>
      </c>
      <c r="E531">
        <f t="shared" si="25"/>
        <v>4.6831498146057129</v>
      </c>
      <c r="F531">
        <f t="shared" si="26"/>
        <v>859.16420000000005</v>
      </c>
      <c r="G531" s="42"/>
      <c r="H531" s="41">
        <v>45363</v>
      </c>
      <c r="I531" s="42">
        <v>5949.52</v>
      </c>
      <c r="J531" s="41">
        <v>45363</v>
      </c>
      <c r="K531" s="42">
        <v>4.6831498146057129</v>
      </c>
      <c r="L531" s="41">
        <v>45363</v>
      </c>
      <c r="M531" s="42">
        <v>859.16420000000005</v>
      </c>
    </row>
    <row r="532" spans="1:13">
      <c r="A532" s="41">
        <v>45364</v>
      </c>
      <c r="B532" s="42">
        <v>17082.11</v>
      </c>
      <c r="C532" s="42">
        <v>120449133900</v>
      </c>
      <c r="D532">
        <f t="shared" si="24"/>
        <v>5932.46</v>
      </c>
      <c r="E532">
        <f t="shared" si="25"/>
        <v>4.6832499504089355</v>
      </c>
      <c r="F532">
        <f t="shared" si="26"/>
        <v>844.62620000000004</v>
      </c>
      <c r="G532" s="42"/>
      <c r="H532" s="41">
        <v>45364</v>
      </c>
      <c r="I532" s="42">
        <v>5932.46</v>
      </c>
      <c r="J532" s="41">
        <v>45364</v>
      </c>
      <c r="K532" s="42">
        <v>4.6832499504089355</v>
      </c>
      <c r="L532" s="41">
        <v>45364</v>
      </c>
      <c r="M532" s="42">
        <v>844.62620000000004</v>
      </c>
    </row>
    <row r="533" spans="1:13">
      <c r="A533" s="41">
        <v>45365</v>
      </c>
      <c r="B533" s="42">
        <v>16961.66</v>
      </c>
      <c r="C533" s="42">
        <v>113130475500</v>
      </c>
      <c r="D533">
        <f t="shared" si="24"/>
        <v>5906.88</v>
      </c>
      <c r="E533">
        <f t="shared" si="25"/>
        <v>4.6838698387145996</v>
      </c>
      <c r="F533">
        <f t="shared" si="26"/>
        <v>834.07420000000002</v>
      </c>
      <c r="G533" s="42"/>
      <c r="H533" s="41">
        <v>45365</v>
      </c>
      <c r="I533" s="42">
        <v>5906.88</v>
      </c>
      <c r="J533" s="41">
        <v>45365</v>
      </c>
      <c r="K533" s="42">
        <v>4.6838698387145996</v>
      </c>
      <c r="L533" s="41">
        <v>45365</v>
      </c>
      <c r="M533" s="42">
        <v>834.07420000000002</v>
      </c>
    </row>
    <row r="534" spans="1:13">
      <c r="A534" s="41">
        <v>45366</v>
      </c>
      <c r="B534" s="42">
        <v>16720.89</v>
      </c>
      <c r="C534" s="42">
        <v>139086360600</v>
      </c>
      <c r="D534">
        <f t="shared" si="24"/>
        <v>5820.5</v>
      </c>
      <c r="E534">
        <f t="shared" si="25"/>
        <v>4.6838698387145996</v>
      </c>
      <c r="F534">
        <f t="shared" si="26"/>
        <v>839.96810000000005</v>
      </c>
      <c r="G534" s="42"/>
      <c r="H534" s="41">
        <v>45366</v>
      </c>
      <c r="I534" s="42">
        <v>5820.5</v>
      </c>
      <c r="J534" s="41">
        <v>45366</v>
      </c>
      <c r="K534" s="42">
        <v>4.6838698387145996</v>
      </c>
      <c r="L534" s="41">
        <v>45366</v>
      </c>
      <c r="M534" s="42">
        <v>839.96810000000005</v>
      </c>
    </row>
    <row r="535" spans="1:13">
      <c r="A535" s="41">
        <v>45369</v>
      </c>
      <c r="B535" s="42">
        <v>16737.12</v>
      </c>
      <c r="C535" s="42">
        <v>95776937800</v>
      </c>
      <c r="D535">
        <f t="shared" si="24"/>
        <v>5848.15</v>
      </c>
      <c r="E535">
        <f t="shared" si="25"/>
        <v>4.6774997711181641</v>
      </c>
      <c r="F535">
        <f t="shared" si="26"/>
        <v>852.75310000000002</v>
      </c>
      <c r="G535" s="42"/>
      <c r="H535" s="41">
        <v>45369</v>
      </c>
      <c r="I535" s="42">
        <v>5848.15</v>
      </c>
      <c r="J535" s="41">
        <v>45369</v>
      </c>
      <c r="K535" s="42">
        <v>4.6774997711181641</v>
      </c>
      <c r="L535" s="41">
        <v>45369</v>
      </c>
      <c r="M535" s="42">
        <v>852.75310000000002</v>
      </c>
    </row>
    <row r="536" spans="1:13">
      <c r="A536" s="41">
        <v>45370</v>
      </c>
      <c r="B536" s="42">
        <v>16529.48</v>
      </c>
      <c r="C536" s="42">
        <v>90689423200</v>
      </c>
      <c r="D536">
        <f t="shared" si="24"/>
        <v>5780.21</v>
      </c>
      <c r="E536">
        <f t="shared" si="25"/>
        <v>4.6758298873901367</v>
      </c>
      <c r="F536">
        <f t="shared" si="26"/>
        <v>884.64329999999995</v>
      </c>
      <c r="G536" s="42"/>
      <c r="H536" s="41">
        <v>45370</v>
      </c>
      <c r="I536" s="42">
        <v>5780.21</v>
      </c>
      <c r="J536" s="41">
        <v>45370</v>
      </c>
      <c r="K536" s="42">
        <v>4.6758298873901367</v>
      </c>
      <c r="L536" s="41">
        <v>45370</v>
      </c>
      <c r="M536" s="42">
        <v>884.64329999999995</v>
      </c>
    </row>
    <row r="537" spans="1:13">
      <c r="A537" s="41">
        <v>45371</v>
      </c>
      <c r="B537" s="42">
        <v>16543.07</v>
      </c>
      <c r="C537" s="42">
        <v>85342554500</v>
      </c>
      <c r="D537">
        <f t="shared" si="24"/>
        <v>5803.99</v>
      </c>
      <c r="E537">
        <f t="shared" si="25"/>
        <v>4.6762499809265137</v>
      </c>
      <c r="F537">
        <f t="shared" si="26"/>
        <v>886.86149999999998</v>
      </c>
      <c r="G537" s="42"/>
      <c r="H537" s="41">
        <v>45371</v>
      </c>
      <c r="I537" s="42">
        <v>5803.99</v>
      </c>
      <c r="J537" s="41">
        <v>45371</v>
      </c>
      <c r="K537" s="42">
        <v>4.6762499809265137</v>
      </c>
      <c r="L537" s="41">
        <v>45371</v>
      </c>
      <c r="M537" s="42">
        <v>886.86149999999998</v>
      </c>
    </row>
    <row r="538" spans="1:13">
      <c r="A538" s="41">
        <v>45372</v>
      </c>
      <c r="B538" s="42">
        <v>16863.099999999999</v>
      </c>
      <c r="C538" s="42">
        <v>118050831200</v>
      </c>
      <c r="D538">
        <f t="shared" si="24"/>
        <v>5905.27</v>
      </c>
      <c r="E538">
        <f t="shared" si="25"/>
        <v>4.7114300727844238</v>
      </c>
      <c r="F538">
        <f t="shared" si="26"/>
        <v>930.44640000000004</v>
      </c>
      <c r="G538" s="42"/>
      <c r="H538" s="41">
        <v>45372</v>
      </c>
      <c r="I538" s="42">
        <v>5905.27</v>
      </c>
      <c r="J538" s="41">
        <v>45372</v>
      </c>
      <c r="K538" s="42">
        <v>4.7114300727844238</v>
      </c>
      <c r="L538" s="41">
        <v>45372</v>
      </c>
      <c r="M538" s="42">
        <v>930.44640000000004</v>
      </c>
    </row>
    <row r="539" spans="1:13">
      <c r="A539" s="41">
        <v>45373</v>
      </c>
      <c r="B539" s="42">
        <v>16499.47</v>
      </c>
      <c r="C539" s="42">
        <v>135652755900</v>
      </c>
      <c r="D539">
        <f t="shared" si="24"/>
        <v>5757.67</v>
      </c>
      <c r="E539">
        <f t="shared" si="25"/>
        <v>4.7346401214599609</v>
      </c>
      <c r="F539">
        <f t="shared" si="26"/>
        <v>910.99350000000004</v>
      </c>
      <c r="G539" s="42"/>
      <c r="H539" s="41">
        <v>45373</v>
      </c>
      <c r="I539" s="42">
        <v>5757.67</v>
      </c>
      <c r="J539" s="41">
        <v>45373</v>
      </c>
      <c r="K539" s="42">
        <v>4.7346401214599609</v>
      </c>
      <c r="L539" s="41">
        <v>45373</v>
      </c>
      <c r="M539" s="42">
        <v>910.99350000000004</v>
      </c>
    </row>
    <row r="540" spans="1:13">
      <c r="A540" s="41">
        <v>45376</v>
      </c>
      <c r="B540" s="42">
        <v>16473.64</v>
      </c>
      <c r="C540" s="42">
        <v>112708610900</v>
      </c>
      <c r="D540">
        <f t="shared" si="24"/>
        <v>5754.65</v>
      </c>
      <c r="E540">
        <f t="shared" si="25"/>
        <v>4.7302999496459961</v>
      </c>
      <c r="F540">
        <f t="shared" si="26"/>
        <v>880.74940000000004</v>
      </c>
      <c r="G540" s="42"/>
      <c r="H540" s="41">
        <v>45376</v>
      </c>
      <c r="I540" s="42">
        <v>5754.65</v>
      </c>
      <c r="J540" s="41">
        <v>45376</v>
      </c>
      <c r="K540" s="42">
        <v>4.7302999496459961</v>
      </c>
      <c r="L540" s="41">
        <v>45376</v>
      </c>
      <c r="M540" s="42">
        <v>880.74940000000004</v>
      </c>
    </row>
    <row r="541" spans="1:13">
      <c r="A541" s="41">
        <v>45377</v>
      </c>
      <c r="B541" s="42">
        <v>16618.32</v>
      </c>
      <c r="C541" s="42">
        <v>108652459100</v>
      </c>
      <c r="D541">
        <f t="shared" si="24"/>
        <v>5825.42</v>
      </c>
      <c r="E541">
        <f t="shared" si="25"/>
        <v>4.7394099235534668</v>
      </c>
      <c r="F541">
        <f t="shared" si="26"/>
        <v>887.20830000000001</v>
      </c>
      <c r="G541" s="42"/>
      <c r="H541" s="41">
        <v>45377</v>
      </c>
      <c r="I541" s="42">
        <v>5825.42</v>
      </c>
      <c r="J541" s="41">
        <v>45377</v>
      </c>
      <c r="K541" s="42">
        <v>4.7394099235534668</v>
      </c>
      <c r="L541" s="41">
        <v>45377</v>
      </c>
      <c r="M541" s="42">
        <v>887.20830000000001</v>
      </c>
    </row>
    <row r="542" spans="1:13">
      <c r="A542" s="41">
        <v>45378</v>
      </c>
      <c r="B542" s="42">
        <v>16392.84</v>
      </c>
      <c r="C542" s="42">
        <v>115609147400</v>
      </c>
      <c r="D542">
        <f t="shared" si="24"/>
        <v>5728.13</v>
      </c>
      <c r="E542">
        <f t="shared" si="25"/>
        <v>4.7307100296020508</v>
      </c>
      <c r="F542">
        <f t="shared" si="26"/>
        <v>866.19920000000002</v>
      </c>
      <c r="G542" s="42"/>
      <c r="H542" s="41">
        <v>45378</v>
      </c>
      <c r="I542" s="42">
        <v>5728.13</v>
      </c>
      <c r="J542" s="41">
        <v>45378</v>
      </c>
      <c r="K542" s="42">
        <v>4.7307100296020508</v>
      </c>
      <c r="L542" s="41">
        <v>45378</v>
      </c>
      <c r="M542" s="42">
        <v>866.19920000000002</v>
      </c>
    </row>
    <row r="543" spans="1:13">
      <c r="A543" s="41">
        <v>45379</v>
      </c>
      <c r="B543" s="42">
        <v>16541.419999999998</v>
      </c>
      <c r="C543" s="42">
        <v>117256731100</v>
      </c>
      <c r="D543">
        <f t="shared" si="24"/>
        <v>5810.79</v>
      </c>
      <c r="E543">
        <f t="shared" si="25"/>
        <v>4.7167901992797852</v>
      </c>
      <c r="F543">
        <f t="shared" si="26"/>
        <v>864.29390000000001</v>
      </c>
      <c r="G543" s="42"/>
      <c r="H543" s="41">
        <v>45379</v>
      </c>
      <c r="I543" s="42">
        <v>5810.79</v>
      </c>
      <c r="J543" s="41">
        <v>45379</v>
      </c>
      <c r="K543" s="42">
        <v>4.7167901992797852</v>
      </c>
      <c r="L543" s="41">
        <v>45379</v>
      </c>
      <c r="M543" s="42">
        <v>864.29390000000001</v>
      </c>
    </row>
    <row r="544" spans="1:13">
      <c r="A544" s="41">
        <v>45380</v>
      </c>
      <c r="B544" s="42">
        <v>16541.419999999998</v>
      </c>
      <c r="C544" s="42"/>
      <c r="D544">
        <f t="shared" si="24"/>
        <v>5810.79</v>
      </c>
      <c r="E544">
        <f t="shared" si="25"/>
        <v>0</v>
      </c>
      <c r="F544">
        <f t="shared" si="26"/>
        <v>895.63630000000001</v>
      </c>
      <c r="G544" s="42"/>
      <c r="H544" s="41">
        <v>45380</v>
      </c>
      <c r="I544" s="42">
        <v>5810.79</v>
      </c>
      <c r="J544" s="41">
        <v>45380</v>
      </c>
      <c r="K544" s="42"/>
      <c r="L544" s="41">
        <v>45380</v>
      </c>
      <c r="M544" s="42">
        <v>895.63630000000001</v>
      </c>
    </row>
    <row r="545" spans="1:13">
      <c r="A545" s="41">
        <v>45383</v>
      </c>
      <c r="B545" s="42">
        <v>16541.419999999998</v>
      </c>
      <c r="C545" s="42"/>
      <c r="D545">
        <f t="shared" si="24"/>
        <v>5810.79</v>
      </c>
      <c r="E545">
        <f t="shared" si="25"/>
        <v>0</v>
      </c>
      <c r="F545">
        <f t="shared" si="26"/>
        <v>910.80470000000003</v>
      </c>
      <c r="G545" s="42"/>
      <c r="H545" s="41">
        <v>45383</v>
      </c>
      <c r="I545" s="42">
        <v>5810.79</v>
      </c>
      <c r="J545" s="41">
        <v>45383</v>
      </c>
      <c r="K545" s="42"/>
      <c r="L545" s="41">
        <v>45383</v>
      </c>
      <c r="M545" s="42">
        <v>910.80470000000003</v>
      </c>
    </row>
    <row r="546" spans="1:13">
      <c r="A546" s="41">
        <v>45384</v>
      </c>
      <c r="B546" s="42">
        <v>16931.52</v>
      </c>
      <c r="C546" s="42">
        <v>144184282000</v>
      </c>
      <c r="D546">
        <f t="shared" si="24"/>
        <v>5960.72</v>
      </c>
      <c r="E546">
        <f t="shared" si="25"/>
        <v>4.686190128326416</v>
      </c>
      <c r="F546">
        <f t="shared" si="26"/>
        <v>903.27380000000005</v>
      </c>
      <c r="G546" s="42"/>
      <c r="H546" s="41">
        <v>45384</v>
      </c>
      <c r="I546" s="42">
        <v>5960.72</v>
      </c>
      <c r="J546" s="41">
        <v>45384</v>
      </c>
      <c r="K546" s="42">
        <v>4.686190128326416</v>
      </c>
      <c r="L546" s="41">
        <v>45384</v>
      </c>
      <c r="M546" s="42">
        <v>903.27380000000005</v>
      </c>
    </row>
    <row r="547" spans="1:13">
      <c r="A547" s="41">
        <v>45385</v>
      </c>
      <c r="B547" s="42">
        <v>16725.099999999999</v>
      </c>
      <c r="C547" s="42">
        <v>99787147400</v>
      </c>
      <c r="D547">
        <f t="shared" si="24"/>
        <v>5874.99</v>
      </c>
      <c r="E547">
        <f t="shared" si="25"/>
        <v>4.6589298248291016</v>
      </c>
      <c r="F547">
        <f t="shared" si="26"/>
        <v>922.09079999999994</v>
      </c>
      <c r="G547" s="42"/>
      <c r="H547" s="41">
        <v>45385</v>
      </c>
      <c r="I547" s="42">
        <v>5874.99</v>
      </c>
      <c r="J547" s="41">
        <v>45385</v>
      </c>
      <c r="K547" s="42">
        <v>4.6589298248291016</v>
      </c>
      <c r="L547" s="41">
        <v>45385</v>
      </c>
      <c r="M547" s="42">
        <v>922.09079999999994</v>
      </c>
    </row>
    <row r="548" spans="1:13">
      <c r="A548" s="41">
        <v>45390</v>
      </c>
      <c r="B548" s="42">
        <v>16732.849999999999</v>
      </c>
      <c r="C548" s="42">
        <v>99871066000</v>
      </c>
      <c r="D548">
        <f t="shared" si="24"/>
        <v>5868.97</v>
      </c>
      <c r="E548">
        <f t="shared" si="25"/>
        <v>4.6136298179626465</v>
      </c>
      <c r="F548">
        <f t="shared" si="26"/>
        <v>911.99879999999996</v>
      </c>
      <c r="G548" s="42"/>
      <c r="H548" s="41">
        <v>45390</v>
      </c>
      <c r="I548" s="42">
        <v>5868.97</v>
      </c>
      <c r="J548" s="41">
        <v>45390</v>
      </c>
      <c r="K548" s="42">
        <v>4.6136298179626465</v>
      </c>
      <c r="L548" s="41">
        <v>45390</v>
      </c>
      <c r="M548" s="42">
        <v>911.99879999999996</v>
      </c>
    </row>
    <row r="549" spans="1:13">
      <c r="A549" s="41">
        <v>45391</v>
      </c>
      <c r="B549" s="42">
        <v>16828.07</v>
      </c>
      <c r="C549" s="42">
        <v>82933737500</v>
      </c>
      <c r="D549">
        <f t="shared" si="24"/>
        <v>5895.32</v>
      </c>
      <c r="E549">
        <f t="shared" si="25"/>
        <v>4.6042900085449219</v>
      </c>
      <c r="F549">
        <f t="shared" si="26"/>
        <v>915.19529999999997</v>
      </c>
      <c r="G549" s="42"/>
      <c r="H549" s="41">
        <v>45391</v>
      </c>
      <c r="I549" s="42">
        <v>5895.32</v>
      </c>
      <c r="J549" s="41">
        <v>45391</v>
      </c>
      <c r="K549" s="42">
        <v>4.6042900085449219</v>
      </c>
      <c r="L549" s="41">
        <v>45391</v>
      </c>
      <c r="M549" s="42">
        <v>915.19529999999997</v>
      </c>
    </row>
    <row r="550" spans="1:13">
      <c r="A550" s="41">
        <v>45392</v>
      </c>
      <c r="B550" s="42">
        <v>17139.169999999998</v>
      </c>
      <c r="C550" s="42">
        <v>107293986400</v>
      </c>
      <c r="D550">
        <f t="shared" si="24"/>
        <v>6016.83</v>
      </c>
      <c r="E550">
        <f t="shared" si="25"/>
        <v>4.5785098075866699</v>
      </c>
      <c r="F550">
        <f t="shared" si="26"/>
        <v>891.81259999999997</v>
      </c>
      <c r="G550" s="42"/>
      <c r="H550" s="41">
        <v>45392</v>
      </c>
      <c r="I550" s="42">
        <v>6016.83</v>
      </c>
      <c r="J550" s="41">
        <v>45392</v>
      </c>
      <c r="K550" s="42">
        <v>4.5785098075866699</v>
      </c>
      <c r="L550" s="41">
        <v>45392</v>
      </c>
      <c r="M550" s="42">
        <v>891.81259999999997</v>
      </c>
    </row>
    <row r="551" spans="1:13">
      <c r="A551" s="41">
        <v>45393</v>
      </c>
      <c r="B551" s="42">
        <v>17095.03</v>
      </c>
      <c r="C551" s="42">
        <v>98796807600</v>
      </c>
      <c r="D551">
        <f t="shared" si="24"/>
        <v>6003.97</v>
      </c>
      <c r="E551">
        <f t="shared" si="25"/>
        <v>4.538330078125</v>
      </c>
      <c r="F551">
        <f t="shared" si="26"/>
        <v>873.67190000000005</v>
      </c>
      <c r="G551" s="42"/>
      <c r="H551" s="41">
        <v>45393</v>
      </c>
      <c r="I551" s="42">
        <v>6003.97</v>
      </c>
      <c r="J551" s="41">
        <v>45393</v>
      </c>
      <c r="K551" s="42">
        <v>4.538330078125</v>
      </c>
      <c r="L551" s="41">
        <v>45393</v>
      </c>
      <c r="M551" s="42">
        <v>873.67190000000005</v>
      </c>
    </row>
    <row r="552" spans="1:13">
      <c r="A552" s="41">
        <v>45394</v>
      </c>
      <c r="B552" s="42">
        <v>16721.689999999999</v>
      </c>
      <c r="C552" s="42">
        <v>106218292000</v>
      </c>
      <c r="D552">
        <f t="shared" si="24"/>
        <v>5879.58</v>
      </c>
      <c r="E552">
        <f t="shared" si="25"/>
        <v>4.5269098281860352</v>
      </c>
      <c r="F552">
        <f t="shared" si="26"/>
        <v>852.80409999999995</v>
      </c>
      <c r="G552" s="42"/>
      <c r="H552" s="41">
        <v>45394</v>
      </c>
      <c r="I552" s="42">
        <v>5879.58</v>
      </c>
      <c r="J552" s="41">
        <v>45394</v>
      </c>
      <c r="K552" s="42">
        <v>4.5269098281860352</v>
      </c>
      <c r="L552" s="41">
        <v>45394</v>
      </c>
      <c r="M552" s="42">
        <v>852.80409999999995</v>
      </c>
    </row>
    <row r="553" spans="1:13">
      <c r="A553" s="41">
        <v>45397</v>
      </c>
      <c r="B553" s="42">
        <v>16600.46</v>
      </c>
      <c r="C553" s="42">
        <v>95154872300</v>
      </c>
      <c r="D553">
        <f t="shared" si="24"/>
        <v>5856.44</v>
      </c>
      <c r="E553">
        <f t="shared" si="25"/>
        <v>4.503270149230957</v>
      </c>
      <c r="F553">
        <f t="shared" si="26"/>
        <v>833.85739999999998</v>
      </c>
      <c r="G553" s="42"/>
      <c r="H553" s="41">
        <v>45397</v>
      </c>
      <c r="I553" s="42">
        <v>5856.44</v>
      </c>
      <c r="J553" s="41">
        <v>45397</v>
      </c>
      <c r="K553" s="42">
        <v>4.503270149230957</v>
      </c>
      <c r="L553" s="41">
        <v>45397</v>
      </c>
      <c r="M553" s="42">
        <v>833.85739999999998</v>
      </c>
    </row>
    <row r="554" spans="1:13">
      <c r="A554" s="41">
        <v>45398</v>
      </c>
      <c r="B554" s="42">
        <v>16248.97</v>
      </c>
      <c r="C554" s="42">
        <v>114580098700</v>
      </c>
      <c r="D554">
        <f t="shared" si="24"/>
        <v>5743.78</v>
      </c>
      <c r="E554">
        <f t="shared" si="25"/>
        <v>4.4927401542663574</v>
      </c>
      <c r="F554">
        <f t="shared" si="26"/>
        <v>801.37850000000003</v>
      </c>
      <c r="G554" s="42"/>
      <c r="H554" s="41">
        <v>45398</v>
      </c>
      <c r="I554" s="42">
        <v>5743.78</v>
      </c>
      <c r="J554" s="41">
        <v>45398</v>
      </c>
      <c r="K554" s="42">
        <v>4.4927401542663574</v>
      </c>
      <c r="L554" s="41">
        <v>45398</v>
      </c>
      <c r="M554" s="42">
        <v>801.37850000000003</v>
      </c>
    </row>
    <row r="555" spans="1:13">
      <c r="A555" s="41">
        <v>45399</v>
      </c>
      <c r="B555" s="42">
        <v>16251.84</v>
      </c>
      <c r="C555" s="42">
        <v>99190743500</v>
      </c>
      <c r="D555">
        <f t="shared" si="24"/>
        <v>5749.69</v>
      </c>
      <c r="E555">
        <f t="shared" si="25"/>
        <v>4.4920201301574707</v>
      </c>
      <c r="F555">
        <f t="shared" si="26"/>
        <v>823.47569999999996</v>
      </c>
      <c r="G555" s="42"/>
      <c r="H555" s="41">
        <v>45399</v>
      </c>
      <c r="I555" s="42">
        <v>5749.69</v>
      </c>
      <c r="J555" s="41">
        <v>45399</v>
      </c>
      <c r="K555" s="42">
        <v>4.4920201301574707</v>
      </c>
      <c r="L555" s="41">
        <v>45399</v>
      </c>
      <c r="M555" s="42">
        <v>823.47569999999996</v>
      </c>
    </row>
    <row r="556" spans="1:13">
      <c r="A556" s="41">
        <v>45400</v>
      </c>
      <c r="B556" s="42">
        <v>16385.87</v>
      </c>
      <c r="C556" s="42">
        <v>95279892700</v>
      </c>
      <c r="D556">
        <f t="shared" si="24"/>
        <v>5803.86</v>
      </c>
      <c r="E556">
        <f t="shared" si="25"/>
        <v>4.4888100624084473</v>
      </c>
      <c r="F556">
        <f t="shared" si="26"/>
        <v>822.66160000000002</v>
      </c>
      <c r="G556" s="42"/>
      <c r="H556" s="41">
        <v>45400</v>
      </c>
      <c r="I556" s="42">
        <v>5803.86</v>
      </c>
      <c r="J556" s="41">
        <v>45400</v>
      </c>
      <c r="K556" s="42">
        <v>4.4888100624084473</v>
      </c>
      <c r="L556" s="41">
        <v>45400</v>
      </c>
      <c r="M556" s="42">
        <v>822.66160000000002</v>
      </c>
    </row>
    <row r="557" spans="1:13">
      <c r="A557" s="41">
        <v>45401</v>
      </c>
      <c r="B557" s="42">
        <v>16224.14</v>
      </c>
      <c r="C557" s="42">
        <v>106152730500</v>
      </c>
      <c r="D557">
        <f t="shared" si="24"/>
        <v>5746.61</v>
      </c>
      <c r="E557">
        <f t="shared" si="25"/>
        <v>4.4684500694274902</v>
      </c>
      <c r="F557">
        <f t="shared" si="26"/>
        <v>814.16250000000002</v>
      </c>
      <c r="G557" s="42"/>
      <c r="H557" s="41">
        <v>45401</v>
      </c>
      <c r="I557" s="42">
        <v>5746.61</v>
      </c>
      <c r="J557" s="41">
        <v>45401</v>
      </c>
      <c r="K557" s="42">
        <v>4.4684500694274902</v>
      </c>
      <c r="L557" s="41">
        <v>45401</v>
      </c>
      <c r="M557" s="42">
        <v>814.16250000000002</v>
      </c>
    </row>
    <row r="558" spans="1:13">
      <c r="A558" s="41">
        <v>45404</v>
      </c>
      <c r="B558" s="42">
        <v>16511.689999999999</v>
      </c>
      <c r="C558" s="42">
        <v>104924891100</v>
      </c>
      <c r="D558">
        <f t="shared" si="24"/>
        <v>5831.26</v>
      </c>
      <c r="E558">
        <f t="shared" si="25"/>
        <v>4.4788699150085449</v>
      </c>
      <c r="F558">
        <f t="shared" si="26"/>
        <v>856.51400000000001</v>
      </c>
      <c r="G558" s="42"/>
      <c r="H558" s="41">
        <v>45404</v>
      </c>
      <c r="I558" s="42">
        <v>5831.26</v>
      </c>
      <c r="J558" s="41">
        <v>45404</v>
      </c>
      <c r="K558" s="42">
        <v>4.4788699150085449</v>
      </c>
      <c r="L558" s="41">
        <v>45404</v>
      </c>
      <c r="M558" s="42">
        <v>856.51400000000001</v>
      </c>
    </row>
    <row r="559" spans="1:13">
      <c r="A559" s="41">
        <v>45405</v>
      </c>
      <c r="B559" s="42">
        <v>16828.93</v>
      </c>
      <c r="C559" s="42">
        <v>116005714800</v>
      </c>
      <c r="D559">
        <f t="shared" si="24"/>
        <v>5954.62</v>
      </c>
      <c r="E559">
        <f t="shared" si="25"/>
        <v>4.4544601440429688</v>
      </c>
      <c r="F559">
        <f t="shared" si="26"/>
        <v>846.625</v>
      </c>
      <c r="G559" s="42"/>
      <c r="H559" s="41">
        <v>45405</v>
      </c>
      <c r="I559" s="42">
        <v>5954.62</v>
      </c>
      <c r="J559" s="41">
        <v>45405</v>
      </c>
      <c r="K559" s="42">
        <v>4.4544601440429688</v>
      </c>
      <c r="L559" s="41">
        <v>45405</v>
      </c>
      <c r="M559" s="42">
        <v>846.625</v>
      </c>
    </row>
    <row r="560" spans="1:13">
      <c r="A560" s="41">
        <v>45406</v>
      </c>
      <c r="B560" s="42">
        <v>17201.27</v>
      </c>
      <c r="C560" s="42">
        <v>129583886000</v>
      </c>
      <c r="D560">
        <f t="shared" si="24"/>
        <v>6100.22</v>
      </c>
      <c r="E560">
        <f t="shared" si="25"/>
        <v>4.4621400833129883</v>
      </c>
      <c r="F560">
        <f t="shared" si="26"/>
        <v>846.20809999999994</v>
      </c>
      <c r="G560" s="42"/>
      <c r="H560" s="41">
        <v>45406</v>
      </c>
      <c r="I560" s="42">
        <v>6100.22</v>
      </c>
      <c r="J560" s="41">
        <v>45406</v>
      </c>
      <c r="K560" s="42">
        <v>4.4621400833129883</v>
      </c>
      <c r="L560" s="41">
        <v>45406</v>
      </c>
      <c r="M560" s="42">
        <v>846.20809999999994</v>
      </c>
    </row>
    <row r="561" spans="1:13">
      <c r="A561" s="41">
        <v>45407</v>
      </c>
      <c r="B561" s="42">
        <v>17284.54</v>
      </c>
      <c r="C561" s="42">
        <v>119911755000</v>
      </c>
      <c r="D561">
        <f t="shared" si="24"/>
        <v>6120.37</v>
      </c>
      <c r="E561">
        <f t="shared" si="25"/>
        <v>4.4724998474121094</v>
      </c>
      <c r="F561">
        <f t="shared" si="26"/>
        <v>850.04930000000002</v>
      </c>
      <c r="G561" s="42"/>
      <c r="H561" s="41">
        <v>45407</v>
      </c>
      <c r="I561" s="42">
        <v>6120.37</v>
      </c>
      <c r="J561" s="41">
        <v>45407</v>
      </c>
      <c r="K561" s="42">
        <v>4.4724998474121094</v>
      </c>
      <c r="L561" s="41">
        <v>45407</v>
      </c>
      <c r="M561" s="42">
        <v>850.04930000000002</v>
      </c>
    </row>
    <row r="562" spans="1:13">
      <c r="A562" s="41">
        <v>45408</v>
      </c>
      <c r="B562" s="42">
        <v>17651.150000000001</v>
      </c>
      <c r="C562" s="42">
        <v>157242222700</v>
      </c>
      <c r="D562">
        <f t="shared" si="24"/>
        <v>6269.76</v>
      </c>
      <c r="E562">
        <f t="shared" si="25"/>
        <v>4.5146398544311523</v>
      </c>
      <c r="F562">
        <f t="shared" si="26"/>
        <v>845.57389999999998</v>
      </c>
      <c r="G562" s="42"/>
      <c r="H562" s="41">
        <v>45408</v>
      </c>
      <c r="I562" s="42">
        <v>6269.76</v>
      </c>
      <c r="J562" s="41">
        <v>45408</v>
      </c>
      <c r="K562" s="42">
        <v>4.5146398544311523</v>
      </c>
      <c r="L562" s="41">
        <v>45408</v>
      </c>
      <c r="M562" s="42">
        <v>845.57389999999998</v>
      </c>
    </row>
    <row r="563" spans="1:13">
      <c r="A563" s="41">
        <v>45411</v>
      </c>
      <c r="B563" s="42">
        <v>17746.91</v>
      </c>
      <c r="C563" s="42">
        <v>163417045800</v>
      </c>
      <c r="D563">
        <f t="shared" si="24"/>
        <v>6282.86</v>
      </c>
      <c r="E563">
        <f t="shared" si="25"/>
        <v>4.5455398559570313</v>
      </c>
      <c r="F563">
        <f t="shared" si="26"/>
        <v>864.35289999999998</v>
      </c>
      <c r="G563" s="42"/>
      <c r="H563" s="41">
        <v>45411</v>
      </c>
      <c r="I563" s="42">
        <v>6282.86</v>
      </c>
      <c r="J563" s="41">
        <v>45411</v>
      </c>
      <c r="K563" s="42">
        <v>4.5455398559570313</v>
      </c>
      <c r="L563" s="41">
        <v>45411</v>
      </c>
      <c r="M563" s="42">
        <v>864.35289999999998</v>
      </c>
    </row>
    <row r="564" spans="1:13">
      <c r="A564" s="41">
        <v>45412</v>
      </c>
      <c r="B564" s="42">
        <v>17763.03</v>
      </c>
      <c r="C564" s="42">
        <v>130860351500</v>
      </c>
      <c r="D564">
        <f t="shared" si="24"/>
        <v>6273.75</v>
      </c>
      <c r="E564">
        <f t="shared" si="25"/>
        <v>4.5524997711181641</v>
      </c>
      <c r="F564">
        <f t="shared" si="26"/>
        <v>871.01099999999997</v>
      </c>
      <c r="G564" s="42"/>
      <c r="H564" s="41">
        <v>45412</v>
      </c>
      <c r="I564" s="42">
        <v>6273.75</v>
      </c>
      <c r="J564" s="41">
        <v>45412</v>
      </c>
      <c r="K564" s="42">
        <v>4.5524997711181641</v>
      </c>
      <c r="L564" s="41">
        <v>45412</v>
      </c>
      <c r="M564" s="42">
        <v>871.01099999999997</v>
      </c>
    </row>
    <row r="565" spans="1:13">
      <c r="A565" s="41">
        <v>45418</v>
      </c>
      <c r="B565" s="42">
        <v>18578.3</v>
      </c>
      <c r="C565" s="42">
        <v>144486040300</v>
      </c>
      <c r="D565">
        <f t="shared" si="24"/>
        <v>6572.45</v>
      </c>
      <c r="E565">
        <f t="shared" si="25"/>
        <v>4.5915498733520508</v>
      </c>
      <c r="F565">
        <f t="shared" si="26"/>
        <v>883.05150000000003</v>
      </c>
      <c r="G565" s="42"/>
      <c r="H565" s="41">
        <v>45418</v>
      </c>
      <c r="I565" s="42">
        <v>6572.45</v>
      </c>
      <c r="J565" s="41">
        <v>45418</v>
      </c>
      <c r="K565" s="42">
        <v>4.5915498733520508</v>
      </c>
      <c r="L565" s="41">
        <v>45418</v>
      </c>
      <c r="M565" s="42">
        <v>883.05150000000003</v>
      </c>
    </row>
    <row r="566" spans="1:13">
      <c r="A566" s="41">
        <v>45419</v>
      </c>
      <c r="B566" s="42">
        <v>18479.37</v>
      </c>
      <c r="C566" s="42">
        <v>113423728300</v>
      </c>
      <c r="D566">
        <f t="shared" si="24"/>
        <v>6526.67</v>
      </c>
      <c r="E566">
        <f t="shared" si="25"/>
        <v>4.5754799842834473</v>
      </c>
      <c r="F566">
        <f t="shared" si="26"/>
        <v>885.2568</v>
      </c>
      <c r="G566" s="42"/>
      <c r="H566" s="41">
        <v>45419</v>
      </c>
      <c r="I566" s="42">
        <v>6526.67</v>
      </c>
      <c r="J566" s="41">
        <v>45419</v>
      </c>
      <c r="K566" s="42">
        <v>4.5754799842834473</v>
      </c>
      <c r="L566" s="41">
        <v>45419</v>
      </c>
      <c r="M566" s="42">
        <v>885.2568</v>
      </c>
    </row>
    <row r="567" spans="1:13">
      <c r="A567" s="41">
        <v>45420</v>
      </c>
      <c r="B567" s="42">
        <v>18313.86</v>
      </c>
      <c r="C567" s="42">
        <v>128655419400</v>
      </c>
      <c r="D567">
        <f t="shared" si="24"/>
        <v>6456.72</v>
      </c>
      <c r="E567">
        <f t="shared" si="25"/>
        <v>4.5733299255371094</v>
      </c>
      <c r="F567">
        <f t="shared" si="26"/>
        <v>915.12300000000005</v>
      </c>
      <c r="G567" s="42"/>
      <c r="H567" s="41">
        <v>45420</v>
      </c>
      <c r="I567" s="42">
        <v>6456.72</v>
      </c>
      <c r="J567" s="41">
        <v>45420</v>
      </c>
      <c r="K567" s="42">
        <v>4.5733299255371094</v>
      </c>
      <c r="L567" s="41">
        <v>45420</v>
      </c>
      <c r="M567" s="42">
        <v>915.12300000000005</v>
      </c>
    </row>
    <row r="568" spans="1:13">
      <c r="A568" s="41">
        <v>45421</v>
      </c>
      <c r="B568" s="42">
        <v>18537.810000000001</v>
      </c>
      <c r="C568" s="42">
        <v>123694422000</v>
      </c>
      <c r="D568">
        <f t="shared" si="24"/>
        <v>6560.67</v>
      </c>
      <c r="E568">
        <f t="shared" si="25"/>
        <v>4.570889949798584</v>
      </c>
      <c r="F568">
        <f t="shared" si="26"/>
        <v>912.00980000000004</v>
      </c>
      <c r="G568" s="42"/>
      <c r="H568" s="41">
        <v>45421</v>
      </c>
      <c r="I568" s="42">
        <v>6560.67</v>
      </c>
      <c r="J568" s="41">
        <v>45421</v>
      </c>
      <c r="K568" s="42">
        <v>4.570889949798584</v>
      </c>
      <c r="L568" s="41">
        <v>45421</v>
      </c>
      <c r="M568" s="42">
        <v>912.00980000000004</v>
      </c>
    </row>
    <row r="569" spans="1:13">
      <c r="A569" s="41">
        <v>45422</v>
      </c>
      <c r="B569" s="42">
        <v>18963.68</v>
      </c>
      <c r="C569" s="42">
        <v>171000967500</v>
      </c>
      <c r="D569">
        <f t="shared" si="24"/>
        <v>6718.86</v>
      </c>
      <c r="E569">
        <f t="shared" si="25"/>
        <v>4.5810098648071289</v>
      </c>
      <c r="F569">
        <f t="shared" si="26"/>
        <v>913.74429999999995</v>
      </c>
      <c r="G569" s="42"/>
      <c r="H569" s="41">
        <v>45422</v>
      </c>
      <c r="I569" s="42">
        <v>6718.86</v>
      </c>
      <c r="J569" s="41">
        <v>45422</v>
      </c>
      <c r="K569" s="42">
        <v>4.5810098648071289</v>
      </c>
      <c r="L569" s="41">
        <v>45422</v>
      </c>
      <c r="M569" s="42">
        <v>913.74429999999995</v>
      </c>
    </row>
    <row r="570" spans="1:13">
      <c r="A570" s="41">
        <v>45425</v>
      </c>
      <c r="B570" s="42">
        <v>19115.060000000001</v>
      </c>
      <c r="C570" s="42">
        <v>147237782400</v>
      </c>
      <c r="D570">
        <f t="shared" si="24"/>
        <v>6761.64</v>
      </c>
      <c r="E570">
        <f t="shared" si="25"/>
        <v>4.5838699340820313</v>
      </c>
      <c r="F570">
        <f t="shared" si="26"/>
        <v>919.85379999999998</v>
      </c>
      <c r="G570" s="42"/>
      <c r="H570" s="41">
        <v>45425</v>
      </c>
      <c r="I570" s="42">
        <v>6761.64</v>
      </c>
      <c r="J570" s="41">
        <v>45425</v>
      </c>
      <c r="K570" s="42">
        <v>4.5838699340820313</v>
      </c>
      <c r="L570" s="41">
        <v>45425</v>
      </c>
      <c r="M570" s="42">
        <v>919.85379999999998</v>
      </c>
    </row>
    <row r="571" spans="1:13">
      <c r="A571" s="41">
        <v>45426</v>
      </c>
      <c r="B571" s="42">
        <v>19073.71</v>
      </c>
      <c r="C571" s="42">
        <v>143085054000</v>
      </c>
      <c r="D571">
        <f t="shared" si="24"/>
        <v>6741.41</v>
      </c>
      <c r="E571">
        <f t="shared" si="25"/>
        <v>4.5824398994445801</v>
      </c>
      <c r="F571">
        <f t="shared" si="26"/>
        <v>930.00750000000005</v>
      </c>
      <c r="G571" s="42"/>
      <c r="H571" s="41">
        <v>45426</v>
      </c>
      <c r="I571" s="42">
        <v>6741.41</v>
      </c>
      <c r="J571" s="41">
        <v>45426</v>
      </c>
      <c r="K571" s="42">
        <v>4.5824398994445801</v>
      </c>
      <c r="L571" s="41">
        <v>45426</v>
      </c>
      <c r="M571" s="42">
        <v>930.00750000000005</v>
      </c>
    </row>
    <row r="572" spans="1:13">
      <c r="A572" s="41">
        <v>45427</v>
      </c>
      <c r="B572" s="42">
        <v>19073.71</v>
      </c>
      <c r="C572" s="42"/>
      <c r="D572">
        <f t="shared" si="24"/>
        <v>6741.41</v>
      </c>
      <c r="E572">
        <f t="shared" si="25"/>
        <v>0</v>
      </c>
      <c r="F572">
        <f t="shared" si="26"/>
        <v>916.18629999999996</v>
      </c>
      <c r="G572" s="42"/>
      <c r="H572" s="41">
        <v>45427</v>
      </c>
      <c r="I572" s="42">
        <v>6741.41</v>
      </c>
      <c r="J572" s="41">
        <v>45427</v>
      </c>
      <c r="K572" s="42"/>
      <c r="L572" s="41">
        <v>45427</v>
      </c>
      <c r="M572" s="42">
        <v>916.18629999999996</v>
      </c>
    </row>
    <row r="573" spans="1:13">
      <c r="A573" s="41">
        <v>45428</v>
      </c>
      <c r="B573" s="42">
        <v>19376.53</v>
      </c>
      <c r="C573" s="42">
        <v>204899096200</v>
      </c>
      <c r="D573">
        <f t="shared" si="24"/>
        <v>6871.38</v>
      </c>
      <c r="E573">
        <f t="shared" si="25"/>
        <v>4.5999999046325684</v>
      </c>
      <c r="F573">
        <f t="shared" si="26"/>
        <v>921.91669999999999</v>
      </c>
      <c r="G573" s="42"/>
      <c r="H573" s="41">
        <v>45428</v>
      </c>
      <c r="I573" s="42">
        <v>6871.38</v>
      </c>
      <c r="J573" s="41">
        <v>45428</v>
      </c>
      <c r="K573" s="42">
        <v>4.5999999046325684</v>
      </c>
      <c r="L573" s="41">
        <v>45428</v>
      </c>
      <c r="M573" s="42">
        <v>921.91669999999999</v>
      </c>
    </row>
    <row r="574" spans="1:13">
      <c r="A574" s="41">
        <v>45429</v>
      </c>
      <c r="B574" s="42">
        <v>19553.61</v>
      </c>
      <c r="C574" s="42">
        <v>179304027900</v>
      </c>
      <c r="D574">
        <f t="shared" si="24"/>
        <v>6934.7</v>
      </c>
      <c r="E574">
        <f t="shared" si="25"/>
        <v>4.6406497955322266</v>
      </c>
      <c r="F574">
        <f t="shared" si="26"/>
        <v>930.37850000000003</v>
      </c>
      <c r="G574" s="42"/>
      <c r="H574" s="41">
        <v>45429</v>
      </c>
      <c r="I574" s="42">
        <v>6934.7</v>
      </c>
      <c r="J574" s="41">
        <v>45429</v>
      </c>
      <c r="K574" s="42">
        <v>4.6406497955322266</v>
      </c>
      <c r="L574" s="41">
        <v>45429</v>
      </c>
      <c r="M574" s="42">
        <v>930.37850000000003</v>
      </c>
    </row>
    <row r="575" spans="1:13">
      <c r="A575" s="41">
        <v>45432</v>
      </c>
      <c r="B575" s="42">
        <v>19636.22</v>
      </c>
      <c r="C575" s="42">
        <v>156476665800</v>
      </c>
      <c r="D575">
        <f t="shared" si="24"/>
        <v>6964.99</v>
      </c>
      <c r="E575">
        <f t="shared" si="25"/>
        <v>4.686190128326416</v>
      </c>
      <c r="F575">
        <f t="shared" si="26"/>
        <v>965.16549999999995</v>
      </c>
      <c r="G575" s="42"/>
      <c r="H575" s="41">
        <v>45432</v>
      </c>
      <c r="I575" s="42">
        <v>6964.99</v>
      </c>
      <c r="J575" s="41">
        <v>45432</v>
      </c>
      <c r="K575" s="42">
        <v>4.686190128326416</v>
      </c>
      <c r="L575" s="41">
        <v>45432</v>
      </c>
      <c r="M575" s="42">
        <v>965.16549999999995</v>
      </c>
    </row>
    <row r="576" spans="1:13">
      <c r="A576" s="41">
        <v>45433</v>
      </c>
      <c r="B576" s="42">
        <v>19220.62</v>
      </c>
      <c r="C576" s="42">
        <v>150582688500</v>
      </c>
      <c r="D576">
        <f t="shared" si="24"/>
        <v>6820.97</v>
      </c>
      <c r="E576">
        <f t="shared" si="25"/>
        <v>4.7333297729492188</v>
      </c>
      <c r="F576">
        <f t="shared" si="26"/>
        <v>971.19849999999997</v>
      </c>
      <c r="G576" s="42"/>
      <c r="H576" s="41">
        <v>45433</v>
      </c>
      <c r="I576" s="42">
        <v>6820.97</v>
      </c>
      <c r="J576" s="41">
        <v>45433</v>
      </c>
      <c r="K576" s="42">
        <v>4.7333297729492188</v>
      </c>
      <c r="L576" s="41">
        <v>45433</v>
      </c>
      <c r="M576" s="42">
        <v>971.19849999999997</v>
      </c>
    </row>
    <row r="577" spans="1:13">
      <c r="A577" s="41">
        <v>45434</v>
      </c>
      <c r="B577" s="42">
        <v>19195.599999999999</v>
      </c>
      <c r="C577" s="42">
        <v>126647922700</v>
      </c>
      <c r="D577">
        <f t="shared" si="24"/>
        <v>6817.68</v>
      </c>
      <c r="E577">
        <f t="shared" si="25"/>
        <v>4.7766098976135254</v>
      </c>
      <c r="F577">
        <f t="shared" si="26"/>
        <v>976.66759999999999</v>
      </c>
      <c r="G577" s="42"/>
      <c r="H577" s="41">
        <v>45434</v>
      </c>
      <c r="I577" s="42">
        <v>6817.68</v>
      </c>
      <c r="J577" s="41">
        <v>45434</v>
      </c>
      <c r="K577" s="42">
        <v>4.7766098976135254</v>
      </c>
      <c r="L577" s="41">
        <v>45434</v>
      </c>
      <c r="M577" s="42">
        <v>976.66759999999999</v>
      </c>
    </row>
    <row r="578" spans="1:13">
      <c r="A578" s="41">
        <v>45435</v>
      </c>
      <c r="B578" s="42">
        <v>18868.71</v>
      </c>
      <c r="C578" s="42">
        <v>129935404500</v>
      </c>
      <c r="D578">
        <f t="shared" si="24"/>
        <v>6701.78</v>
      </c>
      <c r="E578">
        <f t="shared" si="25"/>
        <v>4.7736902236938477</v>
      </c>
      <c r="F578">
        <f t="shared" si="26"/>
        <v>984.16809999999998</v>
      </c>
      <c r="G578" s="42"/>
      <c r="H578" s="41">
        <v>45435</v>
      </c>
      <c r="I578" s="42">
        <v>6701.78</v>
      </c>
      <c r="J578" s="41">
        <v>45435</v>
      </c>
      <c r="K578" s="42">
        <v>4.7736902236938477</v>
      </c>
      <c r="L578" s="41">
        <v>45435</v>
      </c>
      <c r="M578" s="42">
        <v>984.16809999999998</v>
      </c>
    </row>
    <row r="579" spans="1:13">
      <c r="A579" s="41">
        <v>45436</v>
      </c>
      <c r="B579" s="42">
        <v>18608.939999999999</v>
      </c>
      <c r="C579" s="42">
        <v>126712011600</v>
      </c>
      <c r="D579">
        <f t="shared" si="24"/>
        <v>6605.24</v>
      </c>
      <c r="E579">
        <f t="shared" si="25"/>
        <v>4.7727398872375488</v>
      </c>
      <c r="F579">
        <f t="shared" si="26"/>
        <v>998.92129999999997</v>
      </c>
      <c r="G579" s="42"/>
      <c r="H579" s="41">
        <v>45436</v>
      </c>
      <c r="I579" s="42">
        <v>6605.24</v>
      </c>
      <c r="J579" s="41">
        <v>45436</v>
      </c>
      <c r="K579" s="42">
        <v>4.7727398872375488</v>
      </c>
      <c r="L579" s="41">
        <v>45436</v>
      </c>
      <c r="M579" s="42">
        <v>998.92129999999997</v>
      </c>
    </row>
    <row r="580" spans="1:13">
      <c r="A580" s="41">
        <v>45439</v>
      </c>
      <c r="B580" s="42">
        <v>18827.349999999999</v>
      </c>
      <c r="C580" s="42">
        <v>118857758800</v>
      </c>
      <c r="D580">
        <f t="shared" ref="D580:D643" si="27">IFERROR(VLOOKUP($A580,$H$3:$I$1100,2,FALSE),"")</f>
        <v>6688.13</v>
      </c>
      <c r="E580">
        <f t="shared" ref="E580:E643" si="28">IFERROR(VLOOKUP($A580,$J$3:$K$1100,2,FALSE),"")</f>
        <v>4.7748799324035645</v>
      </c>
      <c r="F580">
        <f t="shared" ref="F580:F643" si="29">IFERROR(VLOOKUP($A580,$L$3:$M$1100,2,FALSE),"")</f>
        <v>971.43679999999995</v>
      </c>
      <c r="G580" s="42"/>
      <c r="H580" s="41">
        <v>45439</v>
      </c>
      <c r="I580" s="42">
        <v>6688.13</v>
      </c>
      <c r="J580" s="41">
        <v>45439</v>
      </c>
      <c r="K580" s="42">
        <v>4.7748799324035645</v>
      </c>
      <c r="L580" s="41">
        <v>45439</v>
      </c>
      <c r="M580" s="42">
        <v>971.43679999999995</v>
      </c>
    </row>
    <row r="581" spans="1:13">
      <c r="A581" s="41">
        <v>45440</v>
      </c>
      <c r="B581" s="42">
        <v>18821.16</v>
      </c>
      <c r="C581" s="42">
        <v>97763956100</v>
      </c>
      <c r="D581">
        <f t="shared" si="27"/>
        <v>6686.13</v>
      </c>
      <c r="E581">
        <f t="shared" si="28"/>
        <v>4.7597599029541016</v>
      </c>
      <c r="F581">
        <f t="shared" si="29"/>
        <v>942.06449999999995</v>
      </c>
      <c r="G581" s="42"/>
      <c r="H581" s="41">
        <v>45440</v>
      </c>
      <c r="I581" s="42">
        <v>6686.13</v>
      </c>
      <c r="J581" s="41">
        <v>45440</v>
      </c>
      <c r="K581" s="42">
        <v>4.7597599029541016</v>
      </c>
      <c r="L581" s="41">
        <v>45440</v>
      </c>
      <c r="M581" s="42">
        <v>942.06449999999995</v>
      </c>
    </row>
    <row r="582" spans="1:13">
      <c r="A582" s="41">
        <v>45441</v>
      </c>
      <c r="B582" s="42">
        <v>18477.009999999998</v>
      </c>
      <c r="C582" s="42">
        <v>123192631500</v>
      </c>
      <c r="D582">
        <f t="shared" si="27"/>
        <v>6557.48</v>
      </c>
      <c r="E582">
        <f t="shared" si="28"/>
        <v>4.7586898803710938</v>
      </c>
      <c r="F582">
        <f t="shared" si="29"/>
        <v>943.74649999999997</v>
      </c>
      <c r="G582" s="42"/>
      <c r="H582" s="41">
        <v>45441</v>
      </c>
      <c r="I582" s="42">
        <v>6557.48</v>
      </c>
      <c r="J582" s="41">
        <v>45441</v>
      </c>
      <c r="K582" s="42">
        <v>4.7586898803710938</v>
      </c>
      <c r="L582" s="41">
        <v>45441</v>
      </c>
      <c r="M582" s="42">
        <v>943.74649999999997</v>
      </c>
    </row>
    <row r="583" spans="1:13">
      <c r="A583" s="41">
        <v>45442</v>
      </c>
      <c r="B583" s="42">
        <v>18230.189999999999</v>
      </c>
      <c r="C583" s="42">
        <v>125503238700</v>
      </c>
      <c r="D583">
        <f t="shared" si="27"/>
        <v>6462.95</v>
      </c>
      <c r="E583">
        <f t="shared" si="28"/>
        <v>4.7386898994445801</v>
      </c>
      <c r="F583">
        <f t="shared" si="29"/>
        <v>919.01800000000003</v>
      </c>
      <c r="G583" s="42"/>
      <c r="H583" s="41">
        <v>45442</v>
      </c>
      <c r="I583" s="42">
        <v>6462.95</v>
      </c>
      <c r="J583" s="41">
        <v>45442</v>
      </c>
      <c r="K583" s="42">
        <v>4.7386898994445801</v>
      </c>
      <c r="L583" s="41">
        <v>45442</v>
      </c>
      <c r="M583" s="42">
        <v>919.01800000000003</v>
      </c>
    </row>
    <row r="584" spans="1:13">
      <c r="A584" s="41">
        <v>45443</v>
      </c>
      <c r="B584" s="42">
        <v>18079.61</v>
      </c>
      <c r="C584" s="42">
        <v>191750922800</v>
      </c>
      <c r="D584">
        <f t="shared" si="27"/>
        <v>6392.58</v>
      </c>
      <c r="E584">
        <f t="shared" si="28"/>
        <v>4.7342901229858398</v>
      </c>
      <c r="F584">
        <f t="shared" si="29"/>
        <v>916.55269999999996</v>
      </c>
      <c r="G584" s="42"/>
      <c r="H584" s="41">
        <v>45443</v>
      </c>
      <c r="I584" s="42">
        <v>6392.58</v>
      </c>
      <c r="J584" s="41">
        <v>45443</v>
      </c>
      <c r="K584" s="42">
        <v>4.7342901229858398</v>
      </c>
      <c r="L584" s="41">
        <v>45443</v>
      </c>
      <c r="M584" s="42">
        <v>916.55269999999996</v>
      </c>
    </row>
    <row r="585" spans="1:13">
      <c r="A585" s="41">
        <v>45446</v>
      </c>
      <c r="B585" s="42">
        <v>18403.04</v>
      </c>
      <c r="C585" s="42">
        <v>132309847400</v>
      </c>
      <c r="D585">
        <f t="shared" si="27"/>
        <v>6531.99</v>
      </c>
      <c r="E585">
        <f t="shared" si="28"/>
        <v>4.720059871673584</v>
      </c>
      <c r="F585">
        <f t="shared" si="29"/>
        <v>943.45039999999995</v>
      </c>
      <c r="G585" s="42"/>
      <c r="H585" s="41">
        <v>45446</v>
      </c>
      <c r="I585" s="42">
        <v>6531.99</v>
      </c>
      <c r="J585" s="41">
        <v>45446</v>
      </c>
      <c r="K585" s="42">
        <v>4.720059871673584</v>
      </c>
      <c r="L585" s="41">
        <v>45446</v>
      </c>
      <c r="M585" s="42">
        <v>943.45039999999995</v>
      </c>
    </row>
    <row r="586" spans="1:13">
      <c r="A586" s="41">
        <v>45447</v>
      </c>
      <c r="B586" s="42">
        <v>18444.11</v>
      </c>
      <c r="C586" s="42">
        <v>116231179700</v>
      </c>
      <c r="D586">
        <f t="shared" si="27"/>
        <v>6554.32</v>
      </c>
      <c r="E586">
        <f t="shared" si="28"/>
        <v>4.7178001403808594</v>
      </c>
      <c r="F586">
        <f t="shared" si="29"/>
        <v>936.23699999999997</v>
      </c>
      <c r="G586" s="42"/>
      <c r="H586" s="41">
        <v>45447</v>
      </c>
      <c r="I586" s="42">
        <v>6554.32</v>
      </c>
      <c r="J586" s="41">
        <v>45447</v>
      </c>
      <c r="K586" s="42">
        <v>4.7178001403808594</v>
      </c>
      <c r="L586" s="41">
        <v>45447</v>
      </c>
      <c r="M586" s="42">
        <v>936.23699999999997</v>
      </c>
    </row>
    <row r="587" spans="1:13">
      <c r="A587" s="41">
        <v>45448</v>
      </c>
      <c r="B587" s="42">
        <v>18424.96</v>
      </c>
      <c r="C587" s="42">
        <v>115626958100</v>
      </c>
      <c r="D587">
        <f t="shared" si="27"/>
        <v>6542.47</v>
      </c>
      <c r="E587">
        <f t="shared" si="28"/>
        <v>4.7178001403808594</v>
      </c>
      <c r="F587">
        <f t="shared" si="29"/>
        <v>907.01099999999997</v>
      </c>
      <c r="G587" s="42"/>
      <c r="H587" s="41">
        <v>45448</v>
      </c>
      <c r="I587" s="42">
        <v>6542.47</v>
      </c>
      <c r="J587" s="41">
        <v>45448</v>
      </c>
      <c r="K587" s="42">
        <v>4.7178001403808594</v>
      </c>
      <c r="L587" s="41">
        <v>45448</v>
      </c>
      <c r="M587" s="42">
        <v>907.01099999999997</v>
      </c>
    </row>
    <row r="588" spans="1:13">
      <c r="A588" s="41">
        <v>45449</v>
      </c>
      <c r="B588" s="42">
        <v>18476.8</v>
      </c>
      <c r="C588" s="42">
        <v>114563329800</v>
      </c>
      <c r="D588">
        <f t="shared" si="27"/>
        <v>6555.06</v>
      </c>
      <c r="E588">
        <f t="shared" si="28"/>
        <v>4.7291698455810547</v>
      </c>
      <c r="F588">
        <f t="shared" si="29"/>
        <v>886.2518</v>
      </c>
      <c r="G588" s="42"/>
      <c r="H588" s="41">
        <v>45449</v>
      </c>
      <c r="I588" s="42">
        <v>6555.06</v>
      </c>
      <c r="J588" s="41">
        <v>45449</v>
      </c>
      <c r="K588" s="42">
        <v>4.7291698455810547</v>
      </c>
      <c r="L588" s="41">
        <v>45449</v>
      </c>
      <c r="M588" s="42">
        <v>886.2518</v>
      </c>
    </row>
    <row r="589" spans="1:13">
      <c r="A589" s="41">
        <v>45450</v>
      </c>
      <c r="B589" s="42">
        <v>18366.95</v>
      </c>
      <c r="C589" s="42">
        <v>133111716200</v>
      </c>
      <c r="D589">
        <f t="shared" si="27"/>
        <v>6510.37</v>
      </c>
      <c r="E589">
        <f t="shared" si="28"/>
        <v>4.7289299964904785</v>
      </c>
      <c r="F589">
        <f t="shared" si="29"/>
        <v>894.56150000000002</v>
      </c>
      <c r="G589" s="42"/>
      <c r="H589" s="41">
        <v>45450</v>
      </c>
      <c r="I589" s="42">
        <v>6510.37</v>
      </c>
      <c r="J589" s="41">
        <v>45450</v>
      </c>
      <c r="K589" s="42">
        <v>4.7289299964904785</v>
      </c>
      <c r="L589" s="41">
        <v>45450</v>
      </c>
      <c r="M589" s="42">
        <v>894.56150000000002</v>
      </c>
    </row>
    <row r="590" spans="1:13">
      <c r="A590" s="41">
        <v>45454</v>
      </c>
      <c r="B590" s="42">
        <v>18176.34</v>
      </c>
      <c r="C590" s="42">
        <v>139806448800</v>
      </c>
      <c r="D590">
        <f t="shared" si="27"/>
        <v>6452.06</v>
      </c>
      <c r="E590">
        <f t="shared" si="28"/>
        <v>4.7323799133300781</v>
      </c>
      <c r="F590">
        <f t="shared" si="29"/>
        <v>902.96249999999998</v>
      </c>
      <c r="G590" s="42"/>
      <c r="H590" s="41">
        <v>45454</v>
      </c>
      <c r="I590" s="42">
        <v>6452.06</v>
      </c>
      <c r="J590" s="41">
        <v>45454</v>
      </c>
      <c r="K590" s="42">
        <v>4.7323799133300781</v>
      </c>
      <c r="L590" s="41">
        <v>45454</v>
      </c>
      <c r="M590" s="42">
        <v>902.96249999999998</v>
      </c>
    </row>
    <row r="591" spans="1:13">
      <c r="A591" s="41">
        <v>45455</v>
      </c>
      <c r="B591" s="42">
        <v>17937.84</v>
      </c>
      <c r="C591" s="42">
        <v>115118128400</v>
      </c>
      <c r="D591">
        <f t="shared" si="27"/>
        <v>6359.36</v>
      </c>
      <c r="E591">
        <f t="shared" si="28"/>
        <v>4.7298798561096191</v>
      </c>
      <c r="F591">
        <f t="shared" si="29"/>
        <v>898.13139999999999</v>
      </c>
      <c r="G591" s="42"/>
      <c r="H591" s="41">
        <v>45455</v>
      </c>
      <c r="I591" s="42">
        <v>6359.36</v>
      </c>
      <c r="J591" s="41">
        <v>45455</v>
      </c>
      <c r="K591" s="42">
        <v>4.7298798561096191</v>
      </c>
      <c r="L591" s="41">
        <v>45455</v>
      </c>
      <c r="M591" s="42">
        <v>898.13139999999999</v>
      </c>
    </row>
    <row r="592" spans="1:13">
      <c r="A592" s="41">
        <v>45456</v>
      </c>
      <c r="B592" s="42">
        <v>18112.63</v>
      </c>
      <c r="C592" s="42">
        <v>107322022200</v>
      </c>
      <c r="D592">
        <f t="shared" si="27"/>
        <v>6421.81</v>
      </c>
      <c r="E592">
        <f t="shared" si="28"/>
        <v>4.7340497970581055</v>
      </c>
      <c r="F592">
        <f t="shared" si="29"/>
        <v>870.96259999999995</v>
      </c>
      <c r="G592" s="42"/>
      <c r="H592" s="41">
        <v>45456</v>
      </c>
      <c r="I592" s="42">
        <v>6421.81</v>
      </c>
      <c r="J592" s="41">
        <v>45456</v>
      </c>
      <c r="K592" s="42">
        <v>4.7340497970581055</v>
      </c>
      <c r="L592" s="41">
        <v>45456</v>
      </c>
      <c r="M592" s="42">
        <v>870.96259999999995</v>
      </c>
    </row>
    <row r="593" spans="1:13">
      <c r="A593" s="41">
        <v>45457</v>
      </c>
      <c r="B593" s="42">
        <v>17941.78</v>
      </c>
      <c r="C593" s="42">
        <v>116223962600</v>
      </c>
      <c r="D593">
        <f t="shared" si="27"/>
        <v>6374.66</v>
      </c>
      <c r="E593">
        <f t="shared" si="28"/>
        <v>4.7329201698303223</v>
      </c>
      <c r="F593">
        <f t="shared" si="29"/>
        <v>874.0027</v>
      </c>
      <c r="G593" s="42"/>
      <c r="H593" s="41">
        <v>45457</v>
      </c>
      <c r="I593" s="42">
        <v>6374.66</v>
      </c>
      <c r="J593" s="41">
        <v>45457</v>
      </c>
      <c r="K593" s="42">
        <v>4.7329201698303223</v>
      </c>
      <c r="L593" s="41">
        <v>45457</v>
      </c>
      <c r="M593" s="42">
        <v>874.0027</v>
      </c>
    </row>
    <row r="594" spans="1:13">
      <c r="A594" s="41">
        <v>45460</v>
      </c>
      <c r="B594" s="42">
        <v>17936.12</v>
      </c>
      <c r="C594" s="42">
        <v>96324303600</v>
      </c>
      <c r="D594">
        <f t="shared" si="27"/>
        <v>6373.48</v>
      </c>
      <c r="E594">
        <f t="shared" si="28"/>
        <v>4.7338700294494629</v>
      </c>
      <c r="F594">
        <f t="shared" si="29"/>
        <v>865.85490000000004</v>
      </c>
      <c r="G594" s="42"/>
      <c r="H594" s="41">
        <v>45460</v>
      </c>
      <c r="I594" s="42">
        <v>6373.48</v>
      </c>
      <c r="J594" s="41">
        <v>45460</v>
      </c>
      <c r="K594" s="42">
        <v>4.7338700294494629</v>
      </c>
      <c r="L594" s="41">
        <v>45460</v>
      </c>
      <c r="M594" s="42">
        <v>865.85490000000004</v>
      </c>
    </row>
    <row r="595" spans="1:13">
      <c r="A595" s="41">
        <v>45461</v>
      </c>
      <c r="B595" s="42">
        <v>17915.55</v>
      </c>
      <c r="C595" s="42">
        <v>92342293700</v>
      </c>
      <c r="D595">
        <f t="shared" si="27"/>
        <v>6368.1</v>
      </c>
      <c r="E595">
        <f t="shared" si="28"/>
        <v>4.7338700294494629</v>
      </c>
      <c r="F595">
        <f t="shared" si="29"/>
        <v>863.83040000000005</v>
      </c>
      <c r="G595" s="42"/>
      <c r="H595" s="41">
        <v>45461</v>
      </c>
      <c r="I595" s="42">
        <v>6368.1</v>
      </c>
      <c r="J595" s="41">
        <v>45461</v>
      </c>
      <c r="K595" s="42">
        <v>4.7338700294494629</v>
      </c>
      <c r="L595" s="41">
        <v>45461</v>
      </c>
      <c r="M595" s="42">
        <v>863.83040000000005</v>
      </c>
    </row>
    <row r="596" spans="1:13">
      <c r="A596" s="41">
        <v>45462</v>
      </c>
      <c r="B596" s="42">
        <v>18430.39</v>
      </c>
      <c r="C596" s="42">
        <v>112758364400</v>
      </c>
      <c r="D596">
        <f t="shared" si="27"/>
        <v>6587.77</v>
      </c>
      <c r="E596">
        <f t="shared" si="28"/>
        <v>4.7426199913024902</v>
      </c>
      <c r="F596">
        <f t="shared" si="29"/>
        <v>844.78710000000001</v>
      </c>
      <c r="G596" s="42"/>
      <c r="H596" s="41">
        <v>45462</v>
      </c>
      <c r="I596" s="42">
        <v>6587.77</v>
      </c>
      <c r="J596" s="41">
        <v>45462</v>
      </c>
      <c r="K596" s="42">
        <v>4.7426199913024902</v>
      </c>
      <c r="L596" s="41">
        <v>45462</v>
      </c>
      <c r="M596" s="42">
        <v>844.78710000000001</v>
      </c>
    </row>
    <row r="597" spans="1:13">
      <c r="A597" s="41">
        <v>45463</v>
      </c>
      <c r="B597" s="42">
        <v>18335.32</v>
      </c>
      <c r="C597" s="42">
        <v>103555474700</v>
      </c>
      <c r="D597">
        <f t="shared" si="27"/>
        <v>6556.1</v>
      </c>
      <c r="E597">
        <f t="shared" si="28"/>
        <v>4.7480998039245605</v>
      </c>
      <c r="F597">
        <f t="shared" si="29"/>
        <v>828.94680000000005</v>
      </c>
      <c r="G597" s="42"/>
      <c r="H597" s="41">
        <v>45463</v>
      </c>
      <c r="I597" s="42">
        <v>6556.1</v>
      </c>
      <c r="J597" s="41">
        <v>45463</v>
      </c>
      <c r="K597" s="42">
        <v>4.7480998039245605</v>
      </c>
      <c r="L597" s="41">
        <v>45463</v>
      </c>
      <c r="M597" s="42">
        <v>828.94680000000005</v>
      </c>
    </row>
    <row r="598" spans="1:13">
      <c r="A598" s="41">
        <v>45464</v>
      </c>
      <c r="B598" s="42">
        <v>18028.52</v>
      </c>
      <c r="C598" s="42">
        <v>129075899100</v>
      </c>
      <c r="D598">
        <f t="shared" si="27"/>
        <v>6439.82</v>
      </c>
      <c r="E598">
        <f t="shared" si="28"/>
        <v>4.7560701370239258</v>
      </c>
      <c r="F598">
        <f t="shared" si="29"/>
        <v>833.23009999999999</v>
      </c>
      <c r="G598" s="42"/>
      <c r="H598" s="41">
        <v>45464</v>
      </c>
      <c r="I598" s="42">
        <v>6439.82</v>
      </c>
      <c r="J598" s="41">
        <v>45464</v>
      </c>
      <c r="K598" s="42">
        <v>4.7560701370239258</v>
      </c>
      <c r="L598" s="41">
        <v>45464</v>
      </c>
      <c r="M598" s="42">
        <v>833.23009999999999</v>
      </c>
    </row>
    <row r="599" spans="1:13">
      <c r="A599" s="41">
        <v>45467</v>
      </c>
      <c r="B599" s="42">
        <v>18027.71</v>
      </c>
      <c r="C599" s="42">
        <v>96473493500</v>
      </c>
      <c r="D599">
        <f t="shared" si="27"/>
        <v>6441.16</v>
      </c>
      <c r="E599">
        <f t="shared" si="28"/>
        <v>4.7880997657775879</v>
      </c>
      <c r="F599">
        <f t="shared" si="29"/>
        <v>810.12329999999997</v>
      </c>
      <c r="G599" s="42"/>
      <c r="H599" s="41">
        <v>45467</v>
      </c>
      <c r="I599" s="42">
        <v>6441.16</v>
      </c>
      <c r="J599" s="41">
        <v>45467</v>
      </c>
      <c r="K599" s="42">
        <v>4.7880997657775879</v>
      </c>
      <c r="L599" s="41">
        <v>45467</v>
      </c>
      <c r="M599" s="42">
        <v>810.12329999999997</v>
      </c>
    </row>
    <row r="600" spans="1:13">
      <c r="A600" s="41">
        <v>45468</v>
      </c>
      <c r="B600" s="42">
        <v>18072.900000000001</v>
      </c>
      <c r="C600" s="42">
        <v>93743066800</v>
      </c>
      <c r="D600">
        <f t="shared" si="27"/>
        <v>6464.49</v>
      </c>
      <c r="E600">
        <f t="shared" si="28"/>
        <v>4.8058300018310547</v>
      </c>
      <c r="F600">
        <f t="shared" si="29"/>
        <v>806.5693</v>
      </c>
      <c r="G600" s="42"/>
      <c r="H600" s="41">
        <v>45468</v>
      </c>
      <c r="I600" s="42">
        <v>6464.49</v>
      </c>
      <c r="J600" s="41">
        <v>45468</v>
      </c>
      <c r="K600" s="42">
        <v>4.8058300018310547</v>
      </c>
      <c r="L600" s="41">
        <v>45468</v>
      </c>
      <c r="M600" s="42">
        <v>806.5693</v>
      </c>
    </row>
    <row r="601" spans="1:13">
      <c r="A601" s="41">
        <v>45469</v>
      </c>
      <c r="B601" s="42">
        <v>18089.93</v>
      </c>
      <c r="C601" s="42">
        <v>95150018200</v>
      </c>
      <c r="D601">
        <f t="shared" si="27"/>
        <v>6477.24</v>
      </c>
      <c r="E601">
        <f t="shared" si="28"/>
        <v>4.7849397659301758</v>
      </c>
      <c r="F601">
        <f t="shared" si="29"/>
        <v>819.99</v>
      </c>
      <c r="G601" s="42"/>
      <c r="H601" s="41">
        <v>45469</v>
      </c>
      <c r="I601" s="42">
        <v>6477.24</v>
      </c>
      <c r="J601" s="41">
        <v>45469</v>
      </c>
      <c r="K601" s="42">
        <v>4.7849397659301758</v>
      </c>
      <c r="L601" s="41">
        <v>45469</v>
      </c>
      <c r="M601" s="42">
        <v>819.99</v>
      </c>
    </row>
    <row r="602" spans="1:13">
      <c r="A602" s="41">
        <v>45470</v>
      </c>
      <c r="B602" s="42">
        <v>17716.47</v>
      </c>
      <c r="C602" s="42">
        <v>104224937900</v>
      </c>
      <c r="D602">
        <f t="shared" si="27"/>
        <v>6324.05</v>
      </c>
      <c r="E602">
        <f t="shared" si="28"/>
        <v>4.760890007019043</v>
      </c>
      <c r="F602">
        <f t="shared" si="29"/>
        <v>816.89819999999997</v>
      </c>
      <c r="G602" s="42"/>
      <c r="H602" s="41">
        <v>45470</v>
      </c>
      <c r="I602" s="42">
        <v>6324.05</v>
      </c>
      <c r="J602" s="41">
        <v>45470</v>
      </c>
      <c r="K602" s="42">
        <v>4.760890007019043</v>
      </c>
      <c r="L602" s="41">
        <v>45470</v>
      </c>
      <c r="M602" s="42">
        <v>816.89819999999997</v>
      </c>
    </row>
    <row r="603" spans="1:13">
      <c r="A603" s="41">
        <v>45471</v>
      </c>
      <c r="B603" s="42">
        <v>17718.61</v>
      </c>
      <c r="C603" s="42">
        <v>98886992400</v>
      </c>
      <c r="D603">
        <f t="shared" si="27"/>
        <v>6331.86</v>
      </c>
      <c r="E603">
        <f t="shared" si="28"/>
        <v>4.7537498474121094</v>
      </c>
      <c r="F603">
        <f t="shared" si="29"/>
        <v>814.56679999999994</v>
      </c>
      <c r="G603" s="42"/>
      <c r="H603" s="41">
        <v>45471</v>
      </c>
      <c r="I603" s="42">
        <v>6331.86</v>
      </c>
      <c r="J603" s="41">
        <v>45471</v>
      </c>
      <c r="K603" s="42">
        <v>4.7537498474121094</v>
      </c>
      <c r="L603" s="41">
        <v>45471</v>
      </c>
      <c r="M603" s="42">
        <v>814.56679999999994</v>
      </c>
    </row>
    <row r="604" spans="1:13">
      <c r="A604" s="41">
        <v>45474</v>
      </c>
      <c r="B604" s="42">
        <v>17718.61</v>
      </c>
      <c r="C604" s="42"/>
      <c r="D604">
        <f t="shared" si="27"/>
        <v>6331.86</v>
      </c>
      <c r="E604">
        <f t="shared" si="28"/>
        <v>0</v>
      </c>
      <c r="F604">
        <f t="shared" si="29"/>
        <v>833.46559999999999</v>
      </c>
      <c r="G604" s="42"/>
      <c r="H604" s="41">
        <v>45474</v>
      </c>
      <c r="I604" s="42">
        <v>6331.86</v>
      </c>
      <c r="J604" s="41">
        <v>45474</v>
      </c>
      <c r="K604" s="42"/>
      <c r="L604" s="41">
        <v>45474</v>
      </c>
      <c r="M604" s="42">
        <v>833.46559999999999</v>
      </c>
    </row>
    <row r="605" spans="1:13">
      <c r="A605" s="41">
        <v>45475</v>
      </c>
      <c r="B605" s="42">
        <v>17769.14</v>
      </c>
      <c r="C605" s="42">
        <v>118434158500</v>
      </c>
      <c r="D605">
        <f t="shared" si="27"/>
        <v>6374.91</v>
      </c>
      <c r="E605">
        <f t="shared" si="28"/>
        <v>4.7408299446105957</v>
      </c>
      <c r="F605">
        <f t="shared" si="29"/>
        <v>823.25189999999998</v>
      </c>
      <c r="G605" s="42"/>
      <c r="H605" s="41">
        <v>45475</v>
      </c>
      <c r="I605" s="42">
        <v>6374.91</v>
      </c>
      <c r="J605" s="41">
        <v>45475</v>
      </c>
      <c r="K605" s="42">
        <v>4.7408299446105957</v>
      </c>
      <c r="L605" s="41">
        <v>45475</v>
      </c>
      <c r="M605" s="42">
        <v>823.25189999999998</v>
      </c>
    </row>
    <row r="606" spans="1:13">
      <c r="A606" s="41">
        <v>45476</v>
      </c>
      <c r="B606" s="42">
        <v>17978.57</v>
      </c>
      <c r="C606" s="42">
        <v>113550218900</v>
      </c>
      <c r="D606">
        <f t="shared" si="27"/>
        <v>6455.7</v>
      </c>
      <c r="E606">
        <f t="shared" si="28"/>
        <v>4.7389798164367676</v>
      </c>
      <c r="F606">
        <f t="shared" si="29"/>
        <v>817.10059999999999</v>
      </c>
      <c r="G606" s="42"/>
      <c r="H606" s="41">
        <v>45476</v>
      </c>
      <c r="I606" s="42">
        <v>6455.7</v>
      </c>
      <c r="J606" s="41">
        <v>45476</v>
      </c>
      <c r="K606" s="42">
        <v>4.7389798164367676</v>
      </c>
      <c r="L606" s="41">
        <v>45476</v>
      </c>
      <c r="M606" s="42">
        <v>817.10059999999999</v>
      </c>
    </row>
    <row r="607" spans="1:13">
      <c r="A607" s="41">
        <v>45477</v>
      </c>
      <c r="B607" s="42">
        <v>18028.28</v>
      </c>
      <c r="C607" s="42">
        <v>90796286700</v>
      </c>
      <c r="D607">
        <f t="shared" si="27"/>
        <v>6470.86</v>
      </c>
      <c r="E607">
        <f t="shared" si="28"/>
        <v>4.7241702079772949</v>
      </c>
      <c r="F607">
        <f t="shared" si="29"/>
        <v>787.71040000000005</v>
      </c>
      <c r="G607" s="42"/>
      <c r="H607" s="41">
        <v>45477</v>
      </c>
      <c r="I607" s="42">
        <v>6470.86</v>
      </c>
      <c r="J607" s="41">
        <v>45477</v>
      </c>
      <c r="K607" s="42">
        <v>4.7241702079772949</v>
      </c>
      <c r="L607" s="41">
        <v>45477</v>
      </c>
      <c r="M607" s="42">
        <v>787.71040000000005</v>
      </c>
    </row>
    <row r="608" spans="1:13">
      <c r="A608" s="41">
        <v>45478</v>
      </c>
      <c r="B608" s="42">
        <v>17799.61</v>
      </c>
      <c r="C608" s="42">
        <v>90320933800</v>
      </c>
      <c r="D608">
        <f t="shared" si="27"/>
        <v>6382.27</v>
      </c>
      <c r="E608">
        <f t="shared" si="28"/>
        <v>4.7248802185058594</v>
      </c>
      <c r="F608">
        <f t="shared" si="29"/>
        <v>794.29809999999998</v>
      </c>
      <c r="G608" s="42"/>
      <c r="H608" s="41">
        <v>45478</v>
      </c>
      <c r="I608" s="42">
        <v>6382.27</v>
      </c>
      <c r="J608" s="41">
        <v>45478</v>
      </c>
      <c r="K608" s="42">
        <v>4.7248802185058594</v>
      </c>
      <c r="L608" s="41">
        <v>45478</v>
      </c>
      <c r="M608" s="42">
        <v>794.29809999999998</v>
      </c>
    </row>
    <row r="609" spans="1:13">
      <c r="A609" s="41">
        <v>45481</v>
      </c>
      <c r="B609" s="42">
        <v>17524.060000000001</v>
      </c>
      <c r="C609" s="42">
        <v>89310352300</v>
      </c>
      <c r="D609">
        <f t="shared" si="27"/>
        <v>6284.73</v>
      </c>
      <c r="E609">
        <f t="shared" si="28"/>
        <v>4.7224998474121094</v>
      </c>
      <c r="F609">
        <f t="shared" si="29"/>
        <v>796.30129999999997</v>
      </c>
      <c r="G609" s="42"/>
      <c r="H609" s="41">
        <v>45481</v>
      </c>
      <c r="I609" s="42">
        <v>6284.73</v>
      </c>
      <c r="J609" s="41">
        <v>45481</v>
      </c>
      <c r="K609" s="42">
        <v>4.7224998474121094</v>
      </c>
      <c r="L609" s="41">
        <v>45481</v>
      </c>
      <c r="M609" s="42">
        <v>796.30129999999997</v>
      </c>
    </row>
    <row r="610" spans="1:13">
      <c r="A610" s="41">
        <v>45482</v>
      </c>
      <c r="B610" s="42">
        <v>17523.23</v>
      </c>
      <c r="C610" s="42">
        <v>94332942700</v>
      </c>
      <c r="D610">
        <f t="shared" si="27"/>
        <v>6275.64</v>
      </c>
      <c r="E610">
        <f t="shared" si="28"/>
        <v>4.7253599166870117</v>
      </c>
      <c r="F610">
        <f t="shared" si="29"/>
        <v>775.66079999999999</v>
      </c>
      <c r="G610" s="42"/>
      <c r="H610" s="41">
        <v>45482</v>
      </c>
      <c r="I610" s="42">
        <v>6275.64</v>
      </c>
      <c r="J610" s="41">
        <v>45482</v>
      </c>
      <c r="K610" s="42">
        <v>4.7253599166870117</v>
      </c>
      <c r="L610" s="41">
        <v>45482</v>
      </c>
      <c r="M610" s="42">
        <v>775.66079999999999</v>
      </c>
    </row>
    <row r="611" spans="1:13">
      <c r="A611" s="41">
        <v>45483</v>
      </c>
      <c r="B611" s="42">
        <v>17471.669999999998</v>
      </c>
      <c r="C611" s="42">
        <v>102339815000</v>
      </c>
      <c r="D611">
        <f t="shared" si="27"/>
        <v>6251.18</v>
      </c>
      <c r="E611">
        <f t="shared" si="28"/>
        <v>4.7099399566650391</v>
      </c>
      <c r="F611">
        <f t="shared" si="29"/>
        <v>770.26949999999999</v>
      </c>
      <c r="G611" s="42"/>
      <c r="H611" s="41">
        <v>45483</v>
      </c>
      <c r="I611" s="42">
        <v>6251.18</v>
      </c>
      <c r="J611" s="41">
        <v>45483</v>
      </c>
      <c r="K611" s="42">
        <v>4.7099399566650391</v>
      </c>
      <c r="L611" s="41">
        <v>45483</v>
      </c>
      <c r="M611" s="42">
        <v>770.26949999999999</v>
      </c>
    </row>
    <row r="612" spans="1:13">
      <c r="A612" s="41">
        <v>45484</v>
      </c>
      <c r="B612" s="42">
        <v>17832.330000000002</v>
      </c>
      <c r="C612" s="42">
        <v>100379851500</v>
      </c>
      <c r="D612">
        <f t="shared" si="27"/>
        <v>6371.78</v>
      </c>
      <c r="E612">
        <f t="shared" si="28"/>
        <v>4.6999998092651367</v>
      </c>
      <c r="F612">
        <f t="shared" si="29"/>
        <v>775.57140000000004</v>
      </c>
      <c r="G612" s="42"/>
      <c r="H612" s="41">
        <v>45484</v>
      </c>
      <c r="I612" s="42">
        <v>6371.78</v>
      </c>
      <c r="J612" s="41">
        <v>45484</v>
      </c>
      <c r="K612" s="42">
        <v>4.6999998092651367</v>
      </c>
      <c r="L612" s="41">
        <v>45484</v>
      </c>
      <c r="M612" s="42">
        <v>775.57140000000004</v>
      </c>
    </row>
    <row r="613" spans="1:13">
      <c r="A613" s="41">
        <v>45485</v>
      </c>
      <c r="B613" s="42">
        <v>18293.38</v>
      </c>
      <c r="C613" s="42">
        <v>119431892900</v>
      </c>
      <c r="D613">
        <f t="shared" si="27"/>
        <v>6532.63</v>
      </c>
      <c r="E613">
        <f t="shared" si="28"/>
        <v>4.7142300605773926</v>
      </c>
      <c r="F613">
        <f t="shared" si="29"/>
        <v>771.99009999999998</v>
      </c>
      <c r="G613" s="42"/>
      <c r="H613" s="41">
        <v>45485</v>
      </c>
      <c r="I613" s="42">
        <v>6532.63</v>
      </c>
      <c r="J613" s="41">
        <v>45485</v>
      </c>
      <c r="K613" s="42">
        <v>4.7142300605773926</v>
      </c>
      <c r="L613" s="41">
        <v>45485</v>
      </c>
      <c r="M613" s="42">
        <v>771.99009999999998</v>
      </c>
    </row>
    <row r="614" spans="1:13">
      <c r="A614" s="41">
        <v>45488</v>
      </c>
      <c r="B614" s="42">
        <v>18015.939999999999</v>
      </c>
      <c r="C614" s="42">
        <v>91146933600</v>
      </c>
      <c r="D614">
        <f t="shared" si="27"/>
        <v>6421.67</v>
      </c>
      <c r="E614">
        <f t="shared" si="28"/>
        <v>4.712440013885498</v>
      </c>
      <c r="F614">
        <f t="shared" si="29"/>
        <v>803.03579999999999</v>
      </c>
      <c r="G614" s="42"/>
      <c r="H614" s="41">
        <v>45488</v>
      </c>
      <c r="I614" s="42">
        <v>6421.67</v>
      </c>
      <c r="J614" s="41">
        <v>45488</v>
      </c>
      <c r="K614" s="42">
        <v>4.712440013885498</v>
      </c>
      <c r="L614" s="41">
        <v>45488</v>
      </c>
      <c r="M614" s="42">
        <v>803.03579999999999</v>
      </c>
    </row>
    <row r="615" spans="1:13">
      <c r="A615" s="41">
        <v>45489</v>
      </c>
      <c r="B615" s="42">
        <v>17727.98</v>
      </c>
      <c r="C615" s="42">
        <v>94242658000</v>
      </c>
      <c r="D615">
        <f t="shared" si="27"/>
        <v>6316.53</v>
      </c>
      <c r="E615">
        <f t="shared" si="28"/>
        <v>4.7135100364685059</v>
      </c>
      <c r="F615">
        <f t="shared" si="29"/>
        <v>809.56320000000005</v>
      </c>
      <c r="G615" s="42"/>
      <c r="H615" s="41">
        <v>45489</v>
      </c>
      <c r="I615" s="42">
        <v>6316.53</v>
      </c>
      <c r="J615" s="41">
        <v>45489</v>
      </c>
      <c r="K615" s="42">
        <v>4.7135100364685059</v>
      </c>
      <c r="L615" s="41">
        <v>45489</v>
      </c>
      <c r="M615" s="42">
        <v>809.56320000000005</v>
      </c>
    </row>
    <row r="616" spans="1:13">
      <c r="A616" s="41">
        <v>45490</v>
      </c>
      <c r="B616" s="42">
        <v>17739.41</v>
      </c>
      <c r="C616" s="42">
        <v>104956791300</v>
      </c>
      <c r="D616">
        <f t="shared" si="27"/>
        <v>6297.49</v>
      </c>
      <c r="E616">
        <f t="shared" si="28"/>
        <v>4.7128000259399414</v>
      </c>
      <c r="F616">
        <f t="shared" si="29"/>
        <v>828.15039999999999</v>
      </c>
      <c r="G616" s="42"/>
      <c r="H616" s="41">
        <v>45490</v>
      </c>
      <c r="I616" s="42">
        <v>6297.49</v>
      </c>
      <c r="J616" s="41">
        <v>45490</v>
      </c>
      <c r="K616" s="42">
        <v>4.7128000259399414</v>
      </c>
      <c r="L616" s="41">
        <v>45490</v>
      </c>
      <c r="M616" s="42">
        <v>828.15039999999999</v>
      </c>
    </row>
    <row r="617" spans="1:13">
      <c r="A617" s="41">
        <v>45491</v>
      </c>
      <c r="B617" s="42">
        <v>17778.41</v>
      </c>
      <c r="C617" s="42">
        <v>87535870900</v>
      </c>
      <c r="D617">
        <f t="shared" si="27"/>
        <v>6306.8</v>
      </c>
      <c r="E617">
        <f t="shared" si="28"/>
        <v>4.6992897987365723</v>
      </c>
      <c r="F617">
        <f t="shared" si="29"/>
        <v>826.05309999999997</v>
      </c>
      <c r="G617" s="42"/>
      <c r="H617" s="41">
        <v>45491</v>
      </c>
      <c r="I617" s="42">
        <v>6306.8</v>
      </c>
      <c r="J617" s="41">
        <v>45491</v>
      </c>
      <c r="K617" s="42">
        <v>4.6992897987365723</v>
      </c>
      <c r="L617" s="41">
        <v>45491</v>
      </c>
      <c r="M617" s="42">
        <v>826.05309999999997</v>
      </c>
    </row>
    <row r="618" spans="1:13">
      <c r="A618" s="41">
        <v>45492</v>
      </c>
      <c r="B618" s="42">
        <v>17417.68</v>
      </c>
      <c r="C618" s="42">
        <v>102001899100</v>
      </c>
      <c r="D618">
        <f t="shared" si="27"/>
        <v>6165.04</v>
      </c>
      <c r="E618">
        <f t="shared" si="28"/>
        <v>4.6999998092651367</v>
      </c>
      <c r="F618">
        <f t="shared" si="29"/>
        <v>842.81920000000002</v>
      </c>
      <c r="G618" s="42"/>
      <c r="H618" s="41">
        <v>45492</v>
      </c>
      <c r="I618" s="42">
        <v>6165.04</v>
      </c>
      <c r="J618" s="41">
        <v>45492</v>
      </c>
      <c r="K618" s="42">
        <v>4.6999998092651367</v>
      </c>
      <c r="L618" s="41">
        <v>45492</v>
      </c>
      <c r="M618" s="42">
        <v>842.81920000000002</v>
      </c>
    </row>
    <row r="619" spans="1:13">
      <c r="A619" s="41">
        <v>45495</v>
      </c>
      <c r="B619" s="42">
        <v>17635.88</v>
      </c>
      <c r="C619" s="42">
        <v>93422482900</v>
      </c>
      <c r="D619">
        <f t="shared" si="27"/>
        <v>6253.94</v>
      </c>
      <c r="E619">
        <f t="shared" si="28"/>
        <v>4.6864900588989258</v>
      </c>
      <c r="F619">
        <f t="shared" si="29"/>
        <v>831.65150000000006</v>
      </c>
      <c r="G619" s="42"/>
      <c r="H619" s="41">
        <v>45495</v>
      </c>
      <c r="I619" s="42">
        <v>6253.94</v>
      </c>
      <c r="J619" s="41">
        <v>45495</v>
      </c>
      <c r="K619" s="42">
        <v>4.6864900588989258</v>
      </c>
      <c r="L619" s="41">
        <v>45495</v>
      </c>
      <c r="M619" s="42">
        <v>831.65150000000006</v>
      </c>
    </row>
    <row r="620" spans="1:13">
      <c r="A620" s="41">
        <v>45496</v>
      </c>
      <c r="B620" s="42">
        <v>17469.36</v>
      </c>
      <c r="C620" s="42">
        <v>85825953200</v>
      </c>
      <c r="D620">
        <f t="shared" si="27"/>
        <v>6194.69</v>
      </c>
      <c r="E620">
        <f t="shared" si="28"/>
        <v>4.6902399063110352</v>
      </c>
      <c r="F620">
        <f t="shared" si="29"/>
        <v>807.32029999999997</v>
      </c>
      <c r="G620" s="42"/>
      <c r="H620" s="41">
        <v>45496</v>
      </c>
      <c r="I620" s="42">
        <v>6194.69</v>
      </c>
      <c r="J620" s="41">
        <v>45496</v>
      </c>
      <c r="K620" s="42">
        <v>4.6902399063110352</v>
      </c>
      <c r="L620" s="41">
        <v>45496</v>
      </c>
      <c r="M620" s="42">
        <v>807.32029999999997</v>
      </c>
    </row>
    <row r="621" spans="1:13">
      <c r="A621" s="41">
        <v>45497</v>
      </c>
      <c r="B621" s="42">
        <v>17311.05</v>
      </c>
      <c r="C621" s="42">
        <v>86899040500</v>
      </c>
      <c r="D621">
        <f t="shared" si="27"/>
        <v>6142.32</v>
      </c>
      <c r="E621">
        <f t="shared" si="28"/>
        <v>4.654170036315918</v>
      </c>
      <c r="F621">
        <f t="shared" si="29"/>
        <v>791.22990000000004</v>
      </c>
      <c r="G621" s="42"/>
      <c r="H621" s="41">
        <v>45497</v>
      </c>
      <c r="I621" s="42">
        <v>6142.32</v>
      </c>
      <c r="J621" s="41">
        <v>45497</v>
      </c>
      <c r="K621" s="42">
        <v>4.654170036315918</v>
      </c>
      <c r="L621" s="41">
        <v>45497</v>
      </c>
      <c r="M621" s="42">
        <v>791.22990000000004</v>
      </c>
    </row>
    <row r="622" spans="1:13">
      <c r="A622" s="41">
        <v>45498</v>
      </c>
      <c r="B622" s="42">
        <v>17004.97</v>
      </c>
      <c r="C622" s="42">
        <v>105734030300</v>
      </c>
      <c r="D622">
        <f t="shared" si="27"/>
        <v>6016.51</v>
      </c>
      <c r="E622">
        <f t="shared" si="28"/>
        <v>4.6533298492431641</v>
      </c>
      <c r="F622">
        <f t="shared" si="29"/>
        <v>803.52949999999998</v>
      </c>
      <c r="G622" s="42"/>
      <c r="H622" s="41">
        <v>45498</v>
      </c>
      <c r="I622" s="42">
        <v>6016.51</v>
      </c>
      <c r="J622" s="41">
        <v>45498</v>
      </c>
      <c r="K622" s="42">
        <v>4.6533298492431641</v>
      </c>
      <c r="L622" s="41">
        <v>45498</v>
      </c>
      <c r="M622" s="42">
        <v>803.52949999999998</v>
      </c>
    </row>
    <row r="623" spans="1:13">
      <c r="A623" s="41">
        <v>45499</v>
      </c>
      <c r="B623" s="42">
        <v>17021.310000000001</v>
      </c>
      <c r="C623" s="42">
        <v>104670181600</v>
      </c>
      <c r="D623">
        <f t="shared" si="27"/>
        <v>6010.64</v>
      </c>
      <c r="E623">
        <f t="shared" si="28"/>
        <v>4.6405401229858398</v>
      </c>
      <c r="F623">
        <f t="shared" si="29"/>
        <v>807.70929999999998</v>
      </c>
      <c r="G623" s="42"/>
      <c r="H623" s="41">
        <v>45499</v>
      </c>
      <c r="I623" s="42">
        <v>6010.64</v>
      </c>
      <c r="J623" s="41">
        <v>45499</v>
      </c>
      <c r="K623" s="42">
        <v>4.6405401229858398</v>
      </c>
      <c r="L623" s="41">
        <v>45499</v>
      </c>
      <c r="M623" s="42">
        <v>807.70929999999998</v>
      </c>
    </row>
    <row r="624" spans="1:13">
      <c r="A624" s="41">
        <v>45502</v>
      </c>
      <c r="B624" s="42">
        <v>17238.34</v>
      </c>
      <c r="C624" s="42">
        <v>84728209400</v>
      </c>
      <c r="D624">
        <f t="shared" si="27"/>
        <v>6080.56</v>
      </c>
      <c r="E624">
        <f t="shared" si="28"/>
        <v>4.630119800567627</v>
      </c>
      <c r="F624">
        <f t="shared" si="29"/>
        <v>792.50959999999998</v>
      </c>
      <c r="G624" s="42"/>
      <c r="H624" s="41">
        <v>45502</v>
      </c>
      <c r="I624" s="42">
        <v>6080.56</v>
      </c>
      <c r="J624" s="41">
        <v>45502</v>
      </c>
      <c r="K624" s="42">
        <v>4.630119800567627</v>
      </c>
      <c r="L624" s="41">
        <v>45502</v>
      </c>
      <c r="M624" s="42">
        <v>792.50959999999998</v>
      </c>
    </row>
    <row r="625" spans="1:13">
      <c r="A625" s="41">
        <v>45503</v>
      </c>
      <c r="B625" s="42">
        <v>17002.91</v>
      </c>
      <c r="C625" s="42">
        <v>89975855000</v>
      </c>
      <c r="D625">
        <f t="shared" si="27"/>
        <v>5986.69</v>
      </c>
      <c r="E625">
        <f t="shared" si="28"/>
        <v>4.5936298370361328</v>
      </c>
      <c r="F625">
        <f t="shared" si="29"/>
        <v>807.44209999999998</v>
      </c>
      <c r="G625" s="42"/>
      <c r="H625" s="41">
        <v>45503</v>
      </c>
      <c r="I625" s="42">
        <v>5986.69</v>
      </c>
      <c r="J625" s="41">
        <v>45503</v>
      </c>
      <c r="K625" s="42">
        <v>4.5936298370361328</v>
      </c>
      <c r="L625" s="41">
        <v>45503</v>
      </c>
      <c r="M625" s="42">
        <v>807.44209999999998</v>
      </c>
    </row>
    <row r="626" spans="1:13">
      <c r="A626" s="41">
        <v>45504</v>
      </c>
      <c r="B626" s="42">
        <v>17344.599999999999</v>
      </c>
      <c r="C626" s="42">
        <v>118866665500</v>
      </c>
      <c r="D626">
        <f t="shared" si="27"/>
        <v>6107.16</v>
      </c>
      <c r="E626">
        <f t="shared" si="28"/>
        <v>4.5736899375915527</v>
      </c>
      <c r="F626">
        <f t="shared" si="29"/>
        <v>824.59680000000003</v>
      </c>
      <c r="G626" s="42"/>
      <c r="H626" s="41">
        <v>45504</v>
      </c>
      <c r="I626" s="42">
        <v>6107.16</v>
      </c>
      <c r="J626" s="41">
        <v>45504</v>
      </c>
      <c r="K626" s="42">
        <v>4.5736899375915527</v>
      </c>
      <c r="L626" s="41">
        <v>45504</v>
      </c>
      <c r="M626" s="42">
        <v>824.59680000000003</v>
      </c>
    </row>
    <row r="627" spans="1:13">
      <c r="A627" s="41">
        <v>45505</v>
      </c>
      <c r="B627" s="42">
        <v>17304.96</v>
      </c>
      <c r="C627" s="42">
        <v>94051197400</v>
      </c>
      <c r="D627">
        <f t="shared" si="27"/>
        <v>6086.4</v>
      </c>
      <c r="E627">
        <f t="shared" si="28"/>
        <v>4.540949821472168</v>
      </c>
      <c r="F627">
        <f t="shared" si="29"/>
        <v>816.08889999999997</v>
      </c>
      <c r="G627" s="42"/>
      <c r="H627" s="41">
        <v>45505</v>
      </c>
      <c r="I627" s="42">
        <v>6086.4</v>
      </c>
      <c r="J627" s="41">
        <v>45505</v>
      </c>
      <c r="K627" s="42">
        <v>4.540949821472168</v>
      </c>
      <c r="L627" s="41">
        <v>45505</v>
      </c>
      <c r="M627" s="42">
        <v>816.08889999999997</v>
      </c>
    </row>
    <row r="628" spans="1:13">
      <c r="A628" s="41">
        <v>45506</v>
      </c>
      <c r="B628" s="42">
        <v>16945.509999999998</v>
      </c>
      <c r="C628" s="42">
        <v>100502390800</v>
      </c>
      <c r="D628">
        <f t="shared" si="27"/>
        <v>5974.85</v>
      </c>
      <c r="E628">
        <f t="shared" si="28"/>
        <v>4.4864897727966309</v>
      </c>
      <c r="F628">
        <f t="shared" si="29"/>
        <v>822.63400000000001</v>
      </c>
      <c r="G628" s="42"/>
      <c r="H628" s="41">
        <v>45506</v>
      </c>
      <c r="I628" s="42">
        <v>5974.85</v>
      </c>
      <c r="J628" s="41">
        <v>45506</v>
      </c>
      <c r="K628" s="42">
        <v>4.4864897727966309</v>
      </c>
      <c r="L628" s="41">
        <v>45506</v>
      </c>
      <c r="M628" s="42">
        <v>822.63400000000001</v>
      </c>
    </row>
    <row r="629" spans="1:13">
      <c r="A629" s="41">
        <v>45509</v>
      </c>
      <c r="B629" s="42">
        <v>16698.36</v>
      </c>
      <c r="C629" s="42">
        <v>135014561600</v>
      </c>
      <c r="D629">
        <f t="shared" si="27"/>
        <v>5876.64</v>
      </c>
      <c r="E629">
        <f t="shared" si="28"/>
        <v>4.478449821472168</v>
      </c>
      <c r="F629">
        <f t="shared" si="29"/>
        <v>811.5104</v>
      </c>
      <c r="G629" s="42"/>
      <c r="H629" s="41">
        <v>45509</v>
      </c>
      <c r="I629" s="42">
        <v>5876.64</v>
      </c>
      <c r="J629" s="41">
        <v>45509</v>
      </c>
      <c r="K629" s="42">
        <v>4.478449821472168</v>
      </c>
      <c r="L629" s="41">
        <v>45509</v>
      </c>
      <c r="M629" s="42">
        <v>811.5104</v>
      </c>
    </row>
    <row r="630" spans="1:13">
      <c r="A630" s="41">
        <v>45510</v>
      </c>
      <c r="B630" s="42">
        <v>16647.34</v>
      </c>
      <c r="C630" s="42">
        <v>96455317400</v>
      </c>
      <c r="D630">
        <f t="shared" si="27"/>
        <v>5852.61</v>
      </c>
      <c r="E630">
        <f t="shared" si="28"/>
        <v>4.380770206451416</v>
      </c>
      <c r="F630">
        <f t="shared" si="29"/>
        <v>822.7944</v>
      </c>
      <c r="G630" s="42"/>
      <c r="H630" s="41">
        <v>45510</v>
      </c>
      <c r="I630" s="42">
        <v>5852.61</v>
      </c>
      <c r="J630" s="41">
        <v>45510</v>
      </c>
      <c r="K630" s="42">
        <v>4.380770206451416</v>
      </c>
      <c r="L630" s="41">
        <v>45510</v>
      </c>
      <c r="M630" s="42">
        <v>822.7944</v>
      </c>
    </row>
    <row r="631" spans="1:13">
      <c r="A631" s="41">
        <v>45511</v>
      </c>
      <c r="B631" s="42">
        <v>16877.86</v>
      </c>
      <c r="C631" s="42">
        <v>95662313800</v>
      </c>
      <c r="D631">
        <f t="shared" si="27"/>
        <v>5933.17</v>
      </c>
      <c r="E631">
        <f t="shared" si="28"/>
        <v>4.3331098556518555</v>
      </c>
      <c r="F631">
        <f t="shared" si="29"/>
        <v>803.43579999999997</v>
      </c>
      <c r="G631" s="42"/>
      <c r="H631" s="41">
        <v>45511</v>
      </c>
      <c r="I631" s="42">
        <v>5933.17</v>
      </c>
      <c r="J631" s="41">
        <v>45511</v>
      </c>
      <c r="K631" s="42">
        <v>4.3331098556518555</v>
      </c>
      <c r="L631" s="41">
        <v>45511</v>
      </c>
      <c r="M631" s="42">
        <v>803.43579999999997</v>
      </c>
    </row>
    <row r="632" spans="1:13">
      <c r="A632" s="41">
        <v>45512</v>
      </c>
      <c r="B632" s="42">
        <v>16891.830000000002</v>
      </c>
      <c r="C632" s="42">
        <v>102836641000</v>
      </c>
      <c r="D632">
        <f t="shared" si="27"/>
        <v>5941.47</v>
      </c>
      <c r="E632">
        <f t="shared" si="28"/>
        <v>4.3000001907348633</v>
      </c>
      <c r="F632">
        <f t="shared" si="29"/>
        <v>812.61270000000002</v>
      </c>
      <c r="G632" s="42"/>
      <c r="H632" s="41">
        <v>45512</v>
      </c>
      <c r="I632" s="42">
        <v>5941.47</v>
      </c>
      <c r="J632" s="41">
        <v>45512</v>
      </c>
      <c r="K632" s="42">
        <v>4.3000001907348633</v>
      </c>
      <c r="L632" s="41">
        <v>45512</v>
      </c>
      <c r="M632" s="42">
        <v>812.61270000000002</v>
      </c>
    </row>
    <row r="633" spans="1:13">
      <c r="A633" s="41">
        <v>45513</v>
      </c>
      <c r="B633" s="42">
        <v>17090.23</v>
      </c>
      <c r="C633" s="42">
        <v>88069550500</v>
      </c>
      <c r="D633">
        <f t="shared" si="27"/>
        <v>6017.85</v>
      </c>
      <c r="E633">
        <f t="shared" si="28"/>
        <v>4.282440185546875</v>
      </c>
      <c r="F633">
        <f t="shared" si="29"/>
        <v>796.76469999999995</v>
      </c>
      <c r="G633" s="42"/>
      <c r="H633" s="41">
        <v>45513</v>
      </c>
      <c r="I633" s="42">
        <v>6017.85</v>
      </c>
      <c r="J633" s="41">
        <v>45513</v>
      </c>
      <c r="K633" s="42">
        <v>4.282440185546875</v>
      </c>
      <c r="L633" s="41">
        <v>45513</v>
      </c>
      <c r="M633" s="42">
        <v>796.76469999999995</v>
      </c>
    </row>
    <row r="634" spans="1:13">
      <c r="A634" s="41">
        <v>45516</v>
      </c>
      <c r="B634" s="42">
        <v>17111.650000000001</v>
      </c>
      <c r="C634" s="42">
        <v>70333696800</v>
      </c>
      <c r="D634">
        <f t="shared" si="27"/>
        <v>6029.66</v>
      </c>
      <c r="E634">
        <f t="shared" si="28"/>
        <v>4.3000001907348633</v>
      </c>
      <c r="F634">
        <f t="shared" si="29"/>
        <v>799.06269999999995</v>
      </c>
      <c r="G634" s="42"/>
      <c r="H634" s="41">
        <v>45516</v>
      </c>
      <c r="I634" s="42">
        <v>6029.66</v>
      </c>
      <c r="J634" s="41">
        <v>45516</v>
      </c>
      <c r="K634" s="42">
        <v>4.3000001907348633</v>
      </c>
      <c r="L634" s="41">
        <v>45516</v>
      </c>
      <c r="M634" s="42">
        <v>799.06269999999995</v>
      </c>
    </row>
    <row r="635" spans="1:13">
      <c r="A635" s="41">
        <v>45517</v>
      </c>
      <c r="B635" s="42">
        <v>17174.060000000001</v>
      </c>
      <c r="C635" s="42">
        <v>70846025000</v>
      </c>
      <c r="D635">
        <f t="shared" si="27"/>
        <v>6049.41</v>
      </c>
      <c r="E635">
        <f t="shared" si="28"/>
        <v>4.2845802307128906</v>
      </c>
      <c r="F635">
        <f t="shared" si="29"/>
        <v>804.59119999999996</v>
      </c>
      <c r="G635" s="42"/>
      <c r="H635" s="41">
        <v>45517</v>
      </c>
      <c r="I635" s="42">
        <v>6049.41</v>
      </c>
      <c r="J635" s="41">
        <v>45517</v>
      </c>
      <c r="K635" s="42">
        <v>4.2845802307128906</v>
      </c>
      <c r="L635" s="41">
        <v>45517</v>
      </c>
      <c r="M635" s="42">
        <v>804.59119999999996</v>
      </c>
    </row>
    <row r="636" spans="1:13">
      <c r="A636" s="41">
        <v>45518</v>
      </c>
      <c r="B636" s="42">
        <v>17113.36</v>
      </c>
      <c r="C636" s="42">
        <v>68044761000</v>
      </c>
      <c r="D636">
        <f t="shared" si="27"/>
        <v>6025.16</v>
      </c>
      <c r="E636">
        <f t="shared" si="28"/>
        <v>4.2985701560974121</v>
      </c>
      <c r="F636">
        <f t="shared" si="29"/>
        <v>791.15909999999997</v>
      </c>
      <c r="G636" s="42"/>
      <c r="H636" s="41">
        <v>45518</v>
      </c>
      <c r="I636" s="42">
        <v>6025.16</v>
      </c>
      <c r="J636" s="41">
        <v>45518</v>
      </c>
      <c r="K636" s="42">
        <v>4.2985701560974121</v>
      </c>
      <c r="L636" s="41">
        <v>45518</v>
      </c>
      <c r="M636" s="42">
        <v>791.15909999999997</v>
      </c>
    </row>
    <row r="637" spans="1:13">
      <c r="A637" s="41">
        <v>45519</v>
      </c>
      <c r="B637" s="42">
        <v>17109.14</v>
      </c>
      <c r="C637" s="42">
        <v>87934654100</v>
      </c>
      <c r="D637">
        <f t="shared" si="27"/>
        <v>6035.27</v>
      </c>
      <c r="E637">
        <f t="shared" si="28"/>
        <v>4.2892899513244629</v>
      </c>
      <c r="F637">
        <f t="shared" si="29"/>
        <v>794.43259999999998</v>
      </c>
      <c r="G637" s="42"/>
      <c r="H637" s="41">
        <v>45519</v>
      </c>
      <c r="I637" s="42">
        <v>6035.27</v>
      </c>
      <c r="J637" s="41">
        <v>45519</v>
      </c>
      <c r="K637" s="42">
        <v>4.2892899513244629</v>
      </c>
      <c r="L637" s="41">
        <v>45519</v>
      </c>
      <c r="M637" s="42">
        <v>794.43259999999998</v>
      </c>
    </row>
    <row r="638" spans="1:13">
      <c r="A638" s="41">
        <v>45520</v>
      </c>
      <c r="B638" s="42">
        <v>17430.16</v>
      </c>
      <c r="C638" s="42">
        <v>101405139500</v>
      </c>
      <c r="D638">
        <f t="shared" si="27"/>
        <v>6161.9</v>
      </c>
      <c r="E638">
        <f t="shared" si="28"/>
        <v>4.3069601058959961</v>
      </c>
      <c r="F638">
        <f t="shared" si="29"/>
        <v>770.83810000000005</v>
      </c>
      <c r="G638" s="42"/>
      <c r="H638" s="41">
        <v>45520</v>
      </c>
      <c r="I638" s="42">
        <v>6161.9</v>
      </c>
      <c r="J638" s="41">
        <v>45520</v>
      </c>
      <c r="K638" s="42">
        <v>4.3069601058959961</v>
      </c>
      <c r="L638" s="41">
        <v>45520</v>
      </c>
      <c r="M638" s="42">
        <v>770.83810000000005</v>
      </c>
    </row>
    <row r="639" spans="1:13">
      <c r="A639" s="41">
        <v>45523</v>
      </c>
      <c r="B639" s="42">
        <v>17569.57</v>
      </c>
      <c r="C639" s="42">
        <v>94414682000</v>
      </c>
      <c r="D639">
        <f t="shared" si="27"/>
        <v>6225.86</v>
      </c>
      <c r="E639">
        <f t="shared" si="28"/>
        <v>4.3076801300048828</v>
      </c>
      <c r="F639">
        <f t="shared" si="29"/>
        <v>763.70209999999997</v>
      </c>
      <c r="G639" s="42"/>
      <c r="H639" s="41">
        <v>45523</v>
      </c>
      <c r="I639" s="42">
        <v>6225.86</v>
      </c>
      <c r="J639" s="41">
        <v>45523</v>
      </c>
      <c r="K639" s="42">
        <v>4.3076801300048828</v>
      </c>
      <c r="L639" s="41">
        <v>45523</v>
      </c>
      <c r="M639" s="42">
        <v>763.70209999999997</v>
      </c>
    </row>
    <row r="640" spans="1:13">
      <c r="A640" s="41">
        <v>45524</v>
      </c>
      <c r="B640" s="42">
        <v>17511.080000000002</v>
      </c>
      <c r="C640" s="42">
        <v>74532720400</v>
      </c>
      <c r="D640">
        <f t="shared" si="27"/>
        <v>6195.58</v>
      </c>
      <c r="E640">
        <f t="shared" si="28"/>
        <v>4.2915501594543457</v>
      </c>
      <c r="F640">
        <f t="shared" si="29"/>
        <v>741.48019999999997</v>
      </c>
      <c r="G640" s="42"/>
      <c r="H640" s="41">
        <v>45524</v>
      </c>
      <c r="I640" s="42">
        <v>6195.58</v>
      </c>
      <c r="J640" s="41">
        <v>45524</v>
      </c>
      <c r="K640" s="42">
        <v>4.2915501594543457</v>
      </c>
      <c r="L640" s="41">
        <v>45524</v>
      </c>
      <c r="M640" s="42">
        <v>741.48019999999997</v>
      </c>
    </row>
    <row r="641" spans="1:13">
      <c r="A641" s="41">
        <v>45525</v>
      </c>
      <c r="B641" s="42">
        <v>17391.009999999998</v>
      </c>
      <c r="C641" s="42">
        <v>93830470600</v>
      </c>
      <c r="D641">
        <f t="shared" si="27"/>
        <v>6141.78</v>
      </c>
      <c r="E641">
        <f t="shared" si="28"/>
        <v>4.3000001907348633</v>
      </c>
      <c r="F641">
        <f t="shared" si="29"/>
        <v>732.16399999999999</v>
      </c>
      <c r="G641" s="42"/>
      <c r="H641" s="41">
        <v>45525</v>
      </c>
      <c r="I641" s="42">
        <v>6141.78</v>
      </c>
      <c r="J641" s="41">
        <v>45525</v>
      </c>
      <c r="K641" s="42">
        <v>4.3000001907348633</v>
      </c>
      <c r="L641" s="41">
        <v>45525</v>
      </c>
      <c r="M641" s="42">
        <v>732.16399999999999</v>
      </c>
    </row>
    <row r="642" spans="1:13">
      <c r="A642" s="41">
        <v>45526</v>
      </c>
      <c r="B642" s="42">
        <v>17641</v>
      </c>
      <c r="C642" s="42">
        <v>97408481800</v>
      </c>
      <c r="D642">
        <f t="shared" si="27"/>
        <v>6224.24</v>
      </c>
      <c r="E642">
        <f t="shared" si="28"/>
        <v>4.2831501960754395</v>
      </c>
      <c r="F642">
        <f t="shared" si="29"/>
        <v>724.13630000000001</v>
      </c>
      <c r="G642" s="42"/>
      <c r="H642" s="41">
        <v>45526</v>
      </c>
      <c r="I642" s="42">
        <v>6224.24</v>
      </c>
      <c r="J642" s="41">
        <v>45526</v>
      </c>
      <c r="K642" s="42">
        <v>4.2831501960754395</v>
      </c>
      <c r="L642" s="41">
        <v>45526</v>
      </c>
      <c r="M642" s="42">
        <v>724.13630000000001</v>
      </c>
    </row>
    <row r="643" spans="1:13">
      <c r="A643" s="41">
        <v>45527</v>
      </c>
      <c r="B643" s="42">
        <v>17612.099999999999</v>
      </c>
      <c r="C643" s="42">
        <v>78773112400</v>
      </c>
      <c r="D643">
        <f t="shared" si="27"/>
        <v>6219.24</v>
      </c>
      <c r="E643">
        <f t="shared" si="28"/>
        <v>4.2701201438903809</v>
      </c>
      <c r="F643">
        <f t="shared" si="29"/>
        <v>719.29300000000001</v>
      </c>
      <c r="G643" s="42"/>
      <c r="H643" s="41">
        <v>45527</v>
      </c>
      <c r="I643" s="42">
        <v>6219.24</v>
      </c>
      <c r="J643" s="41">
        <v>45527</v>
      </c>
      <c r="K643" s="42">
        <v>4.2701201438903809</v>
      </c>
      <c r="L643" s="41">
        <v>45527</v>
      </c>
      <c r="M643" s="42">
        <v>719.29300000000001</v>
      </c>
    </row>
    <row r="644" spans="1:13">
      <c r="A644" s="41">
        <v>45530</v>
      </c>
      <c r="B644" s="42">
        <v>17798.73</v>
      </c>
      <c r="C644" s="42">
        <v>83585665400</v>
      </c>
      <c r="D644">
        <f t="shared" ref="D644:D707" si="30">IFERROR(VLOOKUP($A644,$H$3:$I$1100,2,FALSE),"")</f>
        <v>6278.63</v>
      </c>
      <c r="E644">
        <f t="shared" ref="E644:E707" si="31">IFERROR(VLOOKUP($A644,$J$3:$K$1100,2,FALSE),"")</f>
        <v>4.2507100105285645</v>
      </c>
      <c r="F644">
        <f t="shared" ref="F644:F707" si="32">IFERROR(VLOOKUP($A644,$L$3:$M$1100,2,FALSE),"")</f>
        <v>731.05380000000002</v>
      </c>
      <c r="G644" s="42"/>
      <c r="H644" s="41">
        <v>45530</v>
      </c>
      <c r="I644" s="42">
        <v>6278.63</v>
      </c>
      <c r="J644" s="41">
        <v>45530</v>
      </c>
      <c r="K644" s="42">
        <v>4.2507100105285645</v>
      </c>
      <c r="L644" s="41">
        <v>45530</v>
      </c>
      <c r="M644" s="42">
        <v>731.05380000000002</v>
      </c>
    </row>
    <row r="645" spans="1:13">
      <c r="A645" s="41">
        <v>45531</v>
      </c>
      <c r="B645" s="42">
        <v>17874.669999999998</v>
      </c>
      <c r="C645" s="42">
        <v>91922553300</v>
      </c>
      <c r="D645">
        <f t="shared" si="30"/>
        <v>6306.36</v>
      </c>
      <c r="E645">
        <f t="shared" si="31"/>
        <v>4.2217898368835449</v>
      </c>
      <c r="F645">
        <f t="shared" si="32"/>
        <v>720.25869999999998</v>
      </c>
      <c r="G645" s="42"/>
      <c r="H645" s="41">
        <v>45531</v>
      </c>
      <c r="I645" s="42">
        <v>6306.36</v>
      </c>
      <c r="J645" s="41">
        <v>45531</v>
      </c>
      <c r="K645" s="42">
        <v>4.2217898368835449</v>
      </c>
      <c r="L645" s="41">
        <v>45531</v>
      </c>
      <c r="M645" s="42">
        <v>720.25869999999998</v>
      </c>
    </row>
    <row r="646" spans="1:13">
      <c r="A646" s="41">
        <v>45532</v>
      </c>
      <c r="B646" s="42">
        <v>17692.45</v>
      </c>
      <c r="C646" s="42">
        <v>93930051900</v>
      </c>
      <c r="D646">
        <f t="shared" si="30"/>
        <v>6225.99</v>
      </c>
      <c r="E646">
        <f t="shared" si="31"/>
        <v>4.2082700729370117</v>
      </c>
      <c r="F646">
        <f t="shared" si="32"/>
        <v>723.32489999999996</v>
      </c>
      <c r="G646" s="42"/>
      <c r="H646" s="41">
        <v>45532</v>
      </c>
      <c r="I646" s="42">
        <v>6225.99</v>
      </c>
      <c r="J646" s="41">
        <v>45532</v>
      </c>
      <c r="K646" s="42">
        <v>4.2082700729370117</v>
      </c>
      <c r="L646" s="41">
        <v>45532</v>
      </c>
      <c r="M646" s="42">
        <v>723.32489999999996</v>
      </c>
    </row>
    <row r="647" spans="1:13">
      <c r="A647" s="41">
        <v>45533</v>
      </c>
      <c r="B647" s="42">
        <v>17786.32</v>
      </c>
      <c r="C647" s="42">
        <v>108134845000</v>
      </c>
      <c r="D647">
        <f t="shared" si="30"/>
        <v>6247.13</v>
      </c>
      <c r="E647">
        <f t="shared" si="31"/>
        <v>4.1936302185058594</v>
      </c>
      <c r="F647">
        <f t="shared" si="32"/>
        <v>727.27499999999998</v>
      </c>
      <c r="G647" s="42"/>
      <c r="H647" s="41">
        <v>45533</v>
      </c>
      <c r="I647" s="42">
        <v>6247.13</v>
      </c>
      <c r="J647" s="41">
        <v>45533</v>
      </c>
      <c r="K647" s="42">
        <v>4.1936302185058594</v>
      </c>
      <c r="L647" s="41">
        <v>45533</v>
      </c>
      <c r="M647" s="42">
        <v>727.27499999999998</v>
      </c>
    </row>
    <row r="648" spans="1:13">
      <c r="A648" s="41">
        <v>45534</v>
      </c>
      <c r="B648" s="42">
        <v>17989.07</v>
      </c>
      <c r="C648" s="42">
        <v>173499318200</v>
      </c>
      <c r="D648">
        <f t="shared" si="30"/>
        <v>6331.14</v>
      </c>
      <c r="E648">
        <f t="shared" si="31"/>
        <v>4.1999998092651367</v>
      </c>
      <c r="F648">
        <f t="shared" si="32"/>
        <v>737.00310000000002</v>
      </c>
      <c r="G648" s="42"/>
      <c r="H648" s="41">
        <v>45534</v>
      </c>
      <c r="I648" s="42">
        <v>6331.14</v>
      </c>
      <c r="J648" s="41">
        <v>45534</v>
      </c>
      <c r="K648" s="42">
        <v>4.1999998092651367</v>
      </c>
      <c r="L648" s="41">
        <v>45534</v>
      </c>
      <c r="M648" s="42">
        <v>737.00310000000002</v>
      </c>
    </row>
    <row r="649" spans="1:13">
      <c r="A649" s="41">
        <v>45537</v>
      </c>
      <c r="B649" s="42">
        <v>17691.97</v>
      </c>
      <c r="C649" s="42">
        <v>112888764400</v>
      </c>
      <c r="D649">
        <f t="shared" si="30"/>
        <v>6211.61</v>
      </c>
      <c r="E649">
        <f t="shared" si="31"/>
        <v>4.1999998092651367</v>
      </c>
      <c r="F649">
        <f t="shared" si="32"/>
        <v>726.79769999999996</v>
      </c>
      <c r="G649" s="42"/>
      <c r="H649" s="41">
        <v>45537</v>
      </c>
      <c r="I649" s="42">
        <v>6211.61</v>
      </c>
      <c r="J649" s="41">
        <v>45537</v>
      </c>
      <c r="K649" s="42">
        <v>4.1999998092651367</v>
      </c>
      <c r="L649" s="41">
        <v>45537</v>
      </c>
      <c r="M649" s="42">
        <v>726.79769999999996</v>
      </c>
    </row>
    <row r="650" spans="1:13">
      <c r="A650" s="41">
        <v>45538</v>
      </c>
      <c r="B650" s="42">
        <v>17651.490000000002</v>
      </c>
      <c r="C650" s="42">
        <v>79315407900</v>
      </c>
      <c r="D650">
        <f t="shared" si="30"/>
        <v>6203.55</v>
      </c>
      <c r="E650">
        <f t="shared" si="31"/>
        <v>4.1708297729492188</v>
      </c>
      <c r="F650">
        <f t="shared" si="32"/>
        <v>731.26310000000001</v>
      </c>
      <c r="G650" s="42"/>
      <c r="H650" s="41">
        <v>45538</v>
      </c>
      <c r="I650" s="42">
        <v>6203.55</v>
      </c>
      <c r="J650" s="41">
        <v>45538</v>
      </c>
      <c r="K650" s="42">
        <v>4.1708297729492188</v>
      </c>
      <c r="L650" s="41">
        <v>45538</v>
      </c>
      <c r="M650" s="42">
        <v>731.26310000000001</v>
      </c>
    </row>
    <row r="651" spans="1:13">
      <c r="A651" s="41">
        <v>45539</v>
      </c>
      <c r="B651" s="42">
        <v>17457.34</v>
      </c>
      <c r="C651" s="42">
        <v>96982159400</v>
      </c>
      <c r="D651">
        <f t="shared" si="30"/>
        <v>6133.98</v>
      </c>
      <c r="E651">
        <f t="shared" si="31"/>
        <v>4.1563701629638672</v>
      </c>
      <c r="F651">
        <f t="shared" si="32"/>
        <v>722.04409999999996</v>
      </c>
      <c r="G651" s="42"/>
      <c r="H651" s="41">
        <v>45539</v>
      </c>
      <c r="I651" s="42">
        <v>6133.98</v>
      </c>
      <c r="J651" s="41">
        <v>45539</v>
      </c>
      <c r="K651" s="42">
        <v>4.1563701629638672</v>
      </c>
      <c r="L651" s="41">
        <v>45539</v>
      </c>
      <c r="M651" s="42">
        <v>722.04409999999996</v>
      </c>
    </row>
    <row r="652" spans="1:13">
      <c r="A652" s="41">
        <v>45540</v>
      </c>
      <c r="B652" s="42">
        <v>17444.3</v>
      </c>
      <c r="C652" s="42">
        <v>84951607500</v>
      </c>
      <c r="D652">
        <f t="shared" si="30"/>
        <v>6105.54</v>
      </c>
      <c r="E652">
        <f t="shared" si="31"/>
        <v>4.1570801734924316</v>
      </c>
      <c r="F652">
        <f t="shared" si="32"/>
        <v>731.49379999999996</v>
      </c>
      <c r="G652" s="42"/>
      <c r="H652" s="41">
        <v>45540</v>
      </c>
      <c r="I652" s="42">
        <v>6105.54</v>
      </c>
      <c r="J652" s="41">
        <v>45540</v>
      </c>
      <c r="K652" s="42">
        <v>4.1570801734924316</v>
      </c>
      <c r="L652" s="41">
        <v>45540</v>
      </c>
      <c r="M652" s="42">
        <v>731.49379999999996</v>
      </c>
    </row>
    <row r="653" spans="1:13">
      <c r="A653" s="41">
        <v>45541</v>
      </c>
      <c r="B653" s="42">
        <v>17444.3</v>
      </c>
      <c r="C653" s="42"/>
      <c r="D653">
        <f t="shared" si="30"/>
        <v>6105.54</v>
      </c>
      <c r="E653">
        <f t="shared" si="31"/>
        <v>0</v>
      </c>
      <c r="F653">
        <f t="shared" si="32"/>
        <v>719.91989999999998</v>
      </c>
      <c r="G653" s="42"/>
      <c r="H653" s="41">
        <v>45541</v>
      </c>
      <c r="I653" s="42">
        <v>6105.54</v>
      </c>
      <c r="J653" s="41">
        <v>45541</v>
      </c>
      <c r="K653" s="42"/>
      <c r="L653" s="41">
        <v>45541</v>
      </c>
      <c r="M653" s="42">
        <v>719.91989999999998</v>
      </c>
    </row>
    <row r="654" spans="1:13">
      <c r="A654" s="41">
        <v>45544</v>
      </c>
      <c r="B654" s="42">
        <v>17196.96</v>
      </c>
      <c r="C654" s="42">
        <v>133664609000</v>
      </c>
      <c r="D654">
        <f t="shared" si="30"/>
        <v>6002.91</v>
      </c>
      <c r="E654">
        <f t="shared" si="31"/>
        <v>4.1457700729370117</v>
      </c>
      <c r="F654">
        <f t="shared" si="32"/>
        <v>719.82979999999998</v>
      </c>
      <c r="G654" s="42"/>
      <c r="H654" s="41">
        <v>45544</v>
      </c>
      <c r="I654" s="42">
        <v>6002.91</v>
      </c>
      <c r="J654" s="41">
        <v>45544</v>
      </c>
      <c r="K654" s="42">
        <v>4.1457700729370117</v>
      </c>
      <c r="L654" s="41">
        <v>45544</v>
      </c>
      <c r="M654" s="42">
        <v>719.82979999999998</v>
      </c>
    </row>
    <row r="655" spans="1:13">
      <c r="A655" s="41">
        <v>45545</v>
      </c>
      <c r="B655" s="42">
        <v>17234.09</v>
      </c>
      <c r="C655" s="42">
        <v>107394216400</v>
      </c>
      <c r="D655">
        <f t="shared" si="30"/>
        <v>6026.34</v>
      </c>
      <c r="E655">
        <f t="shared" si="31"/>
        <v>4.1099400520324707</v>
      </c>
      <c r="F655">
        <f t="shared" si="32"/>
        <v>709.95709999999997</v>
      </c>
      <c r="G655" s="42"/>
      <c r="H655" s="41">
        <v>45545</v>
      </c>
      <c r="I655" s="42">
        <v>6026.34</v>
      </c>
      <c r="J655" s="41">
        <v>45545</v>
      </c>
      <c r="K655" s="42">
        <v>4.1099400520324707</v>
      </c>
      <c r="L655" s="41">
        <v>45545</v>
      </c>
      <c r="M655" s="42">
        <v>709.95709999999997</v>
      </c>
    </row>
    <row r="656" spans="1:13">
      <c r="A656" s="41">
        <v>45546</v>
      </c>
      <c r="B656" s="42">
        <v>17108.71</v>
      </c>
      <c r="C656" s="42">
        <v>105784582000</v>
      </c>
      <c r="D656">
        <f t="shared" si="30"/>
        <v>5982.55</v>
      </c>
      <c r="E656">
        <f t="shared" si="31"/>
        <v>4.1120800971984863</v>
      </c>
      <c r="F656">
        <f t="shared" si="32"/>
        <v>699.99090000000001</v>
      </c>
      <c r="G656" s="42"/>
      <c r="H656" s="41">
        <v>45546</v>
      </c>
      <c r="I656" s="42">
        <v>5982.55</v>
      </c>
      <c r="J656" s="41">
        <v>45546</v>
      </c>
      <c r="K656" s="42">
        <v>4.1120800971984863</v>
      </c>
      <c r="L656" s="41">
        <v>45546</v>
      </c>
      <c r="M656" s="42">
        <v>699.99090000000001</v>
      </c>
    </row>
    <row r="657" spans="1:13">
      <c r="A657" s="41">
        <v>45547</v>
      </c>
      <c r="B657" s="42">
        <v>17240.39</v>
      </c>
      <c r="C657" s="42">
        <v>91680128900</v>
      </c>
      <c r="D657">
        <f t="shared" si="30"/>
        <v>6017.53</v>
      </c>
      <c r="E657">
        <f t="shared" si="31"/>
        <v>4.0831499099731445</v>
      </c>
      <c r="F657">
        <f t="shared" si="32"/>
        <v>695.37149999999997</v>
      </c>
      <c r="G657" s="42"/>
      <c r="H657" s="41">
        <v>45547</v>
      </c>
      <c r="I657" s="42">
        <v>6017.53</v>
      </c>
      <c r="J657" s="41">
        <v>45547</v>
      </c>
      <c r="K657" s="42">
        <v>4.0831499099731445</v>
      </c>
      <c r="L657" s="41">
        <v>45547</v>
      </c>
      <c r="M657" s="42">
        <v>695.37149999999997</v>
      </c>
    </row>
    <row r="658" spans="1:13">
      <c r="A658" s="41">
        <v>45548</v>
      </c>
      <c r="B658" s="42">
        <v>17369.09</v>
      </c>
      <c r="C658" s="42">
        <v>88879648900</v>
      </c>
      <c r="D658">
        <f t="shared" si="30"/>
        <v>6071.52</v>
      </c>
      <c r="E658">
        <f t="shared" si="31"/>
        <v>4.0104198455810547</v>
      </c>
      <c r="F658">
        <f t="shared" si="32"/>
        <v>686.56209999999999</v>
      </c>
      <c r="G658" s="42"/>
      <c r="H658" s="41">
        <v>45548</v>
      </c>
      <c r="I658" s="42">
        <v>6071.52</v>
      </c>
      <c r="J658" s="41">
        <v>45548</v>
      </c>
      <c r="K658" s="42">
        <v>4.0104198455810547</v>
      </c>
      <c r="L658" s="41">
        <v>45548</v>
      </c>
      <c r="M658" s="42">
        <v>686.56209999999999</v>
      </c>
    </row>
    <row r="659" spans="1:13">
      <c r="A659" s="41">
        <v>45553</v>
      </c>
      <c r="B659" s="42">
        <v>17660.02</v>
      </c>
      <c r="C659" s="42"/>
      <c r="D659">
        <f t="shared" si="30"/>
        <v>6176.03</v>
      </c>
      <c r="E659">
        <f t="shared" si="31"/>
        <v>0</v>
      </c>
      <c r="F659">
        <f t="shared" si="32"/>
        <v>672.3134</v>
      </c>
      <c r="G659" s="42"/>
      <c r="H659" s="41">
        <v>45553</v>
      </c>
      <c r="I659" s="42">
        <v>6176.03</v>
      </c>
      <c r="J659" s="41">
        <v>45553</v>
      </c>
      <c r="K659" s="42"/>
      <c r="L659" s="41">
        <v>45553</v>
      </c>
      <c r="M659" s="42">
        <v>672.3134</v>
      </c>
    </row>
    <row r="660" spans="1:13">
      <c r="A660" s="41">
        <v>45554</v>
      </c>
      <c r="B660" s="42">
        <v>18013.16</v>
      </c>
      <c r="C660" s="42">
        <v>148754692300</v>
      </c>
      <c r="D660">
        <f t="shared" si="30"/>
        <v>6305.51</v>
      </c>
      <c r="E660">
        <f t="shared" si="31"/>
        <v>3.9023199081420898</v>
      </c>
      <c r="F660">
        <f t="shared" si="32"/>
        <v>691.60979999999995</v>
      </c>
      <c r="G660" s="42"/>
      <c r="H660" s="41">
        <v>45554</v>
      </c>
      <c r="I660" s="42">
        <v>6305.51</v>
      </c>
      <c r="J660" s="41">
        <v>45554</v>
      </c>
      <c r="K660" s="42">
        <v>3.9023199081420898</v>
      </c>
      <c r="L660" s="41">
        <v>45554</v>
      </c>
      <c r="M660" s="42">
        <v>691.60979999999995</v>
      </c>
    </row>
    <row r="661" spans="1:13">
      <c r="A661" s="41">
        <v>45555</v>
      </c>
      <c r="B661" s="42">
        <v>18258.57</v>
      </c>
      <c r="C661" s="42">
        <v>176801553000</v>
      </c>
      <c r="D661">
        <f t="shared" si="30"/>
        <v>6381.5</v>
      </c>
      <c r="E661">
        <f t="shared" si="31"/>
        <v>3.8783299922943115</v>
      </c>
      <c r="F661">
        <f t="shared" si="32"/>
        <v>683.76909999999998</v>
      </c>
      <c r="G661" s="42"/>
      <c r="H661" s="41">
        <v>45555</v>
      </c>
      <c r="I661" s="42">
        <v>6381.5</v>
      </c>
      <c r="J661" s="41">
        <v>45555</v>
      </c>
      <c r="K661" s="42">
        <v>3.8783299922943115</v>
      </c>
      <c r="L661" s="41">
        <v>45555</v>
      </c>
      <c r="M661" s="42">
        <v>683.76909999999998</v>
      </c>
    </row>
    <row r="662" spans="1:13">
      <c r="A662" s="41">
        <v>45558</v>
      </c>
      <c r="B662" s="42">
        <v>18247.11</v>
      </c>
      <c r="C662" s="42">
        <v>124289358600</v>
      </c>
      <c r="D662">
        <f t="shared" si="30"/>
        <v>6389.08</v>
      </c>
      <c r="E662">
        <f t="shared" si="31"/>
        <v>3.8911299705505371</v>
      </c>
      <c r="F662">
        <f t="shared" si="32"/>
        <v>680.64599999999996</v>
      </c>
      <c r="G662" s="42"/>
      <c r="H662" s="41">
        <v>45558</v>
      </c>
      <c r="I662" s="42">
        <v>6389.08</v>
      </c>
      <c r="J662" s="41">
        <v>45558</v>
      </c>
      <c r="K662" s="42">
        <v>3.8911299705505371</v>
      </c>
      <c r="L662" s="41">
        <v>45558</v>
      </c>
      <c r="M662" s="42">
        <v>680.64599999999996</v>
      </c>
    </row>
    <row r="663" spans="1:13">
      <c r="A663" s="41">
        <v>45559</v>
      </c>
      <c r="B663" s="42">
        <v>19000.560000000001</v>
      </c>
      <c r="C663" s="42">
        <v>242398678800</v>
      </c>
      <c r="D663">
        <f t="shared" si="30"/>
        <v>6714.47</v>
      </c>
      <c r="E663">
        <f t="shared" si="31"/>
        <v>4.0544099807739258</v>
      </c>
      <c r="F663">
        <f t="shared" si="32"/>
        <v>713.26310000000001</v>
      </c>
      <c r="G663" s="42"/>
      <c r="H663" s="41">
        <v>45559</v>
      </c>
      <c r="I663" s="42">
        <v>6714.47</v>
      </c>
      <c r="J663" s="41">
        <v>45559</v>
      </c>
      <c r="K663" s="42">
        <v>4.0544099807739258</v>
      </c>
      <c r="L663" s="41">
        <v>45559</v>
      </c>
      <c r="M663" s="42">
        <v>713.26310000000001</v>
      </c>
    </row>
    <row r="664" spans="1:13">
      <c r="A664" s="41">
        <v>45560</v>
      </c>
      <c r="B664" s="42">
        <v>19129.099999999999</v>
      </c>
      <c r="C664" s="42">
        <v>254844812800</v>
      </c>
      <c r="D664">
        <f t="shared" si="30"/>
        <v>6765.6</v>
      </c>
      <c r="E664">
        <f t="shared" si="31"/>
        <v>4.0619602203369141</v>
      </c>
      <c r="F664">
        <f t="shared" si="32"/>
        <v>714.17570000000001</v>
      </c>
      <c r="G664" s="42"/>
      <c r="H664" s="41">
        <v>45560</v>
      </c>
      <c r="I664" s="42">
        <v>6765.6</v>
      </c>
      <c r="J664" s="41">
        <v>45560</v>
      </c>
      <c r="K664" s="42">
        <v>4.0619602203369141</v>
      </c>
      <c r="L664" s="41">
        <v>45560</v>
      </c>
      <c r="M664" s="42">
        <v>714.17570000000001</v>
      </c>
    </row>
    <row r="665" spans="1:13">
      <c r="A665" s="41">
        <v>45561</v>
      </c>
      <c r="B665" s="42">
        <v>19924.580000000002</v>
      </c>
      <c r="C665" s="42">
        <v>302870239000</v>
      </c>
      <c r="D665">
        <f t="shared" si="30"/>
        <v>7086.7</v>
      </c>
      <c r="E665">
        <f t="shared" si="31"/>
        <v>4.0707101821899414</v>
      </c>
      <c r="F665">
        <f t="shared" si="32"/>
        <v>752.61429999999996</v>
      </c>
      <c r="G665" s="42"/>
      <c r="H665" s="41">
        <v>45561</v>
      </c>
      <c r="I665" s="42">
        <v>7086.7</v>
      </c>
      <c r="J665" s="41">
        <v>45561</v>
      </c>
      <c r="K665" s="42">
        <v>4.0707101821899414</v>
      </c>
      <c r="L665" s="41">
        <v>45561</v>
      </c>
      <c r="M665" s="42">
        <v>752.61429999999996</v>
      </c>
    </row>
    <row r="666" spans="1:13">
      <c r="A666" s="41">
        <v>45562</v>
      </c>
      <c r="B666" s="42">
        <v>20632.3</v>
      </c>
      <c r="C666" s="42">
        <v>445747684400</v>
      </c>
      <c r="D666">
        <f t="shared" si="30"/>
        <v>7299.9</v>
      </c>
      <c r="E666">
        <f t="shared" si="31"/>
        <v>4.1446399688720703</v>
      </c>
      <c r="F666">
        <f t="shared" si="32"/>
        <v>786.27890000000002</v>
      </c>
      <c r="G666" s="42"/>
      <c r="H666" s="41">
        <v>45562</v>
      </c>
      <c r="I666" s="42">
        <v>7299.9</v>
      </c>
      <c r="J666" s="41">
        <v>45562</v>
      </c>
      <c r="K666" s="42">
        <v>4.1446399688720703</v>
      </c>
      <c r="L666" s="41">
        <v>45562</v>
      </c>
      <c r="M666" s="42">
        <v>786.27890000000002</v>
      </c>
    </row>
    <row r="667" spans="1:13">
      <c r="A667" s="41">
        <v>45565</v>
      </c>
      <c r="B667" s="42">
        <v>21133.68</v>
      </c>
      <c r="C667" s="42">
        <v>505838402900</v>
      </c>
      <c r="D667">
        <f t="shared" si="30"/>
        <v>7509.79</v>
      </c>
      <c r="E667">
        <f t="shared" si="31"/>
        <v>4.1802401542663574</v>
      </c>
      <c r="F667">
        <f t="shared" si="32"/>
        <v>861.3768</v>
      </c>
      <c r="G667" s="42"/>
      <c r="H667" s="41">
        <v>45565</v>
      </c>
      <c r="I667" s="42">
        <v>7509.79</v>
      </c>
      <c r="J667" s="41">
        <v>45565</v>
      </c>
      <c r="K667" s="42">
        <v>4.1802401542663574</v>
      </c>
      <c r="L667" s="41">
        <v>45565</v>
      </c>
      <c r="M667" s="42">
        <v>861.3768</v>
      </c>
    </row>
    <row r="668" spans="1:13">
      <c r="A668" s="41">
        <v>45573</v>
      </c>
      <c r="B668" s="42">
        <v>20926.79</v>
      </c>
      <c r="C668" s="42">
        <v>620437726500</v>
      </c>
      <c r="D668">
        <f t="shared" si="30"/>
        <v>7483.67</v>
      </c>
      <c r="E668">
        <f t="shared" si="31"/>
        <v>4.512080192565918</v>
      </c>
      <c r="F668">
        <f t="shared" si="32"/>
        <v>888.1925</v>
      </c>
      <c r="G668" s="42"/>
      <c r="H668" s="41">
        <v>45573</v>
      </c>
      <c r="I668" s="42">
        <v>7483.67</v>
      </c>
      <c r="J668" s="41">
        <v>45573</v>
      </c>
      <c r="K668" s="42">
        <v>4.512080192565918</v>
      </c>
      <c r="L668" s="41">
        <v>45573</v>
      </c>
      <c r="M668" s="42">
        <v>888.1925</v>
      </c>
    </row>
    <row r="669" spans="1:13">
      <c r="A669" s="41">
        <v>45574</v>
      </c>
      <c r="B669" s="42">
        <v>20637.240000000002</v>
      </c>
      <c r="C669" s="42">
        <v>427013884700</v>
      </c>
      <c r="D669">
        <f t="shared" si="30"/>
        <v>7365.59</v>
      </c>
      <c r="E669">
        <f t="shared" si="31"/>
        <v>4.3563098907470703</v>
      </c>
      <c r="F669">
        <f t="shared" si="32"/>
        <v>806.96870000000001</v>
      </c>
      <c r="G669" s="42"/>
      <c r="H669" s="41">
        <v>45574</v>
      </c>
      <c r="I669" s="42">
        <v>7365.59</v>
      </c>
      <c r="J669" s="41">
        <v>45574</v>
      </c>
      <c r="K669" s="42">
        <v>4.3563098907470703</v>
      </c>
      <c r="L669" s="41">
        <v>45574</v>
      </c>
      <c r="M669" s="42">
        <v>806.96870000000001</v>
      </c>
    </row>
    <row r="670" spans="1:13">
      <c r="A670" s="41">
        <v>45575</v>
      </c>
      <c r="B670" s="42">
        <v>21251.98</v>
      </c>
      <c r="C670" s="42">
        <v>325326523300</v>
      </c>
      <c r="D670">
        <f t="shared" si="30"/>
        <v>7620.74</v>
      </c>
      <c r="E670">
        <f t="shared" si="31"/>
        <v>4.3611898422241211</v>
      </c>
      <c r="F670">
        <f t="shared" si="32"/>
        <v>842.3048</v>
      </c>
      <c r="G670" s="42"/>
      <c r="H670" s="41">
        <v>45575</v>
      </c>
      <c r="I670" s="42">
        <v>7620.74</v>
      </c>
      <c r="J670" s="41">
        <v>45575</v>
      </c>
      <c r="K670" s="42">
        <v>4.3611898422241211</v>
      </c>
      <c r="L670" s="41">
        <v>45575</v>
      </c>
      <c r="M670" s="42">
        <v>842.3048</v>
      </c>
    </row>
    <row r="671" spans="1:13">
      <c r="A671" s="41">
        <v>45576</v>
      </c>
      <c r="B671" s="42">
        <v>21251.98</v>
      </c>
      <c r="C671" s="42"/>
      <c r="D671">
        <f t="shared" si="30"/>
        <v>7620.74</v>
      </c>
      <c r="E671">
        <f t="shared" si="31"/>
        <v>0</v>
      </c>
      <c r="F671">
        <f t="shared" si="32"/>
        <v>797.29359999999997</v>
      </c>
      <c r="G671" s="42"/>
      <c r="H671" s="41">
        <v>45576</v>
      </c>
      <c r="I671" s="42">
        <v>7620.74</v>
      </c>
      <c r="J671" s="41">
        <v>45576</v>
      </c>
      <c r="K671" s="42"/>
      <c r="L671" s="41">
        <v>45576</v>
      </c>
      <c r="M671" s="42">
        <v>797.29359999999997</v>
      </c>
    </row>
    <row r="672" spans="1:13">
      <c r="A672" s="41">
        <v>45579</v>
      </c>
      <c r="B672" s="42">
        <v>21092.87</v>
      </c>
      <c r="C672" s="42">
        <v>277073264800</v>
      </c>
      <c r="D672">
        <f t="shared" si="30"/>
        <v>7579.94</v>
      </c>
      <c r="E672">
        <f t="shared" si="31"/>
        <v>4.3277401924133301</v>
      </c>
      <c r="F672">
        <f t="shared" si="32"/>
        <v>814.16290000000004</v>
      </c>
      <c r="G672" s="42"/>
      <c r="H672" s="41">
        <v>45579</v>
      </c>
      <c r="I672" s="42">
        <v>7579.94</v>
      </c>
      <c r="J672" s="41">
        <v>45579</v>
      </c>
      <c r="K672" s="42">
        <v>4.3277401924133301</v>
      </c>
      <c r="L672" s="41">
        <v>45579</v>
      </c>
      <c r="M672" s="42">
        <v>814.16290000000004</v>
      </c>
    </row>
    <row r="673" spans="1:13">
      <c r="A673" s="41">
        <v>45580</v>
      </c>
      <c r="B673" s="42">
        <v>20318.79</v>
      </c>
      <c r="C673" s="42">
        <v>261288268700</v>
      </c>
      <c r="D673">
        <f t="shared" si="30"/>
        <v>7277.83</v>
      </c>
      <c r="E673">
        <f t="shared" si="31"/>
        <v>4.3277401924133301</v>
      </c>
      <c r="F673">
        <f t="shared" si="32"/>
        <v>797.18209999999999</v>
      </c>
      <c r="G673" s="42"/>
      <c r="H673" s="41">
        <v>45580</v>
      </c>
      <c r="I673" s="42">
        <v>7277.83</v>
      </c>
      <c r="J673" s="41">
        <v>45580</v>
      </c>
      <c r="K673" s="42">
        <v>4.3277401924133301</v>
      </c>
      <c r="L673" s="41">
        <v>45580</v>
      </c>
      <c r="M673" s="42">
        <v>797.18209999999999</v>
      </c>
    </row>
    <row r="674" spans="1:13">
      <c r="A674" s="41">
        <v>45581</v>
      </c>
      <c r="B674" s="42">
        <v>20286.849999999999</v>
      </c>
      <c r="C674" s="42">
        <v>208368676300</v>
      </c>
      <c r="D674">
        <f t="shared" si="30"/>
        <v>7267.98</v>
      </c>
      <c r="E674">
        <f t="shared" si="31"/>
        <v>4.3227400779724121</v>
      </c>
      <c r="F674">
        <f t="shared" si="32"/>
        <v>800.40060000000005</v>
      </c>
      <c r="G674" s="42"/>
      <c r="H674" s="41">
        <v>45581</v>
      </c>
      <c r="I674" s="42">
        <v>7267.98</v>
      </c>
      <c r="J674" s="41">
        <v>45581</v>
      </c>
      <c r="K674" s="42">
        <v>4.3227400779724121</v>
      </c>
      <c r="L674" s="41">
        <v>45581</v>
      </c>
      <c r="M674" s="42">
        <v>800.40060000000005</v>
      </c>
    </row>
    <row r="675" spans="1:13">
      <c r="A675" s="41">
        <v>45582</v>
      </c>
      <c r="B675" s="42">
        <v>20079.099999999999</v>
      </c>
      <c r="C675" s="42">
        <v>191259604300</v>
      </c>
      <c r="D675">
        <f t="shared" si="30"/>
        <v>7179.44</v>
      </c>
      <c r="E675">
        <f t="shared" si="31"/>
        <v>4.2845802307128906</v>
      </c>
      <c r="F675">
        <f t="shared" si="32"/>
        <v>787.7355</v>
      </c>
      <c r="G675" s="42"/>
      <c r="H675" s="41">
        <v>45582</v>
      </c>
      <c r="I675" s="42">
        <v>7179.44</v>
      </c>
      <c r="J675" s="41">
        <v>45582</v>
      </c>
      <c r="K675" s="42">
        <v>4.2845802307128906</v>
      </c>
      <c r="L675" s="41">
        <v>45582</v>
      </c>
      <c r="M675" s="42">
        <v>787.7355</v>
      </c>
    </row>
    <row r="676" spans="1:13">
      <c r="A676" s="41">
        <v>45583</v>
      </c>
      <c r="B676" s="42">
        <v>20804.11</v>
      </c>
      <c r="C676" s="42">
        <v>259055748600</v>
      </c>
      <c r="D676">
        <f t="shared" si="30"/>
        <v>7471.95</v>
      </c>
      <c r="E676">
        <f t="shared" si="31"/>
        <v>4.2727398872375488</v>
      </c>
      <c r="F676">
        <f t="shared" si="32"/>
        <v>804.14250000000004</v>
      </c>
      <c r="G676" s="42"/>
      <c r="H676" s="41">
        <v>45583</v>
      </c>
      <c r="I676" s="42">
        <v>7471.95</v>
      </c>
      <c r="J676" s="41">
        <v>45583</v>
      </c>
      <c r="K676" s="42">
        <v>4.2727398872375488</v>
      </c>
      <c r="L676" s="41">
        <v>45583</v>
      </c>
      <c r="M676" s="42">
        <v>804.14250000000004</v>
      </c>
    </row>
    <row r="677" spans="1:13">
      <c r="A677" s="41">
        <v>45586</v>
      </c>
      <c r="B677" s="42">
        <v>20478.46</v>
      </c>
      <c r="C677" s="42">
        <v>195563262000</v>
      </c>
      <c r="D677">
        <f t="shared" si="30"/>
        <v>7340.56</v>
      </c>
      <c r="E677">
        <f t="shared" si="31"/>
        <v>4.3471999168395996</v>
      </c>
      <c r="F677">
        <f t="shared" si="32"/>
        <v>814.23220000000003</v>
      </c>
      <c r="G677" s="42"/>
      <c r="H677" s="41">
        <v>45586</v>
      </c>
      <c r="I677" s="42">
        <v>7340.56</v>
      </c>
      <c r="J677" s="41">
        <v>45586</v>
      </c>
      <c r="K677" s="42">
        <v>4.3471999168395996</v>
      </c>
      <c r="L677" s="41">
        <v>45586</v>
      </c>
      <c r="M677" s="42">
        <v>814.23220000000003</v>
      </c>
    </row>
    <row r="678" spans="1:13">
      <c r="A678" s="41">
        <v>45587</v>
      </c>
      <c r="B678" s="42">
        <v>20498.95</v>
      </c>
      <c r="C678" s="42">
        <v>154803816100</v>
      </c>
      <c r="D678">
        <f t="shared" si="30"/>
        <v>7363</v>
      </c>
      <c r="E678">
        <f t="shared" si="31"/>
        <v>4.2952399253845215</v>
      </c>
      <c r="F678">
        <f t="shared" si="32"/>
        <v>830.28899999999999</v>
      </c>
      <c r="G678" s="42"/>
      <c r="H678" s="41">
        <v>45587</v>
      </c>
      <c r="I678" s="42">
        <v>7363</v>
      </c>
      <c r="J678" s="41">
        <v>45587</v>
      </c>
      <c r="K678" s="42">
        <v>4.2952399253845215</v>
      </c>
      <c r="L678" s="41">
        <v>45587</v>
      </c>
      <c r="M678" s="42">
        <v>830.28899999999999</v>
      </c>
    </row>
    <row r="679" spans="1:13">
      <c r="A679" s="41">
        <v>45588</v>
      </c>
      <c r="B679" s="42">
        <v>20760.150000000001</v>
      </c>
      <c r="C679" s="42">
        <v>192648189000</v>
      </c>
      <c r="D679">
        <f t="shared" si="30"/>
        <v>7478.23</v>
      </c>
      <c r="E679">
        <f t="shared" si="31"/>
        <v>4.2992901802062988</v>
      </c>
      <c r="F679">
        <f t="shared" si="32"/>
        <v>829.53650000000005</v>
      </c>
      <c r="G679" s="42"/>
      <c r="H679" s="41">
        <v>45588</v>
      </c>
      <c r="I679" s="42">
        <v>7478.23</v>
      </c>
      <c r="J679" s="41">
        <v>45588</v>
      </c>
      <c r="K679" s="42">
        <v>4.2992901802062988</v>
      </c>
      <c r="L679" s="41">
        <v>45588</v>
      </c>
      <c r="M679" s="42">
        <v>829.53650000000005</v>
      </c>
    </row>
    <row r="680" spans="1:13">
      <c r="A680" s="41">
        <v>45589</v>
      </c>
      <c r="B680" s="42">
        <v>20489.62</v>
      </c>
      <c r="C680" s="42">
        <v>165249168100</v>
      </c>
      <c r="D680">
        <f t="shared" si="30"/>
        <v>7359.14</v>
      </c>
      <c r="E680">
        <f t="shared" si="31"/>
        <v>4.3199400901794434</v>
      </c>
      <c r="F680">
        <f t="shared" si="32"/>
        <v>820.28120000000001</v>
      </c>
      <c r="G680" s="42"/>
      <c r="H680" s="41">
        <v>45589</v>
      </c>
      <c r="I680" s="42">
        <v>7359.14</v>
      </c>
      <c r="J680" s="41">
        <v>45589</v>
      </c>
      <c r="K680" s="42">
        <v>4.3199400901794434</v>
      </c>
      <c r="L680" s="41">
        <v>45589</v>
      </c>
      <c r="M680" s="42">
        <v>820.28120000000001</v>
      </c>
    </row>
    <row r="681" spans="1:13">
      <c r="A681" s="41">
        <v>45590</v>
      </c>
      <c r="B681" s="42">
        <v>20590.150000000001</v>
      </c>
      <c r="C681" s="42">
        <v>161258481700</v>
      </c>
      <c r="D681">
        <f t="shared" si="30"/>
        <v>7385.26</v>
      </c>
      <c r="E681">
        <f t="shared" si="31"/>
        <v>4.317080020904541</v>
      </c>
      <c r="F681">
        <f t="shared" si="32"/>
        <v>833.46019999999999</v>
      </c>
      <c r="G681" s="42"/>
      <c r="H681" s="41">
        <v>45590</v>
      </c>
      <c r="I681" s="42">
        <v>7385.26</v>
      </c>
      <c r="J681" s="41">
        <v>45590</v>
      </c>
      <c r="K681" s="42">
        <v>4.317080020904541</v>
      </c>
      <c r="L681" s="41">
        <v>45590</v>
      </c>
      <c r="M681" s="42">
        <v>833.46019999999999</v>
      </c>
    </row>
    <row r="682" spans="1:13">
      <c r="A682" s="41">
        <v>45593</v>
      </c>
      <c r="B682" s="42">
        <v>20599.36</v>
      </c>
      <c r="C682" s="42">
        <v>136321027500</v>
      </c>
      <c r="D682">
        <f t="shared" si="30"/>
        <v>7391.22</v>
      </c>
      <c r="E682">
        <f t="shared" si="31"/>
        <v>4.3107099533081055</v>
      </c>
      <c r="F682">
        <f t="shared" si="32"/>
        <v>860.7704</v>
      </c>
      <c r="G682" s="42"/>
      <c r="H682" s="41">
        <v>45593</v>
      </c>
      <c r="I682" s="42">
        <v>7391.22</v>
      </c>
      <c r="J682" s="41">
        <v>45593</v>
      </c>
      <c r="K682" s="42">
        <v>4.3107099533081055</v>
      </c>
      <c r="L682" s="41">
        <v>45593</v>
      </c>
      <c r="M682" s="42">
        <v>860.7704</v>
      </c>
    </row>
    <row r="683" spans="1:13">
      <c r="A683" s="41">
        <v>45594</v>
      </c>
      <c r="B683" s="42">
        <v>20701.14</v>
      </c>
      <c r="C683" s="42">
        <v>154249318900</v>
      </c>
      <c r="D683">
        <f t="shared" si="30"/>
        <v>7417.53</v>
      </c>
      <c r="E683">
        <f t="shared" si="31"/>
        <v>4.3007102012634277</v>
      </c>
      <c r="F683">
        <f t="shared" si="32"/>
        <v>835.15970000000004</v>
      </c>
      <c r="G683" s="42"/>
      <c r="H683" s="41">
        <v>45594</v>
      </c>
      <c r="I683" s="42">
        <v>7417.53</v>
      </c>
      <c r="J683" s="41">
        <v>45594</v>
      </c>
      <c r="K683" s="42">
        <v>4.3007102012634277</v>
      </c>
      <c r="L683" s="41">
        <v>45594</v>
      </c>
      <c r="M683" s="42">
        <v>835.15970000000004</v>
      </c>
    </row>
    <row r="684" spans="1:13">
      <c r="A684" s="41">
        <v>45595</v>
      </c>
      <c r="B684" s="42">
        <v>20380.64</v>
      </c>
      <c r="C684" s="42">
        <v>166644823300</v>
      </c>
      <c r="D684">
        <f t="shared" si="30"/>
        <v>7286.5</v>
      </c>
      <c r="E684">
        <f t="shared" si="31"/>
        <v>4.3021402359008789</v>
      </c>
      <c r="F684">
        <f t="shared" si="32"/>
        <v>853.4873</v>
      </c>
      <c r="G684" s="42"/>
      <c r="H684" s="41">
        <v>45595</v>
      </c>
      <c r="I684" s="42">
        <v>7286.5</v>
      </c>
      <c r="J684" s="41">
        <v>45595</v>
      </c>
      <c r="K684" s="42">
        <v>4.3021402359008789</v>
      </c>
      <c r="L684" s="41">
        <v>45595</v>
      </c>
      <c r="M684" s="42">
        <v>853.4873</v>
      </c>
    </row>
    <row r="685" spans="1:13">
      <c r="A685" s="41">
        <v>45596</v>
      </c>
      <c r="B685" s="42">
        <v>20317.330000000002</v>
      </c>
      <c r="C685" s="42">
        <v>154479281400</v>
      </c>
      <c r="D685">
        <f t="shared" si="30"/>
        <v>7264.11</v>
      </c>
      <c r="E685">
        <f t="shared" si="31"/>
        <v>4.309229850769043</v>
      </c>
      <c r="F685">
        <f t="shared" si="32"/>
        <v>843.59670000000006</v>
      </c>
      <c r="G685" s="42"/>
      <c r="H685" s="41">
        <v>45596</v>
      </c>
      <c r="I685" s="42">
        <v>7264.11</v>
      </c>
      <c r="J685" s="41">
        <v>45596</v>
      </c>
      <c r="K685" s="42">
        <v>4.309229850769043</v>
      </c>
      <c r="L685" s="41">
        <v>45596</v>
      </c>
      <c r="M685" s="42">
        <v>843.59670000000006</v>
      </c>
    </row>
    <row r="686" spans="1:13">
      <c r="A686" s="41">
        <v>45597</v>
      </c>
      <c r="B686" s="42">
        <v>20506.43</v>
      </c>
      <c r="C686" s="42">
        <v>141483289100</v>
      </c>
      <c r="D686">
        <f t="shared" si="30"/>
        <v>7342.66</v>
      </c>
      <c r="E686">
        <f t="shared" si="31"/>
        <v>4.2992901802062988</v>
      </c>
      <c r="F686">
        <f t="shared" si="32"/>
        <v>838.46109999999999</v>
      </c>
      <c r="G686" s="42"/>
      <c r="H686" s="41">
        <v>45597</v>
      </c>
      <c r="I686" s="42">
        <v>7342.66</v>
      </c>
      <c r="J686" s="41">
        <v>45597</v>
      </c>
      <c r="K686" s="42">
        <v>4.2992901802062988</v>
      </c>
      <c r="L686" s="41">
        <v>45597</v>
      </c>
      <c r="M686" s="42">
        <v>838.46109999999999</v>
      </c>
    </row>
    <row r="687" spans="1:13">
      <c r="A687" s="41">
        <v>45600</v>
      </c>
      <c r="B687" s="42">
        <v>20567.52</v>
      </c>
      <c r="C687" s="42">
        <v>116233276900</v>
      </c>
      <c r="D687">
        <f t="shared" si="30"/>
        <v>7367.65</v>
      </c>
      <c r="E687">
        <f t="shared" si="31"/>
        <v>4.2551798820495605</v>
      </c>
      <c r="F687">
        <f t="shared" si="32"/>
        <v>856.21789999999999</v>
      </c>
      <c r="G687" s="42"/>
      <c r="H687" s="41">
        <v>45600</v>
      </c>
      <c r="I687" s="42">
        <v>7367.65</v>
      </c>
      <c r="J687" s="41">
        <v>45600</v>
      </c>
      <c r="K687" s="42">
        <v>4.2551798820495605</v>
      </c>
      <c r="L687" s="41">
        <v>45600</v>
      </c>
      <c r="M687" s="42">
        <v>856.21789999999999</v>
      </c>
    </row>
    <row r="688" spans="1:13">
      <c r="A688" s="41">
        <v>45601</v>
      </c>
      <c r="B688" s="42">
        <v>21006.97</v>
      </c>
      <c r="C688" s="42">
        <v>169910148200</v>
      </c>
      <c r="D688">
        <f t="shared" si="30"/>
        <v>7556.62</v>
      </c>
      <c r="E688">
        <f t="shared" si="31"/>
        <v>4.228449821472168</v>
      </c>
      <c r="F688">
        <f t="shared" si="32"/>
        <v>862.26599999999996</v>
      </c>
      <c r="G688" s="42"/>
      <c r="H688" s="41">
        <v>45601</v>
      </c>
      <c r="I688" s="42">
        <v>7556.62</v>
      </c>
      <c r="J688" s="41">
        <v>45601</v>
      </c>
      <c r="K688" s="42">
        <v>4.228449821472168</v>
      </c>
      <c r="L688" s="41">
        <v>45601</v>
      </c>
      <c r="M688" s="42">
        <v>862.26599999999996</v>
      </c>
    </row>
    <row r="689" spans="1:13">
      <c r="A689" s="41">
        <v>45602</v>
      </c>
      <c r="B689" s="42">
        <v>20538.38</v>
      </c>
      <c r="C689" s="42">
        <v>216817716600</v>
      </c>
      <c r="D689">
        <f t="shared" si="30"/>
        <v>7363.47</v>
      </c>
      <c r="E689">
        <f t="shared" si="31"/>
        <v>4.2270002365112305</v>
      </c>
      <c r="F689">
        <f t="shared" si="32"/>
        <v>874.63779999999997</v>
      </c>
      <c r="G689" s="42"/>
      <c r="H689" s="41">
        <v>45602</v>
      </c>
      <c r="I689" s="42">
        <v>7363.47</v>
      </c>
      <c r="J689" s="41">
        <v>45602</v>
      </c>
      <c r="K689" s="42">
        <v>4.2270002365112305</v>
      </c>
      <c r="L689" s="41">
        <v>45602</v>
      </c>
      <c r="M689" s="42">
        <v>874.63779999999997</v>
      </c>
    </row>
    <row r="690" spans="1:13">
      <c r="A690" s="41">
        <v>45603</v>
      </c>
      <c r="B690" s="42">
        <v>20953.34</v>
      </c>
      <c r="C690" s="42">
        <v>219775478400</v>
      </c>
      <c r="D690">
        <f t="shared" si="30"/>
        <v>7546.95</v>
      </c>
      <c r="E690">
        <f t="shared" si="31"/>
        <v>4.2283902168273926</v>
      </c>
      <c r="F690">
        <f t="shared" si="32"/>
        <v>906.83299999999997</v>
      </c>
      <c r="G690" s="42"/>
      <c r="H690" s="41">
        <v>45603</v>
      </c>
      <c r="I690" s="42">
        <v>7546.95</v>
      </c>
      <c r="J690" s="41">
        <v>45603</v>
      </c>
      <c r="K690" s="42">
        <v>4.2283902168273926</v>
      </c>
      <c r="L690" s="41">
        <v>45603</v>
      </c>
      <c r="M690" s="42">
        <v>906.83299999999997</v>
      </c>
    </row>
    <row r="691" spans="1:13">
      <c r="A691" s="41">
        <v>45604</v>
      </c>
      <c r="B691" s="42">
        <v>20728.189999999999</v>
      </c>
      <c r="C691" s="42">
        <v>233096047600</v>
      </c>
      <c r="D691">
        <f t="shared" si="30"/>
        <v>7461.44</v>
      </c>
      <c r="E691">
        <f t="shared" si="31"/>
        <v>4.2826800346374512</v>
      </c>
      <c r="F691">
        <f t="shared" si="32"/>
        <v>891.90620000000001</v>
      </c>
      <c r="G691" s="42"/>
      <c r="H691" s="41">
        <v>45604</v>
      </c>
      <c r="I691" s="42">
        <v>7461.44</v>
      </c>
      <c r="J691" s="41">
        <v>45604</v>
      </c>
      <c r="K691" s="42">
        <v>4.2826800346374512</v>
      </c>
      <c r="L691" s="41">
        <v>45604</v>
      </c>
      <c r="M691" s="42">
        <v>891.90620000000001</v>
      </c>
    </row>
    <row r="692" spans="1:13">
      <c r="A692" s="41">
        <v>45607</v>
      </c>
      <c r="B692" s="42">
        <v>20426.93</v>
      </c>
      <c r="C692" s="42">
        <v>204340391800</v>
      </c>
      <c r="D692">
        <f t="shared" si="30"/>
        <v>7355.57</v>
      </c>
      <c r="E692">
        <f t="shared" si="31"/>
        <v>4.2864899635314941</v>
      </c>
      <c r="F692">
        <f t="shared" si="32"/>
        <v>886.03840000000002</v>
      </c>
      <c r="G692" s="42"/>
      <c r="H692" s="41">
        <v>45607</v>
      </c>
      <c r="I692" s="42">
        <v>7355.57</v>
      </c>
      <c r="J692" s="41">
        <v>45607</v>
      </c>
      <c r="K692" s="42">
        <v>4.2864899635314941</v>
      </c>
      <c r="L692" s="41">
        <v>45607</v>
      </c>
      <c r="M692" s="42">
        <v>886.03840000000002</v>
      </c>
    </row>
    <row r="693" spans="1:13">
      <c r="A693" s="41">
        <v>45608</v>
      </c>
      <c r="B693" s="42">
        <v>19846.88</v>
      </c>
      <c r="C693" s="42">
        <v>234223705400</v>
      </c>
      <c r="D693">
        <f t="shared" si="30"/>
        <v>7127.14</v>
      </c>
      <c r="E693">
        <f t="shared" si="31"/>
        <v>4.3099398612976074</v>
      </c>
      <c r="F693">
        <f t="shared" si="32"/>
        <v>890.26289999999995</v>
      </c>
      <c r="G693" s="42"/>
      <c r="H693" s="41">
        <v>45608</v>
      </c>
      <c r="I693" s="42">
        <v>7127.14</v>
      </c>
      <c r="J693" s="41">
        <v>45608</v>
      </c>
      <c r="K693" s="42">
        <v>4.3099398612976074</v>
      </c>
      <c r="L693" s="41">
        <v>45608</v>
      </c>
      <c r="M693" s="42">
        <v>890.26289999999995</v>
      </c>
    </row>
    <row r="694" spans="1:13">
      <c r="A694" s="41">
        <v>45609</v>
      </c>
      <c r="B694" s="42">
        <v>19823.45</v>
      </c>
      <c r="C694" s="42">
        <v>184618489900</v>
      </c>
      <c r="D694">
        <f t="shared" si="30"/>
        <v>7130.93</v>
      </c>
      <c r="E694">
        <f t="shared" si="31"/>
        <v>4.3127999305725098</v>
      </c>
      <c r="F694">
        <f t="shared" si="32"/>
        <v>882.26660000000004</v>
      </c>
      <c r="G694" s="42"/>
      <c r="H694" s="41">
        <v>45609</v>
      </c>
      <c r="I694" s="42">
        <v>7130.93</v>
      </c>
      <c r="J694" s="41">
        <v>45609</v>
      </c>
      <c r="K694" s="42">
        <v>4.3127999305725098</v>
      </c>
      <c r="L694" s="41">
        <v>45609</v>
      </c>
      <c r="M694" s="42">
        <v>882.26660000000004</v>
      </c>
    </row>
    <row r="695" spans="1:13">
      <c r="A695" s="41">
        <v>45610</v>
      </c>
      <c r="B695" s="42">
        <v>19435.810000000001</v>
      </c>
      <c r="C695" s="42">
        <v>173261841000</v>
      </c>
      <c r="D695">
        <f t="shared" si="30"/>
        <v>6973.08</v>
      </c>
      <c r="E695">
        <f t="shared" si="31"/>
        <v>4.3241701126098633</v>
      </c>
      <c r="F695">
        <f t="shared" si="32"/>
        <v>859.8537</v>
      </c>
      <c r="G695" s="42"/>
      <c r="H695" s="41">
        <v>45610</v>
      </c>
      <c r="I695" s="42">
        <v>6973.08</v>
      </c>
      <c r="J695" s="41">
        <v>45610</v>
      </c>
      <c r="K695" s="42">
        <v>4.3241701126098633</v>
      </c>
      <c r="L695" s="41">
        <v>45610</v>
      </c>
      <c r="M695" s="42">
        <v>859.8537</v>
      </c>
    </row>
    <row r="696" spans="1:13">
      <c r="A696" s="41">
        <v>45611</v>
      </c>
      <c r="B696" s="42">
        <v>19426.34</v>
      </c>
      <c r="C696" s="42">
        <v>155494732800</v>
      </c>
      <c r="D696">
        <f t="shared" si="30"/>
        <v>6980.06</v>
      </c>
      <c r="E696">
        <f t="shared" si="31"/>
        <v>4.340479850769043</v>
      </c>
      <c r="F696">
        <f t="shared" si="32"/>
        <v>848.12279999999998</v>
      </c>
      <c r="G696" s="42"/>
      <c r="H696" s="41">
        <v>45611</v>
      </c>
      <c r="I696" s="42">
        <v>6980.06</v>
      </c>
      <c r="J696" s="41">
        <v>45611</v>
      </c>
      <c r="K696" s="42">
        <v>4.340479850769043</v>
      </c>
      <c r="L696" s="41">
        <v>45611</v>
      </c>
      <c r="M696" s="42">
        <v>848.12279999999998</v>
      </c>
    </row>
    <row r="697" spans="1:13">
      <c r="A697" s="41">
        <v>45614</v>
      </c>
      <c r="B697" s="42">
        <v>19576.61</v>
      </c>
      <c r="C697" s="42">
        <v>141085830000</v>
      </c>
      <c r="D697">
        <f t="shared" si="30"/>
        <v>7057.1</v>
      </c>
      <c r="E697">
        <f t="shared" si="31"/>
        <v>4.3178000450134277</v>
      </c>
      <c r="F697">
        <f t="shared" si="32"/>
        <v>843.84680000000003</v>
      </c>
      <c r="G697" s="42"/>
      <c r="H697" s="41">
        <v>45614</v>
      </c>
      <c r="I697" s="42">
        <v>7057.1</v>
      </c>
      <c r="J697" s="41">
        <v>45614</v>
      </c>
      <c r="K697" s="42">
        <v>4.3178000450134277</v>
      </c>
      <c r="L697" s="41">
        <v>45614</v>
      </c>
      <c r="M697" s="42">
        <v>843.84680000000003</v>
      </c>
    </row>
    <row r="698" spans="1:13">
      <c r="A698" s="41">
        <v>45615</v>
      </c>
      <c r="B698" s="42">
        <v>19663.669999999998</v>
      </c>
      <c r="C698" s="42">
        <v>121977390100</v>
      </c>
      <c r="D698">
        <f t="shared" si="30"/>
        <v>7082.21</v>
      </c>
      <c r="E698">
        <f t="shared" si="31"/>
        <v>4.3149399757385254</v>
      </c>
      <c r="F698">
        <f t="shared" si="32"/>
        <v>855.21789999999999</v>
      </c>
      <c r="G698" s="42"/>
      <c r="H698" s="41">
        <v>45615</v>
      </c>
      <c r="I698" s="42">
        <v>7082.21</v>
      </c>
      <c r="J698" s="41">
        <v>45615</v>
      </c>
      <c r="K698" s="42">
        <v>4.3149399757385254</v>
      </c>
      <c r="L698" s="41">
        <v>45615</v>
      </c>
      <c r="M698" s="42">
        <v>855.21789999999999</v>
      </c>
    </row>
    <row r="699" spans="1:13">
      <c r="A699" s="41">
        <v>45616</v>
      </c>
      <c r="B699" s="42">
        <v>19705.009999999998</v>
      </c>
      <c r="C699" s="42">
        <v>114671108700</v>
      </c>
      <c r="D699">
        <f t="shared" si="30"/>
        <v>7090.86</v>
      </c>
      <c r="E699">
        <f t="shared" si="31"/>
        <v>4.3142299652099609</v>
      </c>
      <c r="F699">
        <f t="shared" si="32"/>
        <v>859.60760000000005</v>
      </c>
      <c r="G699" s="42"/>
      <c r="H699" s="41">
        <v>45616</v>
      </c>
      <c r="I699" s="42">
        <v>7090.86</v>
      </c>
      <c r="J699" s="41">
        <v>45616</v>
      </c>
      <c r="K699" s="42">
        <v>4.3142299652099609</v>
      </c>
      <c r="L699" s="41">
        <v>45616</v>
      </c>
      <c r="M699" s="42">
        <v>859.60760000000005</v>
      </c>
    </row>
    <row r="700" spans="1:13">
      <c r="A700" s="41">
        <v>45617</v>
      </c>
      <c r="B700" s="42">
        <v>19601.11</v>
      </c>
      <c r="C700" s="42">
        <v>119267902900</v>
      </c>
      <c r="D700">
        <f t="shared" si="30"/>
        <v>7034.89</v>
      </c>
      <c r="E700">
        <f t="shared" si="31"/>
        <v>4.3127999305725098</v>
      </c>
      <c r="F700">
        <f t="shared" si="32"/>
        <v>868.01900000000001</v>
      </c>
      <c r="G700" s="42"/>
      <c r="H700" s="41">
        <v>45617</v>
      </c>
      <c r="I700" s="42">
        <v>7034.89</v>
      </c>
      <c r="J700" s="41">
        <v>45617</v>
      </c>
      <c r="K700" s="42">
        <v>4.3127999305725098</v>
      </c>
      <c r="L700" s="41">
        <v>45617</v>
      </c>
      <c r="M700" s="42">
        <v>868.01900000000001</v>
      </c>
    </row>
    <row r="701" spans="1:13">
      <c r="A701" s="41">
        <v>45618</v>
      </c>
      <c r="B701" s="42">
        <v>19229.97</v>
      </c>
      <c r="C701" s="42">
        <v>157983393700</v>
      </c>
      <c r="D701">
        <f t="shared" si="30"/>
        <v>6887.05</v>
      </c>
      <c r="E701">
        <f t="shared" si="31"/>
        <v>4.3149399757385254</v>
      </c>
      <c r="F701">
        <f t="shared" si="32"/>
        <v>832.42240000000004</v>
      </c>
      <c r="G701" s="42"/>
      <c r="H701" s="41">
        <v>45618</v>
      </c>
      <c r="I701" s="42">
        <v>6887.05</v>
      </c>
      <c r="J701" s="41">
        <v>45618</v>
      </c>
      <c r="K701" s="42">
        <v>4.3149399757385254</v>
      </c>
      <c r="L701" s="41">
        <v>45618</v>
      </c>
      <c r="M701" s="42">
        <v>832.42240000000004</v>
      </c>
    </row>
    <row r="702" spans="1:13">
      <c r="A702" s="41">
        <v>45621</v>
      </c>
      <c r="B702" s="42">
        <v>19150.990000000002</v>
      </c>
      <c r="C702" s="42">
        <v>183258288400</v>
      </c>
      <c r="D702">
        <f t="shared" si="30"/>
        <v>6862.2</v>
      </c>
      <c r="E702">
        <f t="shared" si="31"/>
        <v>4.3149399757385254</v>
      </c>
      <c r="F702">
        <f t="shared" si="32"/>
        <v>844.75750000000005</v>
      </c>
      <c r="G702" s="42"/>
      <c r="H702" s="41">
        <v>45621</v>
      </c>
      <c r="I702" s="42">
        <v>6862.2</v>
      </c>
      <c r="J702" s="41">
        <v>45621</v>
      </c>
      <c r="K702" s="42">
        <v>4.3149399757385254</v>
      </c>
      <c r="L702" s="41">
        <v>45621</v>
      </c>
      <c r="M702" s="42">
        <v>844.75750000000005</v>
      </c>
    </row>
    <row r="703" spans="1:13">
      <c r="A703" s="41">
        <v>45622</v>
      </c>
      <c r="B703" s="42">
        <v>19159.2</v>
      </c>
      <c r="C703" s="42">
        <v>122287438200</v>
      </c>
      <c r="D703">
        <f t="shared" si="30"/>
        <v>6851.56</v>
      </c>
      <c r="E703">
        <f t="shared" si="31"/>
        <v>4.3480401039123535</v>
      </c>
      <c r="F703">
        <f t="shared" si="32"/>
        <v>849.55229999999995</v>
      </c>
      <c r="G703" s="42"/>
      <c r="H703" s="41">
        <v>45622</v>
      </c>
      <c r="I703" s="42">
        <v>6851.56</v>
      </c>
      <c r="J703" s="41">
        <v>45622</v>
      </c>
      <c r="K703" s="42">
        <v>4.3480401039123535</v>
      </c>
      <c r="L703" s="41">
        <v>45622</v>
      </c>
      <c r="M703" s="42">
        <v>849.55229999999995</v>
      </c>
    </row>
    <row r="704" spans="1:13">
      <c r="A704" s="41">
        <v>45623</v>
      </c>
      <c r="B704" s="42">
        <v>19603.13</v>
      </c>
      <c r="C704" s="42">
        <v>138912125200</v>
      </c>
      <c r="D704">
        <f t="shared" si="30"/>
        <v>7027.4</v>
      </c>
      <c r="E704">
        <f t="shared" si="31"/>
        <v>4.3706002235412598</v>
      </c>
      <c r="F704">
        <f t="shared" si="32"/>
        <v>855.20299999999997</v>
      </c>
      <c r="G704" s="42"/>
      <c r="H704" s="41">
        <v>45623</v>
      </c>
      <c r="I704" s="42">
        <v>7027.4</v>
      </c>
      <c r="J704" s="41">
        <v>45623</v>
      </c>
      <c r="K704" s="42">
        <v>4.3706002235412598</v>
      </c>
      <c r="L704" s="41">
        <v>45623</v>
      </c>
      <c r="M704" s="42">
        <v>855.20299999999997</v>
      </c>
    </row>
    <row r="705" spans="1:13">
      <c r="A705" s="41">
        <v>45624</v>
      </c>
      <c r="B705" s="42">
        <v>19366.96</v>
      </c>
      <c r="C705" s="42">
        <v>108215483300</v>
      </c>
      <c r="D705">
        <f t="shared" si="30"/>
        <v>6924.51</v>
      </c>
      <c r="E705">
        <f t="shared" si="31"/>
        <v>4.4021401405334473</v>
      </c>
      <c r="F705">
        <f t="shared" si="32"/>
        <v>857.42359999999996</v>
      </c>
      <c r="G705" s="42"/>
      <c r="H705" s="41">
        <v>45624</v>
      </c>
      <c r="I705" s="42">
        <v>6924.51</v>
      </c>
      <c r="J705" s="41">
        <v>45624</v>
      </c>
      <c r="K705" s="42">
        <v>4.4021401405334473</v>
      </c>
      <c r="L705" s="41">
        <v>45624</v>
      </c>
      <c r="M705" s="42">
        <v>857.42359999999996</v>
      </c>
    </row>
    <row r="706" spans="1:13">
      <c r="A706" s="41">
        <v>45625</v>
      </c>
      <c r="B706" s="42">
        <v>19423.61</v>
      </c>
      <c r="C706" s="42">
        <v>133501339000</v>
      </c>
      <c r="D706">
        <f t="shared" si="30"/>
        <v>6946.68</v>
      </c>
      <c r="E706">
        <f t="shared" si="31"/>
        <v>4.4120798110961914</v>
      </c>
      <c r="F706">
        <f t="shared" si="32"/>
        <v>868.00130000000001</v>
      </c>
      <c r="G706" s="42"/>
      <c r="H706" s="41">
        <v>45625</v>
      </c>
      <c r="I706" s="42">
        <v>6946.68</v>
      </c>
      <c r="J706" s="41">
        <v>45625</v>
      </c>
      <c r="K706" s="42">
        <v>4.4120798110961914</v>
      </c>
      <c r="L706" s="41">
        <v>45625</v>
      </c>
      <c r="M706" s="42">
        <v>868.00130000000001</v>
      </c>
    </row>
    <row r="707" spans="1:13">
      <c r="A707" s="41">
        <v>45628</v>
      </c>
      <c r="B707" s="42">
        <v>19550.29</v>
      </c>
      <c r="C707" s="42">
        <v>146099021500</v>
      </c>
      <c r="D707">
        <f t="shared" si="30"/>
        <v>7009.05</v>
      </c>
      <c r="E707">
        <f t="shared" si="31"/>
        <v>4.3727397918701172</v>
      </c>
      <c r="F707">
        <f t="shared" si="32"/>
        <v>892.05619999999999</v>
      </c>
      <c r="G707" s="42"/>
      <c r="H707" s="41">
        <v>45628</v>
      </c>
      <c r="I707" s="42">
        <v>7009.05</v>
      </c>
      <c r="J707" s="41">
        <v>45628</v>
      </c>
      <c r="K707" s="42">
        <v>4.3727397918701172</v>
      </c>
      <c r="L707" s="41">
        <v>45628</v>
      </c>
      <c r="M707" s="42">
        <v>892.05619999999999</v>
      </c>
    </row>
    <row r="708" spans="1:13">
      <c r="A708" s="41">
        <v>45629</v>
      </c>
      <c r="B708" s="42">
        <v>19746.32</v>
      </c>
      <c r="C708" s="42">
        <v>126683258900</v>
      </c>
      <c r="D708">
        <f t="shared" ref="D708:D771" si="33">IFERROR(VLOOKUP($A708,$H$3:$I$1100,2,FALSE),"")</f>
        <v>7072.13</v>
      </c>
      <c r="E708">
        <f t="shared" ref="E708:E771" si="34">IFERROR(VLOOKUP($A708,$J$3:$K$1100,2,FALSE),"")</f>
        <v>4.3730998039245605</v>
      </c>
      <c r="F708">
        <f t="shared" ref="F708:F771" si="35">IFERROR(VLOOKUP($A708,$L$3:$M$1100,2,FALSE),"")</f>
        <v>917.11860000000001</v>
      </c>
      <c r="G708" s="42"/>
      <c r="H708" s="41">
        <v>45629</v>
      </c>
      <c r="I708" s="42">
        <v>7072.13</v>
      </c>
      <c r="J708" s="41">
        <v>45629</v>
      </c>
      <c r="K708" s="42">
        <v>4.3730998039245605</v>
      </c>
      <c r="L708" s="41">
        <v>45629</v>
      </c>
      <c r="M708" s="42">
        <v>917.11860000000001</v>
      </c>
    </row>
    <row r="709" spans="1:13">
      <c r="A709" s="41">
        <v>45630</v>
      </c>
      <c r="B709" s="42">
        <v>19742.46</v>
      </c>
      <c r="C709" s="42">
        <v>131197241800</v>
      </c>
      <c r="D709">
        <f t="shared" si="33"/>
        <v>7085</v>
      </c>
      <c r="E709">
        <f t="shared" si="34"/>
        <v>4.371190071105957</v>
      </c>
      <c r="F709">
        <f t="shared" si="35"/>
        <v>899.82680000000005</v>
      </c>
      <c r="G709" s="42"/>
      <c r="H709" s="41">
        <v>45630</v>
      </c>
      <c r="I709" s="42">
        <v>7085</v>
      </c>
      <c r="J709" s="41">
        <v>45630</v>
      </c>
      <c r="K709" s="42">
        <v>4.371190071105957</v>
      </c>
      <c r="L709" s="41">
        <v>45630</v>
      </c>
      <c r="M709" s="42">
        <v>899.82680000000005</v>
      </c>
    </row>
    <row r="710" spans="1:13">
      <c r="A710" s="41">
        <v>45631</v>
      </c>
      <c r="B710" s="42">
        <v>19560.439999999999</v>
      </c>
      <c r="C710" s="42">
        <v>109359440400</v>
      </c>
      <c r="D710">
        <f t="shared" si="33"/>
        <v>7014.13</v>
      </c>
      <c r="E710">
        <f t="shared" si="34"/>
        <v>4.3564300537109375</v>
      </c>
      <c r="F710">
        <f t="shared" si="35"/>
        <v>890.49289999999996</v>
      </c>
      <c r="G710" s="42"/>
      <c r="H710" s="41">
        <v>45631</v>
      </c>
      <c r="I710" s="42">
        <v>7014.13</v>
      </c>
      <c r="J710" s="41">
        <v>45631</v>
      </c>
      <c r="K710" s="42">
        <v>4.3564300537109375</v>
      </c>
      <c r="L710" s="41">
        <v>45631</v>
      </c>
      <c r="M710" s="42">
        <v>890.49289999999996</v>
      </c>
    </row>
    <row r="711" spans="1:13">
      <c r="A711" s="41">
        <v>45632</v>
      </c>
      <c r="B711" s="42">
        <v>19865.849999999999</v>
      </c>
      <c r="C711" s="42">
        <v>162785052700</v>
      </c>
      <c r="D711">
        <f t="shared" si="33"/>
        <v>7136.55</v>
      </c>
      <c r="E711">
        <f t="shared" si="34"/>
        <v>4.3289299011230469</v>
      </c>
      <c r="F711">
        <f t="shared" si="35"/>
        <v>890.57939999999996</v>
      </c>
      <c r="G711" s="42"/>
      <c r="H711" s="41">
        <v>45632</v>
      </c>
      <c r="I711" s="42">
        <v>7136.55</v>
      </c>
      <c r="J711" s="41">
        <v>45632</v>
      </c>
      <c r="K711" s="42">
        <v>4.3289299011230469</v>
      </c>
      <c r="L711" s="41">
        <v>45632</v>
      </c>
      <c r="M711" s="42">
        <v>890.57939999999996</v>
      </c>
    </row>
    <row r="712" spans="1:13">
      <c r="A712" s="41">
        <v>45635</v>
      </c>
      <c r="B712" s="42">
        <v>20414.09</v>
      </c>
      <c r="C712" s="42">
        <v>206529616100</v>
      </c>
      <c r="D712">
        <f t="shared" si="33"/>
        <v>7360.67</v>
      </c>
      <c r="E712">
        <f t="shared" si="34"/>
        <v>4.3000001907348633</v>
      </c>
      <c r="F712">
        <f t="shared" si="35"/>
        <v>881.36680000000001</v>
      </c>
      <c r="G712" s="42"/>
      <c r="H712" s="41">
        <v>45635</v>
      </c>
      <c r="I712" s="42">
        <v>7360.67</v>
      </c>
      <c r="J712" s="41">
        <v>45635</v>
      </c>
      <c r="K712" s="42">
        <v>4.3000001907348633</v>
      </c>
      <c r="L712" s="41">
        <v>45635</v>
      </c>
      <c r="M712" s="42">
        <v>881.36680000000001</v>
      </c>
    </row>
    <row r="713" spans="1:13">
      <c r="A713" s="41">
        <v>45636</v>
      </c>
      <c r="B713" s="42">
        <v>20311.28</v>
      </c>
      <c r="C713" s="42">
        <v>247542431400</v>
      </c>
      <c r="D713">
        <f t="shared" si="33"/>
        <v>7306.16</v>
      </c>
      <c r="E713">
        <f t="shared" si="34"/>
        <v>4.3323798179626465</v>
      </c>
      <c r="F713">
        <f t="shared" si="35"/>
        <v>893.48500000000001</v>
      </c>
      <c r="G713" s="42"/>
      <c r="H713" s="41">
        <v>45636</v>
      </c>
      <c r="I713" s="42">
        <v>7306.16</v>
      </c>
      <c r="J713" s="41">
        <v>45636</v>
      </c>
      <c r="K713" s="42">
        <v>4.3323798179626465</v>
      </c>
      <c r="L713" s="41">
        <v>45636</v>
      </c>
      <c r="M713" s="42">
        <v>893.48500000000001</v>
      </c>
    </row>
    <row r="714" spans="1:13">
      <c r="A714" s="41">
        <v>45637</v>
      </c>
      <c r="B714" s="42">
        <v>20155.05</v>
      </c>
      <c r="C714" s="42">
        <v>141618777700</v>
      </c>
      <c r="D714">
        <f t="shared" si="33"/>
        <v>7249.38</v>
      </c>
      <c r="E714">
        <f t="shared" si="34"/>
        <v>4.362800121307373</v>
      </c>
      <c r="F714">
        <f t="shared" si="35"/>
        <v>918.71979999999996</v>
      </c>
      <c r="G714" s="42"/>
      <c r="H714" s="41">
        <v>45637</v>
      </c>
      <c r="I714" s="42">
        <v>7249.38</v>
      </c>
      <c r="J714" s="41">
        <v>45637</v>
      </c>
      <c r="K714" s="42">
        <v>4.362800121307373</v>
      </c>
      <c r="L714" s="41">
        <v>45637</v>
      </c>
      <c r="M714" s="42">
        <v>918.71979999999996</v>
      </c>
    </row>
    <row r="715" spans="1:13">
      <c r="A715" s="41">
        <v>45638</v>
      </c>
      <c r="B715" s="42">
        <v>20397.05</v>
      </c>
      <c r="C715" s="42">
        <v>157753753100</v>
      </c>
      <c r="D715">
        <f t="shared" si="33"/>
        <v>7360.1</v>
      </c>
      <c r="E715">
        <f t="shared" si="34"/>
        <v>4.3831501007080078</v>
      </c>
      <c r="F715">
        <f t="shared" si="35"/>
        <v>937.59950000000003</v>
      </c>
      <c r="G715" s="42"/>
      <c r="H715" s="41">
        <v>45638</v>
      </c>
      <c r="I715" s="42">
        <v>7360.1</v>
      </c>
      <c r="J715" s="41">
        <v>45638</v>
      </c>
      <c r="K715" s="42">
        <v>4.3831501007080078</v>
      </c>
      <c r="L715" s="41">
        <v>45638</v>
      </c>
      <c r="M715" s="42">
        <v>937.59950000000003</v>
      </c>
    </row>
    <row r="716" spans="1:13">
      <c r="A716" s="41">
        <v>45639</v>
      </c>
      <c r="B716" s="42">
        <v>19971.240000000002</v>
      </c>
      <c r="C716" s="42">
        <v>158476623200</v>
      </c>
      <c r="D716">
        <f t="shared" si="33"/>
        <v>7186.59</v>
      </c>
      <c r="E716">
        <f t="shared" si="34"/>
        <v>4.3527998924255371</v>
      </c>
      <c r="F716">
        <f t="shared" si="35"/>
        <v>913.52089999999998</v>
      </c>
      <c r="G716" s="42"/>
      <c r="H716" s="41">
        <v>45639</v>
      </c>
      <c r="I716" s="42">
        <v>7186.59</v>
      </c>
      <c r="J716" s="41">
        <v>45639</v>
      </c>
      <c r="K716" s="42">
        <v>4.3527998924255371</v>
      </c>
      <c r="L716" s="41">
        <v>45639</v>
      </c>
      <c r="M716" s="42">
        <v>913.52089999999998</v>
      </c>
    </row>
    <row r="717" spans="1:13">
      <c r="A717" s="41">
        <v>45642</v>
      </c>
      <c r="B717" s="42">
        <v>19795.490000000002</v>
      </c>
      <c r="C717" s="42">
        <v>134069777200</v>
      </c>
      <c r="D717">
        <f t="shared" si="33"/>
        <v>7132.69</v>
      </c>
      <c r="E717">
        <f t="shared" si="34"/>
        <v>4.3537502288818359</v>
      </c>
      <c r="F717">
        <f t="shared" si="35"/>
        <v>905.96259999999995</v>
      </c>
      <c r="G717" s="42"/>
      <c r="H717" s="41">
        <v>45642</v>
      </c>
      <c r="I717" s="42">
        <v>7132.69</v>
      </c>
      <c r="J717" s="41">
        <v>45642</v>
      </c>
      <c r="K717" s="42">
        <v>4.3537502288818359</v>
      </c>
      <c r="L717" s="41">
        <v>45642</v>
      </c>
      <c r="M717" s="42">
        <v>905.96259999999995</v>
      </c>
    </row>
    <row r="718" spans="1:13">
      <c r="A718" s="41">
        <v>45643</v>
      </c>
      <c r="B718" s="42">
        <v>19700.48</v>
      </c>
      <c r="C718" s="42">
        <v>131989154900</v>
      </c>
      <c r="D718">
        <f t="shared" si="33"/>
        <v>7105.44</v>
      </c>
      <c r="E718">
        <f t="shared" si="34"/>
        <v>4.3542299270629883</v>
      </c>
      <c r="F718">
        <f t="shared" si="35"/>
        <v>875.91409999999996</v>
      </c>
      <c r="G718" s="42"/>
      <c r="H718" s="41">
        <v>45643</v>
      </c>
      <c r="I718" s="42">
        <v>7105.44</v>
      </c>
      <c r="J718" s="41">
        <v>45643</v>
      </c>
      <c r="K718" s="42">
        <v>4.3542299270629883</v>
      </c>
      <c r="L718" s="41">
        <v>45643</v>
      </c>
      <c r="M718" s="42">
        <v>875.91409999999996</v>
      </c>
    </row>
    <row r="719" spans="1:13">
      <c r="A719" s="41">
        <v>45644</v>
      </c>
      <c r="B719" s="42">
        <v>19864.55</v>
      </c>
      <c r="C719" s="42">
        <v>107541143600</v>
      </c>
      <c r="D719">
        <f t="shared" si="33"/>
        <v>7180.79</v>
      </c>
      <c r="E719">
        <f t="shared" si="34"/>
        <v>4.3528599739074707</v>
      </c>
      <c r="F719">
        <f t="shared" si="35"/>
        <v>866.43489999999997</v>
      </c>
      <c r="G719" s="42"/>
      <c r="H719" s="41">
        <v>45644</v>
      </c>
      <c r="I719" s="42">
        <v>7180.79</v>
      </c>
      <c r="J719" s="41">
        <v>45644</v>
      </c>
      <c r="K719" s="42">
        <v>4.3528599739074707</v>
      </c>
      <c r="L719" s="41">
        <v>45644</v>
      </c>
      <c r="M719" s="42">
        <v>866.43489999999997</v>
      </c>
    </row>
    <row r="720" spans="1:13">
      <c r="A720" s="41">
        <v>45645</v>
      </c>
      <c r="B720" s="42">
        <v>19752.509999999998</v>
      </c>
      <c r="C720" s="42">
        <v>142869566900</v>
      </c>
      <c r="D720">
        <f t="shared" si="33"/>
        <v>7152.13</v>
      </c>
      <c r="E720">
        <f t="shared" si="34"/>
        <v>4.3537502288818359</v>
      </c>
      <c r="F720">
        <f t="shared" si="35"/>
        <v>860.80160000000001</v>
      </c>
      <c r="G720" s="42"/>
      <c r="H720" s="41">
        <v>45645</v>
      </c>
      <c r="I720" s="42">
        <v>7152.13</v>
      </c>
      <c r="J720" s="41">
        <v>45645</v>
      </c>
      <c r="K720" s="42">
        <v>4.3537502288818359</v>
      </c>
      <c r="L720" s="41">
        <v>45645</v>
      </c>
      <c r="M720" s="42">
        <v>860.80160000000001</v>
      </c>
    </row>
    <row r="721" spans="1:13">
      <c r="A721" s="41">
        <v>45646</v>
      </c>
      <c r="B721" s="42">
        <v>19720.7</v>
      </c>
      <c r="C721" s="42">
        <v>178460145500</v>
      </c>
      <c r="D721">
        <f t="shared" si="33"/>
        <v>7143.88</v>
      </c>
      <c r="E721">
        <f t="shared" si="34"/>
        <v>4.352139949798584</v>
      </c>
      <c r="F721">
        <f t="shared" si="35"/>
        <v>864.8922</v>
      </c>
      <c r="G721" s="42"/>
      <c r="H721" s="41">
        <v>45646</v>
      </c>
      <c r="I721" s="42">
        <v>7143.88</v>
      </c>
      <c r="J721" s="41">
        <v>45646</v>
      </c>
      <c r="K721" s="42">
        <v>4.352139949798584</v>
      </c>
      <c r="L721" s="41">
        <v>45646</v>
      </c>
      <c r="M721" s="42">
        <v>864.8922</v>
      </c>
    </row>
    <row r="722" spans="1:13">
      <c r="A722" s="41">
        <v>45649</v>
      </c>
      <c r="B722" s="42">
        <v>19883.13</v>
      </c>
      <c r="C722" s="42">
        <v>127305531400</v>
      </c>
      <c r="D722">
        <f t="shared" si="33"/>
        <v>7213.85</v>
      </c>
      <c r="E722">
        <f t="shared" si="34"/>
        <v>4.352139949798584</v>
      </c>
      <c r="F722">
        <f t="shared" si="35"/>
        <v>845.22670000000005</v>
      </c>
      <c r="G722" s="42"/>
      <c r="H722" s="41">
        <v>45649</v>
      </c>
      <c r="I722" s="42">
        <v>7213.85</v>
      </c>
      <c r="J722" s="41">
        <v>45649</v>
      </c>
      <c r="K722" s="42">
        <v>4.352139949798584</v>
      </c>
      <c r="L722" s="41">
        <v>45649</v>
      </c>
      <c r="M722" s="42">
        <v>845.22670000000005</v>
      </c>
    </row>
    <row r="723" spans="1:13">
      <c r="A723" s="41">
        <v>45650</v>
      </c>
      <c r="B723" s="42">
        <v>20098.29</v>
      </c>
      <c r="C723" s="42">
        <v>84590491600</v>
      </c>
      <c r="D723">
        <f t="shared" si="33"/>
        <v>7303.92</v>
      </c>
      <c r="E723">
        <f t="shared" si="34"/>
        <v>4.3530402183532715</v>
      </c>
      <c r="F723">
        <f t="shared" si="35"/>
        <v>851.13679999999999</v>
      </c>
      <c r="G723" s="42"/>
      <c r="H723" s="41">
        <v>45650</v>
      </c>
      <c r="I723" s="42">
        <v>7303.92</v>
      </c>
      <c r="J723" s="41">
        <v>45650</v>
      </c>
      <c r="K723" s="42">
        <v>4.3530402183532715</v>
      </c>
      <c r="L723" s="41">
        <v>45650</v>
      </c>
      <c r="M723" s="42">
        <v>851.13679999999999</v>
      </c>
    </row>
    <row r="724" spans="1:13">
      <c r="A724" s="41">
        <v>45651</v>
      </c>
      <c r="B724" s="42">
        <v>20098.29</v>
      </c>
      <c r="C724" s="42"/>
      <c r="D724">
        <f t="shared" si="33"/>
        <v>7303.92</v>
      </c>
      <c r="E724">
        <f t="shared" si="34"/>
        <v>0</v>
      </c>
      <c r="F724">
        <f t="shared" si="35"/>
        <v>842.08299999999997</v>
      </c>
      <c r="G724" s="42"/>
      <c r="H724" s="41">
        <v>45651</v>
      </c>
      <c r="I724" s="42">
        <v>7303.92</v>
      </c>
      <c r="J724" s="41">
        <v>45651</v>
      </c>
      <c r="K724" s="42"/>
      <c r="L724" s="41">
        <v>45651</v>
      </c>
      <c r="M724" s="42">
        <v>842.08299999999997</v>
      </c>
    </row>
    <row r="725" spans="1:13">
      <c r="A725" s="41">
        <v>45652</v>
      </c>
      <c r="B725" s="42">
        <v>20098.29</v>
      </c>
      <c r="C725" s="42"/>
      <c r="D725">
        <f t="shared" si="33"/>
        <v>7303.92</v>
      </c>
      <c r="E725">
        <f t="shared" si="34"/>
        <v>0</v>
      </c>
      <c r="F725">
        <f t="shared" si="35"/>
        <v>838.93880000000001</v>
      </c>
      <c r="G725" s="42"/>
      <c r="H725" s="41">
        <v>45652</v>
      </c>
      <c r="I725" s="42">
        <v>7303.92</v>
      </c>
      <c r="J725" s="41">
        <v>45652</v>
      </c>
      <c r="K725" s="42"/>
      <c r="L725" s="41">
        <v>45652</v>
      </c>
      <c r="M725" s="42">
        <v>838.93880000000001</v>
      </c>
    </row>
    <row r="726" spans="1:13">
      <c r="A726" s="41">
        <v>45653</v>
      </c>
      <c r="B726" s="42">
        <v>20090.46</v>
      </c>
      <c r="C726" s="42">
        <v>139518529900</v>
      </c>
      <c r="D726">
        <f t="shared" si="33"/>
        <v>7305.36</v>
      </c>
      <c r="E726">
        <f t="shared" si="34"/>
        <v>4.3528599739074707</v>
      </c>
      <c r="F726">
        <f t="shared" si="35"/>
        <v>867.32910000000004</v>
      </c>
      <c r="G726" s="42"/>
      <c r="H726" s="41">
        <v>45653</v>
      </c>
      <c r="I726" s="42">
        <v>7305.36</v>
      </c>
      <c r="J726" s="41">
        <v>45653</v>
      </c>
      <c r="K726" s="42">
        <v>4.3528599739074707</v>
      </c>
      <c r="L726" s="41">
        <v>45653</v>
      </c>
      <c r="M726" s="42">
        <v>867.32910000000004</v>
      </c>
    </row>
    <row r="727" spans="1:13">
      <c r="A727" s="41">
        <v>45656</v>
      </c>
      <c r="B727" s="42">
        <v>20041.419999999998</v>
      </c>
      <c r="C727" s="42">
        <v>128560050700</v>
      </c>
      <c r="D727">
        <f t="shared" si="33"/>
        <v>7280.48</v>
      </c>
      <c r="E727">
        <f t="shared" si="34"/>
        <v>4.3708300590515137</v>
      </c>
      <c r="F727">
        <f t="shared" si="35"/>
        <v>853.91340000000002</v>
      </c>
      <c r="G727" s="42"/>
      <c r="H727" s="41">
        <v>45656</v>
      </c>
      <c r="I727" s="42">
        <v>7280.48</v>
      </c>
      <c r="J727" s="41">
        <v>45656</v>
      </c>
      <c r="K727" s="42">
        <v>4.3708300590515137</v>
      </c>
      <c r="L727" s="41">
        <v>45656</v>
      </c>
      <c r="M727" s="42">
        <v>853.91340000000002</v>
      </c>
    </row>
    <row r="728" spans="1:13">
      <c r="A728" s="41">
        <v>45657</v>
      </c>
      <c r="B728" s="42">
        <v>20059.95</v>
      </c>
      <c r="C728" s="42">
        <v>74521121400</v>
      </c>
      <c r="D728">
        <f t="shared" si="33"/>
        <v>7289.89</v>
      </c>
      <c r="E728">
        <f t="shared" si="34"/>
        <v>4.3708300590515137</v>
      </c>
      <c r="F728">
        <f t="shared" si="35"/>
        <v>832.97799999999995</v>
      </c>
      <c r="G728" s="42"/>
      <c r="H728" s="41">
        <v>45657</v>
      </c>
      <c r="I728" s="42">
        <v>7289.89</v>
      </c>
      <c r="J728" s="41">
        <v>45657</v>
      </c>
      <c r="K728" s="42">
        <v>4.3708300590515137</v>
      </c>
      <c r="L728" s="41">
        <v>45657</v>
      </c>
      <c r="M728" s="42">
        <v>832.97799999999995</v>
      </c>
    </row>
    <row r="729" spans="1:13">
      <c r="A729" s="41">
        <v>45659</v>
      </c>
      <c r="B729" s="42">
        <v>19623.32</v>
      </c>
      <c r="C729" s="42">
        <v>164784385300</v>
      </c>
      <c r="D729">
        <f t="shared" si="33"/>
        <v>7090.56</v>
      </c>
      <c r="E729">
        <f t="shared" si="34"/>
        <v>4.2039299011230469</v>
      </c>
      <c r="F729">
        <f t="shared" si="35"/>
        <v>818.96619999999996</v>
      </c>
      <c r="G729" s="42"/>
      <c r="H729" s="41">
        <v>45659</v>
      </c>
      <c r="I729" s="42">
        <v>7090.56</v>
      </c>
      <c r="J729" s="41">
        <v>45659</v>
      </c>
      <c r="K729" s="42">
        <v>4.2039299011230469</v>
      </c>
      <c r="L729" s="41">
        <v>45659</v>
      </c>
      <c r="M729" s="42">
        <v>818.96619999999996</v>
      </c>
    </row>
    <row r="730" spans="1:13">
      <c r="A730" s="41">
        <v>45660</v>
      </c>
      <c r="B730" s="42">
        <v>19760.27</v>
      </c>
      <c r="C730" s="42">
        <v>160353594400</v>
      </c>
      <c r="D730">
        <f t="shared" si="33"/>
        <v>7159.28</v>
      </c>
      <c r="E730">
        <f t="shared" si="34"/>
        <v>4.1611900329589844</v>
      </c>
      <c r="F730">
        <f t="shared" si="35"/>
        <v>788.20989999999995</v>
      </c>
      <c r="G730" s="42"/>
      <c r="H730" s="41">
        <v>45660</v>
      </c>
      <c r="I730" s="42">
        <v>7159.28</v>
      </c>
      <c r="J730" s="41">
        <v>45660</v>
      </c>
      <c r="K730" s="42">
        <v>4.1611900329589844</v>
      </c>
      <c r="L730" s="41">
        <v>45660</v>
      </c>
      <c r="M730" s="42">
        <v>788.20989999999995</v>
      </c>
    </row>
    <row r="731" spans="1:13">
      <c r="A731" s="41">
        <v>45663</v>
      </c>
      <c r="B731" s="42">
        <v>19688.29</v>
      </c>
      <c r="C731" s="42">
        <v>121635244500</v>
      </c>
      <c r="D731">
        <f t="shared" si="33"/>
        <v>7135.48</v>
      </c>
      <c r="E731">
        <f t="shared" si="34"/>
        <v>4.1265501976013184</v>
      </c>
      <c r="F731">
        <f t="shared" si="35"/>
        <v>787.01030000000003</v>
      </c>
      <c r="G731" s="42"/>
      <c r="H731" s="41">
        <v>45663</v>
      </c>
      <c r="I731" s="42">
        <v>7135.48</v>
      </c>
      <c r="J731" s="41">
        <v>45663</v>
      </c>
      <c r="K731" s="42">
        <v>4.1265501976013184</v>
      </c>
      <c r="L731" s="41">
        <v>45663</v>
      </c>
      <c r="M731" s="42">
        <v>787.01030000000003</v>
      </c>
    </row>
    <row r="732" spans="1:13">
      <c r="A732" s="41">
        <v>45664</v>
      </c>
      <c r="B732" s="42">
        <v>19447.580000000002</v>
      </c>
      <c r="C732" s="42">
        <v>205717696800</v>
      </c>
      <c r="D732">
        <f t="shared" si="33"/>
        <v>7049.71</v>
      </c>
      <c r="E732">
        <f t="shared" si="34"/>
        <v>4.1445198059082031</v>
      </c>
      <c r="F732">
        <f t="shared" si="35"/>
        <v>793.32330000000002</v>
      </c>
      <c r="G732" s="42"/>
      <c r="H732" s="41">
        <v>45664</v>
      </c>
      <c r="I732" s="42">
        <v>7049.71</v>
      </c>
      <c r="J732" s="41">
        <v>45664</v>
      </c>
      <c r="K732" s="42">
        <v>4.1445198059082031</v>
      </c>
      <c r="L732" s="41">
        <v>45664</v>
      </c>
      <c r="M732" s="42">
        <v>793.32330000000002</v>
      </c>
    </row>
    <row r="733" spans="1:13">
      <c r="A733" s="41">
        <v>45665</v>
      </c>
      <c r="B733" s="42">
        <v>19279.84</v>
      </c>
      <c r="C733" s="42">
        <v>168397054100</v>
      </c>
      <c r="D733">
        <f t="shared" si="33"/>
        <v>6990.65</v>
      </c>
      <c r="E733">
        <f t="shared" si="34"/>
        <v>4.1438097953796387</v>
      </c>
      <c r="F733">
        <f t="shared" si="35"/>
        <v>782.34069999999997</v>
      </c>
      <c r="G733" s="42"/>
      <c r="H733" s="41">
        <v>45665</v>
      </c>
      <c r="I733" s="42">
        <v>6990.65</v>
      </c>
      <c r="J733" s="41">
        <v>45665</v>
      </c>
      <c r="K733" s="42">
        <v>4.1438097953796387</v>
      </c>
      <c r="L733" s="41">
        <v>45665</v>
      </c>
      <c r="M733" s="42">
        <v>782.34069999999997</v>
      </c>
    </row>
    <row r="734" spans="1:13">
      <c r="A734" s="41">
        <v>45666</v>
      </c>
      <c r="B734" s="42">
        <v>19240.89</v>
      </c>
      <c r="C734" s="42">
        <v>129068770700</v>
      </c>
      <c r="D734">
        <f t="shared" si="33"/>
        <v>6978.97</v>
      </c>
      <c r="E734">
        <f t="shared" si="34"/>
        <v>4.1260099411010742</v>
      </c>
      <c r="F734">
        <f t="shared" si="35"/>
        <v>778.76990000000001</v>
      </c>
      <c r="G734" s="42"/>
      <c r="H734" s="41">
        <v>45666</v>
      </c>
      <c r="I734" s="42">
        <v>6978.97</v>
      </c>
      <c r="J734" s="41">
        <v>45666</v>
      </c>
      <c r="K734" s="42">
        <v>4.1260099411010742</v>
      </c>
      <c r="L734" s="41">
        <v>45666</v>
      </c>
      <c r="M734" s="42">
        <v>778.76990000000001</v>
      </c>
    </row>
    <row r="735" spans="1:13">
      <c r="A735" s="41">
        <v>45667</v>
      </c>
      <c r="B735" s="42">
        <v>19064.29</v>
      </c>
      <c r="C735" s="42">
        <v>144698348400</v>
      </c>
      <c r="D735">
        <f t="shared" si="33"/>
        <v>6898.15</v>
      </c>
      <c r="E735">
        <f t="shared" si="34"/>
        <v>4.1003599166870117</v>
      </c>
      <c r="F735">
        <f t="shared" si="35"/>
        <v>758.68550000000005</v>
      </c>
      <c r="G735" s="42"/>
      <c r="H735" s="41">
        <v>45667</v>
      </c>
      <c r="I735" s="42">
        <v>6898.15</v>
      </c>
      <c r="J735" s="41">
        <v>45667</v>
      </c>
      <c r="K735" s="42">
        <v>4.1003599166870117</v>
      </c>
      <c r="L735" s="41">
        <v>45667</v>
      </c>
      <c r="M735" s="42">
        <v>758.68550000000005</v>
      </c>
    </row>
    <row r="736" spans="1:13">
      <c r="A736" s="41">
        <v>45670</v>
      </c>
      <c r="B736" s="42">
        <v>18874.14</v>
      </c>
      <c r="C736" s="42">
        <v>134046668200</v>
      </c>
      <c r="D736">
        <f t="shared" si="33"/>
        <v>6843.71</v>
      </c>
      <c r="E736">
        <f t="shared" si="34"/>
        <v>4.0540499687194824</v>
      </c>
      <c r="F736">
        <f t="shared" si="35"/>
        <v>765.39340000000004</v>
      </c>
      <c r="G736" s="42"/>
      <c r="H736" s="41">
        <v>45670</v>
      </c>
      <c r="I736" s="42">
        <v>6843.71</v>
      </c>
      <c r="J736" s="41">
        <v>45670</v>
      </c>
      <c r="K736" s="42">
        <v>4.0540499687194824</v>
      </c>
      <c r="L736" s="41">
        <v>45670</v>
      </c>
      <c r="M736" s="42">
        <v>765.39340000000004</v>
      </c>
    </row>
    <row r="737" spans="1:13">
      <c r="A737" s="41">
        <v>45671</v>
      </c>
      <c r="B737" s="42">
        <v>19219.78</v>
      </c>
      <c r="C737" s="42">
        <v>157687048300</v>
      </c>
      <c r="D737">
        <f t="shared" si="33"/>
        <v>6987.36</v>
      </c>
      <c r="E737">
        <f t="shared" si="34"/>
        <v>4.0035099983215332</v>
      </c>
      <c r="F737">
        <f t="shared" si="35"/>
        <v>785.42359999999996</v>
      </c>
      <c r="G737" s="42"/>
      <c r="H737" s="41">
        <v>45671</v>
      </c>
      <c r="I737" s="42">
        <v>6987.36</v>
      </c>
      <c r="J737" s="41">
        <v>45671</v>
      </c>
      <c r="K737" s="42">
        <v>4.0035099983215332</v>
      </c>
      <c r="L737" s="41">
        <v>45671</v>
      </c>
      <c r="M737" s="42">
        <v>785.42359999999996</v>
      </c>
    </row>
    <row r="738" spans="1:13">
      <c r="A738" s="41">
        <v>45672</v>
      </c>
      <c r="B738" s="42">
        <v>19286.07</v>
      </c>
      <c r="C738" s="42">
        <v>128526249700</v>
      </c>
      <c r="D738">
        <f t="shared" si="33"/>
        <v>7011.6</v>
      </c>
      <c r="E738">
        <f t="shared" si="34"/>
        <v>3.9348199367523193</v>
      </c>
      <c r="F738">
        <f t="shared" si="35"/>
        <v>783.59190000000001</v>
      </c>
      <c r="G738" s="42"/>
      <c r="H738" s="41">
        <v>45672</v>
      </c>
      <c r="I738" s="42">
        <v>7011.6</v>
      </c>
      <c r="J738" s="41">
        <v>45672</v>
      </c>
      <c r="K738" s="42">
        <v>3.9348199367523193</v>
      </c>
      <c r="L738" s="41">
        <v>45672</v>
      </c>
      <c r="M738" s="42">
        <v>783.59190000000001</v>
      </c>
    </row>
    <row r="739" spans="1:13">
      <c r="A739" s="41">
        <v>45673</v>
      </c>
      <c r="B739" s="42">
        <v>19522.89</v>
      </c>
      <c r="C739" s="42">
        <v>142307175100</v>
      </c>
      <c r="D739">
        <f t="shared" si="33"/>
        <v>7098.76</v>
      </c>
      <c r="E739">
        <f t="shared" si="34"/>
        <v>3.9000000953674316</v>
      </c>
      <c r="F739">
        <f t="shared" si="35"/>
        <v>785.27909999999997</v>
      </c>
      <c r="G739" s="42"/>
      <c r="H739" s="41">
        <v>45673</v>
      </c>
      <c r="I739" s="42">
        <v>7098.76</v>
      </c>
      <c r="J739" s="41">
        <v>45673</v>
      </c>
      <c r="K739" s="42">
        <v>3.9000000953674316</v>
      </c>
      <c r="L739" s="41">
        <v>45673</v>
      </c>
      <c r="M739" s="42">
        <v>785.27909999999997</v>
      </c>
    </row>
    <row r="740" spans="1:13">
      <c r="A740" s="41">
        <v>45674</v>
      </c>
      <c r="B740" s="42">
        <v>19584.060000000001</v>
      </c>
      <c r="C740" s="42">
        <v>122271550600</v>
      </c>
      <c r="D740">
        <f t="shared" si="33"/>
        <v>7108.81</v>
      </c>
      <c r="E740">
        <f t="shared" si="34"/>
        <v>3.9000000953674316</v>
      </c>
      <c r="F740">
        <f t="shared" si="35"/>
        <v>793.89</v>
      </c>
      <c r="G740" s="42"/>
      <c r="H740" s="41">
        <v>45674</v>
      </c>
      <c r="I740" s="42">
        <v>7108.81</v>
      </c>
      <c r="J740" s="41">
        <v>45674</v>
      </c>
      <c r="K740" s="42">
        <v>3.9000000953674316</v>
      </c>
      <c r="L740" s="41">
        <v>45674</v>
      </c>
      <c r="M740" s="42">
        <v>793.89</v>
      </c>
    </row>
    <row r="741" spans="1:13">
      <c r="A741" s="41">
        <v>45677</v>
      </c>
      <c r="B741" s="42">
        <v>19925.810000000001</v>
      </c>
      <c r="C741" s="42">
        <v>161375825700</v>
      </c>
      <c r="D741">
        <f t="shared" si="33"/>
        <v>7235.71</v>
      </c>
      <c r="E741">
        <f t="shared" si="34"/>
        <v>3.9000000953674316</v>
      </c>
      <c r="F741">
        <f t="shared" si="35"/>
        <v>798.02210000000002</v>
      </c>
      <c r="G741" s="42"/>
      <c r="H741" s="41">
        <v>45677</v>
      </c>
      <c r="I741" s="42">
        <v>7235.71</v>
      </c>
      <c r="J741" s="41">
        <v>45677</v>
      </c>
      <c r="K741" s="42">
        <v>3.9000000953674316</v>
      </c>
      <c r="L741" s="41">
        <v>45677</v>
      </c>
      <c r="M741" s="42">
        <v>798.02210000000002</v>
      </c>
    </row>
    <row r="742" spans="1:13">
      <c r="A742" s="41">
        <v>45678</v>
      </c>
      <c r="B742" s="42">
        <v>20106.55</v>
      </c>
      <c r="C742" s="42">
        <v>147984651700</v>
      </c>
      <c r="D742">
        <f t="shared" si="33"/>
        <v>7320.88</v>
      </c>
      <c r="E742">
        <f t="shared" si="34"/>
        <v>3.9000000953674316</v>
      </c>
      <c r="F742">
        <f t="shared" si="35"/>
        <v>793.38490000000002</v>
      </c>
      <c r="G742" s="42"/>
      <c r="H742" s="41">
        <v>45678</v>
      </c>
      <c r="I742" s="42">
        <v>7320.88</v>
      </c>
      <c r="J742" s="41">
        <v>45678</v>
      </c>
      <c r="K742" s="42">
        <v>3.9000000953674316</v>
      </c>
      <c r="L742" s="41">
        <v>45678</v>
      </c>
      <c r="M742" s="42">
        <v>793.38490000000002</v>
      </c>
    </row>
    <row r="743" spans="1:13">
      <c r="A743" s="41">
        <v>45679</v>
      </c>
      <c r="B743" s="42">
        <v>19778.77</v>
      </c>
      <c r="C743" s="42">
        <v>135317226300.00002</v>
      </c>
      <c r="D743">
        <f t="shared" si="33"/>
        <v>7177.14</v>
      </c>
      <c r="E743">
        <f t="shared" si="34"/>
        <v>3.8831501007080078</v>
      </c>
      <c r="F743">
        <f t="shared" si="35"/>
        <v>786.39059999999995</v>
      </c>
      <c r="G743" s="42"/>
      <c r="H743" s="41">
        <v>45679</v>
      </c>
      <c r="I743" s="42">
        <v>7177.14</v>
      </c>
      <c r="J743" s="41">
        <v>45679</v>
      </c>
      <c r="K743" s="42">
        <v>3.8831501007080078</v>
      </c>
      <c r="L743" s="41">
        <v>45679</v>
      </c>
      <c r="M743" s="42">
        <v>786.39059999999995</v>
      </c>
    </row>
    <row r="744" spans="1:13">
      <c r="A744" s="41">
        <v>45680</v>
      </c>
      <c r="B744" s="42">
        <v>19700.560000000001</v>
      </c>
      <c r="C744" s="42">
        <v>148514913100</v>
      </c>
      <c r="D744">
        <f t="shared" si="33"/>
        <v>7164.22</v>
      </c>
      <c r="E744">
        <f t="shared" si="34"/>
        <v>3.8663699626922607</v>
      </c>
      <c r="F744">
        <f t="shared" si="35"/>
        <v>787.54589999999996</v>
      </c>
      <c r="G744" s="42"/>
      <c r="H744" s="41">
        <v>45680</v>
      </c>
      <c r="I744" s="42">
        <v>7164.22</v>
      </c>
      <c r="J744" s="41">
        <v>45680</v>
      </c>
      <c r="K744" s="42">
        <v>3.8663699626922607</v>
      </c>
      <c r="L744" s="41">
        <v>45680</v>
      </c>
      <c r="M744" s="42">
        <v>787.54589999999996</v>
      </c>
    </row>
    <row r="745" spans="1:13">
      <c r="A745" s="41">
        <v>45681</v>
      </c>
      <c r="B745" s="42">
        <v>20066.189999999999</v>
      </c>
      <c r="C745" s="42">
        <v>159808302000</v>
      </c>
      <c r="D745">
        <f t="shared" si="33"/>
        <v>7312.16</v>
      </c>
      <c r="E745">
        <f t="shared" si="34"/>
        <v>3.8339900970458984</v>
      </c>
      <c r="F745">
        <f t="shared" si="35"/>
        <v>784.59760000000006</v>
      </c>
      <c r="G745" s="42"/>
      <c r="H745" s="41">
        <v>45681</v>
      </c>
      <c r="I745" s="42">
        <v>7312.16</v>
      </c>
      <c r="J745" s="41">
        <v>45681</v>
      </c>
      <c r="K745" s="42">
        <v>3.8339900970458984</v>
      </c>
      <c r="L745" s="41">
        <v>45681</v>
      </c>
      <c r="M745" s="42">
        <v>784.59760000000006</v>
      </c>
    </row>
    <row r="746" spans="1:13">
      <c r="A746" s="41">
        <v>45684</v>
      </c>
      <c r="B746" s="42">
        <v>20197.77</v>
      </c>
      <c r="C746" s="42">
        <v>147331519900</v>
      </c>
      <c r="D746">
        <f t="shared" si="33"/>
        <v>7382.81</v>
      </c>
      <c r="E746">
        <f t="shared" si="34"/>
        <v>3.8314900398254395</v>
      </c>
      <c r="F746">
        <f t="shared" si="35"/>
        <v>797.14570000000003</v>
      </c>
      <c r="G746" s="42"/>
      <c r="H746" s="41">
        <v>45684</v>
      </c>
      <c r="I746" s="42">
        <v>7382.81</v>
      </c>
      <c r="J746" s="41">
        <v>45684</v>
      </c>
      <c r="K746" s="42">
        <v>3.8314900398254395</v>
      </c>
      <c r="L746" s="41">
        <v>45684</v>
      </c>
      <c r="M746" s="42">
        <v>797.14570000000003</v>
      </c>
    </row>
    <row r="747" spans="1:13">
      <c r="A747" s="41">
        <v>45693</v>
      </c>
      <c r="B747" s="42">
        <v>20597.09</v>
      </c>
      <c r="C747" s="42">
        <v>192210824000</v>
      </c>
      <c r="D747">
        <f t="shared" si="33"/>
        <v>7566.27</v>
      </c>
      <c r="E747">
        <f t="shared" si="34"/>
        <v>3.798569917678833</v>
      </c>
      <c r="F747">
        <f t="shared" si="35"/>
        <v>793.23850000000004</v>
      </c>
      <c r="G747" s="42"/>
      <c r="H747" s="41">
        <v>45693</v>
      </c>
      <c r="I747" s="42">
        <v>7566.27</v>
      </c>
      <c r="J747" s="41">
        <v>45693</v>
      </c>
      <c r="K747" s="42">
        <v>3.798569917678833</v>
      </c>
      <c r="L747" s="41">
        <v>45693</v>
      </c>
      <c r="M747" s="42">
        <v>793.23850000000004</v>
      </c>
    </row>
    <row r="748" spans="1:13">
      <c r="A748" s="41">
        <v>45694</v>
      </c>
      <c r="B748" s="42">
        <v>20891.62</v>
      </c>
      <c r="C748" s="42">
        <v>178446570700</v>
      </c>
      <c r="D748">
        <f t="shared" si="33"/>
        <v>7690.35</v>
      </c>
      <c r="E748">
        <f t="shared" si="34"/>
        <v>3.8135099411010742</v>
      </c>
      <c r="F748">
        <f t="shared" si="35"/>
        <v>794.15099999999995</v>
      </c>
      <c r="G748" s="42"/>
      <c r="H748" s="41">
        <v>45694</v>
      </c>
      <c r="I748" s="42">
        <v>7690.35</v>
      </c>
      <c r="J748" s="41">
        <v>45694</v>
      </c>
      <c r="K748" s="42">
        <v>3.8135099411010742</v>
      </c>
      <c r="L748" s="41">
        <v>45694</v>
      </c>
      <c r="M748" s="42">
        <v>794.15099999999995</v>
      </c>
    </row>
    <row r="749" spans="1:13">
      <c r="A749" s="41">
        <v>45695</v>
      </c>
      <c r="B749" s="42">
        <v>21133.54</v>
      </c>
      <c r="C749" s="42">
        <v>246372801500</v>
      </c>
      <c r="D749">
        <f t="shared" si="33"/>
        <v>7784.07</v>
      </c>
      <c r="E749">
        <f t="shared" si="34"/>
        <v>3.83024001121521</v>
      </c>
      <c r="F749">
        <f t="shared" si="35"/>
        <v>799.71799999999996</v>
      </c>
      <c r="G749" s="42"/>
      <c r="H749" s="41">
        <v>45695</v>
      </c>
      <c r="I749" s="42">
        <v>7784.07</v>
      </c>
      <c r="J749" s="41">
        <v>45695</v>
      </c>
      <c r="K749" s="42">
        <v>3.83024001121521</v>
      </c>
      <c r="L749" s="41">
        <v>45695</v>
      </c>
      <c r="M749" s="42">
        <v>799.71799999999996</v>
      </c>
    </row>
    <row r="750" spans="1:13">
      <c r="A750" s="41">
        <v>45698</v>
      </c>
      <c r="B750" s="42">
        <v>21521.98</v>
      </c>
      <c r="C750" s="42">
        <v>242493022200</v>
      </c>
      <c r="D750">
        <f t="shared" si="33"/>
        <v>7946.81</v>
      </c>
      <c r="E750">
        <f t="shared" si="34"/>
        <v>3.8124399185180664</v>
      </c>
      <c r="F750">
        <f t="shared" si="35"/>
        <v>801.05619999999999</v>
      </c>
      <c r="G750" s="42"/>
      <c r="H750" s="41">
        <v>45698</v>
      </c>
      <c r="I750" s="42">
        <v>7946.81</v>
      </c>
      <c r="J750" s="41">
        <v>45698</v>
      </c>
      <c r="K750" s="42">
        <v>3.8124399185180664</v>
      </c>
      <c r="L750" s="41">
        <v>45698</v>
      </c>
      <c r="M750" s="42">
        <v>801.05619999999999</v>
      </c>
    </row>
    <row r="751" spans="1:13">
      <c r="A751" s="41">
        <v>45699</v>
      </c>
      <c r="B751" s="42">
        <v>21294.86</v>
      </c>
      <c r="C751" s="42">
        <v>219611840200</v>
      </c>
      <c r="D751">
        <f t="shared" si="33"/>
        <v>7842.72</v>
      </c>
      <c r="E751">
        <f t="shared" si="34"/>
        <v>3.8099400997161865</v>
      </c>
      <c r="F751">
        <f t="shared" si="35"/>
        <v>790.85199999999998</v>
      </c>
      <c r="G751" s="42"/>
      <c r="H751" s="41">
        <v>45699</v>
      </c>
      <c r="I751" s="42">
        <v>7842.72</v>
      </c>
      <c r="J751" s="41">
        <v>45699</v>
      </c>
      <c r="K751" s="42">
        <v>3.8099400997161865</v>
      </c>
      <c r="L751" s="41">
        <v>45699</v>
      </c>
      <c r="M751" s="42">
        <v>790.85199999999998</v>
      </c>
    </row>
    <row r="752" spans="1:13">
      <c r="A752" s="41">
        <v>45700</v>
      </c>
      <c r="B752" s="42">
        <v>21857.919999999998</v>
      </c>
      <c r="C752" s="42">
        <v>287162739500</v>
      </c>
      <c r="D752">
        <f t="shared" si="33"/>
        <v>8058.08</v>
      </c>
      <c r="E752">
        <f t="shared" si="34"/>
        <v>3.7838699817657471</v>
      </c>
      <c r="F752">
        <f t="shared" si="35"/>
        <v>790.2577</v>
      </c>
      <c r="G752" s="42"/>
      <c r="H752" s="41">
        <v>45700</v>
      </c>
      <c r="I752" s="42">
        <v>8058.08</v>
      </c>
      <c r="J752" s="41">
        <v>45700</v>
      </c>
      <c r="K752" s="42">
        <v>3.7838699817657471</v>
      </c>
      <c r="L752" s="41">
        <v>45700</v>
      </c>
      <c r="M752" s="42">
        <v>790.2577</v>
      </c>
    </row>
    <row r="753" spans="1:13">
      <c r="A753" s="41">
        <v>45701</v>
      </c>
      <c r="B753" s="42">
        <v>21814.37</v>
      </c>
      <c r="C753" s="42">
        <v>379448359900</v>
      </c>
      <c r="D753">
        <f t="shared" si="33"/>
        <v>8002.63</v>
      </c>
      <c r="E753">
        <f t="shared" si="34"/>
        <v>3.7763099670410156</v>
      </c>
      <c r="F753">
        <f t="shared" si="35"/>
        <v>810.49090000000001</v>
      </c>
      <c r="G753" s="42"/>
      <c r="H753" s="41">
        <v>45701</v>
      </c>
      <c r="I753" s="42">
        <v>8002.63</v>
      </c>
      <c r="J753" s="41">
        <v>45701</v>
      </c>
      <c r="K753" s="42">
        <v>3.7763099670410156</v>
      </c>
      <c r="L753" s="41">
        <v>45701</v>
      </c>
      <c r="M753" s="42">
        <v>810.49090000000001</v>
      </c>
    </row>
    <row r="754" spans="1:13">
      <c r="A754" s="41">
        <v>45702</v>
      </c>
      <c r="B754" s="42">
        <v>22620.33</v>
      </c>
      <c r="C754" s="42">
        <v>364600824800</v>
      </c>
      <c r="D754">
        <f t="shared" si="33"/>
        <v>8331.4</v>
      </c>
      <c r="E754">
        <f t="shared" si="34"/>
        <v>3.7910099029541016</v>
      </c>
      <c r="F754">
        <f t="shared" si="35"/>
        <v>807.2482</v>
      </c>
      <c r="G754" s="42"/>
      <c r="H754" s="41">
        <v>45702</v>
      </c>
      <c r="I754" s="42">
        <v>8331.4</v>
      </c>
      <c r="J754" s="41">
        <v>45702</v>
      </c>
      <c r="K754" s="42">
        <v>3.7910099029541016</v>
      </c>
      <c r="L754" s="41">
        <v>45702</v>
      </c>
      <c r="M754" s="42">
        <v>807.2482</v>
      </c>
    </row>
    <row r="755" spans="1:13">
      <c r="A755" s="41">
        <v>45705</v>
      </c>
      <c r="B755" s="42">
        <v>22616.23</v>
      </c>
      <c r="C755" s="42">
        <v>400236814500</v>
      </c>
      <c r="D755">
        <f t="shared" si="33"/>
        <v>8323.67</v>
      </c>
      <c r="E755">
        <f t="shared" si="34"/>
        <v>3.909290075302124</v>
      </c>
      <c r="F755">
        <f t="shared" si="35"/>
        <v>799.8066</v>
      </c>
      <c r="G755" s="42"/>
      <c r="H755" s="41">
        <v>45705</v>
      </c>
      <c r="I755" s="42">
        <v>8323.67</v>
      </c>
      <c r="J755" s="41">
        <v>45705</v>
      </c>
      <c r="K755" s="42">
        <v>3.909290075302124</v>
      </c>
      <c r="L755" s="41">
        <v>45705</v>
      </c>
      <c r="M755" s="42">
        <v>799.8066</v>
      </c>
    </row>
    <row r="756" spans="1:13">
      <c r="A756" s="41">
        <v>45706</v>
      </c>
      <c r="B756" s="42">
        <v>22976.81</v>
      </c>
      <c r="C756" s="42">
        <v>338625559600</v>
      </c>
      <c r="D756">
        <f t="shared" si="33"/>
        <v>8475.4</v>
      </c>
      <c r="E756">
        <f t="shared" si="34"/>
        <v>3.9576199054718018</v>
      </c>
      <c r="F756">
        <f t="shared" si="35"/>
        <v>787.72550000000001</v>
      </c>
      <c r="G756" s="42"/>
      <c r="H756" s="41">
        <v>45706</v>
      </c>
      <c r="I756" s="42">
        <v>8475.4</v>
      </c>
      <c r="J756" s="41">
        <v>45706</v>
      </c>
      <c r="K756" s="42">
        <v>3.9576199054718018</v>
      </c>
      <c r="L756" s="41">
        <v>45706</v>
      </c>
      <c r="M756" s="42">
        <v>787.72550000000001</v>
      </c>
    </row>
    <row r="757" spans="1:13">
      <c r="A757" s="41">
        <v>45707</v>
      </c>
      <c r="B757" s="42">
        <v>22944.240000000002</v>
      </c>
      <c r="C757" s="42">
        <v>262566535000</v>
      </c>
      <c r="D757">
        <f t="shared" si="33"/>
        <v>8463.1</v>
      </c>
      <c r="E757">
        <f t="shared" si="34"/>
        <v>4.0258297920227051</v>
      </c>
      <c r="F757">
        <f t="shared" si="35"/>
        <v>796.67380000000003</v>
      </c>
      <c r="G757" s="42"/>
      <c r="H757" s="41">
        <v>45707</v>
      </c>
      <c r="I757" s="42">
        <v>8463.1</v>
      </c>
      <c r="J757" s="41">
        <v>45707</v>
      </c>
      <c r="K757" s="42">
        <v>4.0258297920227051</v>
      </c>
      <c r="L757" s="41">
        <v>45707</v>
      </c>
      <c r="M757" s="42">
        <v>796.67380000000003</v>
      </c>
    </row>
    <row r="758" spans="1:13">
      <c r="A758" s="41">
        <v>45708</v>
      </c>
      <c r="B758" s="42">
        <v>22576.98</v>
      </c>
      <c r="C758" s="42">
        <v>283942943200</v>
      </c>
      <c r="D758">
        <f t="shared" si="33"/>
        <v>8322.56</v>
      </c>
      <c r="E758">
        <f t="shared" si="34"/>
        <v>4</v>
      </c>
      <c r="F758">
        <f t="shared" si="35"/>
        <v>790.149</v>
      </c>
      <c r="G758" s="42"/>
      <c r="H758" s="41">
        <v>45708</v>
      </c>
      <c r="I758" s="42">
        <v>8322.56</v>
      </c>
      <c r="J758" s="41">
        <v>45708</v>
      </c>
      <c r="K758" s="42">
        <v>4</v>
      </c>
      <c r="L758" s="41">
        <v>45708</v>
      </c>
      <c r="M758" s="42">
        <v>790.149</v>
      </c>
    </row>
    <row r="759" spans="1:13">
      <c r="A759" s="41">
        <v>45709</v>
      </c>
      <c r="B759" s="42">
        <v>23477.919999999998</v>
      </c>
      <c r="C759" s="42">
        <v>393597904200</v>
      </c>
      <c r="D759">
        <f t="shared" si="33"/>
        <v>8666.7199999999993</v>
      </c>
      <c r="E759">
        <f t="shared" si="34"/>
        <v>4.0619602203369141</v>
      </c>
      <c r="F759">
        <f t="shared" si="35"/>
        <v>788.69050000000004</v>
      </c>
      <c r="G759" s="42"/>
      <c r="H759" s="41">
        <v>45709</v>
      </c>
      <c r="I759" s="42">
        <v>8666.7199999999993</v>
      </c>
      <c r="J759" s="41">
        <v>45709</v>
      </c>
      <c r="K759" s="42">
        <v>4.0619602203369141</v>
      </c>
      <c r="L759" s="41">
        <v>45709</v>
      </c>
      <c r="M759" s="42">
        <v>788.69050000000004</v>
      </c>
    </row>
    <row r="760" spans="1:13">
      <c r="A760" s="41">
        <v>45712</v>
      </c>
      <c r="B760" s="42">
        <v>23341.61</v>
      </c>
      <c r="C760" s="42">
        <v>356031414700</v>
      </c>
      <c r="D760">
        <f t="shared" si="33"/>
        <v>8618.8799999999992</v>
      </c>
      <c r="E760">
        <f t="shared" si="34"/>
        <v>4.0594601631164551</v>
      </c>
      <c r="F760">
        <f t="shared" si="35"/>
        <v>800.41139999999996</v>
      </c>
      <c r="G760" s="42"/>
      <c r="H760" s="41">
        <v>45712</v>
      </c>
      <c r="I760" s="42">
        <v>8618.8799999999992</v>
      </c>
      <c r="J760" s="41">
        <v>45712</v>
      </c>
      <c r="K760" s="42">
        <v>4.0594601631164551</v>
      </c>
      <c r="L760" s="41">
        <v>45712</v>
      </c>
      <c r="M760" s="42">
        <v>800.41139999999996</v>
      </c>
    </row>
    <row r="761" spans="1:13">
      <c r="A761" s="41">
        <v>45713</v>
      </c>
      <c r="B761" s="42">
        <v>23034.02</v>
      </c>
      <c r="C761" s="42">
        <v>329551840900</v>
      </c>
      <c r="D761">
        <f t="shared" si="33"/>
        <v>8499.19</v>
      </c>
      <c r="E761">
        <f t="shared" si="34"/>
        <v>4.0124998092651367</v>
      </c>
      <c r="F761">
        <f t="shared" si="35"/>
        <v>791.8682</v>
      </c>
      <c r="G761" s="42"/>
      <c r="H761" s="41">
        <v>45713</v>
      </c>
      <c r="I761" s="42">
        <v>8499.19</v>
      </c>
      <c r="J761" s="41">
        <v>45713</v>
      </c>
      <c r="K761" s="42">
        <v>4.0124998092651367</v>
      </c>
      <c r="L761" s="41">
        <v>45713</v>
      </c>
      <c r="M761" s="42">
        <v>791.8682</v>
      </c>
    </row>
    <row r="762" spans="1:13">
      <c r="A762" s="41">
        <v>45714</v>
      </c>
      <c r="B762" s="42">
        <v>23787.93</v>
      </c>
      <c r="C762" s="42">
        <v>370130762400</v>
      </c>
      <c r="D762">
        <f t="shared" si="33"/>
        <v>8792.89</v>
      </c>
      <c r="E762">
        <f t="shared" si="34"/>
        <v>4.0419001579284668</v>
      </c>
      <c r="F762">
        <f t="shared" si="35"/>
        <v>805.79560000000004</v>
      </c>
      <c r="G762" s="42"/>
      <c r="H762" s="41">
        <v>45714</v>
      </c>
      <c r="I762" s="42">
        <v>8792.89</v>
      </c>
      <c r="J762" s="41">
        <v>45714</v>
      </c>
      <c r="K762" s="42">
        <v>4.0419001579284668</v>
      </c>
      <c r="L762" s="41">
        <v>45714</v>
      </c>
      <c r="M762" s="42">
        <v>805.79560000000004</v>
      </c>
    </row>
    <row r="763" spans="1:13">
      <c r="A763" s="41">
        <v>45715</v>
      </c>
      <c r="B763" s="42">
        <v>23718.29</v>
      </c>
      <c r="C763" s="42">
        <v>406464973200</v>
      </c>
      <c r="D763">
        <f t="shared" si="33"/>
        <v>8734.58</v>
      </c>
      <c r="E763">
        <f t="shared" si="34"/>
        <v>4.0128002166748047</v>
      </c>
      <c r="F763">
        <f t="shared" si="35"/>
        <v>805.11469999999997</v>
      </c>
      <c r="G763" s="42"/>
      <c r="H763" s="41">
        <v>45715</v>
      </c>
      <c r="I763" s="42">
        <v>8734.58</v>
      </c>
      <c r="J763" s="41">
        <v>45715</v>
      </c>
      <c r="K763" s="42">
        <v>4.0128002166748047</v>
      </c>
      <c r="L763" s="41">
        <v>45715</v>
      </c>
      <c r="M763" s="42">
        <v>805.11469999999997</v>
      </c>
    </row>
    <row r="764" spans="1:13">
      <c r="A764" s="41">
        <v>45716</v>
      </c>
      <c r="B764" s="42">
        <v>22941.32</v>
      </c>
      <c r="C764" s="42">
        <v>406264402200</v>
      </c>
      <c r="D764">
        <f t="shared" si="33"/>
        <v>8417.43</v>
      </c>
      <c r="E764">
        <f t="shared" si="34"/>
        <v>4.0135102272033691</v>
      </c>
      <c r="F764">
        <f t="shared" si="35"/>
        <v>791.30790000000002</v>
      </c>
      <c r="G764" s="42"/>
      <c r="H764" s="41">
        <v>45716</v>
      </c>
      <c r="I764" s="42">
        <v>8417.43</v>
      </c>
      <c r="J764" s="41">
        <v>45716</v>
      </c>
      <c r="K764" s="42">
        <v>4.0135102272033691</v>
      </c>
      <c r="L764" s="41">
        <v>45716</v>
      </c>
      <c r="M764" s="42">
        <v>791.30790000000002</v>
      </c>
    </row>
    <row r="765" spans="1:13">
      <c r="A765" s="41">
        <v>45719</v>
      </c>
      <c r="B765" s="42">
        <v>23006.27</v>
      </c>
      <c r="C765" s="42">
        <v>301897755300</v>
      </c>
      <c r="D765">
        <f t="shared" si="33"/>
        <v>8419.69</v>
      </c>
      <c r="E765">
        <f t="shared" si="34"/>
        <v>3.9744100570678711</v>
      </c>
      <c r="F765">
        <f t="shared" si="35"/>
        <v>796.25229999999999</v>
      </c>
      <c r="G765" s="42"/>
      <c r="H765" s="41">
        <v>45719</v>
      </c>
      <c r="I765" s="42">
        <v>8419.69</v>
      </c>
      <c r="J765" s="41">
        <v>45719</v>
      </c>
      <c r="K765" s="42">
        <v>3.9744100570678711</v>
      </c>
      <c r="L765" s="41">
        <v>45719</v>
      </c>
      <c r="M765" s="42">
        <v>796.25229999999999</v>
      </c>
    </row>
    <row r="766" spans="1:13">
      <c r="A766" s="41">
        <v>45720</v>
      </c>
      <c r="B766" s="42">
        <v>22941.77</v>
      </c>
      <c r="C766" s="42">
        <v>269528048800</v>
      </c>
      <c r="D766">
        <f t="shared" si="33"/>
        <v>8367.4699999999993</v>
      </c>
      <c r="E766">
        <f t="shared" si="34"/>
        <v>3.9860100746154785</v>
      </c>
      <c r="F766">
        <f t="shared" si="35"/>
        <v>811.85569999999996</v>
      </c>
      <c r="G766" s="42"/>
      <c r="H766" s="41">
        <v>45720</v>
      </c>
      <c r="I766" s="42">
        <v>8367.4699999999993</v>
      </c>
      <c r="J766" s="41">
        <v>45720</v>
      </c>
      <c r="K766" s="42">
        <v>3.9860100746154785</v>
      </c>
      <c r="L766" s="41">
        <v>45720</v>
      </c>
      <c r="M766" s="42">
        <v>811.85569999999996</v>
      </c>
    </row>
    <row r="767" spans="1:13">
      <c r="A767" s="41">
        <v>45721</v>
      </c>
      <c r="B767" s="42">
        <v>23594.21</v>
      </c>
      <c r="C767" s="42">
        <v>258689234700</v>
      </c>
      <c r="D767">
        <f t="shared" si="33"/>
        <v>8630.4</v>
      </c>
      <c r="E767">
        <f t="shared" si="34"/>
        <v>3.9838700294494629</v>
      </c>
      <c r="F767">
        <f t="shared" si="35"/>
        <v>801.70540000000005</v>
      </c>
      <c r="G767" s="42"/>
      <c r="H767" s="41">
        <v>45721</v>
      </c>
      <c r="I767" s="42">
        <v>8630.4</v>
      </c>
      <c r="J767" s="41">
        <v>45721</v>
      </c>
      <c r="K767" s="42">
        <v>3.9838700294494629</v>
      </c>
      <c r="L767" s="41">
        <v>45721</v>
      </c>
      <c r="M767" s="42">
        <v>801.70540000000005</v>
      </c>
    </row>
    <row r="768" spans="1:13">
      <c r="A768" s="41">
        <v>45722</v>
      </c>
      <c r="B768" s="42">
        <v>24369.71</v>
      </c>
      <c r="C768" s="42">
        <v>377145913200</v>
      </c>
      <c r="D768">
        <f t="shared" si="33"/>
        <v>8938.09</v>
      </c>
      <c r="E768">
        <f t="shared" si="34"/>
        <v>3.9695799350738525</v>
      </c>
      <c r="F768">
        <f t="shared" si="35"/>
        <v>801.45950000000005</v>
      </c>
      <c r="G768" s="42"/>
      <c r="H768" s="41">
        <v>45722</v>
      </c>
      <c r="I768" s="42">
        <v>8938.09</v>
      </c>
      <c r="J768" s="41">
        <v>45722</v>
      </c>
      <c r="K768" s="42">
        <v>3.9695799350738525</v>
      </c>
      <c r="L768" s="41">
        <v>45722</v>
      </c>
      <c r="M768" s="42">
        <v>801.45950000000005</v>
      </c>
    </row>
    <row r="769" spans="1:13">
      <c r="A769" s="41">
        <v>45723</v>
      </c>
      <c r="B769" s="42">
        <v>24231.3</v>
      </c>
      <c r="C769" s="42">
        <v>383166263000</v>
      </c>
      <c r="D769">
        <f t="shared" si="33"/>
        <v>8914.0300000000007</v>
      </c>
      <c r="E769">
        <f t="shared" si="34"/>
        <v>3.9205999374389648</v>
      </c>
      <c r="F769">
        <f t="shared" si="35"/>
        <v>800.13630000000001</v>
      </c>
      <c r="G769" s="42"/>
      <c r="H769" s="41">
        <v>45723</v>
      </c>
      <c r="I769" s="42">
        <v>8914.0300000000007</v>
      </c>
      <c r="J769" s="41">
        <v>45723</v>
      </c>
      <c r="K769" s="42">
        <v>3.9205999374389648</v>
      </c>
      <c r="L769" s="41">
        <v>45723</v>
      </c>
      <c r="M769" s="42">
        <v>800.13630000000001</v>
      </c>
    </row>
    <row r="770" spans="1:13">
      <c r="A770" s="41">
        <v>45726</v>
      </c>
      <c r="B770" s="42">
        <v>23783.49</v>
      </c>
      <c r="C770" s="42">
        <v>301814627200</v>
      </c>
      <c r="D770">
        <f t="shared" si="33"/>
        <v>8725.01</v>
      </c>
      <c r="E770">
        <f t="shared" si="34"/>
        <v>3.9182100296020508</v>
      </c>
      <c r="F770">
        <f t="shared" si="35"/>
        <v>807.02790000000005</v>
      </c>
      <c r="G770" s="42"/>
      <c r="H770" s="41">
        <v>45726</v>
      </c>
      <c r="I770" s="42">
        <v>8725.01</v>
      </c>
      <c r="J770" s="41">
        <v>45726</v>
      </c>
      <c r="K770" s="42">
        <v>3.9182100296020508</v>
      </c>
      <c r="L770" s="41">
        <v>45726</v>
      </c>
      <c r="M770" s="42">
        <v>807.02790000000005</v>
      </c>
    </row>
    <row r="771" spans="1:13">
      <c r="A771" s="41">
        <v>45727</v>
      </c>
      <c r="B771" s="42">
        <v>23782.14</v>
      </c>
      <c r="C771" s="42">
        <v>307033877200</v>
      </c>
      <c r="D771">
        <f t="shared" si="33"/>
        <v>8755.3700000000008</v>
      </c>
      <c r="E771">
        <f t="shared" si="34"/>
        <v>3.9764299392700195</v>
      </c>
      <c r="F771">
        <f t="shared" si="35"/>
        <v>824.80169999999998</v>
      </c>
      <c r="G771" s="42"/>
      <c r="H771" s="41">
        <v>45727</v>
      </c>
      <c r="I771" s="42">
        <v>8755.3700000000008</v>
      </c>
      <c r="J771" s="41">
        <v>45727</v>
      </c>
      <c r="K771" s="42">
        <v>3.9764299392700195</v>
      </c>
      <c r="L771" s="41">
        <v>45727</v>
      </c>
      <c r="M771" s="42">
        <v>824.80169999999998</v>
      </c>
    </row>
    <row r="772" spans="1:13">
      <c r="A772" s="41">
        <v>45728</v>
      </c>
      <c r="B772" s="42">
        <v>23600.31</v>
      </c>
      <c r="C772" s="42">
        <v>278491534600</v>
      </c>
      <c r="D772">
        <f t="shared" ref="D772:D835" si="36">IFERROR(VLOOKUP($A772,$H$3:$I$1100,2,FALSE),"")</f>
        <v>8682.1299999999992</v>
      </c>
      <c r="E772">
        <f t="shared" ref="E772:E835" si="37">IFERROR(VLOOKUP($A772,$J$3:$K$1100,2,FALSE),"")</f>
        <v>3.9153599739074707</v>
      </c>
      <c r="F772">
        <f t="shared" ref="F772:F835" si="38">IFERROR(VLOOKUP($A772,$L$3:$M$1100,2,FALSE),"")</f>
        <v>816.60260000000005</v>
      </c>
      <c r="G772" s="42"/>
      <c r="H772" s="41">
        <v>45728</v>
      </c>
      <c r="I772" s="42">
        <v>8682.1299999999992</v>
      </c>
      <c r="J772" s="41">
        <v>45728</v>
      </c>
      <c r="K772" s="42">
        <v>3.9153599739074707</v>
      </c>
      <c r="L772" s="41">
        <v>45728</v>
      </c>
      <c r="M772" s="42">
        <v>816.60260000000005</v>
      </c>
    </row>
    <row r="773" spans="1:13">
      <c r="A773" s="41">
        <v>45729</v>
      </c>
      <c r="B773" s="42">
        <v>23462.65</v>
      </c>
      <c r="C773" s="42">
        <v>233832678800</v>
      </c>
      <c r="D773">
        <f t="shared" si="36"/>
        <v>8640.61</v>
      </c>
      <c r="E773">
        <f t="shared" si="37"/>
        <v>3.9023199081420898</v>
      </c>
      <c r="F773">
        <f t="shared" si="38"/>
        <v>832.81169999999997</v>
      </c>
      <c r="G773" s="42"/>
      <c r="H773" s="41">
        <v>45729</v>
      </c>
      <c r="I773" s="42">
        <v>8640.61</v>
      </c>
      <c r="J773" s="41">
        <v>45729</v>
      </c>
      <c r="K773" s="42">
        <v>3.9023199081420898</v>
      </c>
      <c r="L773" s="41">
        <v>45729</v>
      </c>
      <c r="M773" s="42">
        <v>832.81169999999997</v>
      </c>
    </row>
    <row r="774" spans="1:13">
      <c r="A774" s="41">
        <v>45730</v>
      </c>
      <c r="B774" s="42">
        <v>23959.98</v>
      </c>
      <c r="C774" s="42">
        <v>290612538700</v>
      </c>
      <c r="D774">
        <f t="shared" si="36"/>
        <v>8877.99</v>
      </c>
      <c r="E774">
        <f t="shared" si="37"/>
        <v>3.8438100814819336</v>
      </c>
      <c r="F774">
        <f t="shared" si="38"/>
        <v>838.94190000000003</v>
      </c>
      <c r="G774" s="42"/>
      <c r="H774" s="41">
        <v>45730</v>
      </c>
      <c r="I774" s="42">
        <v>8877.99</v>
      </c>
      <c r="J774" s="41">
        <v>45730</v>
      </c>
      <c r="K774" s="42">
        <v>3.8438100814819336</v>
      </c>
      <c r="L774" s="41">
        <v>45730</v>
      </c>
      <c r="M774" s="42">
        <v>838.94190000000003</v>
      </c>
    </row>
    <row r="775" spans="1:13">
      <c r="A775" s="41">
        <v>45733</v>
      </c>
      <c r="B775" s="42">
        <v>24145.57</v>
      </c>
      <c r="C775" s="42">
        <v>244822216300</v>
      </c>
      <c r="D775">
        <f t="shared" si="36"/>
        <v>8928.4500000000007</v>
      </c>
      <c r="E775">
        <f t="shared" si="37"/>
        <v>3.8561298847198486</v>
      </c>
      <c r="F775">
        <f t="shared" si="38"/>
        <v>845.68449999999996</v>
      </c>
      <c r="G775" s="42"/>
      <c r="H775" s="41">
        <v>45733</v>
      </c>
      <c r="I775" s="42">
        <v>8928.4500000000007</v>
      </c>
      <c r="J775" s="41">
        <v>45733</v>
      </c>
      <c r="K775" s="42">
        <v>3.8561298847198486</v>
      </c>
      <c r="L775" s="41">
        <v>45733</v>
      </c>
      <c r="M775" s="42">
        <v>845.68449999999996</v>
      </c>
    </row>
    <row r="776" spans="1:13">
      <c r="A776" s="41">
        <v>45734</v>
      </c>
      <c r="B776" s="42">
        <v>24740.57</v>
      </c>
      <c r="C776" s="42">
        <v>285935197000</v>
      </c>
      <c r="D776">
        <f t="shared" si="36"/>
        <v>9177.7999999999993</v>
      </c>
      <c r="E776">
        <f t="shared" si="37"/>
        <v>3.8748800754547119</v>
      </c>
      <c r="F776">
        <f t="shared" si="38"/>
        <v>844.71690000000001</v>
      </c>
      <c r="G776" s="42"/>
      <c r="H776" s="41">
        <v>45734</v>
      </c>
      <c r="I776" s="42">
        <v>9177.7999999999993</v>
      </c>
      <c r="J776" s="41">
        <v>45734</v>
      </c>
      <c r="K776" s="42">
        <v>3.8748800754547119</v>
      </c>
      <c r="L776" s="41">
        <v>45734</v>
      </c>
      <c r="M776" s="42">
        <v>844.71690000000001</v>
      </c>
    </row>
    <row r="777" spans="1:13">
      <c r="A777" s="41">
        <v>45735</v>
      </c>
      <c r="B777" s="42">
        <v>24771.14</v>
      </c>
      <c r="C777" s="42">
        <v>271859269800</v>
      </c>
      <c r="D777">
        <f t="shared" si="36"/>
        <v>9163.67</v>
      </c>
      <c r="E777">
        <f t="shared" si="37"/>
        <v>3.9000000953674316</v>
      </c>
      <c r="F777">
        <f t="shared" si="38"/>
        <v>847.56029999999998</v>
      </c>
      <c r="G777" s="42"/>
      <c r="H777" s="41">
        <v>45735</v>
      </c>
      <c r="I777" s="42">
        <v>9163.67</v>
      </c>
      <c r="J777" s="41">
        <v>45735</v>
      </c>
      <c r="K777" s="42">
        <v>3.9000000953674316</v>
      </c>
      <c r="L777" s="41">
        <v>45735</v>
      </c>
      <c r="M777" s="42">
        <v>847.56029999999998</v>
      </c>
    </row>
    <row r="778" spans="1:13">
      <c r="A778" s="41">
        <v>45736</v>
      </c>
      <c r="B778" s="42">
        <v>24219.95</v>
      </c>
      <c r="C778" s="42">
        <v>294855342900</v>
      </c>
      <c r="D778">
        <f t="shared" si="36"/>
        <v>8950.18</v>
      </c>
      <c r="E778">
        <f t="shared" si="37"/>
        <v>3.9256000518798828</v>
      </c>
      <c r="F778">
        <f t="shared" si="38"/>
        <v>847.23789999999997</v>
      </c>
      <c r="G778" s="42"/>
      <c r="H778" s="41">
        <v>45736</v>
      </c>
      <c r="I778" s="42">
        <v>8950.18</v>
      </c>
      <c r="J778" s="41">
        <v>45736</v>
      </c>
      <c r="K778" s="42">
        <v>3.9256000518798828</v>
      </c>
      <c r="L778" s="41">
        <v>45736</v>
      </c>
      <c r="M778" s="42">
        <v>847.23789999999997</v>
      </c>
    </row>
    <row r="779" spans="1:13">
      <c r="A779" s="41">
        <v>45737</v>
      </c>
      <c r="B779" s="42">
        <v>23689.72</v>
      </c>
      <c r="C779" s="42">
        <v>339092148200</v>
      </c>
      <c r="D779">
        <f t="shared" si="36"/>
        <v>8742.44</v>
      </c>
      <c r="E779">
        <f t="shared" si="37"/>
        <v>3.9275000095367432</v>
      </c>
      <c r="F779">
        <f t="shared" si="38"/>
        <v>834.24180000000001</v>
      </c>
      <c r="G779" s="42"/>
      <c r="H779" s="41">
        <v>45737</v>
      </c>
      <c r="I779" s="42">
        <v>8742.44</v>
      </c>
      <c r="J779" s="41">
        <v>45737</v>
      </c>
      <c r="K779" s="42">
        <v>3.9275000095367432</v>
      </c>
      <c r="L779" s="41">
        <v>45737</v>
      </c>
      <c r="M779" s="42">
        <v>834.24180000000001</v>
      </c>
    </row>
    <row r="780" spans="1:13">
      <c r="A780" s="41">
        <v>45740</v>
      </c>
      <c r="B780" s="42">
        <v>23905.56</v>
      </c>
      <c r="C780" s="42">
        <v>233108433800</v>
      </c>
      <c r="D780">
        <f t="shared" si="36"/>
        <v>8850.69</v>
      </c>
      <c r="E780">
        <f t="shared" si="37"/>
        <v>3.9145801067352295</v>
      </c>
      <c r="F780">
        <f t="shared" si="38"/>
        <v>836.87879999999996</v>
      </c>
      <c r="G780" s="42"/>
      <c r="H780" s="41">
        <v>45740</v>
      </c>
      <c r="I780" s="42">
        <v>8850.69</v>
      </c>
      <c r="J780" s="41">
        <v>45740</v>
      </c>
      <c r="K780" s="42">
        <v>3.9145801067352295</v>
      </c>
      <c r="L780" s="41">
        <v>45740</v>
      </c>
      <c r="M780" s="42">
        <v>836.87879999999996</v>
      </c>
    </row>
    <row r="781" spans="1:13">
      <c r="A781" s="41">
        <v>45741</v>
      </c>
      <c r="B781" s="42">
        <v>23344.25</v>
      </c>
      <c r="C781" s="42">
        <v>285268946800</v>
      </c>
      <c r="D781">
        <f t="shared" si="36"/>
        <v>8616.0499999999993</v>
      </c>
      <c r="E781">
        <f t="shared" si="37"/>
        <v>3.9106600284576416</v>
      </c>
      <c r="F781">
        <f t="shared" si="38"/>
        <v>858.98249999999996</v>
      </c>
      <c r="G781" s="42"/>
      <c r="H781" s="41">
        <v>45741</v>
      </c>
      <c r="I781" s="42">
        <v>8616.0499999999993</v>
      </c>
      <c r="J781" s="41">
        <v>45741</v>
      </c>
      <c r="K781" s="42">
        <v>3.9106600284576416</v>
      </c>
      <c r="L781" s="41">
        <v>45741</v>
      </c>
      <c r="M781" s="42">
        <v>858.98249999999996</v>
      </c>
    </row>
    <row r="782" spans="1:13">
      <c r="A782" s="41">
        <v>45742</v>
      </c>
      <c r="B782" s="42">
        <v>23483.32</v>
      </c>
      <c r="C782" s="42">
        <v>199765308300</v>
      </c>
      <c r="D782">
        <f t="shared" si="36"/>
        <v>8654.26</v>
      </c>
      <c r="E782">
        <f t="shared" si="37"/>
        <v>3.9113700389862061</v>
      </c>
      <c r="F782">
        <f t="shared" si="38"/>
        <v>905.22439999999995</v>
      </c>
      <c r="G782" s="42"/>
      <c r="H782" s="41">
        <v>45742</v>
      </c>
      <c r="I782" s="42">
        <v>8654.26</v>
      </c>
      <c r="J782" s="41">
        <v>45742</v>
      </c>
      <c r="K782" s="42">
        <v>3.9113700389862061</v>
      </c>
      <c r="L782" s="41">
        <v>45742</v>
      </c>
      <c r="M782" s="42">
        <v>905.22439999999995</v>
      </c>
    </row>
    <row r="783" spans="1:13">
      <c r="A783" s="41">
        <v>45743</v>
      </c>
      <c r="B783" s="42">
        <v>23578.799999999999</v>
      </c>
      <c r="C783" s="42">
        <v>239640956300</v>
      </c>
      <c r="D783">
        <f t="shared" si="36"/>
        <v>8677.68</v>
      </c>
      <c r="E783">
        <f t="shared" si="37"/>
        <v>3.8845798969268799</v>
      </c>
      <c r="F783">
        <f t="shared" si="38"/>
        <v>894.88340000000005</v>
      </c>
      <c r="G783" s="42"/>
      <c r="H783" s="41">
        <v>45743</v>
      </c>
      <c r="I783" s="42">
        <v>8677.68</v>
      </c>
      <c r="J783" s="41">
        <v>45743</v>
      </c>
      <c r="K783" s="42">
        <v>3.8845798969268799</v>
      </c>
      <c r="L783" s="41">
        <v>45743</v>
      </c>
      <c r="M783" s="42">
        <v>894.88340000000005</v>
      </c>
    </row>
    <row r="784" spans="1:13">
      <c r="A784" s="41">
        <v>45744</v>
      </c>
      <c r="B784" s="42">
        <v>23426.6</v>
      </c>
      <c r="C784" s="42">
        <v>229622466100</v>
      </c>
      <c r="D784">
        <f t="shared" si="36"/>
        <v>8606.51</v>
      </c>
      <c r="E784">
        <f t="shared" si="37"/>
        <v>3.8831501007080078</v>
      </c>
      <c r="F784">
        <f t="shared" si="38"/>
        <v>882.99789999999996</v>
      </c>
      <c r="G784" s="42"/>
      <c r="H784" s="41">
        <v>45744</v>
      </c>
      <c r="I784" s="42">
        <v>8606.51</v>
      </c>
      <c r="J784" s="41">
        <v>45744</v>
      </c>
      <c r="K784" s="42">
        <v>3.8831501007080078</v>
      </c>
      <c r="L784" s="41">
        <v>45744</v>
      </c>
      <c r="M784" s="42">
        <v>882.99789999999996</v>
      </c>
    </row>
    <row r="785" spans="1:13">
      <c r="A785" s="41">
        <v>45747</v>
      </c>
      <c r="B785" s="42">
        <v>23119.58</v>
      </c>
      <c r="C785" s="42">
        <v>257325449400</v>
      </c>
      <c r="D785">
        <f t="shared" si="36"/>
        <v>8516.5499999999993</v>
      </c>
      <c r="E785">
        <f t="shared" si="37"/>
        <v>3.8824400901794434</v>
      </c>
      <c r="F785">
        <f t="shared" si="38"/>
        <v>861.49090000000001</v>
      </c>
      <c r="G785" s="42"/>
      <c r="H785" s="41">
        <v>45747</v>
      </c>
      <c r="I785" s="42">
        <v>8516.5499999999993</v>
      </c>
      <c r="J785" s="41">
        <v>45747</v>
      </c>
      <c r="K785" s="42">
        <v>3.8824400901794434</v>
      </c>
      <c r="L785" s="41">
        <v>45747</v>
      </c>
      <c r="M785" s="42">
        <v>861.49090000000001</v>
      </c>
    </row>
    <row r="786" spans="1:13">
      <c r="A786" s="41">
        <v>45748</v>
      </c>
      <c r="B786" s="42">
        <v>23206.84</v>
      </c>
      <c r="C786" s="42">
        <v>250230983900</v>
      </c>
      <c r="D786">
        <f t="shared" si="36"/>
        <v>8537.34</v>
      </c>
      <c r="E786">
        <f t="shared" si="37"/>
        <v>3.8313100337982178</v>
      </c>
      <c r="F786">
        <f t="shared" si="38"/>
        <v>876.90020000000004</v>
      </c>
      <c r="G786" s="42"/>
      <c r="H786" s="41">
        <v>45748</v>
      </c>
      <c r="I786" s="42">
        <v>8537.34</v>
      </c>
      <c r="J786" s="41">
        <v>45748</v>
      </c>
      <c r="K786" s="42">
        <v>3.8313100337982178</v>
      </c>
      <c r="L786" s="41">
        <v>45748</v>
      </c>
      <c r="M786" s="42">
        <v>876.90020000000004</v>
      </c>
    </row>
    <row r="787" spans="1:13">
      <c r="A787" s="41">
        <v>45749</v>
      </c>
      <c r="B787" s="42">
        <v>23202.53</v>
      </c>
      <c r="C787" s="42">
        <v>216598250800</v>
      </c>
      <c r="D787">
        <f t="shared" si="36"/>
        <v>8531.51</v>
      </c>
      <c r="E787">
        <f t="shared" si="37"/>
        <v>3.7999999523162842</v>
      </c>
      <c r="F787">
        <f t="shared" si="38"/>
        <v>881.16909999999996</v>
      </c>
      <c r="G787" s="42"/>
      <c r="H787" s="41">
        <v>45749</v>
      </c>
      <c r="I787" s="42">
        <v>8531.51</v>
      </c>
      <c r="J787" s="41">
        <v>45749</v>
      </c>
      <c r="K787" s="42">
        <v>3.7999999523162842</v>
      </c>
      <c r="L787" s="41">
        <v>45749</v>
      </c>
      <c r="M787" s="42">
        <v>881.16909999999996</v>
      </c>
    </row>
    <row r="788" spans="1:13">
      <c r="A788" s="41">
        <v>45750</v>
      </c>
      <c r="B788" s="42">
        <v>22849.81</v>
      </c>
      <c r="C788" s="42">
        <v>289492461500</v>
      </c>
      <c r="D788">
        <f t="shared" si="36"/>
        <v>8420.14</v>
      </c>
      <c r="E788">
        <f t="shared" si="37"/>
        <v>3.7838699817657471</v>
      </c>
      <c r="F788">
        <f t="shared" si="38"/>
        <v>910.38</v>
      </c>
      <c r="G788" s="42"/>
      <c r="H788" s="41">
        <v>45750</v>
      </c>
      <c r="I788" s="42">
        <v>8420.14</v>
      </c>
      <c r="J788" s="41">
        <v>45750</v>
      </c>
      <c r="K788" s="42">
        <v>3.7838699817657471</v>
      </c>
      <c r="L788" s="41">
        <v>45750</v>
      </c>
      <c r="M788" s="42">
        <v>910.38</v>
      </c>
    </row>
    <row r="789" spans="1:13">
      <c r="A789" s="41">
        <v>45754</v>
      </c>
      <c r="B789" s="42">
        <v>19828.3</v>
      </c>
      <c r="C789" s="42">
        <v>620897666800</v>
      </c>
      <c r="D789">
        <f t="shared" si="36"/>
        <v>7262.72</v>
      </c>
      <c r="E789">
        <f t="shared" si="37"/>
        <v>3.7867300510406494</v>
      </c>
      <c r="F789">
        <f t="shared" si="38"/>
        <v>926.66669999999999</v>
      </c>
      <c r="G789" s="42"/>
      <c r="H789" s="41">
        <v>45754</v>
      </c>
      <c r="I789" s="42">
        <v>7262.72</v>
      </c>
      <c r="J789" s="41">
        <v>45754</v>
      </c>
      <c r="K789" s="42">
        <v>3.7867300510406494</v>
      </c>
      <c r="L789" s="41">
        <v>45754</v>
      </c>
      <c r="M789" s="42">
        <v>926.66669999999999</v>
      </c>
    </row>
    <row r="790" spans="1:13">
      <c r="A790" s="41">
        <v>45755</v>
      </c>
      <c r="B790" s="42">
        <v>20127.68</v>
      </c>
      <c r="C790" s="42">
        <v>433156673400</v>
      </c>
      <c r="D790">
        <f t="shared" si="36"/>
        <v>7430.62</v>
      </c>
      <c r="E790">
        <f t="shared" si="37"/>
        <v>3.7999999523162842</v>
      </c>
      <c r="F790">
        <f t="shared" si="38"/>
        <v>1018.585</v>
      </c>
      <c r="G790" s="42"/>
      <c r="H790" s="41">
        <v>45755</v>
      </c>
      <c r="I790" s="42">
        <v>7430.62</v>
      </c>
      <c r="J790" s="41">
        <v>45755</v>
      </c>
      <c r="K790" s="42">
        <v>3.7999999523162842</v>
      </c>
      <c r="L790" s="41">
        <v>45755</v>
      </c>
      <c r="M790" s="42">
        <v>1018.585</v>
      </c>
    </row>
    <row r="791" spans="1:13">
      <c r="A791" s="41">
        <v>45756</v>
      </c>
      <c r="B791" s="42">
        <v>20264.490000000002</v>
      </c>
      <c r="C791" s="42">
        <v>412385061900</v>
      </c>
      <c r="D791">
        <f t="shared" si="36"/>
        <v>7535.68</v>
      </c>
      <c r="E791">
        <f t="shared" si="37"/>
        <v>3.7999999523162842</v>
      </c>
      <c r="F791">
        <f t="shared" si="38"/>
        <v>1007.5041</v>
      </c>
      <c r="G791" s="42"/>
      <c r="H791" s="41">
        <v>45756</v>
      </c>
      <c r="I791" s="42">
        <v>7535.68</v>
      </c>
      <c r="J791" s="41">
        <v>45756</v>
      </c>
      <c r="K791" s="42">
        <v>3.7999999523162842</v>
      </c>
      <c r="L791" s="41">
        <v>45756</v>
      </c>
      <c r="M791" s="42">
        <v>1007.5041</v>
      </c>
    </row>
    <row r="792" spans="1:13">
      <c r="A792" s="41">
        <v>45757</v>
      </c>
      <c r="B792" s="42">
        <v>20681.78</v>
      </c>
      <c r="C792" s="42">
        <v>395534491300</v>
      </c>
      <c r="D792">
        <f t="shared" si="36"/>
        <v>7668.38</v>
      </c>
      <c r="E792">
        <f t="shared" si="37"/>
        <v>3.7999999523162842</v>
      </c>
      <c r="F792">
        <f t="shared" si="38"/>
        <v>999.62049999999999</v>
      </c>
      <c r="G792" s="42"/>
      <c r="H792" s="41">
        <v>45757</v>
      </c>
      <c r="I792" s="42">
        <v>7668.38</v>
      </c>
      <c r="J792" s="41">
        <v>45757</v>
      </c>
      <c r="K792" s="42">
        <v>3.7999999523162842</v>
      </c>
      <c r="L792" s="41">
        <v>45757</v>
      </c>
      <c r="M792" s="42">
        <v>999.62049999999999</v>
      </c>
    </row>
    <row r="793" spans="1:13">
      <c r="A793" s="41">
        <v>45758</v>
      </c>
      <c r="B793" s="42">
        <v>20914.689999999999</v>
      </c>
      <c r="C793" s="42">
        <v>276426038000</v>
      </c>
      <c r="D793">
        <f t="shared" si="36"/>
        <v>7801.51</v>
      </c>
      <c r="E793">
        <f t="shared" si="37"/>
        <v>3.7999999523162842</v>
      </c>
      <c r="F793">
        <f t="shared" si="38"/>
        <v>952.93200000000002</v>
      </c>
      <c r="G793" s="42"/>
      <c r="H793" s="41">
        <v>45758</v>
      </c>
      <c r="I793" s="42">
        <v>7801.51</v>
      </c>
      <c r="J793" s="41">
        <v>45758</v>
      </c>
      <c r="K793" s="42">
        <v>3.7999999523162842</v>
      </c>
      <c r="L793" s="41">
        <v>45758</v>
      </c>
      <c r="M793" s="42">
        <v>952.93200000000002</v>
      </c>
    </row>
    <row r="794" spans="1:13">
      <c r="A794" s="41">
        <v>45761</v>
      </c>
      <c r="B794" s="42">
        <v>21417.4</v>
      </c>
      <c r="C794" s="42">
        <v>253389059900</v>
      </c>
      <c r="D794">
        <f t="shared" si="36"/>
        <v>7965.81</v>
      </c>
      <c r="E794">
        <f t="shared" si="37"/>
        <v>3.884350061416626</v>
      </c>
      <c r="F794">
        <f t="shared" si="38"/>
        <v>971.923</v>
      </c>
      <c r="G794" s="42"/>
      <c r="H794" s="41">
        <v>45761</v>
      </c>
      <c r="I794" s="42">
        <v>7965.81</v>
      </c>
      <c r="J794" s="41">
        <v>45761</v>
      </c>
      <c r="K794" s="42">
        <v>3.884350061416626</v>
      </c>
      <c r="L794" s="41">
        <v>45761</v>
      </c>
      <c r="M794" s="42">
        <v>971.923</v>
      </c>
    </row>
    <row r="795" spans="1:13">
      <c r="A795" s="41">
        <v>45762</v>
      </c>
      <c r="B795" s="42">
        <v>21466.27</v>
      </c>
      <c r="C795" s="42">
        <v>185064307300</v>
      </c>
      <c r="D795">
        <f t="shared" si="36"/>
        <v>7982.88</v>
      </c>
      <c r="E795">
        <f t="shared" si="37"/>
        <v>3.857680082321167</v>
      </c>
      <c r="F795">
        <f t="shared" si="38"/>
        <v>983.59889999999996</v>
      </c>
      <c r="G795" s="42"/>
      <c r="H795" s="41">
        <v>45762</v>
      </c>
      <c r="I795" s="42">
        <v>7982.88</v>
      </c>
      <c r="J795" s="41">
        <v>45762</v>
      </c>
      <c r="K795" s="42">
        <v>3.857680082321167</v>
      </c>
      <c r="L795" s="41">
        <v>45762</v>
      </c>
      <c r="M795" s="42">
        <v>983.59889999999996</v>
      </c>
    </row>
    <row r="796" spans="1:13">
      <c r="A796" s="41">
        <v>45763</v>
      </c>
      <c r="B796" s="42">
        <v>21056.98</v>
      </c>
      <c r="C796" s="42">
        <v>219991684700</v>
      </c>
      <c r="D796">
        <f t="shared" si="36"/>
        <v>7779.01</v>
      </c>
      <c r="E796">
        <f t="shared" si="37"/>
        <v>3.8553600311279297</v>
      </c>
      <c r="F796">
        <f t="shared" si="38"/>
        <v>957.71450000000004</v>
      </c>
      <c r="G796" s="42"/>
      <c r="H796" s="41">
        <v>45763</v>
      </c>
      <c r="I796" s="42">
        <v>7779.01</v>
      </c>
      <c r="J796" s="41">
        <v>45763</v>
      </c>
      <c r="K796" s="42">
        <v>3.8553600311279297</v>
      </c>
      <c r="L796" s="41">
        <v>45763</v>
      </c>
      <c r="M796" s="42">
        <v>957.71450000000004</v>
      </c>
    </row>
    <row r="797" spans="1:13">
      <c r="A797" s="41">
        <v>45764</v>
      </c>
      <c r="B797" s="42">
        <v>21395.14</v>
      </c>
      <c r="C797" s="42">
        <v>192410980200</v>
      </c>
      <c r="D797">
        <f t="shared" si="36"/>
        <v>7897.44</v>
      </c>
      <c r="E797">
        <f t="shared" si="37"/>
        <v>3.8559598922729492</v>
      </c>
      <c r="F797">
        <f t="shared" si="38"/>
        <v>948.80200000000002</v>
      </c>
      <c r="G797" s="42"/>
      <c r="H797" s="41">
        <v>45764</v>
      </c>
      <c r="I797" s="42">
        <v>7897.44</v>
      </c>
      <c r="J797" s="41">
        <v>45764</v>
      </c>
      <c r="K797" s="42">
        <v>3.8559598922729492</v>
      </c>
      <c r="L797" s="41">
        <v>45764</v>
      </c>
      <c r="M797" s="42">
        <v>948.80200000000002</v>
      </c>
    </row>
    <row r="798" spans="1:13">
      <c r="A798" s="41">
        <v>45765</v>
      </c>
      <c r="B798" s="42">
        <v>21395.14</v>
      </c>
      <c r="C798" s="42"/>
      <c r="D798">
        <f t="shared" si="36"/>
        <v>7897.44</v>
      </c>
      <c r="E798">
        <f t="shared" si="37"/>
        <v>0</v>
      </c>
      <c r="F798">
        <f t="shared" si="38"/>
        <v>925.25810000000001</v>
      </c>
      <c r="G798" s="42"/>
      <c r="H798" s="41">
        <v>45765</v>
      </c>
      <c r="I798" s="42">
        <v>7897.44</v>
      </c>
      <c r="J798" s="41">
        <v>45765</v>
      </c>
      <c r="K798" s="42"/>
      <c r="L798" s="41">
        <v>45765</v>
      </c>
      <c r="M798" s="42">
        <v>925.25810000000001</v>
      </c>
    </row>
    <row r="799" spans="1:13">
      <c r="A799" s="41">
        <v>45768</v>
      </c>
      <c r="B799" s="42">
        <v>21395.14</v>
      </c>
      <c r="C799" s="42"/>
      <c r="D799">
        <f t="shared" si="36"/>
        <v>7897.44</v>
      </c>
      <c r="E799">
        <f t="shared" si="37"/>
        <v>0</v>
      </c>
      <c r="F799">
        <f t="shared" si="38"/>
        <v>935.34079999999994</v>
      </c>
      <c r="G799" s="42"/>
      <c r="H799" s="41">
        <v>45768</v>
      </c>
      <c r="I799" s="42">
        <v>7897.44</v>
      </c>
      <c r="J799" s="41">
        <v>45768</v>
      </c>
      <c r="K799" s="42"/>
      <c r="L799" s="41">
        <v>45768</v>
      </c>
      <c r="M799" s="42">
        <v>935.34079999999994</v>
      </c>
    </row>
    <row r="800" spans="1:13">
      <c r="A800" s="41">
        <v>45769</v>
      </c>
      <c r="B800" s="42">
        <v>21562.32</v>
      </c>
      <c r="C800" s="42">
        <v>251381676900</v>
      </c>
      <c r="D800">
        <f t="shared" si="36"/>
        <v>7950.79</v>
      </c>
      <c r="E800">
        <f t="shared" si="37"/>
        <v>3.8503599166870117</v>
      </c>
      <c r="F800">
        <f t="shared" si="38"/>
        <v>936.19359999999995</v>
      </c>
      <c r="G800" s="42"/>
      <c r="H800" s="41">
        <v>45769</v>
      </c>
      <c r="I800" s="42">
        <v>7950.79</v>
      </c>
      <c r="J800" s="41">
        <v>45769</v>
      </c>
      <c r="K800" s="42">
        <v>3.8503599166870117</v>
      </c>
      <c r="L800" s="41">
        <v>45769</v>
      </c>
      <c r="M800" s="42">
        <v>936.19359999999995</v>
      </c>
    </row>
    <row r="801" spans="1:13">
      <c r="A801" s="41">
        <v>45770</v>
      </c>
      <c r="B801" s="42">
        <v>22072.62</v>
      </c>
      <c r="C801" s="42">
        <v>260619470600</v>
      </c>
      <c r="D801">
        <f t="shared" si="36"/>
        <v>8116.28</v>
      </c>
      <c r="E801">
        <f t="shared" si="37"/>
        <v>3.8857700824737549</v>
      </c>
      <c r="F801">
        <f t="shared" si="38"/>
        <v>915.44870000000003</v>
      </c>
      <c r="G801" s="42"/>
      <c r="H801" s="41">
        <v>45770</v>
      </c>
      <c r="I801" s="42">
        <v>8116.28</v>
      </c>
      <c r="J801" s="41">
        <v>45770</v>
      </c>
      <c r="K801" s="42">
        <v>3.8857700824737549</v>
      </c>
      <c r="L801" s="41">
        <v>45770</v>
      </c>
      <c r="M801" s="42">
        <v>915.44870000000003</v>
      </c>
    </row>
    <row r="802" spans="1:13">
      <c r="A802" s="41">
        <v>45771</v>
      </c>
      <c r="B802" s="42">
        <v>21909.759999999998</v>
      </c>
      <c r="C802" s="42">
        <v>204759860300</v>
      </c>
      <c r="D802">
        <f t="shared" si="36"/>
        <v>8056.85</v>
      </c>
      <c r="E802">
        <f t="shared" si="37"/>
        <v>3.9153599739074707</v>
      </c>
      <c r="F802">
        <f t="shared" si="38"/>
        <v>920.19889999999998</v>
      </c>
      <c r="G802" s="42"/>
      <c r="H802" s="41">
        <v>45771</v>
      </c>
      <c r="I802" s="42">
        <v>8056.85</v>
      </c>
      <c r="J802" s="41">
        <v>45771</v>
      </c>
      <c r="K802" s="42">
        <v>3.9153599739074707</v>
      </c>
      <c r="L802" s="41">
        <v>45771</v>
      </c>
      <c r="M802" s="42">
        <v>920.19889999999998</v>
      </c>
    </row>
    <row r="803" spans="1:13">
      <c r="A803" s="41">
        <v>45772</v>
      </c>
      <c r="B803" s="42">
        <v>21980.74</v>
      </c>
      <c r="C803" s="42">
        <v>208036071700</v>
      </c>
      <c r="D803">
        <f t="shared" si="36"/>
        <v>8080.54</v>
      </c>
      <c r="E803">
        <f t="shared" si="37"/>
        <v>3.9405999183654785</v>
      </c>
      <c r="F803">
        <f t="shared" si="38"/>
        <v>913.18539999999996</v>
      </c>
      <c r="G803" s="42"/>
      <c r="H803" s="41">
        <v>45772</v>
      </c>
      <c r="I803" s="42">
        <v>8080.54</v>
      </c>
      <c r="J803" s="41">
        <v>45772</v>
      </c>
      <c r="K803" s="42">
        <v>3.9405999183654785</v>
      </c>
      <c r="L803" s="41">
        <v>45772</v>
      </c>
      <c r="M803" s="42">
        <v>913.18539999999996</v>
      </c>
    </row>
    <row r="804" spans="1:13">
      <c r="A804" s="41">
        <v>45775</v>
      </c>
      <c r="B804" s="42">
        <v>21971.96</v>
      </c>
      <c r="C804" s="42">
        <v>169030807200</v>
      </c>
      <c r="D804">
        <f t="shared" si="36"/>
        <v>8080.19</v>
      </c>
      <c r="E804">
        <f t="shared" si="37"/>
        <v>4.0436301231384277</v>
      </c>
      <c r="F804">
        <f t="shared" si="38"/>
        <v>890.5136</v>
      </c>
      <c r="G804" s="42"/>
      <c r="H804" s="41">
        <v>45775</v>
      </c>
      <c r="I804" s="42">
        <v>8080.19</v>
      </c>
      <c r="J804" s="41">
        <v>45775</v>
      </c>
      <c r="K804" s="42">
        <v>4.0436301231384277</v>
      </c>
      <c r="L804" s="41">
        <v>45775</v>
      </c>
      <c r="M804" s="42">
        <v>890.5136</v>
      </c>
    </row>
    <row r="805" spans="1:13">
      <c r="A805" s="41">
        <v>45776</v>
      </c>
      <c r="B805" s="42">
        <v>22008.11</v>
      </c>
      <c r="C805" s="42">
        <v>177658195100</v>
      </c>
      <c r="D805">
        <f t="shared" si="36"/>
        <v>8067.94</v>
      </c>
      <c r="E805">
        <f t="shared" si="37"/>
        <v>4.0660099983215332</v>
      </c>
      <c r="F805">
        <f t="shared" si="38"/>
        <v>888.0566</v>
      </c>
      <c r="G805" s="42"/>
      <c r="H805" s="41">
        <v>45776</v>
      </c>
      <c r="I805" s="42">
        <v>8067.94</v>
      </c>
      <c r="J805" s="41">
        <v>45776</v>
      </c>
      <c r="K805" s="42">
        <v>4.0660099983215332</v>
      </c>
      <c r="L805" s="41">
        <v>45776</v>
      </c>
      <c r="M805" s="42">
        <v>888.0566</v>
      </c>
    </row>
    <row r="806" spans="1:13">
      <c r="A806" s="41">
        <v>45777</v>
      </c>
      <c r="B806" s="42">
        <v>22119.41</v>
      </c>
      <c r="C806" s="42">
        <v>201552972700</v>
      </c>
      <c r="D806">
        <f t="shared" si="36"/>
        <v>8076.26</v>
      </c>
      <c r="E806">
        <f t="shared" si="37"/>
        <v>3.9872000217437744</v>
      </c>
      <c r="F806">
        <f t="shared" si="38"/>
        <v>882.44640000000004</v>
      </c>
      <c r="G806" s="42"/>
      <c r="H806" s="41">
        <v>45777</v>
      </c>
      <c r="I806" s="42">
        <v>8076.26</v>
      </c>
      <c r="J806" s="41">
        <v>45777</v>
      </c>
      <c r="K806" s="42">
        <v>3.9872000217437744</v>
      </c>
      <c r="L806" s="41">
        <v>45777</v>
      </c>
      <c r="M806" s="42">
        <v>882.44640000000004</v>
      </c>
    </row>
    <row r="807" spans="1:13">
      <c r="A807" s="41">
        <v>45783</v>
      </c>
      <c r="B807" s="42">
        <v>22662.71</v>
      </c>
      <c r="C807" s="42">
        <v>213367640400</v>
      </c>
      <c r="D807">
        <f t="shared" si="36"/>
        <v>8261.61</v>
      </c>
      <c r="E807">
        <f t="shared" si="37"/>
        <v>3.7411899566650391</v>
      </c>
      <c r="F807">
        <f t="shared" si="38"/>
        <v>894.43560000000002</v>
      </c>
      <c r="G807" s="42"/>
      <c r="H807" s="41">
        <v>45783</v>
      </c>
      <c r="I807" s="42">
        <v>8261.61</v>
      </c>
      <c r="J807" s="41">
        <v>45783</v>
      </c>
      <c r="K807" s="42">
        <v>3.7411899566650391</v>
      </c>
      <c r="L807" s="41">
        <v>45783</v>
      </c>
      <c r="M807" s="42">
        <v>894.43560000000002</v>
      </c>
    </row>
    <row r="808" spans="1:13">
      <c r="A808" s="41">
        <v>45784</v>
      </c>
      <c r="B808" s="42">
        <v>22691.88</v>
      </c>
      <c r="C808" s="42">
        <v>240050352400</v>
      </c>
      <c r="D808">
        <f t="shared" si="36"/>
        <v>8242.25</v>
      </c>
      <c r="E808">
        <f t="shared" si="37"/>
        <v>3.3829200267791748</v>
      </c>
      <c r="F808">
        <f t="shared" si="38"/>
        <v>900.01469999999995</v>
      </c>
      <c r="G808" s="42"/>
      <c r="H808" s="41">
        <v>45784</v>
      </c>
      <c r="I808" s="42">
        <v>8242.25</v>
      </c>
      <c r="J808" s="41">
        <v>45784</v>
      </c>
      <c r="K808" s="42">
        <v>3.3829200267791748</v>
      </c>
      <c r="L808" s="41">
        <v>45784</v>
      </c>
      <c r="M808" s="42">
        <v>900.01469999999995</v>
      </c>
    </row>
    <row r="809" spans="1:13">
      <c r="A809" s="41">
        <v>45785</v>
      </c>
      <c r="B809" s="42">
        <v>22775.919999999998</v>
      </c>
      <c r="C809" s="42">
        <v>185896280600</v>
      </c>
      <c r="D809">
        <f t="shared" si="36"/>
        <v>8300.25</v>
      </c>
      <c r="E809">
        <f t="shared" si="37"/>
        <v>2.770359992980957</v>
      </c>
      <c r="F809">
        <f t="shared" si="38"/>
        <v>900.33150000000001</v>
      </c>
      <c r="G809" s="42"/>
      <c r="H809" s="41">
        <v>45785</v>
      </c>
      <c r="I809" s="42">
        <v>8300.25</v>
      </c>
      <c r="J809" s="41">
        <v>45785</v>
      </c>
      <c r="K809" s="42">
        <v>2.770359992980957</v>
      </c>
      <c r="L809" s="41">
        <v>45785</v>
      </c>
      <c r="M809" s="42">
        <v>900.33150000000001</v>
      </c>
    </row>
    <row r="810" spans="1:13">
      <c r="A810" s="41">
        <v>45786</v>
      </c>
      <c r="B810" s="42">
        <v>22867.74</v>
      </c>
      <c r="C810" s="42">
        <v>161628601600</v>
      </c>
      <c r="D810">
        <f t="shared" si="36"/>
        <v>8308.83</v>
      </c>
      <c r="E810">
        <f t="shared" si="37"/>
        <v>2.7823801040649414</v>
      </c>
      <c r="F810">
        <f t="shared" si="38"/>
        <v>891.63430000000005</v>
      </c>
      <c r="G810" s="42"/>
      <c r="H810" s="41">
        <v>45786</v>
      </c>
      <c r="I810" s="42">
        <v>8308.83</v>
      </c>
      <c r="J810" s="41">
        <v>45786</v>
      </c>
      <c r="K810" s="42">
        <v>2.7823801040649414</v>
      </c>
      <c r="L810" s="41">
        <v>45786</v>
      </c>
      <c r="M810" s="42">
        <v>891.63430000000005</v>
      </c>
    </row>
    <row r="811" spans="1:13">
      <c r="A811" s="41">
        <v>45789</v>
      </c>
      <c r="B811" s="42">
        <v>23549.46</v>
      </c>
      <c r="C811" s="42">
        <v>322426406100</v>
      </c>
      <c r="D811">
        <f t="shared" si="36"/>
        <v>8559.23</v>
      </c>
      <c r="E811">
        <f t="shared" si="37"/>
        <v>2.6506600379943848</v>
      </c>
      <c r="F811">
        <f t="shared" si="38"/>
        <v>887.57989999999995</v>
      </c>
      <c r="G811" s="42"/>
      <c r="H811" s="41">
        <v>45789</v>
      </c>
      <c r="I811" s="42">
        <v>8559.23</v>
      </c>
      <c r="J811" s="41">
        <v>45789</v>
      </c>
      <c r="K811" s="42">
        <v>2.6506600379943848</v>
      </c>
      <c r="L811" s="41">
        <v>45789</v>
      </c>
      <c r="M811" s="42">
        <v>887.57989999999995</v>
      </c>
    </row>
    <row r="812" spans="1:13">
      <c r="A812" s="41">
        <v>45790</v>
      </c>
      <c r="B812" s="42">
        <v>23108.27</v>
      </c>
      <c r="C812" s="42">
        <v>219844934900</v>
      </c>
      <c r="D812">
        <f t="shared" si="36"/>
        <v>8386.2099999999991</v>
      </c>
      <c r="E812">
        <f t="shared" si="37"/>
        <v>2.2759499549865723</v>
      </c>
      <c r="F812">
        <f t="shared" si="38"/>
        <v>886.31579999999997</v>
      </c>
      <c r="G812" s="42"/>
      <c r="H812" s="41">
        <v>45790</v>
      </c>
      <c r="I812" s="42">
        <v>8386.2099999999991</v>
      </c>
      <c r="J812" s="41">
        <v>45790</v>
      </c>
      <c r="K812" s="42">
        <v>2.2759499549865723</v>
      </c>
      <c r="L812" s="41">
        <v>45790</v>
      </c>
      <c r="M812" s="42">
        <v>886.31579999999997</v>
      </c>
    </row>
    <row r="813" spans="1:13">
      <c r="A813" s="41">
        <v>45791</v>
      </c>
      <c r="B813" s="42">
        <v>23640.65</v>
      </c>
      <c r="C813" s="42">
        <v>222840512400</v>
      </c>
      <c r="D813">
        <f t="shared" si="36"/>
        <v>8593.07</v>
      </c>
      <c r="E813">
        <f t="shared" si="37"/>
        <v>2.0508298873901367</v>
      </c>
      <c r="F813">
        <f t="shared" si="38"/>
        <v>891.45180000000005</v>
      </c>
      <c r="G813" s="42"/>
      <c r="H813" s="41">
        <v>45791</v>
      </c>
      <c r="I813" s="42">
        <v>8593.07</v>
      </c>
      <c r="J813" s="41">
        <v>45791</v>
      </c>
      <c r="K813" s="42">
        <v>2.0508298873901367</v>
      </c>
      <c r="L813" s="41">
        <v>45791</v>
      </c>
      <c r="M813" s="42">
        <v>891.45180000000005</v>
      </c>
    </row>
    <row r="814" spans="1:13">
      <c r="A814" s="41">
        <v>45792</v>
      </c>
      <c r="B814" s="42">
        <v>23453.16</v>
      </c>
      <c r="C814" s="42">
        <v>200208982000</v>
      </c>
      <c r="D814">
        <f t="shared" si="36"/>
        <v>8509.67</v>
      </c>
      <c r="E814">
        <f t="shared" si="37"/>
        <v>2.1196401119232178</v>
      </c>
      <c r="F814">
        <f t="shared" si="38"/>
        <v>898.03380000000004</v>
      </c>
      <c r="G814" s="42"/>
      <c r="H814" s="41">
        <v>45792</v>
      </c>
      <c r="I814" s="42">
        <v>8509.67</v>
      </c>
      <c r="J814" s="41">
        <v>45792</v>
      </c>
      <c r="K814" s="42">
        <v>2.1196401119232178</v>
      </c>
      <c r="L814" s="41">
        <v>45792</v>
      </c>
      <c r="M814" s="42">
        <v>898.03380000000004</v>
      </c>
    </row>
    <row r="815" spans="1:13">
      <c r="A815" s="41">
        <v>45793</v>
      </c>
      <c r="B815" s="42">
        <v>23345.05</v>
      </c>
      <c r="C815" s="42">
        <v>190722009600</v>
      </c>
      <c r="D815">
        <f t="shared" si="36"/>
        <v>8468.2900000000009</v>
      </c>
      <c r="E815">
        <f t="shared" si="37"/>
        <v>2.1961901187896729</v>
      </c>
      <c r="F815">
        <f t="shared" si="38"/>
        <v>884.02710000000002</v>
      </c>
      <c r="G815" s="42"/>
      <c r="H815" s="41">
        <v>45793</v>
      </c>
      <c r="I815" s="42">
        <v>8468.2900000000009</v>
      </c>
      <c r="J815" s="41">
        <v>45793</v>
      </c>
      <c r="K815" s="42">
        <v>2.1961901187896729</v>
      </c>
      <c r="L815" s="41">
        <v>45793</v>
      </c>
      <c r="M815" s="42">
        <v>884.02710000000002</v>
      </c>
    </row>
    <row r="816" spans="1:13">
      <c r="A816" s="41">
        <v>45796</v>
      </c>
      <c r="B816" s="42">
        <v>23332.720000000001</v>
      </c>
      <c r="C816" s="42">
        <v>184703652000</v>
      </c>
      <c r="D816">
        <f t="shared" si="36"/>
        <v>8460.5499999999993</v>
      </c>
      <c r="E816">
        <f t="shared" si="37"/>
        <v>2.1449999809265137</v>
      </c>
      <c r="F816">
        <f t="shared" si="38"/>
        <v>903.3537</v>
      </c>
      <c r="G816" s="42"/>
      <c r="H816" s="41">
        <v>45796</v>
      </c>
      <c r="I816" s="42">
        <v>8460.5499999999993</v>
      </c>
      <c r="J816" s="41">
        <v>45796</v>
      </c>
      <c r="K816" s="42">
        <v>2.1449999809265137</v>
      </c>
      <c r="L816" s="41">
        <v>45796</v>
      </c>
      <c r="M816" s="42">
        <v>903.3537</v>
      </c>
    </row>
    <row r="817" spans="1:13">
      <c r="A817" s="41">
        <v>45797</v>
      </c>
      <c r="B817" s="42">
        <v>23681.48</v>
      </c>
      <c r="C817" s="42">
        <v>205736161800</v>
      </c>
      <c r="D817">
        <f t="shared" si="36"/>
        <v>8589.08</v>
      </c>
      <c r="E817">
        <f t="shared" si="37"/>
        <v>1.9872599840164185</v>
      </c>
      <c r="F817">
        <f t="shared" si="38"/>
        <v>919.67740000000003</v>
      </c>
      <c r="G817" s="42"/>
      <c r="H817" s="41">
        <v>45797</v>
      </c>
      <c r="I817" s="42">
        <v>8589.08</v>
      </c>
      <c r="J817" s="41">
        <v>45797</v>
      </c>
      <c r="K817" s="42">
        <v>1.9872599840164185</v>
      </c>
      <c r="L817" s="41">
        <v>45797</v>
      </c>
      <c r="M817" s="42">
        <v>919.67740000000003</v>
      </c>
    </row>
    <row r="818" spans="1:13">
      <c r="A818" s="41">
        <v>45798</v>
      </c>
      <c r="B818" s="42">
        <v>23827.78</v>
      </c>
      <c r="C818" s="42">
        <v>216253935500</v>
      </c>
      <c r="D818">
        <f t="shared" si="36"/>
        <v>8660.94</v>
      </c>
      <c r="E818">
        <f t="shared" si="37"/>
        <v>1.8084499835968018</v>
      </c>
      <c r="F818">
        <f t="shared" si="38"/>
        <v>909.18020000000001</v>
      </c>
      <c r="G818" s="42"/>
      <c r="H818" s="41">
        <v>45798</v>
      </c>
      <c r="I818" s="42">
        <v>8660.94</v>
      </c>
      <c r="J818" s="41">
        <v>45798</v>
      </c>
      <c r="K818" s="42">
        <v>1.8084499835968018</v>
      </c>
      <c r="L818" s="41">
        <v>45798</v>
      </c>
      <c r="M818" s="42">
        <v>909.18020000000001</v>
      </c>
    </row>
    <row r="819" spans="1:13">
      <c r="A819" s="41">
        <v>45799</v>
      </c>
      <c r="B819" s="42">
        <v>23544.31</v>
      </c>
      <c r="C819" s="42">
        <v>198229182700</v>
      </c>
      <c r="D819">
        <f t="shared" si="36"/>
        <v>8557.64</v>
      </c>
      <c r="E819">
        <f t="shared" si="37"/>
        <v>1.7097599506378174</v>
      </c>
      <c r="F819">
        <f t="shared" si="38"/>
        <v>890.0616</v>
      </c>
      <c r="G819" s="42"/>
      <c r="H819" s="41">
        <v>45799</v>
      </c>
      <c r="I819" s="42">
        <v>8557.64</v>
      </c>
      <c r="J819" s="41">
        <v>45799</v>
      </c>
      <c r="K819" s="42">
        <v>1.7097599506378174</v>
      </c>
      <c r="L819" s="41">
        <v>45799</v>
      </c>
      <c r="M819" s="42">
        <v>890.0616</v>
      </c>
    </row>
    <row r="820" spans="1:13">
      <c r="A820" s="41">
        <v>45800</v>
      </c>
      <c r="B820" s="42">
        <v>23601.26</v>
      </c>
      <c r="C820" s="42">
        <v>203670645200</v>
      </c>
      <c r="D820">
        <f t="shared" si="36"/>
        <v>8583.86</v>
      </c>
      <c r="E820">
        <f t="shared" si="37"/>
        <v>1.5528600215911865</v>
      </c>
      <c r="F820">
        <f t="shared" si="38"/>
        <v>876.09550000000002</v>
      </c>
      <c r="G820" s="42"/>
      <c r="H820" s="41">
        <v>45800</v>
      </c>
      <c r="I820" s="42">
        <v>8583.86</v>
      </c>
      <c r="J820" s="41">
        <v>45800</v>
      </c>
      <c r="K820" s="42">
        <v>1.5528600215911865</v>
      </c>
      <c r="L820" s="41">
        <v>45800</v>
      </c>
      <c r="M820" s="42">
        <v>876.09550000000002</v>
      </c>
    </row>
    <row r="821" spans="1:13">
      <c r="A821" s="41">
        <v>45803</v>
      </c>
      <c r="B821" s="42">
        <v>23282.33</v>
      </c>
      <c r="C821" s="42">
        <v>223520328600</v>
      </c>
      <c r="D821">
        <f t="shared" si="36"/>
        <v>8437.64</v>
      </c>
      <c r="E821">
        <f t="shared" si="37"/>
        <v>1.3695199489593506</v>
      </c>
      <c r="F821">
        <f t="shared" si="38"/>
        <v>885.14250000000004</v>
      </c>
      <c r="G821" s="42"/>
      <c r="H821" s="41">
        <v>45803</v>
      </c>
      <c r="I821" s="42">
        <v>8437.64</v>
      </c>
      <c r="J821" s="41">
        <v>45803</v>
      </c>
      <c r="K821" s="42">
        <v>1.3695199489593506</v>
      </c>
      <c r="L821" s="41">
        <v>45803</v>
      </c>
      <c r="M821" s="42">
        <v>885.14250000000004</v>
      </c>
    </row>
    <row r="822" spans="1:13">
      <c r="A822" s="41">
        <v>45804</v>
      </c>
      <c r="B822" s="42">
        <v>23381.99</v>
      </c>
      <c r="C822" s="42">
        <v>203268261000</v>
      </c>
      <c r="D822">
        <f t="shared" si="36"/>
        <v>8469.9699999999993</v>
      </c>
      <c r="E822">
        <f t="shared" si="37"/>
        <v>1.3671400547027588</v>
      </c>
      <c r="F822">
        <f t="shared" si="38"/>
        <v>888.28859999999997</v>
      </c>
      <c r="G822" s="42"/>
      <c r="H822" s="41">
        <v>45804</v>
      </c>
      <c r="I822" s="42">
        <v>8469.9699999999993</v>
      </c>
      <c r="J822" s="41">
        <v>45804</v>
      </c>
      <c r="K822" s="42">
        <v>1.3671400547027588</v>
      </c>
      <c r="L822" s="41">
        <v>45804</v>
      </c>
      <c r="M822" s="42">
        <v>888.28859999999997</v>
      </c>
    </row>
    <row r="823" spans="1:13">
      <c r="A823" s="41">
        <v>45805</v>
      </c>
      <c r="B823" s="42">
        <v>23258.31</v>
      </c>
      <c r="C823" s="42">
        <v>180816274600</v>
      </c>
      <c r="D823">
        <f t="shared" si="36"/>
        <v>8443.8700000000008</v>
      </c>
      <c r="E823">
        <f t="shared" si="37"/>
        <v>1.3777400255203247</v>
      </c>
      <c r="F823">
        <f t="shared" si="38"/>
        <v>881.50660000000005</v>
      </c>
      <c r="G823" s="42"/>
      <c r="H823" s="41">
        <v>45805</v>
      </c>
      <c r="I823" s="42">
        <v>8443.8700000000008</v>
      </c>
      <c r="J823" s="41">
        <v>45805</v>
      </c>
      <c r="K823" s="42">
        <v>1.3777400255203247</v>
      </c>
      <c r="L823" s="41">
        <v>45805</v>
      </c>
      <c r="M823" s="42">
        <v>881.50660000000005</v>
      </c>
    </row>
    <row r="824" spans="1:13">
      <c r="A824" s="41">
        <v>45806</v>
      </c>
      <c r="B824" s="42">
        <v>23573.38</v>
      </c>
      <c r="C824" s="42">
        <v>226855067100</v>
      </c>
      <c r="D824">
        <f t="shared" si="36"/>
        <v>8559.7099999999991</v>
      </c>
      <c r="E824">
        <f t="shared" si="37"/>
        <v>1.3228600025177002</v>
      </c>
      <c r="F824">
        <f t="shared" si="38"/>
        <v>885.62760000000003</v>
      </c>
      <c r="G824" s="42"/>
      <c r="H824" s="41">
        <v>45806</v>
      </c>
      <c r="I824" s="42">
        <v>8559.7099999999991</v>
      </c>
      <c r="J824" s="41">
        <v>45806</v>
      </c>
      <c r="K824" s="42">
        <v>1.3228600025177002</v>
      </c>
      <c r="L824" s="41">
        <v>45806</v>
      </c>
      <c r="M824" s="42">
        <v>885.62760000000003</v>
      </c>
    </row>
    <row r="825" spans="1:13">
      <c r="A825" s="41">
        <v>45807</v>
      </c>
      <c r="B825" s="42">
        <v>23289.77</v>
      </c>
      <c r="C825" s="42">
        <v>271562659700</v>
      </c>
      <c r="D825">
        <f t="shared" si="36"/>
        <v>8432.02</v>
      </c>
      <c r="E825">
        <f t="shared" si="37"/>
        <v>1.3228600025177002</v>
      </c>
      <c r="F825">
        <f t="shared" si="38"/>
        <v>914.22059999999999</v>
      </c>
      <c r="G825" s="42"/>
      <c r="H825" s="41">
        <v>45807</v>
      </c>
      <c r="I825" s="42">
        <v>8432.02</v>
      </c>
      <c r="J825" s="41">
        <v>45807</v>
      </c>
      <c r="K825" s="42">
        <v>1.3228600025177002</v>
      </c>
      <c r="L825" s="41">
        <v>45807</v>
      </c>
      <c r="M825" s="42">
        <v>914.22059999999999</v>
      </c>
    </row>
    <row r="826" spans="1:13">
      <c r="A826" s="41">
        <v>45811</v>
      </c>
      <c r="B826" s="42">
        <v>23512.49</v>
      </c>
      <c r="C826" s="42">
        <v>203681015400</v>
      </c>
      <c r="D826">
        <f t="shared" si="36"/>
        <v>8519.86</v>
      </c>
      <c r="E826">
        <f t="shared" si="37"/>
        <v>1.7604800462722778</v>
      </c>
      <c r="F826">
        <f t="shared" si="38"/>
        <v>923.64</v>
      </c>
      <c r="G826" s="42"/>
      <c r="H826" s="41">
        <v>45811</v>
      </c>
      <c r="I826" s="42">
        <v>8519.86</v>
      </c>
      <c r="J826" s="41">
        <v>45811</v>
      </c>
      <c r="K826" s="42">
        <v>1.7604800462722778</v>
      </c>
      <c r="L826" s="41">
        <v>45811</v>
      </c>
      <c r="M826" s="42">
        <v>923.64</v>
      </c>
    </row>
    <row r="827" spans="1:13">
      <c r="A827" s="41">
        <v>45812</v>
      </c>
      <c r="B827" s="42">
        <v>23654.03</v>
      </c>
      <c r="C827" s="42">
        <v>212686816500</v>
      </c>
      <c r="D827">
        <f t="shared" si="36"/>
        <v>8576.75</v>
      </c>
      <c r="E827">
        <f t="shared" si="37"/>
        <v>1.7527999877929688</v>
      </c>
      <c r="F827">
        <f t="shared" si="38"/>
        <v>927.21199999999999</v>
      </c>
      <c r="G827" s="42"/>
      <c r="H827" s="41">
        <v>45812</v>
      </c>
      <c r="I827" s="42">
        <v>8576.75</v>
      </c>
      <c r="J827" s="41">
        <v>45812</v>
      </c>
      <c r="K827" s="42">
        <v>1.7527999877929688</v>
      </c>
      <c r="L827" s="41">
        <v>45812</v>
      </c>
      <c r="M827" s="42">
        <v>927.21199999999999</v>
      </c>
    </row>
    <row r="828" spans="1:13">
      <c r="A828" s="41">
        <v>45813</v>
      </c>
      <c r="B828" s="42">
        <v>23906.97</v>
      </c>
      <c r="C828" s="42">
        <v>222025663700</v>
      </c>
      <c r="D828">
        <f t="shared" si="36"/>
        <v>8684.73</v>
      </c>
      <c r="E828">
        <f t="shared" si="37"/>
        <v>1.7722599506378174</v>
      </c>
      <c r="F828">
        <f t="shared" si="38"/>
        <v>909.12329999999997</v>
      </c>
      <c r="G828" s="42"/>
      <c r="H828" s="41">
        <v>45813</v>
      </c>
      <c r="I828" s="42">
        <v>8684.73</v>
      </c>
      <c r="J828" s="41">
        <v>45813</v>
      </c>
      <c r="K828" s="42">
        <v>1.7722599506378174</v>
      </c>
      <c r="L828" s="41">
        <v>45813</v>
      </c>
      <c r="M828" s="42">
        <v>909.12329999999997</v>
      </c>
    </row>
    <row r="829" spans="1:13">
      <c r="A829" s="41">
        <v>45814</v>
      </c>
      <c r="B829" s="42">
        <v>23792.54</v>
      </c>
      <c r="C829" s="42">
        <v>235621818400</v>
      </c>
      <c r="D829">
        <f t="shared" si="36"/>
        <v>8629.75</v>
      </c>
      <c r="E829">
        <f t="shared" si="37"/>
        <v>1.7388099431991577</v>
      </c>
      <c r="F829">
        <f t="shared" si="38"/>
        <v>913.09450000000004</v>
      </c>
      <c r="G829" s="42"/>
      <c r="H829" s="41">
        <v>45814</v>
      </c>
      <c r="I829" s="42">
        <v>8629.75</v>
      </c>
      <c r="J829" s="41">
        <v>45814</v>
      </c>
      <c r="K829" s="42">
        <v>1.7388099431991577</v>
      </c>
      <c r="L829" s="41">
        <v>45814</v>
      </c>
      <c r="M829" s="42">
        <v>913.09450000000004</v>
      </c>
    </row>
    <row r="830" spans="1:13">
      <c r="A830" s="41">
        <v>45817</v>
      </c>
      <c r="B830" s="42">
        <v>24181.43</v>
      </c>
      <c r="C830" s="42">
        <v>245828334900</v>
      </c>
      <c r="D830">
        <f t="shared" si="36"/>
        <v>8780.1299999999992</v>
      </c>
      <c r="E830">
        <f t="shared" si="37"/>
        <v>1.7196400165557861</v>
      </c>
      <c r="F830">
        <f t="shared" si="38"/>
        <v>929.93280000000004</v>
      </c>
      <c r="G830" s="42"/>
      <c r="H830" s="41">
        <v>45817</v>
      </c>
      <c r="I830" s="42">
        <v>8780.1299999999992</v>
      </c>
      <c r="J830" s="41">
        <v>45817</v>
      </c>
      <c r="K830" s="42">
        <v>1.7196400165557861</v>
      </c>
      <c r="L830" s="41">
        <v>45817</v>
      </c>
      <c r="M830" s="42">
        <v>929.93280000000004</v>
      </c>
    </row>
    <row r="831" spans="1:13">
      <c r="A831" s="41">
        <v>45818</v>
      </c>
      <c r="B831" s="42">
        <v>24162.87</v>
      </c>
      <c r="C831" s="42">
        <v>250339369600</v>
      </c>
      <c r="D831">
        <f t="shared" si="36"/>
        <v>8767.36</v>
      </c>
      <c r="E831">
        <f t="shared" si="37"/>
        <v>1.6971399784088135</v>
      </c>
      <c r="F831">
        <f t="shared" si="38"/>
        <v>925.42539999999997</v>
      </c>
      <c r="G831" s="42"/>
      <c r="H831" s="41">
        <v>45818</v>
      </c>
      <c r="I831" s="42">
        <v>8767.36</v>
      </c>
      <c r="J831" s="41">
        <v>45818</v>
      </c>
      <c r="K831" s="42">
        <v>1.6971399784088135</v>
      </c>
      <c r="L831" s="41">
        <v>45818</v>
      </c>
      <c r="M831" s="42">
        <v>925.42539999999997</v>
      </c>
    </row>
    <row r="832" spans="1:13">
      <c r="A832" s="41">
        <v>45819</v>
      </c>
      <c r="B832" s="42">
        <v>24366.94</v>
      </c>
      <c r="C832" s="42">
        <v>235173134100</v>
      </c>
      <c r="D832">
        <f t="shared" si="36"/>
        <v>8865.7199999999993</v>
      </c>
      <c r="E832">
        <f t="shared" si="37"/>
        <v>1.7222599983215332</v>
      </c>
      <c r="F832">
        <f t="shared" si="38"/>
        <v>944.59010000000001</v>
      </c>
      <c r="G832" s="42"/>
      <c r="H832" s="41">
        <v>45819</v>
      </c>
      <c r="I832" s="42">
        <v>8865.7199999999993</v>
      </c>
      <c r="J832" s="41">
        <v>45819</v>
      </c>
      <c r="K832" s="42">
        <v>1.7222599983215332</v>
      </c>
      <c r="L832" s="41">
        <v>45819</v>
      </c>
      <c r="M832" s="42">
        <v>944.59010000000001</v>
      </c>
    </row>
    <row r="833" spans="1:13">
      <c r="A833" s="41">
        <v>45820</v>
      </c>
      <c r="B833" s="42">
        <v>24035.38</v>
      </c>
      <c r="C833" s="42">
        <v>244412255200</v>
      </c>
      <c r="D833">
        <f t="shared" si="36"/>
        <v>8729.9599999999991</v>
      </c>
      <c r="E833">
        <f t="shared" si="37"/>
        <v>1.7285699844360352</v>
      </c>
      <c r="F833">
        <f t="shared" si="38"/>
        <v>929.15660000000003</v>
      </c>
      <c r="G833" s="42"/>
      <c r="H833" s="41">
        <v>45820</v>
      </c>
      <c r="I833" s="42">
        <v>8729.9599999999991</v>
      </c>
      <c r="J833" s="41">
        <v>45820</v>
      </c>
      <c r="K833" s="42">
        <v>1.7285699844360352</v>
      </c>
      <c r="L833" s="41">
        <v>45820</v>
      </c>
      <c r="M833" s="42">
        <v>929.15660000000003</v>
      </c>
    </row>
    <row r="834" spans="1:13">
      <c r="A834" s="41">
        <v>45821</v>
      </c>
      <c r="B834" s="42">
        <v>23892.560000000001</v>
      </c>
      <c r="C834" s="42">
        <v>294286969200</v>
      </c>
      <c r="D834">
        <f t="shared" si="36"/>
        <v>8655.33</v>
      </c>
      <c r="E834">
        <f t="shared" si="37"/>
        <v>1.7000000476837158</v>
      </c>
      <c r="F834">
        <f t="shared" si="38"/>
        <v>917.48800000000006</v>
      </c>
      <c r="G834" s="42"/>
      <c r="H834" s="41">
        <v>45821</v>
      </c>
      <c r="I834" s="42">
        <v>8655.33</v>
      </c>
      <c r="J834" s="41">
        <v>45821</v>
      </c>
      <c r="K834" s="42">
        <v>1.7000000476837158</v>
      </c>
      <c r="L834" s="41">
        <v>45821</v>
      </c>
      <c r="M834" s="42">
        <v>917.48800000000006</v>
      </c>
    </row>
    <row r="835" spans="1:13">
      <c r="A835" s="41">
        <v>45824</v>
      </c>
      <c r="B835" s="42">
        <v>24060.99</v>
      </c>
      <c r="C835" s="42">
        <v>229241002700</v>
      </c>
      <c r="D835">
        <f t="shared" si="36"/>
        <v>8729.99</v>
      </c>
      <c r="E835">
        <f t="shared" si="37"/>
        <v>1.6239299774169922</v>
      </c>
      <c r="F835">
        <f t="shared" si="38"/>
        <v>912.41899999999998</v>
      </c>
      <c r="G835" s="42"/>
      <c r="H835" s="41">
        <v>45824</v>
      </c>
      <c r="I835" s="42">
        <v>8729.99</v>
      </c>
      <c r="J835" s="41">
        <v>45824</v>
      </c>
      <c r="K835" s="42">
        <v>1.6239299774169922</v>
      </c>
      <c r="L835" s="41">
        <v>45824</v>
      </c>
      <c r="M835" s="42">
        <v>912.41899999999998</v>
      </c>
    </row>
    <row r="836" spans="1:13">
      <c r="A836" s="41">
        <v>45825</v>
      </c>
      <c r="B836" s="42">
        <v>23980.3</v>
      </c>
      <c r="C836" s="42">
        <v>202143944100</v>
      </c>
      <c r="D836">
        <f t="shared" ref="D836:D899" si="39">IFERROR(VLOOKUP($A836,$H$3:$I$1100,2,FALSE),"")</f>
        <v>8694.67</v>
      </c>
      <c r="E836">
        <f t="shared" ref="E836:E899" si="40">IFERROR(VLOOKUP($A836,$J$3:$K$1100,2,FALSE),"")</f>
        <v>1.5556600093841553</v>
      </c>
      <c r="F836">
        <f t="shared" ref="F836:F899" si="41">IFERROR(VLOOKUP($A836,$L$3:$M$1100,2,FALSE),"")</f>
        <v>911.18520000000001</v>
      </c>
      <c r="G836" s="42"/>
      <c r="H836" s="41">
        <v>45825</v>
      </c>
      <c r="I836" s="42">
        <v>8694.67</v>
      </c>
      <c r="J836" s="41">
        <v>45825</v>
      </c>
      <c r="K836" s="42">
        <v>1.5556600093841553</v>
      </c>
      <c r="L836" s="41">
        <v>45825</v>
      </c>
      <c r="M836" s="42">
        <v>911.18520000000001</v>
      </c>
    </row>
    <row r="837" spans="1:13">
      <c r="A837" s="41">
        <v>45826</v>
      </c>
      <c r="B837" s="42">
        <v>23710.69</v>
      </c>
      <c r="C837" s="42">
        <v>181928025300</v>
      </c>
      <c r="D837">
        <f t="shared" si="39"/>
        <v>8594.19</v>
      </c>
      <c r="E837">
        <f t="shared" si="40"/>
        <v>1.5409499406814575</v>
      </c>
      <c r="F837">
        <f t="shared" si="41"/>
        <v>896.25250000000005</v>
      </c>
      <c r="G837" s="42"/>
      <c r="H837" s="41">
        <v>45826</v>
      </c>
      <c r="I837" s="42">
        <v>8594.19</v>
      </c>
      <c r="J837" s="41">
        <v>45826</v>
      </c>
      <c r="K837" s="42">
        <v>1.5409499406814575</v>
      </c>
      <c r="L837" s="41">
        <v>45826</v>
      </c>
      <c r="M837" s="42">
        <v>896.25250000000005</v>
      </c>
    </row>
    <row r="838" spans="1:13">
      <c r="A838" s="41">
        <v>45827</v>
      </c>
      <c r="B838" s="42">
        <v>23237.74</v>
      </c>
      <c r="C838" s="42">
        <v>220098795400</v>
      </c>
      <c r="D838">
        <f t="shared" si="39"/>
        <v>8410.94</v>
      </c>
      <c r="E838">
        <f t="shared" si="40"/>
        <v>1.5295799970626831</v>
      </c>
      <c r="F838">
        <f t="shared" si="41"/>
        <v>883.77009999999996</v>
      </c>
      <c r="G838" s="42"/>
      <c r="H838" s="41">
        <v>45827</v>
      </c>
      <c r="I838" s="42">
        <v>8410.94</v>
      </c>
      <c r="J838" s="41">
        <v>45827</v>
      </c>
      <c r="K838" s="42">
        <v>1.5295799970626831</v>
      </c>
      <c r="L838" s="41">
        <v>45827</v>
      </c>
      <c r="M838" s="42">
        <v>883.77009999999996</v>
      </c>
    </row>
    <row r="839" spans="1:13">
      <c r="A839" s="41">
        <v>45828</v>
      </c>
      <c r="B839" s="42">
        <v>23530.48</v>
      </c>
      <c r="C839" s="42">
        <v>222422781300</v>
      </c>
      <c r="D839">
        <f t="shared" si="39"/>
        <v>8527.07</v>
      </c>
      <c r="E839">
        <f t="shared" si="40"/>
        <v>1.5146399736404419</v>
      </c>
      <c r="F839">
        <f t="shared" si="41"/>
        <v>875.44899999999996</v>
      </c>
      <c r="G839" s="42"/>
      <c r="H839" s="41">
        <v>45828</v>
      </c>
      <c r="I839" s="42">
        <v>8527.07</v>
      </c>
      <c r="J839" s="41">
        <v>45828</v>
      </c>
      <c r="K839" s="42">
        <v>1.5146399736404419</v>
      </c>
      <c r="L839" s="41">
        <v>45828</v>
      </c>
      <c r="M839" s="42">
        <v>875.44899999999996</v>
      </c>
    </row>
    <row r="840" spans="1:13">
      <c r="A840" s="41">
        <v>45831</v>
      </c>
      <c r="B840" s="42">
        <v>23689.13</v>
      </c>
      <c r="C840" s="42">
        <v>198590595900</v>
      </c>
      <c r="D840">
        <f t="shared" si="39"/>
        <v>8597.36</v>
      </c>
      <c r="E840">
        <f t="shared" si="40"/>
        <v>1.5175000429153442</v>
      </c>
      <c r="F840">
        <f t="shared" si="41"/>
        <v>877.02070000000003</v>
      </c>
      <c r="G840" s="42"/>
      <c r="H840" s="41">
        <v>45831</v>
      </c>
      <c r="I840" s="42">
        <v>8597.36</v>
      </c>
      <c r="J840" s="41">
        <v>45831</v>
      </c>
      <c r="K840" s="42">
        <v>1.5175000429153442</v>
      </c>
      <c r="L840" s="41">
        <v>45831</v>
      </c>
      <c r="M840" s="42">
        <v>877.02070000000003</v>
      </c>
    </row>
    <row r="841" spans="1:13">
      <c r="A841" s="41">
        <v>45832</v>
      </c>
      <c r="B841" s="42">
        <v>24177.07</v>
      </c>
      <c r="C841" s="42">
        <v>240481548600</v>
      </c>
      <c r="D841">
        <f t="shared" si="39"/>
        <v>8760.4500000000007</v>
      </c>
      <c r="E841">
        <f t="shared" si="40"/>
        <v>1.5507099628448486</v>
      </c>
      <c r="F841">
        <f t="shared" si="41"/>
        <v>886.92470000000003</v>
      </c>
      <c r="G841" s="42"/>
      <c r="H841" s="41">
        <v>45832</v>
      </c>
      <c r="I841" s="42">
        <v>8760.4500000000007</v>
      </c>
      <c r="J841" s="41">
        <v>45832</v>
      </c>
      <c r="K841" s="42">
        <v>1.5507099628448486</v>
      </c>
      <c r="L841" s="41">
        <v>45832</v>
      </c>
      <c r="M841" s="42">
        <v>886.92470000000003</v>
      </c>
    </row>
    <row r="842" spans="1:13">
      <c r="A842" s="41">
        <v>45833</v>
      </c>
      <c r="B842" s="42">
        <v>24474.67</v>
      </c>
      <c r="C842" s="42">
        <v>267800839800</v>
      </c>
      <c r="D842">
        <f t="shared" si="39"/>
        <v>8859.2900000000009</v>
      </c>
      <c r="E842">
        <f t="shared" si="40"/>
        <v>1.7117899656295776</v>
      </c>
      <c r="F842">
        <f t="shared" si="41"/>
        <v>891.41780000000006</v>
      </c>
      <c r="G842" s="42"/>
      <c r="H842" s="41">
        <v>45833</v>
      </c>
      <c r="I842" s="42">
        <v>8859.2900000000009</v>
      </c>
      <c r="J842" s="41">
        <v>45833</v>
      </c>
      <c r="K842" s="42">
        <v>1.7117899656295776</v>
      </c>
      <c r="L842" s="41">
        <v>45833</v>
      </c>
      <c r="M842" s="42">
        <v>891.41780000000006</v>
      </c>
    </row>
    <row r="843" spans="1:13">
      <c r="A843" s="41">
        <v>45834</v>
      </c>
      <c r="B843" s="42">
        <v>24325.4</v>
      </c>
      <c r="C843" s="42">
        <v>261729330900</v>
      </c>
      <c r="D843">
        <f t="shared" si="39"/>
        <v>8803.83</v>
      </c>
      <c r="E843">
        <f t="shared" si="40"/>
        <v>1.7633899450302124</v>
      </c>
      <c r="F843">
        <f t="shared" si="41"/>
        <v>885.96370000000002</v>
      </c>
      <c r="G843" s="42"/>
      <c r="H843" s="41">
        <v>45834</v>
      </c>
      <c r="I843" s="42">
        <v>8803.83</v>
      </c>
      <c r="J843" s="41">
        <v>45834</v>
      </c>
      <c r="K843" s="42">
        <v>1.7633899450302124</v>
      </c>
      <c r="L843" s="41">
        <v>45834</v>
      </c>
      <c r="M843" s="42">
        <v>885.96370000000002</v>
      </c>
    </row>
    <row r="844" spans="1:13">
      <c r="A844" s="41">
        <v>45835</v>
      </c>
      <c r="B844" s="42">
        <v>24284.15</v>
      </c>
      <c r="C844" s="42">
        <v>275114500500</v>
      </c>
      <c r="D844">
        <f t="shared" si="39"/>
        <v>8762.4699999999993</v>
      </c>
      <c r="E844">
        <f t="shared" si="40"/>
        <v>1.7117899656295776</v>
      </c>
      <c r="F844">
        <f t="shared" si="41"/>
        <v>889.13310000000001</v>
      </c>
      <c r="G844" s="42"/>
      <c r="H844" s="41">
        <v>45835</v>
      </c>
      <c r="I844" s="42">
        <v>8762.4699999999993</v>
      </c>
      <c r="J844" s="41">
        <v>45835</v>
      </c>
      <c r="K844" s="42">
        <v>1.7117899656295776</v>
      </c>
      <c r="L844" s="41">
        <v>45835</v>
      </c>
      <c r="M844" s="42">
        <v>889.13310000000001</v>
      </c>
    </row>
    <row r="845" spans="1:13">
      <c r="A845" s="41">
        <v>45838</v>
      </c>
      <c r="B845" s="42">
        <v>24072.28</v>
      </c>
      <c r="C845" s="42">
        <v>242233538900</v>
      </c>
      <c r="D845">
        <f t="shared" si="39"/>
        <v>8678.2999999999993</v>
      </c>
      <c r="E845">
        <f t="shared" si="40"/>
        <v>1.6795799732208252</v>
      </c>
      <c r="F845">
        <f t="shared" si="41"/>
        <v>890.09360000000004</v>
      </c>
      <c r="G845" s="42"/>
      <c r="H845" s="41">
        <v>45838</v>
      </c>
      <c r="I845" s="42">
        <v>8678.2999999999993</v>
      </c>
      <c r="J845" s="41">
        <v>45838</v>
      </c>
      <c r="K845" s="42">
        <v>1.6795799732208252</v>
      </c>
      <c r="L845" s="41">
        <v>45838</v>
      </c>
      <c r="M845" s="42">
        <v>890.09360000000004</v>
      </c>
    </row>
    <row r="846" spans="1:13">
      <c r="A846" s="41">
        <v>45839</v>
      </c>
      <c r="B846" s="42">
        <v>24072.28</v>
      </c>
      <c r="C846" s="42"/>
      <c r="D846">
        <f t="shared" si="39"/>
        <v>8678.2999999999993</v>
      </c>
      <c r="E846">
        <f t="shared" si="40"/>
        <v>0</v>
      </c>
      <c r="F846">
        <f t="shared" si="41"/>
        <v>892.44619999999998</v>
      </c>
      <c r="G846" s="42"/>
      <c r="H846" s="41">
        <v>45839</v>
      </c>
      <c r="I846" s="42">
        <v>8678.2999999999993</v>
      </c>
      <c r="J846" s="41">
        <v>45839</v>
      </c>
      <c r="K846" s="42"/>
      <c r="L846" s="41">
        <v>45839</v>
      </c>
      <c r="M846" s="42">
        <v>892.44619999999998</v>
      </c>
    </row>
    <row r="847" spans="1:13">
      <c r="A847" s="41">
        <v>45840</v>
      </c>
      <c r="B847" s="42">
        <v>24221.41</v>
      </c>
      <c r="C847" s="42">
        <v>240224918400</v>
      </c>
      <c r="D847">
        <f t="shared" si="39"/>
        <v>8724.9</v>
      </c>
      <c r="E847">
        <f t="shared" si="40"/>
        <v>1.7058900594711304</v>
      </c>
      <c r="F847">
        <f t="shared" si="41"/>
        <v>907.31600000000003</v>
      </c>
      <c r="G847" s="42"/>
      <c r="H847" s="41">
        <v>45840</v>
      </c>
      <c r="I847" s="42">
        <v>8724.9</v>
      </c>
      <c r="J847" s="41">
        <v>45840</v>
      </c>
      <c r="K847" s="42">
        <v>1.7058900594711304</v>
      </c>
      <c r="L847" s="41">
        <v>45840</v>
      </c>
      <c r="M847" s="42">
        <v>907.31600000000003</v>
      </c>
    </row>
    <row r="848" spans="1:13">
      <c r="A848" s="41">
        <v>45841</v>
      </c>
      <c r="B848" s="42">
        <v>24069.94</v>
      </c>
      <c r="C848" s="42">
        <v>231246702500</v>
      </c>
      <c r="D848">
        <f t="shared" si="39"/>
        <v>8648.44</v>
      </c>
      <c r="E848">
        <f t="shared" si="40"/>
        <v>1.7000000476837158</v>
      </c>
      <c r="F848">
        <f t="shared" si="41"/>
        <v>908.2106</v>
      </c>
      <c r="G848" s="42"/>
      <c r="H848" s="41">
        <v>45841</v>
      </c>
      <c r="I848" s="42">
        <v>8648.44</v>
      </c>
      <c r="J848" s="41">
        <v>45841</v>
      </c>
      <c r="K848" s="42">
        <v>1.7000000476837158</v>
      </c>
      <c r="L848" s="41">
        <v>45841</v>
      </c>
      <c r="M848" s="42">
        <v>908.2106</v>
      </c>
    </row>
    <row r="849" spans="1:13">
      <c r="A849" s="41">
        <v>45842</v>
      </c>
      <c r="B849" s="42">
        <v>23916.06</v>
      </c>
      <c r="C849" s="42">
        <v>267807953700</v>
      </c>
      <c r="D849">
        <f t="shared" si="39"/>
        <v>8609.27</v>
      </c>
      <c r="E849">
        <f t="shared" si="40"/>
        <v>1.7843500375747681</v>
      </c>
      <c r="F849">
        <f t="shared" si="41"/>
        <v>909.59339999999997</v>
      </c>
      <c r="G849" s="42"/>
      <c r="H849" s="41">
        <v>45842</v>
      </c>
      <c r="I849" s="42">
        <v>8609.27</v>
      </c>
      <c r="J849" s="41">
        <v>45842</v>
      </c>
      <c r="K849" s="42">
        <v>1.7843500375747681</v>
      </c>
      <c r="L849" s="41">
        <v>45842</v>
      </c>
      <c r="M849" s="42">
        <v>909.59339999999997</v>
      </c>
    </row>
    <row r="850" spans="1:13">
      <c r="A850" s="41">
        <v>45845</v>
      </c>
      <c r="B850" s="42">
        <v>23887.83</v>
      </c>
      <c r="C850" s="42">
        <v>193790401400</v>
      </c>
      <c r="D850">
        <f t="shared" si="39"/>
        <v>8608.5400000000009</v>
      </c>
      <c r="E850">
        <f t="shared" si="40"/>
        <v>1.8148800134658813</v>
      </c>
      <c r="F850">
        <f t="shared" si="41"/>
        <v>907.46130000000005</v>
      </c>
      <c r="G850" s="42"/>
      <c r="H850" s="41">
        <v>45845</v>
      </c>
      <c r="I850" s="42">
        <v>8608.5400000000009</v>
      </c>
      <c r="J850" s="41">
        <v>45845</v>
      </c>
      <c r="K850" s="42">
        <v>1.8148800134658813</v>
      </c>
      <c r="L850" s="41">
        <v>45845</v>
      </c>
      <c r="M850" s="42">
        <v>907.46130000000005</v>
      </c>
    </row>
    <row r="851" spans="1:13">
      <c r="A851" s="41">
        <v>45846</v>
      </c>
      <c r="B851" s="42">
        <v>24148.07</v>
      </c>
      <c r="C851" s="42">
        <v>213288748300</v>
      </c>
      <c r="D851">
        <f t="shared" si="39"/>
        <v>8708.66</v>
      </c>
      <c r="E851">
        <f t="shared" si="40"/>
        <v>1.8146400451660156</v>
      </c>
      <c r="F851">
        <f t="shared" si="41"/>
        <v>909.53570000000002</v>
      </c>
      <c r="G851" s="42"/>
      <c r="H851" s="41">
        <v>45846</v>
      </c>
      <c r="I851" s="42">
        <v>8708.66</v>
      </c>
      <c r="J851" s="41">
        <v>45846</v>
      </c>
      <c r="K851" s="42">
        <v>1.8146400451660156</v>
      </c>
      <c r="L851" s="41">
        <v>45846</v>
      </c>
      <c r="M851" s="42">
        <v>909.53570000000002</v>
      </c>
    </row>
    <row r="852" spans="1:13">
      <c r="A852" s="41">
        <v>45847</v>
      </c>
      <c r="B852" s="42">
        <v>23892.32</v>
      </c>
      <c r="C852" s="42">
        <v>233878411500</v>
      </c>
      <c r="D852">
        <f t="shared" si="39"/>
        <v>8597.27</v>
      </c>
      <c r="E852">
        <f t="shared" si="40"/>
        <v>1.8039300441741943</v>
      </c>
      <c r="F852">
        <f t="shared" si="41"/>
        <v>925.12019999999995</v>
      </c>
      <c r="G852" s="42"/>
      <c r="H852" s="41">
        <v>45847</v>
      </c>
      <c r="I852" s="42">
        <v>8597.27</v>
      </c>
      <c r="J852" s="41">
        <v>45847</v>
      </c>
      <c r="K852" s="42">
        <v>1.8039300441741943</v>
      </c>
      <c r="L852" s="41">
        <v>45847</v>
      </c>
      <c r="M852" s="42">
        <v>925.12019999999995</v>
      </c>
    </row>
    <row r="853" spans="1:13">
      <c r="A853" s="41">
        <v>45848</v>
      </c>
      <c r="B853" s="42">
        <v>24028.37</v>
      </c>
      <c r="C853" s="42">
        <v>246727515000</v>
      </c>
      <c r="D853">
        <f t="shared" si="39"/>
        <v>8668.26</v>
      </c>
      <c r="E853">
        <f t="shared" si="40"/>
        <v>1.7999999523162842</v>
      </c>
      <c r="F853">
        <f t="shared" si="41"/>
        <v>927.64430000000004</v>
      </c>
      <c r="G853" s="42"/>
      <c r="H853" s="41">
        <v>45848</v>
      </c>
      <c r="I853" s="42">
        <v>8668.26</v>
      </c>
      <c r="J853" s="41">
        <v>45848</v>
      </c>
      <c r="K853" s="42">
        <v>1.7999999523162842</v>
      </c>
      <c r="L853" s="41">
        <v>45848</v>
      </c>
      <c r="M853" s="42">
        <v>927.64430000000004</v>
      </c>
    </row>
    <row r="854" spans="1:13">
      <c r="A854" s="41">
        <v>45849</v>
      </c>
      <c r="B854" s="42">
        <v>24139.57</v>
      </c>
      <c r="C854" s="42">
        <v>323950214500</v>
      </c>
      <c r="D854">
        <f t="shared" si="39"/>
        <v>8687.56</v>
      </c>
      <c r="E854">
        <f t="shared" si="40"/>
        <v>1.8485699892044067</v>
      </c>
      <c r="F854">
        <f t="shared" si="41"/>
        <v>933.36339999999996</v>
      </c>
      <c r="G854" s="42"/>
      <c r="H854" s="41">
        <v>45849</v>
      </c>
      <c r="I854" s="42">
        <v>8687.56</v>
      </c>
      <c r="J854" s="41">
        <v>45849</v>
      </c>
      <c r="K854" s="42">
        <v>1.8485699892044067</v>
      </c>
      <c r="L854" s="41">
        <v>45849</v>
      </c>
      <c r="M854" s="42">
        <v>933.36339999999996</v>
      </c>
    </row>
    <row r="855" spans="1:13">
      <c r="A855" s="41">
        <v>45852</v>
      </c>
      <c r="B855" s="42">
        <v>24203.32</v>
      </c>
      <c r="C855" s="42">
        <v>210362591400</v>
      </c>
      <c r="D855">
        <f t="shared" si="39"/>
        <v>8732.74</v>
      </c>
      <c r="E855">
        <f t="shared" si="40"/>
        <v>1.9021400213241577</v>
      </c>
      <c r="F855">
        <f t="shared" si="41"/>
        <v>930.13040000000001</v>
      </c>
      <c r="G855" s="42"/>
      <c r="H855" s="41">
        <v>45852</v>
      </c>
      <c r="I855" s="42">
        <v>8732.74</v>
      </c>
      <c r="J855" s="41">
        <v>45852</v>
      </c>
      <c r="K855" s="42">
        <v>1.9021400213241577</v>
      </c>
      <c r="L855" s="41">
        <v>45852</v>
      </c>
      <c r="M855" s="42">
        <v>930.13040000000001</v>
      </c>
    </row>
    <row r="856" spans="1:13">
      <c r="A856" s="41">
        <v>45853</v>
      </c>
      <c r="B856" s="42">
        <v>24590.12</v>
      </c>
      <c r="C856" s="42">
        <v>288400280600</v>
      </c>
      <c r="D856">
        <f t="shared" si="39"/>
        <v>8877.1</v>
      </c>
      <c r="E856">
        <f t="shared" si="40"/>
        <v>1.9127999544143677</v>
      </c>
      <c r="F856">
        <f t="shared" si="41"/>
        <v>911.19970000000001</v>
      </c>
      <c r="G856" s="42"/>
      <c r="H856" s="41">
        <v>45853</v>
      </c>
      <c r="I856" s="42">
        <v>8877.1</v>
      </c>
      <c r="J856" s="41">
        <v>45853</v>
      </c>
      <c r="K856" s="42">
        <v>1.9127999544143677</v>
      </c>
      <c r="L856" s="41">
        <v>45853</v>
      </c>
      <c r="M856" s="42">
        <v>911.19970000000001</v>
      </c>
    </row>
    <row r="857" spans="1:13">
      <c r="A857" s="41">
        <v>45854</v>
      </c>
      <c r="B857" s="42">
        <v>24517.759999999998</v>
      </c>
      <c r="C857" s="42">
        <v>258950550800</v>
      </c>
      <c r="D857">
        <f t="shared" si="39"/>
        <v>8861.39</v>
      </c>
      <c r="E857">
        <f t="shared" si="40"/>
        <v>2.0053598880767822</v>
      </c>
      <c r="F857">
        <f t="shared" si="41"/>
        <v>916.15269999999998</v>
      </c>
      <c r="G857" s="42"/>
      <c r="H857" s="41">
        <v>45854</v>
      </c>
      <c r="I857" s="42">
        <v>8861.39</v>
      </c>
      <c r="J857" s="41">
        <v>45854</v>
      </c>
      <c r="K857" s="42">
        <v>2.0053598880767822</v>
      </c>
      <c r="L857" s="41">
        <v>45854</v>
      </c>
      <c r="M857" s="42">
        <v>916.15269999999998</v>
      </c>
    </row>
    <row r="858" spans="1:13">
      <c r="A858" s="41">
        <v>45855</v>
      </c>
      <c r="B858" s="42">
        <v>24498.95</v>
      </c>
      <c r="C858" s="42">
        <v>236412476800</v>
      </c>
      <c r="D858">
        <f t="shared" si="39"/>
        <v>8853.1</v>
      </c>
      <c r="E858">
        <f t="shared" si="40"/>
        <v>2.0397601127624512</v>
      </c>
      <c r="F858">
        <f t="shared" si="41"/>
        <v>912.97569999999996</v>
      </c>
      <c r="G858" s="42"/>
      <c r="H858" s="41">
        <v>45855</v>
      </c>
      <c r="I858" s="42">
        <v>8853.1</v>
      </c>
      <c r="J858" s="41">
        <v>45855</v>
      </c>
      <c r="K858" s="42">
        <v>2.0397601127624512</v>
      </c>
      <c r="L858" s="41">
        <v>45855</v>
      </c>
      <c r="M858" s="42">
        <v>912.97569999999996</v>
      </c>
    </row>
    <row r="859" spans="1:13">
      <c r="A859" s="41">
        <v>45856</v>
      </c>
      <c r="B859" s="42">
        <v>24825.66</v>
      </c>
      <c r="C859" s="42">
        <v>238690564200</v>
      </c>
      <c r="D859">
        <f t="shared" si="39"/>
        <v>8986.4699999999993</v>
      </c>
      <c r="E859">
        <f t="shared" si="40"/>
        <v>1.9325599670410156</v>
      </c>
      <c r="F859">
        <f t="shared" si="41"/>
        <v>914.29719999999998</v>
      </c>
      <c r="G859" s="42"/>
      <c r="H859" s="41">
        <v>45856</v>
      </c>
      <c r="I859" s="42">
        <v>8986.4699999999993</v>
      </c>
      <c r="J859" s="41">
        <v>45856</v>
      </c>
      <c r="K859" s="42">
        <v>1.9325599670410156</v>
      </c>
      <c r="L859" s="41">
        <v>45856</v>
      </c>
      <c r="M859" s="42">
        <v>914.29719999999998</v>
      </c>
    </row>
    <row r="860" spans="1:13">
      <c r="A860" s="41">
        <v>45859</v>
      </c>
      <c r="B860" s="42">
        <v>24994.14</v>
      </c>
      <c r="C860" s="42">
        <v>263012380600</v>
      </c>
      <c r="D860">
        <f t="shared" si="39"/>
        <v>9040.2000000000007</v>
      </c>
      <c r="E860">
        <f t="shared" si="40"/>
        <v>1.8322000503540039</v>
      </c>
      <c r="F860">
        <f t="shared" si="41"/>
        <v>939.35910000000001</v>
      </c>
      <c r="G860" s="42"/>
      <c r="H860" s="41">
        <v>45859</v>
      </c>
      <c r="I860" s="42">
        <v>9040.2000000000007</v>
      </c>
      <c r="J860" s="41">
        <v>45859</v>
      </c>
      <c r="K860" s="42">
        <v>1.8322000503540039</v>
      </c>
      <c r="L860" s="41">
        <v>45859</v>
      </c>
      <c r="M860" s="42">
        <v>939.35910000000001</v>
      </c>
    </row>
    <row r="861" spans="1:13">
      <c r="A861" s="41">
        <v>45860</v>
      </c>
      <c r="B861" s="42">
        <v>25130.03</v>
      </c>
      <c r="C861" s="42">
        <v>266073350700</v>
      </c>
      <c r="D861">
        <f t="shared" si="39"/>
        <v>9075.6</v>
      </c>
      <c r="E861">
        <f t="shared" si="40"/>
        <v>1.7923799753189087</v>
      </c>
      <c r="F861">
        <f t="shared" si="41"/>
        <v>960.3229</v>
      </c>
      <c r="G861" s="42"/>
      <c r="H861" s="41">
        <v>45860</v>
      </c>
      <c r="I861" s="42">
        <v>9075.6</v>
      </c>
      <c r="J861" s="41">
        <v>45860</v>
      </c>
      <c r="K861" s="42">
        <v>1.7923799753189087</v>
      </c>
      <c r="L861" s="41">
        <v>45860</v>
      </c>
      <c r="M861" s="42">
        <v>960.3229</v>
      </c>
    </row>
    <row r="862" spans="1:13">
      <c r="A862" s="41">
        <v>45861</v>
      </c>
      <c r="B862" s="42">
        <v>25538.07</v>
      </c>
      <c r="C862" s="42">
        <v>333066605100</v>
      </c>
      <c r="D862">
        <f t="shared" si="39"/>
        <v>9241.2000000000007</v>
      </c>
      <c r="E862">
        <f t="shared" si="40"/>
        <v>1.7810100317001343</v>
      </c>
      <c r="F862">
        <f t="shared" si="41"/>
        <v>954.82180000000005</v>
      </c>
      <c r="G862" s="42"/>
      <c r="H862" s="41">
        <v>45861</v>
      </c>
      <c r="I862" s="42">
        <v>9241.2000000000007</v>
      </c>
      <c r="J862" s="41">
        <v>45861</v>
      </c>
      <c r="K862" s="42">
        <v>1.7810100317001343</v>
      </c>
      <c r="L862" s="41">
        <v>45861</v>
      </c>
      <c r="M862" s="42">
        <v>954.82180000000005</v>
      </c>
    </row>
    <row r="863" spans="1:13">
      <c r="A863" s="41">
        <v>45862</v>
      </c>
      <c r="B863" s="42">
        <v>25667.18</v>
      </c>
      <c r="C863" s="42">
        <v>294810921000</v>
      </c>
      <c r="D863">
        <f t="shared" si="39"/>
        <v>9257.6200000000008</v>
      </c>
      <c r="E863">
        <f t="shared" si="40"/>
        <v>1.7627999782562256</v>
      </c>
      <c r="F863">
        <f t="shared" si="41"/>
        <v>954.86090000000002</v>
      </c>
      <c r="G863" s="42"/>
      <c r="H863" s="41">
        <v>45862</v>
      </c>
      <c r="I863" s="42">
        <v>9257.6200000000008</v>
      </c>
      <c r="J863" s="41">
        <v>45862</v>
      </c>
      <c r="K863" s="42">
        <v>1.7627999782562256</v>
      </c>
      <c r="L863" s="41">
        <v>45862</v>
      </c>
      <c r="M863" s="42">
        <v>954.86090000000002</v>
      </c>
    </row>
    <row r="864" spans="1:13">
      <c r="A864" s="41">
        <v>45863</v>
      </c>
      <c r="B864" s="42">
        <v>25388.35</v>
      </c>
      <c r="C864" s="42">
        <v>281769578000</v>
      </c>
      <c r="D864">
        <f t="shared" si="39"/>
        <v>9150.49</v>
      </c>
      <c r="E864">
        <f t="shared" si="40"/>
        <v>1.75</v>
      </c>
      <c r="F864">
        <f t="shared" si="41"/>
        <v>956.1943</v>
      </c>
      <c r="G864" s="42"/>
      <c r="H864" s="41">
        <v>45863</v>
      </c>
      <c r="I864" s="42">
        <v>9150.49</v>
      </c>
      <c r="J864" s="41">
        <v>45863</v>
      </c>
      <c r="K864" s="42">
        <v>1.75</v>
      </c>
      <c r="L864" s="41">
        <v>45863</v>
      </c>
      <c r="M864" s="42">
        <v>956.1943</v>
      </c>
    </row>
    <row r="865" spans="1:13">
      <c r="A865" s="41">
        <v>45866</v>
      </c>
      <c r="B865" s="42">
        <v>25562.13</v>
      </c>
      <c r="C865" s="42">
        <v>250298770100</v>
      </c>
      <c r="D865">
        <f t="shared" si="39"/>
        <v>9177.15</v>
      </c>
      <c r="E865">
        <f t="shared" si="40"/>
        <v>1.7026200294494629</v>
      </c>
      <c r="F865">
        <f t="shared" si="41"/>
        <v>953.74270000000001</v>
      </c>
      <c r="G865" s="42"/>
      <c r="H865" s="41">
        <v>45866</v>
      </c>
      <c r="I865" s="42">
        <v>9177.15</v>
      </c>
      <c r="J865" s="41">
        <v>45866</v>
      </c>
      <c r="K865" s="42">
        <v>1.7026200294494629</v>
      </c>
      <c r="L865" s="41">
        <v>45866</v>
      </c>
      <c r="M865" s="42">
        <v>953.74270000000001</v>
      </c>
    </row>
    <row r="866" spans="1:13">
      <c r="A866" s="41">
        <v>45867</v>
      </c>
      <c r="B866" s="42">
        <v>25524.45</v>
      </c>
      <c r="C866" s="42">
        <v>267009871400</v>
      </c>
      <c r="D866">
        <f t="shared" si="39"/>
        <v>9145.92</v>
      </c>
      <c r="E866">
        <f t="shared" si="40"/>
        <v>1.7021399736404419</v>
      </c>
      <c r="F866">
        <f t="shared" si="41"/>
        <v>940.45159999999998</v>
      </c>
      <c r="G866" s="42"/>
      <c r="H866" s="41">
        <v>45867</v>
      </c>
      <c r="I866" s="42">
        <v>9145.92</v>
      </c>
      <c r="J866" s="41">
        <v>45867</v>
      </c>
      <c r="K866" s="42">
        <v>1.7021399736404419</v>
      </c>
      <c r="L866" s="41">
        <v>45867</v>
      </c>
      <c r="M866" s="42">
        <v>940.45159999999998</v>
      </c>
    </row>
    <row r="867" spans="1:13">
      <c r="A867" s="41">
        <v>45868</v>
      </c>
      <c r="B867" s="42">
        <v>25176.93</v>
      </c>
      <c r="C867" s="42">
        <v>319652349800</v>
      </c>
      <c r="D867">
        <f t="shared" si="39"/>
        <v>9038.27</v>
      </c>
      <c r="E867">
        <f t="shared" si="40"/>
        <v>1.6217900514602661</v>
      </c>
      <c r="F867">
        <f t="shared" si="41"/>
        <v>947.03790000000004</v>
      </c>
      <c r="G867" s="42"/>
      <c r="H867" s="41">
        <v>45868</v>
      </c>
      <c r="I867" s="42">
        <v>9038.27</v>
      </c>
      <c r="J867" s="41">
        <v>45868</v>
      </c>
      <c r="K867" s="42">
        <v>1.6217900514602661</v>
      </c>
      <c r="L867" s="41">
        <v>45868</v>
      </c>
      <c r="M867" s="42">
        <v>947.03790000000004</v>
      </c>
    </row>
    <row r="868" spans="1:13">
      <c r="A868" s="41">
        <v>45869</v>
      </c>
      <c r="B868" s="42">
        <v>24773.33</v>
      </c>
      <c r="C868" s="42">
        <v>320632500400</v>
      </c>
      <c r="D868">
        <f t="shared" si="39"/>
        <v>8882.9500000000007</v>
      </c>
      <c r="E868">
        <f t="shared" si="40"/>
        <v>1.6174999475479126</v>
      </c>
      <c r="F868">
        <f t="shared" si="41"/>
        <v>930.08489999999995</v>
      </c>
      <c r="G868" s="42"/>
      <c r="H868" s="41">
        <v>45869</v>
      </c>
      <c r="I868" s="42">
        <v>8882.9500000000007</v>
      </c>
      <c r="J868" s="41">
        <v>45869</v>
      </c>
      <c r="K868" s="42">
        <v>1.6174999475479126</v>
      </c>
      <c r="L868" s="41">
        <v>45869</v>
      </c>
      <c r="M868" s="42">
        <v>930.08489999999995</v>
      </c>
    </row>
    <row r="869" spans="1:13">
      <c r="A869" s="41">
        <v>45870</v>
      </c>
      <c r="B869" s="42">
        <v>24507.81</v>
      </c>
      <c r="C869" s="42">
        <v>254674288800</v>
      </c>
      <c r="D869">
        <f t="shared" si="39"/>
        <v>8804.42</v>
      </c>
      <c r="E869">
        <f t="shared" si="40"/>
        <v>1.6182099580764771</v>
      </c>
      <c r="F869">
        <f t="shared" si="41"/>
        <v>932.27049999999997</v>
      </c>
      <c r="G869" s="42"/>
      <c r="H869" s="41">
        <v>45870</v>
      </c>
      <c r="I869" s="42">
        <v>8804.42</v>
      </c>
      <c r="J869" s="41">
        <v>45870</v>
      </c>
      <c r="K869" s="42">
        <v>1.6182099580764771</v>
      </c>
      <c r="L869" s="41">
        <v>45870</v>
      </c>
      <c r="M869" s="42">
        <v>932.27049999999997</v>
      </c>
    </row>
    <row r="870" spans="1:13">
      <c r="A870" s="41">
        <v>45873</v>
      </c>
      <c r="B870" s="42">
        <v>24733.45</v>
      </c>
      <c r="C870" s="42">
        <v>234682334400</v>
      </c>
      <c r="D870">
        <f t="shared" si="39"/>
        <v>8893.48</v>
      </c>
      <c r="E870">
        <f t="shared" si="40"/>
        <v>1.5824400186538696</v>
      </c>
      <c r="F870">
        <f t="shared" si="41"/>
        <v>941.69449999999995</v>
      </c>
      <c r="G870" s="42"/>
      <c r="H870" s="41">
        <v>45873</v>
      </c>
      <c r="I870" s="42">
        <v>8893.48</v>
      </c>
      <c r="J870" s="41">
        <v>45873</v>
      </c>
      <c r="K870" s="42">
        <v>1.5824400186538696</v>
      </c>
      <c r="L870" s="41">
        <v>45873</v>
      </c>
      <c r="M870" s="42">
        <v>941.69449999999995</v>
      </c>
    </row>
    <row r="871" spans="1:13">
      <c r="A871" s="41">
        <v>45874</v>
      </c>
      <c r="B871" s="42">
        <v>24902.53</v>
      </c>
      <c r="C871" s="42">
        <v>229398765700</v>
      </c>
      <c r="D871">
        <f t="shared" si="39"/>
        <v>8951.07</v>
      </c>
      <c r="E871">
        <f t="shared" si="40"/>
        <v>0</v>
      </c>
      <c r="F871">
        <f t="shared" si="41"/>
        <v>954.53729999999996</v>
      </c>
      <c r="G871" s="42"/>
      <c r="H871" s="41">
        <v>45874</v>
      </c>
      <c r="I871" s="42">
        <v>8951.07</v>
      </c>
      <c r="J871" s="41">
        <v>45874</v>
      </c>
      <c r="K871" s="42"/>
      <c r="L871" s="41">
        <v>45874</v>
      </c>
      <c r="M871" s="42">
        <v>954.53729999999996</v>
      </c>
    </row>
    <row r="872" spans="1:13">
      <c r="A872" s="41">
        <v>45875</v>
      </c>
      <c r="B872" s="42">
        <v>24910.63</v>
      </c>
      <c r="C872" s="42">
        <v>215235373400</v>
      </c>
      <c r="D872">
        <f t="shared" si="39"/>
        <v>8932.68</v>
      </c>
      <c r="E872">
        <f t="shared" si="40"/>
        <v>1.616070032119751</v>
      </c>
      <c r="F872">
        <f t="shared" si="41"/>
        <v>955.48099999999999</v>
      </c>
      <c r="G872" s="42"/>
      <c r="H872" s="41">
        <v>45875</v>
      </c>
      <c r="I872" s="42">
        <v>8932.68</v>
      </c>
      <c r="J872" s="41">
        <v>45875</v>
      </c>
      <c r="K872" s="42">
        <v>1.616070032119751</v>
      </c>
      <c r="L872" s="41">
        <v>45875</v>
      </c>
      <c r="M872" s="42">
        <v>955.48099999999999</v>
      </c>
    </row>
    <row r="873" spans="1:13">
      <c r="A873" s="41">
        <v>45876</v>
      </c>
      <c r="B873" s="42">
        <v>25081.63</v>
      </c>
      <c r="C873" s="42">
        <v>245748029000</v>
      </c>
      <c r="D873">
        <f t="shared" si="39"/>
        <v>8981.73</v>
      </c>
      <c r="E873">
        <f t="shared" si="40"/>
        <v>1.6470199823379517</v>
      </c>
      <c r="F873">
        <f t="shared" si="41"/>
        <v>961.1644</v>
      </c>
      <c r="G873" s="42"/>
      <c r="H873" s="41">
        <v>45876</v>
      </c>
      <c r="I873" s="42">
        <v>8981.73</v>
      </c>
      <c r="J873" s="41">
        <v>45876</v>
      </c>
      <c r="K873" s="42">
        <v>1.6470199823379517</v>
      </c>
      <c r="L873" s="41">
        <v>45876</v>
      </c>
      <c r="M873" s="42">
        <v>961.1644</v>
      </c>
    </row>
    <row r="874" spans="1:13">
      <c r="A874" s="41">
        <v>45877</v>
      </c>
      <c r="B874" s="42">
        <v>24858.82</v>
      </c>
      <c r="C874" s="42">
        <v>206719900600</v>
      </c>
      <c r="D874">
        <f t="shared" si="39"/>
        <v>8895.2800000000007</v>
      </c>
      <c r="E874">
        <f t="shared" si="40"/>
        <v>1.6267900466918945</v>
      </c>
      <c r="F874">
        <f t="shared" si="41"/>
        <v>973.54579999999999</v>
      </c>
      <c r="G874" s="42"/>
      <c r="H874" s="41">
        <v>45877</v>
      </c>
      <c r="I874" s="42">
        <v>8895.2800000000007</v>
      </c>
      <c r="J874" s="41">
        <v>45877</v>
      </c>
      <c r="K874" s="42">
        <v>1.6267900466918945</v>
      </c>
      <c r="L874" s="41">
        <v>45877</v>
      </c>
      <c r="M874" s="42">
        <v>973.54579999999999</v>
      </c>
    </row>
    <row r="875" spans="1:13">
      <c r="A875" s="41">
        <v>45880</v>
      </c>
      <c r="B875" s="42">
        <v>24906.81</v>
      </c>
      <c r="C875" s="42">
        <v>200901848600</v>
      </c>
      <c r="D875">
        <f t="shared" si="39"/>
        <v>8888.08</v>
      </c>
      <c r="E875">
        <f t="shared" si="40"/>
        <v>1.6289299726486206</v>
      </c>
      <c r="F875">
        <f t="shared" si="41"/>
        <v>989.21349999999995</v>
      </c>
      <c r="G875" s="42"/>
      <c r="H875" s="41">
        <v>45880</v>
      </c>
      <c r="I875" s="42">
        <v>8888.08</v>
      </c>
      <c r="J875" s="41">
        <v>45880</v>
      </c>
      <c r="K875" s="42">
        <v>1.6289299726486206</v>
      </c>
      <c r="L875" s="41">
        <v>45880</v>
      </c>
      <c r="M875" s="42">
        <v>989.21349999999995</v>
      </c>
    </row>
    <row r="876" spans="1:13">
      <c r="A876" s="41">
        <v>45881</v>
      </c>
      <c r="B876" s="42">
        <v>24969.68</v>
      </c>
      <c r="C876" s="42">
        <v>215421262000</v>
      </c>
      <c r="D876">
        <f t="shared" si="39"/>
        <v>8916.85</v>
      </c>
      <c r="E876">
        <f t="shared" si="40"/>
        <v>1.6000000238418579</v>
      </c>
      <c r="F876">
        <f t="shared" si="41"/>
        <v>995.43200000000002</v>
      </c>
      <c r="G876" s="42"/>
      <c r="H876" s="41">
        <v>45881</v>
      </c>
      <c r="I876" s="42">
        <v>8916.85</v>
      </c>
      <c r="J876" s="41">
        <v>45881</v>
      </c>
      <c r="K876" s="42">
        <v>1.6000000238418579</v>
      </c>
      <c r="L876" s="41">
        <v>45881</v>
      </c>
      <c r="M876" s="42">
        <v>995.43200000000002</v>
      </c>
    </row>
    <row r="877" spans="1:13">
      <c r="A877" s="41">
        <v>45882</v>
      </c>
      <c r="B877" s="42">
        <v>25613.67</v>
      </c>
      <c r="C877" s="42">
        <v>284040690500</v>
      </c>
      <c r="D877">
        <f t="shared" si="39"/>
        <v>9150.0499999999993</v>
      </c>
      <c r="E877">
        <f t="shared" si="40"/>
        <v>1.6063699722290039</v>
      </c>
      <c r="F877">
        <f t="shared" si="41"/>
        <v>985.18769999999995</v>
      </c>
      <c r="G877" s="42"/>
      <c r="H877" s="41">
        <v>45882</v>
      </c>
      <c r="I877" s="42">
        <v>9150.0499999999993</v>
      </c>
      <c r="J877" s="41">
        <v>45882</v>
      </c>
      <c r="K877" s="42">
        <v>1.6063699722290039</v>
      </c>
      <c r="L877" s="41">
        <v>45882</v>
      </c>
      <c r="M877" s="42">
        <v>985.18769999999995</v>
      </c>
    </row>
    <row r="878" spans="1:13">
      <c r="A878" s="41">
        <v>45883</v>
      </c>
      <c r="B878" s="42">
        <v>25519.32</v>
      </c>
      <c r="C878" s="42">
        <v>270121180300</v>
      </c>
      <c r="D878">
        <f t="shared" si="39"/>
        <v>9128.93</v>
      </c>
      <c r="E878">
        <f t="shared" si="40"/>
        <v>1.7248799800872803</v>
      </c>
      <c r="F878">
        <f t="shared" si="41"/>
        <v>961.19979999999998</v>
      </c>
      <c r="G878" s="42"/>
      <c r="H878" s="41">
        <v>45883</v>
      </c>
      <c r="I878" s="42">
        <v>9128.93</v>
      </c>
      <c r="J878" s="41">
        <v>45883</v>
      </c>
      <c r="K878" s="42">
        <v>1.7248799800872803</v>
      </c>
      <c r="L878" s="41">
        <v>45883</v>
      </c>
      <c r="M878" s="42">
        <v>961.19979999999998</v>
      </c>
    </row>
    <row r="879" spans="1:13">
      <c r="A879" s="41">
        <v>45884</v>
      </c>
      <c r="B879" s="42">
        <v>25270.07</v>
      </c>
      <c r="C879" s="42">
        <v>312687248000</v>
      </c>
      <c r="D879">
        <f t="shared" si="39"/>
        <v>9039.09</v>
      </c>
      <c r="E879">
        <f t="shared" si="40"/>
        <v>1.8605999946594238</v>
      </c>
      <c r="F879">
        <f t="shared" si="41"/>
        <v>970.37599999999998</v>
      </c>
      <c r="G879" s="42"/>
      <c r="H879" s="41">
        <v>45884</v>
      </c>
      <c r="I879" s="42">
        <v>9039.09</v>
      </c>
      <c r="J879" s="41">
        <v>45884</v>
      </c>
      <c r="K879" s="42">
        <v>1.8605999946594238</v>
      </c>
      <c r="L879" s="41">
        <v>45884</v>
      </c>
      <c r="M879" s="42">
        <v>970.37599999999998</v>
      </c>
    </row>
    <row r="880" spans="1:13">
      <c r="A880" s="41">
        <v>45887</v>
      </c>
      <c r="B880" s="42">
        <v>25176.85</v>
      </c>
      <c r="C880" s="42">
        <v>312782571500</v>
      </c>
      <c r="D880">
        <f t="shared" si="39"/>
        <v>9033.68</v>
      </c>
      <c r="E880">
        <f t="shared" si="40"/>
        <v>2.1833300590515137</v>
      </c>
      <c r="F880">
        <f t="shared" si="41"/>
        <v>970.42610000000002</v>
      </c>
      <c r="G880" s="42"/>
      <c r="H880" s="41">
        <v>45887</v>
      </c>
      <c r="I880" s="42">
        <v>9033.68</v>
      </c>
      <c r="J880" s="41">
        <v>45887</v>
      </c>
      <c r="K880" s="42">
        <v>2.1833300590515137</v>
      </c>
      <c r="L880" s="41">
        <v>45887</v>
      </c>
      <c r="M880" s="42">
        <v>970.42610000000002</v>
      </c>
    </row>
    <row r="881" spans="1:13">
      <c r="A881" s="41">
        <v>45888</v>
      </c>
      <c r="B881" s="42">
        <v>25122.9</v>
      </c>
      <c r="C881" s="42">
        <v>278218261900</v>
      </c>
      <c r="D881">
        <f t="shared" si="39"/>
        <v>9006.23</v>
      </c>
      <c r="E881">
        <f t="shared" si="40"/>
        <v>2.5748798847198486</v>
      </c>
      <c r="F881">
        <f t="shared" si="41"/>
        <v>963.18629999999996</v>
      </c>
      <c r="G881" s="42"/>
      <c r="H881" s="41">
        <v>45888</v>
      </c>
      <c r="I881" s="42">
        <v>9006.23</v>
      </c>
      <c r="J881" s="41">
        <v>45888</v>
      </c>
      <c r="K881" s="42">
        <v>2.5748798847198486</v>
      </c>
      <c r="L881" s="41">
        <v>45888</v>
      </c>
      <c r="M881" s="42">
        <v>963.18629999999996</v>
      </c>
    </row>
    <row r="882" spans="1:13">
      <c r="A882" s="41">
        <v>45889</v>
      </c>
      <c r="B882" s="42">
        <v>25165.94</v>
      </c>
      <c r="C882" s="42">
        <v>285285805600</v>
      </c>
      <c r="D882">
        <f t="shared" si="39"/>
        <v>9013.27</v>
      </c>
      <c r="E882">
        <f t="shared" si="40"/>
        <v>2.9259500503540039</v>
      </c>
      <c r="F882">
        <f t="shared" si="41"/>
        <v>966.06029999999998</v>
      </c>
      <c r="G882" s="42"/>
      <c r="H882" s="41">
        <v>45889</v>
      </c>
      <c r="I882" s="42">
        <v>9013.27</v>
      </c>
      <c r="J882" s="41">
        <v>45889</v>
      </c>
      <c r="K882" s="42">
        <v>2.9259500503540039</v>
      </c>
      <c r="L882" s="41">
        <v>45889</v>
      </c>
      <c r="M882" s="42">
        <v>966.06029999999998</v>
      </c>
    </row>
    <row r="883" spans="1:13">
      <c r="A883" s="41">
        <v>45890</v>
      </c>
      <c r="B883" s="42">
        <v>25104.61</v>
      </c>
      <c r="C883" s="42">
        <v>239486885900</v>
      </c>
      <c r="D883">
        <f t="shared" si="39"/>
        <v>8974.77</v>
      </c>
      <c r="E883">
        <f t="shared" si="40"/>
        <v>2.8754799365997314</v>
      </c>
      <c r="F883">
        <f t="shared" si="41"/>
        <v>974.55809999999997</v>
      </c>
      <c r="G883" s="42"/>
      <c r="H883" s="41">
        <v>45890</v>
      </c>
      <c r="I883" s="42">
        <v>8974.77</v>
      </c>
      <c r="J883" s="41">
        <v>45890</v>
      </c>
      <c r="K883" s="42">
        <v>2.8754799365997314</v>
      </c>
      <c r="L883" s="41">
        <v>45890</v>
      </c>
      <c r="M883" s="42">
        <v>974.55809999999997</v>
      </c>
    </row>
    <row r="884" spans="1:13">
      <c r="A884" s="41">
        <v>45891</v>
      </c>
      <c r="B884" s="42">
        <v>25339.14</v>
      </c>
      <c r="C884" s="42">
        <v>285584116900</v>
      </c>
      <c r="D884">
        <f t="shared" si="39"/>
        <v>9079.93</v>
      </c>
      <c r="E884">
        <f t="shared" si="40"/>
        <v>2.8373799324035645</v>
      </c>
      <c r="F884">
        <f t="shared" si="41"/>
        <v>969.33040000000005</v>
      </c>
      <c r="G884" s="42"/>
      <c r="H884" s="41">
        <v>45891</v>
      </c>
      <c r="I884" s="42">
        <v>9079.93</v>
      </c>
      <c r="J884" s="41">
        <v>45891</v>
      </c>
      <c r="K884" s="42">
        <v>2.8373799324035645</v>
      </c>
      <c r="L884" s="41">
        <v>45891</v>
      </c>
      <c r="M884" s="42">
        <v>969.33040000000005</v>
      </c>
    </row>
    <row r="885" spans="1:13">
      <c r="A885" s="41">
        <v>45894</v>
      </c>
      <c r="B885" s="42">
        <v>25829.91</v>
      </c>
      <c r="C885" s="42">
        <v>369698161700</v>
      </c>
      <c r="D885">
        <f t="shared" si="39"/>
        <v>9248</v>
      </c>
      <c r="E885">
        <f t="shared" si="40"/>
        <v>2.7895200252532959</v>
      </c>
      <c r="F885">
        <f t="shared" si="41"/>
        <v>973.93589999999995</v>
      </c>
      <c r="G885" s="42"/>
      <c r="H885" s="41">
        <v>45894</v>
      </c>
      <c r="I885" s="42">
        <v>9248</v>
      </c>
      <c r="J885" s="41">
        <v>45894</v>
      </c>
      <c r="K885" s="42">
        <v>2.7895200252532959</v>
      </c>
      <c r="L885" s="41">
        <v>45894</v>
      </c>
      <c r="M885" s="42">
        <v>973.93589999999995</v>
      </c>
    </row>
    <row r="886" spans="1:13">
      <c r="A886" s="41">
        <v>45895</v>
      </c>
      <c r="B886" s="42">
        <v>25524.92</v>
      </c>
      <c r="C886" s="42">
        <v>317870916800</v>
      </c>
      <c r="D886">
        <f t="shared" si="39"/>
        <v>9148.66</v>
      </c>
      <c r="E886">
        <f t="shared" si="40"/>
        <v>2.9139299392700195</v>
      </c>
      <c r="F886">
        <f t="shared" si="41"/>
        <v>1006.7284</v>
      </c>
      <c r="G886" s="42"/>
      <c r="H886" s="41">
        <v>45895</v>
      </c>
      <c r="I886" s="42">
        <v>9148.66</v>
      </c>
      <c r="J886" s="41">
        <v>45895</v>
      </c>
      <c r="K886" s="42">
        <v>2.9139299392700195</v>
      </c>
      <c r="L886" s="41">
        <v>45895</v>
      </c>
      <c r="M886" s="42">
        <v>1006.7284</v>
      </c>
    </row>
    <row r="887" spans="1:13">
      <c r="A887" s="41">
        <v>45896</v>
      </c>
      <c r="B887" s="42">
        <v>25201.759999999998</v>
      </c>
      <c r="C887" s="42">
        <v>371376053700</v>
      </c>
      <c r="D887">
        <f t="shared" si="39"/>
        <v>9020.26</v>
      </c>
      <c r="E887">
        <f t="shared" si="40"/>
        <v>3.2730998992919922</v>
      </c>
      <c r="F887">
        <f t="shared" si="41"/>
        <v>978.90989999999999</v>
      </c>
      <c r="G887" s="42"/>
      <c r="H887" s="41">
        <v>45896</v>
      </c>
      <c r="I887" s="42">
        <v>9020.26</v>
      </c>
      <c r="J887" s="41">
        <v>45896</v>
      </c>
      <c r="K887" s="42">
        <v>3.2730998992919922</v>
      </c>
      <c r="L887" s="41">
        <v>45896</v>
      </c>
      <c r="M887" s="42">
        <v>978.90989999999999</v>
      </c>
    </row>
    <row r="888" spans="1:13">
      <c r="A888" s="41">
        <v>45897</v>
      </c>
      <c r="B888" s="42">
        <v>24998.82</v>
      </c>
      <c r="C888" s="42">
        <v>391488334400</v>
      </c>
      <c r="D888">
        <f t="shared" si="39"/>
        <v>8916.93</v>
      </c>
      <c r="E888">
        <f t="shared" si="40"/>
        <v>3.3071999549865723</v>
      </c>
      <c r="F888">
        <f t="shared" si="41"/>
        <v>971.29700000000003</v>
      </c>
      <c r="G888" s="42"/>
      <c r="H888" s="41">
        <v>45897</v>
      </c>
      <c r="I888" s="42">
        <v>8916.93</v>
      </c>
      <c r="J888" s="41">
        <v>45897</v>
      </c>
      <c r="K888" s="42">
        <v>3.3071999549865723</v>
      </c>
      <c r="L888" s="41">
        <v>45897</v>
      </c>
      <c r="M888" s="42">
        <v>971.29700000000003</v>
      </c>
    </row>
    <row r="889" spans="1:13">
      <c r="A889" s="41">
        <v>45898</v>
      </c>
      <c r="B889" s="42">
        <v>25077.62</v>
      </c>
      <c r="C889" s="42">
        <v>335601416500</v>
      </c>
      <c r="D889">
        <f t="shared" si="39"/>
        <v>8947.7900000000009</v>
      </c>
      <c r="E889">
        <f t="shared" si="40"/>
        <v>3.2958300113677979</v>
      </c>
      <c r="F889">
        <f t="shared" si="41"/>
        <v>973.82429999999999</v>
      </c>
      <c r="G889" s="42"/>
      <c r="H889" s="41">
        <v>45898</v>
      </c>
      <c r="I889" s="42">
        <v>8947.7900000000009</v>
      </c>
      <c r="J889" s="41">
        <v>45898</v>
      </c>
      <c r="K889" s="42">
        <v>3.2958300113677979</v>
      </c>
      <c r="L889" s="41">
        <v>45898</v>
      </c>
      <c r="M889" s="42">
        <v>973.82429999999999</v>
      </c>
    </row>
    <row r="890" spans="1:13">
      <c r="A890" s="41">
        <v>45901</v>
      </c>
      <c r="B890" s="42">
        <v>25617.42</v>
      </c>
      <c r="C890" s="42">
        <v>380231039200</v>
      </c>
      <c r="D890">
        <f t="shared" si="39"/>
        <v>9121.8700000000008</v>
      </c>
      <c r="E890">
        <f t="shared" si="40"/>
        <v>3.1922600269317627</v>
      </c>
      <c r="F890">
        <f t="shared" si="41"/>
        <v>974.54589999999996</v>
      </c>
      <c r="G890" s="42"/>
      <c r="H890" s="41">
        <v>45901</v>
      </c>
      <c r="I890" s="42">
        <v>9121.8700000000008</v>
      </c>
      <c r="J890" s="41">
        <v>45901</v>
      </c>
      <c r="K890" s="42">
        <v>3.1922600269317627</v>
      </c>
      <c r="L890" s="41">
        <v>45901</v>
      </c>
      <c r="M890" s="42">
        <v>974.54589999999996</v>
      </c>
    </row>
    <row r="891" spans="1:13">
      <c r="A891" s="41">
        <v>45902</v>
      </c>
      <c r="B891" s="42">
        <v>25496.55</v>
      </c>
      <c r="C891" s="42">
        <v>328118569800</v>
      </c>
      <c r="D891">
        <f t="shared" si="39"/>
        <v>9108.1200000000008</v>
      </c>
      <c r="E891">
        <f t="shared" si="40"/>
        <v>3.2110700607299805</v>
      </c>
      <c r="F891">
        <f t="shared" si="41"/>
        <v>972.21209999999996</v>
      </c>
      <c r="G891" s="42"/>
      <c r="H891" s="41">
        <v>45902</v>
      </c>
      <c r="I891" s="42">
        <v>9108.1200000000008</v>
      </c>
      <c r="J891" s="41">
        <v>45902</v>
      </c>
      <c r="K891" s="42">
        <v>3.2110700607299805</v>
      </c>
      <c r="L891" s="41">
        <v>45902</v>
      </c>
      <c r="M891" s="42">
        <v>972.21209999999996</v>
      </c>
    </row>
    <row r="892" spans="1:13">
      <c r="A892" s="41">
        <v>45903</v>
      </c>
      <c r="B892" s="42">
        <v>25343.43</v>
      </c>
      <c r="C892" s="42">
        <v>267647478400</v>
      </c>
      <c r="D892">
        <f t="shared" si="39"/>
        <v>9050.02</v>
      </c>
      <c r="E892">
        <f t="shared" si="40"/>
        <v>3.0117900371551514</v>
      </c>
      <c r="F892">
        <f t="shared" si="41"/>
        <v>944.2663</v>
      </c>
      <c r="G892" s="42"/>
      <c r="H892" s="41">
        <v>45903</v>
      </c>
      <c r="I892" s="42">
        <v>9050.02</v>
      </c>
      <c r="J892" s="41">
        <v>45903</v>
      </c>
      <c r="K892" s="42">
        <v>3.0117900371551514</v>
      </c>
      <c r="L892" s="41">
        <v>45903</v>
      </c>
      <c r="M892" s="42">
        <v>944.2663</v>
      </c>
    </row>
    <row r="893" spans="1:13">
      <c r="A893" s="41">
        <v>45904</v>
      </c>
      <c r="B893" s="42">
        <v>25058.51</v>
      </c>
      <c r="C893" s="42">
        <v>302232861300</v>
      </c>
      <c r="D893">
        <f t="shared" si="39"/>
        <v>8937.09</v>
      </c>
      <c r="E893">
        <f t="shared" si="40"/>
        <v>3.0794599056243896</v>
      </c>
      <c r="F893">
        <f t="shared" si="41"/>
        <v>967.85469999999998</v>
      </c>
      <c r="G893" s="42"/>
      <c r="H893" s="41">
        <v>45904</v>
      </c>
      <c r="I893" s="42">
        <v>8937.09</v>
      </c>
      <c r="J893" s="41">
        <v>45904</v>
      </c>
      <c r="K893" s="42">
        <v>3.0794599056243896</v>
      </c>
      <c r="L893" s="41">
        <v>45904</v>
      </c>
      <c r="M893" s="42">
        <v>967.85469999999998</v>
      </c>
    </row>
    <row r="894" spans="1:13">
      <c r="A894" s="41">
        <v>45905</v>
      </c>
      <c r="B894" s="42">
        <v>25417.98</v>
      </c>
      <c r="C894" s="42">
        <v>299945382600</v>
      </c>
      <c r="D894">
        <f t="shared" si="39"/>
        <v>9057.2199999999993</v>
      </c>
      <c r="E894">
        <f t="shared" si="40"/>
        <v>3.1086299419403076</v>
      </c>
      <c r="F894">
        <f t="shared" si="41"/>
        <v>970.83510000000001</v>
      </c>
      <c r="G894" s="42"/>
      <c r="H894" s="41">
        <v>45905</v>
      </c>
      <c r="I894" s="42">
        <v>9057.2199999999993</v>
      </c>
      <c r="J894" s="41">
        <v>45905</v>
      </c>
      <c r="K894" s="42">
        <v>3.1086299419403076</v>
      </c>
      <c r="L894" s="41">
        <v>45905</v>
      </c>
      <c r="M894" s="42">
        <v>970.83510000000001</v>
      </c>
    </row>
    <row r="895" spans="1:13">
      <c r="A895" s="41">
        <v>45908</v>
      </c>
      <c r="B895" s="42">
        <v>25633.91</v>
      </c>
      <c r="C895" s="42">
        <v>286043170600</v>
      </c>
      <c r="D895">
        <f t="shared" si="39"/>
        <v>9121.66</v>
      </c>
      <c r="E895">
        <f t="shared" si="40"/>
        <v>0</v>
      </c>
      <c r="F895">
        <f t="shared" si="41"/>
        <v>1003.4503</v>
      </c>
      <c r="G895" s="42"/>
      <c r="H895" s="41">
        <v>45908</v>
      </c>
      <c r="I895" s="42">
        <v>9121.66</v>
      </c>
      <c r="J895" s="41">
        <v>45908</v>
      </c>
      <c r="K895" s="42"/>
      <c r="L895" s="41">
        <v>45908</v>
      </c>
      <c r="M895" s="42">
        <v>1003.4503</v>
      </c>
    </row>
    <row r="896" spans="1:13">
      <c r="A896" s="41">
        <v>45909</v>
      </c>
      <c r="B896" s="42">
        <v>25938.13</v>
      </c>
      <c r="C896" s="42">
        <v>294032882300</v>
      </c>
      <c r="D896">
        <f t="shared" si="39"/>
        <v>9242.4</v>
      </c>
      <c r="E896">
        <f t="shared" si="40"/>
        <v>3.1086900234222412</v>
      </c>
      <c r="F896">
        <f t="shared" si="41"/>
        <v>998.34320000000002</v>
      </c>
      <c r="G896" s="42"/>
      <c r="H896" s="41">
        <v>45909</v>
      </c>
      <c r="I896" s="42">
        <v>9242.4</v>
      </c>
      <c r="J896" s="41">
        <v>45909</v>
      </c>
      <c r="K896" s="42">
        <v>3.1086900234222412</v>
      </c>
      <c r="L896" s="41">
        <v>45909</v>
      </c>
      <c r="M896" s="42">
        <v>998.34320000000002</v>
      </c>
    </row>
    <row r="897" spans="1:13">
      <c r="A897" s="41">
        <v>45910</v>
      </c>
      <c r="B897" s="42">
        <v>26200.26</v>
      </c>
      <c r="C897" s="42">
        <v>288208556800</v>
      </c>
      <c r="D897">
        <f t="shared" si="39"/>
        <v>9328.16</v>
      </c>
      <c r="E897">
        <f t="shared" si="40"/>
        <v>3.1663100719451904</v>
      </c>
      <c r="F897">
        <f t="shared" si="41"/>
        <v>998.3202</v>
      </c>
      <c r="G897" s="42"/>
      <c r="H897" s="41">
        <v>45910</v>
      </c>
      <c r="I897" s="42">
        <v>9328.16</v>
      </c>
      <c r="J897" s="41">
        <v>45910</v>
      </c>
      <c r="K897" s="42">
        <v>3.1663100719451904</v>
      </c>
      <c r="L897" s="41">
        <v>45910</v>
      </c>
      <c r="M897" s="42">
        <v>998.3202</v>
      </c>
    </row>
    <row r="898" spans="1:13">
      <c r="A898" s="41">
        <v>45911</v>
      </c>
      <c r="B898" s="42">
        <v>26086.32</v>
      </c>
      <c r="C898" s="42">
        <v>325205329700</v>
      </c>
      <c r="D898">
        <f t="shared" si="39"/>
        <v>9260.25</v>
      </c>
      <c r="E898">
        <f t="shared" si="40"/>
        <v>3.1487500667572021</v>
      </c>
      <c r="F898">
        <f t="shared" si="41"/>
        <v>1026.5257999999999</v>
      </c>
      <c r="G898" s="42"/>
      <c r="H898" s="41">
        <v>45911</v>
      </c>
      <c r="I898" s="42">
        <v>9260.25</v>
      </c>
      <c r="J898" s="41">
        <v>45911</v>
      </c>
      <c r="K898" s="42">
        <v>3.1487500667572021</v>
      </c>
      <c r="L898" s="41">
        <v>45911</v>
      </c>
      <c r="M898" s="42">
        <v>1026.5257999999999</v>
      </c>
    </row>
    <row r="899" spans="1:13">
      <c r="A899" s="41">
        <v>45912</v>
      </c>
      <c r="B899" s="42">
        <v>26388.16</v>
      </c>
      <c r="C899" s="42">
        <v>320733872400</v>
      </c>
      <c r="D899">
        <f t="shared" si="39"/>
        <v>9364.94</v>
      </c>
      <c r="E899">
        <f t="shared" si="40"/>
        <v>3.2217299938201904</v>
      </c>
      <c r="F899">
        <f t="shared" si="41"/>
        <v>1014.2359</v>
      </c>
      <c r="G899" s="42"/>
      <c r="H899" s="41">
        <v>45912</v>
      </c>
      <c r="I899" s="42">
        <v>9364.94</v>
      </c>
      <c r="J899" s="41">
        <v>45912</v>
      </c>
      <c r="K899" s="42">
        <v>3.2217299938201904</v>
      </c>
      <c r="L899" s="41">
        <v>45912</v>
      </c>
      <c r="M899" s="42">
        <v>1014.2359</v>
      </c>
    </row>
    <row r="900" spans="1:13">
      <c r="A900" s="41">
        <v>45915</v>
      </c>
      <c r="B900" s="42">
        <v>26446.560000000001</v>
      </c>
      <c r="C900" s="42">
        <v>290194967700</v>
      </c>
      <c r="D900">
        <f t="shared" ref="D900:D963" si="42">IFERROR(VLOOKUP($A900,$H$3:$I$1100,2,FALSE),"")</f>
        <v>9384.76</v>
      </c>
      <c r="E900">
        <f t="shared" ref="E900:E963" si="43">IFERROR(VLOOKUP($A900,$J$3:$K$1100,2,FALSE),"")</f>
        <v>3.2999999523162842</v>
      </c>
      <c r="F900">
        <f t="shared" ref="F900:F963" si="44">IFERROR(VLOOKUP($A900,$L$3:$M$1100,2,FALSE),"")</f>
        <v>1033.2463</v>
      </c>
      <c r="G900" s="42"/>
      <c r="H900" s="41">
        <v>45915</v>
      </c>
      <c r="I900" s="42">
        <v>9384.76</v>
      </c>
      <c r="J900" s="41">
        <v>45915</v>
      </c>
      <c r="K900" s="42">
        <v>3.2999999523162842</v>
      </c>
      <c r="L900" s="41">
        <v>45915</v>
      </c>
      <c r="M900" s="42">
        <v>1033.2463</v>
      </c>
    </row>
    <row r="901" spans="1:13">
      <c r="A901" s="41">
        <v>45916</v>
      </c>
      <c r="B901" s="42">
        <v>26438.51</v>
      </c>
      <c r="C901" s="42">
        <v>294069079700</v>
      </c>
      <c r="D901">
        <f t="shared" si="42"/>
        <v>9386.39</v>
      </c>
      <c r="E901">
        <f t="shared" si="43"/>
        <v>3.3431000709533691</v>
      </c>
      <c r="F901">
        <f t="shared" si="44"/>
        <v>1011.0151</v>
      </c>
      <c r="G901" s="42"/>
      <c r="H901" s="41">
        <v>45916</v>
      </c>
      <c r="I901" s="42">
        <v>9386.39</v>
      </c>
      <c r="J901" s="41">
        <v>45916</v>
      </c>
      <c r="K901" s="42">
        <v>3.3431000709533691</v>
      </c>
      <c r="L901" s="41">
        <v>45916</v>
      </c>
      <c r="M901" s="42">
        <v>1011.0151</v>
      </c>
    </row>
    <row r="902" spans="1:13">
      <c r="A902" s="41">
        <v>45917</v>
      </c>
      <c r="B902" s="42">
        <v>26908.39</v>
      </c>
      <c r="C902" s="42">
        <v>360283600800</v>
      </c>
      <c r="D902">
        <f t="shared" si="42"/>
        <v>9596.77</v>
      </c>
      <c r="E902">
        <f t="shared" si="43"/>
        <v>3.2975599765777588</v>
      </c>
      <c r="F902">
        <f t="shared" si="44"/>
        <v>998.31140000000005</v>
      </c>
      <c r="G902" s="42"/>
      <c r="H902" s="41">
        <v>45917</v>
      </c>
      <c r="I902" s="42">
        <v>9596.77</v>
      </c>
      <c r="J902" s="41">
        <v>45917</v>
      </c>
      <c r="K902" s="42">
        <v>3.2975599765777588</v>
      </c>
      <c r="L902" s="41">
        <v>45917</v>
      </c>
      <c r="M902" s="42">
        <v>998.31140000000005</v>
      </c>
    </row>
    <row r="903" spans="1:13">
      <c r="A903" s="41">
        <v>45918</v>
      </c>
      <c r="B903" s="42">
        <v>26544.85</v>
      </c>
      <c r="C903" s="42">
        <v>413313996000</v>
      </c>
      <c r="D903">
        <f t="shared" si="42"/>
        <v>9456.52</v>
      </c>
      <c r="E903">
        <f t="shared" si="43"/>
        <v>3.3982698917388916</v>
      </c>
      <c r="F903">
        <f t="shared" si="44"/>
        <v>973.6377</v>
      </c>
      <c r="G903" s="42"/>
      <c r="H903" s="41">
        <v>45918</v>
      </c>
      <c r="I903" s="42">
        <v>9456.52</v>
      </c>
      <c r="J903" s="41">
        <v>45918</v>
      </c>
      <c r="K903" s="42">
        <v>3.3982698917388916</v>
      </c>
      <c r="L903" s="41">
        <v>45918</v>
      </c>
      <c r="M903" s="42">
        <v>973.6377</v>
      </c>
    </row>
    <row r="904" spans="1:13">
      <c r="A904" s="41">
        <v>45919</v>
      </c>
      <c r="B904" s="42">
        <v>26545.1</v>
      </c>
      <c r="C904" s="42">
        <v>376812279300</v>
      </c>
      <c r="D904">
        <f t="shared" si="42"/>
        <v>9472.35</v>
      </c>
      <c r="E904">
        <f t="shared" si="43"/>
        <v>3.4267299175262451</v>
      </c>
      <c r="F904">
        <f t="shared" si="44"/>
        <v>975.08759999999995</v>
      </c>
      <c r="G904" s="42"/>
      <c r="H904" s="41">
        <v>45919</v>
      </c>
      <c r="I904" s="42">
        <v>9472.35</v>
      </c>
      <c r="J904" s="41">
        <v>45919</v>
      </c>
      <c r="K904" s="42">
        <v>3.4267299175262451</v>
      </c>
      <c r="L904" s="41">
        <v>45919</v>
      </c>
      <c r="M904" s="42">
        <v>975.08759999999995</v>
      </c>
    </row>
    <row r="905" spans="1:13">
      <c r="A905" s="41">
        <v>45922</v>
      </c>
      <c r="B905" s="42">
        <v>26344.14</v>
      </c>
      <c r="C905" s="42">
        <v>290537148800</v>
      </c>
      <c r="D905">
        <f t="shared" si="42"/>
        <v>9370.73</v>
      </c>
      <c r="E905">
        <f t="shared" si="43"/>
        <v>3.5577399730682373</v>
      </c>
      <c r="F905">
        <f t="shared" si="44"/>
        <v>966.44110000000001</v>
      </c>
      <c r="G905" s="42"/>
      <c r="H905" s="41">
        <v>45922</v>
      </c>
      <c r="I905" s="42">
        <v>9370.73</v>
      </c>
      <c r="J905" s="41">
        <v>45922</v>
      </c>
      <c r="K905" s="42">
        <v>3.5577399730682373</v>
      </c>
      <c r="L905" s="41">
        <v>45922</v>
      </c>
      <c r="M905" s="42">
        <v>966.44110000000001</v>
      </c>
    </row>
    <row r="906" spans="1:13">
      <c r="A906" s="41">
        <v>45923</v>
      </c>
      <c r="B906" s="42">
        <v>26159.119999999999</v>
      </c>
      <c r="C906" s="42">
        <v>294560770900</v>
      </c>
      <c r="D906">
        <f t="shared" si="42"/>
        <v>9290.34</v>
      </c>
      <c r="E906">
        <f t="shared" si="43"/>
        <v>3.7388100624084473</v>
      </c>
      <c r="F906">
        <f t="shared" si="44"/>
        <v>960.77499999999998</v>
      </c>
      <c r="G906" s="42"/>
      <c r="H906" s="41">
        <v>45923</v>
      </c>
      <c r="I906" s="42">
        <v>9290.34</v>
      </c>
      <c r="J906" s="41">
        <v>45923</v>
      </c>
      <c r="K906" s="42">
        <v>3.7388100624084473</v>
      </c>
      <c r="L906" s="41">
        <v>45923</v>
      </c>
      <c r="M906" s="42">
        <v>960.77499999999998</v>
      </c>
    </row>
    <row r="907" spans="1:13">
      <c r="A907" s="41">
        <v>45924</v>
      </c>
      <c r="B907" s="42">
        <v>26518.65</v>
      </c>
      <c r="C907" s="42">
        <v>288772440000</v>
      </c>
      <c r="D907">
        <f t="shared" si="42"/>
        <v>9442.99</v>
      </c>
      <c r="E907">
        <f t="shared" si="43"/>
        <v>0</v>
      </c>
      <c r="F907">
        <f t="shared" si="44"/>
        <v>969.38130000000001</v>
      </c>
      <c r="G907" s="42"/>
      <c r="H907" s="41">
        <v>45924</v>
      </c>
      <c r="I907" s="42">
        <v>9442.99</v>
      </c>
      <c r="J907" s="41">
        <v>45924</v>
      </c>
      <c r="K907" s="42"/>
      <c r="L907" s="41">
        <v>45924</v>
      </c>
      <c r="M907" s="42">
        <v>969.38130000000001</v>
      </c>
    </row>
    <row r="908" spans="1:13">
      <c r="A908" s="41">
        <v>45925</v>
      </c>
      <c r="B908" s="42">
        <v>26484.68</v>
      </c>
      <c r="C908" s="42">
        <v>314889687300</v>
      </c>
      <c r="D908">
        <f t="shared" si="42"/>
        <v>9444.2199999999993</v>
      </c>
      <c r="E908">
        <f t="shared" si="43"/>
        <v>3.5345799922943115</v>
      </c>
      <c r="F908">
        <f t="shared" si="44"/>
        <v>957.97540000000004</v>
      </c>
      <c r="G908" s="42"/>
      <c r="H908" s="41">
        <v>45925</v>
      </c>
      <c r="I908" s="42">
        <v>9444.2199999999993</v>
      </c>
      <c r="J908" s="41">
        <v>45925</v>
      </c>
      <c r="K908" s="42">
        <v>3.5345799922943115</v>
      </c>
      <c r="L908" s="41">
        <v>45925</v>
      </c>
      <c r="M908" s="42">
        <v>957.97540000000004</v>
      </c>
    </row>
    <row r="909" spans="1:13">
      <c r="A909" s="41">
        <v>45926</v>
      </c>
      <c r="B909" s="42">
        <v>26128.2</v>
      </c>
      <c r="C909" s="42">
        <v>323673670900</v>
      </c>
      <c r="D909">
        <f t="shared" si="42"/>
        <v>9303.1</v>
      </c>
      <c r="E909">
        <f t="shared" si="43"/>
        <v>3.520359992980957</v>
      </c>
      <c r="F909">
        <f t="shared" si="44"/>
        <v>964.75469999999996</v>
      </c>
      <c r="G909" s="42"/>
      <c r="H909" s="41">
        <v>45926</v>
      </c>
      <c r="I909" s="42">
        <v>9303.1</v>
      </c>
      <c r="J909" s="41">
        <v>45926</v>
      </c>
      <c r="K909" s="42">
        <v>3.520359992980957</v>
      </c>
      <c r="L909" s="41">
        <v>45926</v>
      </c>
      <c r="M909" s="42">
        <v>964.75469999999996</v>
      </c>
    </row>
    <row r="910" spans="1:13">
      <c r="A910" s="41">
        <v>45929</v>
      </c>
      <c r="B910" s="42">
        <v>26622.880000000001</v>
      </c>
      <c r="C910" s="42">
        <v>309096141400</v>
      </c>
      <c r="D910">
        <f t="shared" si="42"/>
        <v>9454.1200000000008</v>
      </c>
      <c r="E910">
        <f t="shared" si="43"/>
        <v>3.5271399021148682</v>
      </c>
      <c r="F910">
        <f t="shared" si="44"/>
        <v>956.10860000000002</v>
      </c>
      <c r="G910" s="42"/>
      <c r="H910" s="41">
        <v>45929</v>
      </c>
      <c r="I910" s="42">
        <v>9454.1200000000008</v>
      </c>
      <c r="J910" s="41">
        <v>45929</v>
      </c>
      <c r="K910" s="42">
        <v>3.5271399021148682</v>
      </c>
      <c r="L910" s="41">
        <v>45929</v>
      </c>
      <c r="M910" s="42">
        <v>956.10860000000002</v>
      </c>
    </row>
    <row r="911" spans="1:13">
      <c r="A911" s="41">
        <v>45930</v>
      </c>
      <c r="B911" s="42">
        <v>26855.56</v>
      </c>
      <c r="C911" s="42">
        <v>314926135200</v>
      </c>
      <c r="D911">
        <f t="shared" si="42"/>
        <v>9555.33</v>
      </c>
      <c r="E911">
        <f t="shared" si="43"/>
        <v>3.5257101058959961</v>
      </c>
      <c r="F911">
        <f t="shared" si="44"/>
        <v>950.79719999999998</v>
      </c>
      <c r="G911" s="42"/>
      <c r="H911" s="41">
        <v>45930</v>
      </c>
      <c r="I911" s="42">
        <v>9555.33</v>
      </c>
      <c r="J911" s="41">
        <v>45930</v>
      </c>
      <c r="K911" s="42">
        <v>3.5257101058959961</v>
      </c>
      <c r="L911" s="41">
        <v>45930</v>
      </c>
      <c r="M911" s="42">
        <v>950.79719999999998</v>
      </c>
    </row>
    <row r="912" spans="1:13">
      <c r="A912" s="41">
        <v>45939</v>
      </c>
      <c r="B912" s="42">
        <v>26752.59</v>
      </c>
      <c r="C912" s="42">
        <v>386818321200</v>
      </c>
      <c r="D912">
        <f t="shared" si="42"/>
        <v>9530.1299999999992</v>
      </c>
      <c r="E912">
        <f t="shared" si="43"/>
        <v>3.5931000709533691</v>
      </c>
      <c r="F912">
        <f t="shared" si="44"/>
        <v>948.77329999999995</v>
      </c>
      <c r="G912" s="42"/>
      <c r="H912" s="41">
        <v>45939</v>
      </c>
      <c r="I912" s="42">
        <v>9530.1299999999992</v>
      </c>
      <c r="J912" s="41">
        <v>45939</v>
      </c>
      <c r="K912" s="42">
        <v>3.5931000709533691</v>
      </c>
      <c r="L912" s="41">
        <v>45939</v>
      </c>
      <c r="M912" s="42">
        <v>948.77329999999995</v>
      </c>
    </row>
    <row r="913" spans="1:13">
      <c r="A913" s="41">
        <v>45940</v>
      </c>
      <c r="B913" s="42">
        <v>26290.32</v>
      </c>
      <c r="C913" s="42">
        <v>333736696800</v>
      </c>
      <c r="D913">
        <f t="shared" si="42"/>
        <v>9358.32</v>
      </c>
      <c r="E913">
        <f t="shared" si="43"/>
        <v>3.5857698917388916</v>
      </c>
      <c r="F913">
        <f t="shared" si="44"/>
        <v>963.8211</v>
      </c>
      <c r="G913" s="42"/>
      <c r="H913" s="41">
        <v>45940</v>
      </c>
      <c r="I913" s="42">
        <v>9358.32</v>
      </c>
      <c r="J913" s="41">
        <v>45940</v>
      </c>
      <c r="K913" s="42">
        <v>3.5857698917388916</v>
      </c>
      <c r="L913" s="41">
        <v>45940</v>
      </c>
      <c r="M913" s="42">
        <v>963.8211</v>
      </c>
    </row>
    <row r="914" spans="1:13">
      <c r="A914" s="41">
        <v>45943</v>
      </c>
      <c r="B914" s="42">
        <v>25889.48</v>
      </c>
      <c r="C914" s="42">
        <v>490365531300</v>
      </c>
      <c r="D914">
        <f t="shared" si="42"/>
        <v>9222.5400000000009</v>
      </c>
      <c r="E914">
        <f t="shared" si="43"/>
        <v>3.5232100486755371</v>
      </c>
      <c r="F914">
        <f t="shared" si="44"/>
        <v>959.95450000000005</v>
      </c>
      <c r="G914" s="42"/>
      <c r="H914" s="41">
        <v>45943</v>
      </c>
      <c r="I914" s="42">
        <v>9222.5400000000009</v>
      </c>
      <c r="J914" s="41">
        <v>45943</v>
      </c>
      <c r="K914" s="42">
        <v>3.5232100486755371</v>
      </c>
      <c r="L914" s="41">
        <v>45943</v>
      </c>
      <c r="M914" s="42">
        <v>959.95450000000005</v>
      </c>
    </row>
    <row r="915" spans="1:13">
      <c r="A915" s="41">
        <v>45944</v>
      </c>
      <c r="B915" s="42">
        <v>25441.35</v>
      </c>
      <c r="C915" s="42">
        <v>398910432200</v>
      </c>
      <c r="D915">
        <f t="shared" si="42"/>
        <v>9079.16</v>
      </c>
      <c r="E915">
        <f t="shared" si="43"/>
        <v>3.5722599029541016</v>
      </c>
      <c r="F915">
        <f t="shared" si="44"/>
        <v>961.10619999999994</v>
      </c>
      <c r="G915" s="42"/>
      <c r="H915" s="41">
        <v>45944</v>
      </c>
      <c r="I915" s="42">
        <v>9079.16</v>
      </c>
      <c r="J915" s="41">
        <v>45944</v>
      </c>
      <c r="K915" s="42">
        <v>3.5722599029541016</v>
      </c>
      <c r="L915" s="41">
        <v>45944</v>
      </c>
      <c r="M915" s="42">
        <v>961.10619999999994</v>
      </c>
    </row>
    <row r="916" spans="1:13">
      <c r="A916" s="41">
        <v>45945</v>
      </c>
      <c r="B916" s="42">
        <v>25910.6</v>
      </c>
      <c r="C916" s="42">
        <v>315813238800</v>
      </c>
      <c r="D916">
        <f t="shared" si="42"/>
        <v>9250.91</v>
      </c>
      <c r="E916">
        <f t="shared" si="43"/>
        <v>3.5306599140167236</v>
      </c>
      <c r="F916">
        <f t="shared" si="44"/>
        <v>958.26020000000005</v>
      </c>
      <c r="G916" s="42"/>
      <c r="H916" s="41">
        <v>45945</v>
      </c>
      <c r="I916" s="42">
        <v>9250.91</v>
      </c>
      <c r="J916" s="41">
        <v>45945</v>
      </c>
      <c r="K916" s="42">
        <v>3.5306599140167236</v>
      </c>
      <c r="L916" s="41">
        <v>45945</v>
      </c>
      <c r="M916" s="42">
        <v>958.26020000000005</v>
      </c>
    </row>
    <row r="917" spans="1:13">
      <c r="A917" s="41">
        <v>45946</v>
      </c>
      <c r="B917" s="42">
        <v>25888.51</v>
      </c>
      <c r="C917" s="42">
        <v>275431244400</v>
      </c>
      <c r="D917">
        <f t="shared" si="42"/>
        <v>9259.4599999999991</v>
      </c>
      <c r="E917">
        <f t="shared" si="43"/>
        <v>3.5315499305725098</v>
      </c>
      <c r="F917">
        <f t="shared" si="44"/>
        <v>947.19439999999997</v>
      </c>
      <c r="G917" s="42"/>
      <c r="H917" s="41">
        <v>45946</v>
      </c>
      <c r="I917" s="42">
        <v>9259.4599999999991</v>
      </c>
      <c r="J917" s="41">
        <v>45946</v>
      </c>
      <c r="K917" s="42">
        <v>3.5315499305725098</v>
      </c>
      <c r="L917" s="41">
        <v>45946</v>
      </c>
      <c r="M917" s="42">
        <v>947.19439999999997</v>
      </c>
    </row>
    <row r="918" spans="1:13">
      <c r="A918" s="41">
        <v>45947</v>
      </c>
      <c r="B918" s="42">
        <v>25247.1</v>
      </c>
      <c r="C918" s="42">
        <v>314623705700</v>
      </c>
      <c r="D918">
        <f t="shared" si="42"/>
        <v>9011.9699999999993</v>
      </c>
      <c r="E918">
        <f t="shared" si="43"/>
        <v>3.5917301177978516</v>
      </c>
      <c r="F918">
        <f t="shared" si="44"/>
        <v>933.43730000000005</v>
      </c>
      <c r="G918" s="42"/>
      <c r="H918" s="41">
        <v>45947</v>
      </c>
      <c r="I918" s="42">
        <v>9011.9699999999993</v>
      </c>
      <c r="J918" s="41">
        <v>45947</v>
      </c>
      <c r="K918" s="42">
        <v>3.5917301177978516</v>
      </c>
      <c r="L918" s="41">
        <v>45947</v>
      </c>
      <c r="M918" s="42">
        <v>933.43730000000005</v>
      </c>
    </row>
    <row r="919" spans="1:13">
      <c r="A919" s="41">
        <v>45950</v>
      </c>
      <c r="B919" s="42">
        <v>25858.83</v>
      </c>
      <c r="C919" s="42">
        <v>239160614900</v>
      </c>
      <c r="D919">
        <f t="shared" si="42"/>
        <v>9232.67</v>
      </c>
      <c r="E919">
        <f t="shared" si="43"/>
        <v>3.6061298847198486</v>
      </c>
      <c r="F919">
        <f t="shared" si="44"/>
        <v>930.6345</v>
      </c>
      <c r="G919" s="42"/>
      <c r="H919" s="41">
        <v>45950</v>
      </c>
      <c r="I919" s="42">
        <v>9232.67</v>
      </c>
      <c r="J919" s="41">
        <v>45950</v>
      </c>
      <c r="K919" s="42">
        <v>3.6061298847198486</v>
      </c>
      <c r="L919" s="41">
        <v>45950</v>
      </c>
      <c r="M919" s="42">
        <v>930.6345</v>
      </c>
    </row>
    <row r="920" spans="1:13">
      <c r="A920" s="41">
        <v>45951</v>
      </c>
      <c r="B920" s="42">
        <v>26027.55</v>
      </c>
      <c r="C920" s="42">
        <v>264656947600</v>
      </c>
      <c r="D920">
        <f t="shared" si="42"/>
        <v>9302.66</v>
      </c>
      <c r="E920">
        <f t="shared" si="43"/>
        <v>3.6867899894714355</v>
      </c>
      <c r="F920">
        <f t="shared" si="44"/>
        <v>941.51490000000001</v>
      </c>
      <c r="G920" s="42"/>
      <c r="H920" s="41">
        <v>45951</v>
      </c>
      <c r="I920" s="42">
        <v>9302.66</v>
      </c>
      <c r="J920" s="41">
        <v>45951</v>
      </c>
      <c r="K920" s="42">
        <v>3.6867899894714355</v>
      </c>
      <c r="L920" s="41">
        <v>45951</v>
      </c>
      <c r="M920" s="42">
        <v>941.51490000000001</v>
      </c>
    </row>
    <row r="921" spans="1:13">
      <c r="A921" s="41">
        <v>45952</v>
      </c>
      <c r="B921" s="42">
        <v>25781.77</v>
      </c>
      <c r="C921" s="42">
        <v>227536449300</v>
      </c>
      <c r="D921">
        <f t="shared" si="42"/>
        <v>9223.7800000000007</v>
      </c>
      <c r="E921">
        <f t="shared" si="43"/>
        <v>3.6176800727844238</v>
      </c>
      <c r="F921">
        <f t="shared" si="44"/>
        <v>935.35739999999998</v>
      </c>
      <c r="G921" s="42"/>
      <c r="H921" s="41">
        <v>45952</v>
      </c>
      <c r="I921" s="42">
        <v>9223.7800000000007</v>
      </c>
      <c r="J921" s="41">
        <v>45952</v>
      </c>
      <c r="K921" s="42">
        <v>3.6176800727844238</v>
      </c>
      <c r="L921" s="41">
        <v>45952</v>
      </c>
      <c r="M921" s="42">
        <v>935.35739999999998</v>
      </c>
    </row>
    <row r="922" spans="1:13">
      <c r="A922" s="41">
        <v>45953</v>
      </c>
      <c r="B922" s="42">
        <v>25967.98</v>
      </c>
      <c r="C922" s="42">
        <v>245255670600</v>
      </c>
      <c r="D922">
        <f t="shared" si="42"/>
        <v>9300.74</v>
      </c>
      <c r="E922">
        <f t="shared" si="43"/>
        <v>3.6139299869537354</v>
      </c>
      <c r="F922">
        <f t="shared" si="44"/>
        <v>944.82060000000001</v>
      </c>
      <c r="G922" s="42"/>
      <c r="H922" s="41">
        <v>45953</v>
      </c>
      <c r="I922" s="42">
        <v>9300.74</v>
      </c>
      <c r="J922" s="41">
        <v>45953</v>
      </c>
      <c r="K922" s="42">
        <v>3.6139299869537354</v>
      </c>
      <c r="L922" s="41">
        <v>45953</v>
      </c>
      <c r="M922" s="42">
        <v>944.82060000000001</v>
      </c>
    </row>
    <row r="923" spans="1:13">
      <c r="A923" s="41">
        <v>45954</v>
      </c>
      <c r="B923" s="42">
        <v>26160.15</v>
      </c>
      <c r="C923" s="42">
        <v>226613804900</v>
      </c>
      <c r="D923">
        <f t="shared" si="42"/>
        <v>9363.94</v>
      </c>
      <c r="E923">
        <f t="shared" si="43"/>
        <v>3.5726799964904785</v>
      </c>
      <c r="F923">
        <f t="shared" si="44"/>
        <v>941.72619999999995</v>
      </c>
      <c r="G923" s="42"/>
      <c r="H923" s="41">
        <v>45954</v>
      </c>
      <c r="I923" s="42">
        <v>9363.94</v>
      </c>
      <c r="J923" s="41">
        <v>45954</v>
      </c>
      <c r="K923" s="42">
        <v>3.5726799964904785</v>
      </c>
      <c r="L923" s="41">
        <v>45954</v>
      </c>
      <c r="M923" s="42">
        <v>941.72619999999995</v>
      </c>
    </row>
    <row r="924" spans="1:13">
      <c r="A924" s="41">
        <v>45957</v>
      </c>
      <c r="B924" s="42">
        <v>26433.7</v>
      </c>
      <c r="C924" s="42">
        <v>267077170800</v>
      </c>
      <c r="D924">
        <f t="shared" si="42"/>
        <v>9467.2199999999993</v>
      </c>
      <c r="E924">
        <f t="shared" si="43"/>
        <v>3.5926198959350586</v>
      </c>
      <c r="F924">
        <f t="shared" si="44"/>
        <v>963.57569999999998</v>
      </c>
      <c r="G924" s="42"/>
      <c r="H924" s="41">
        <v>45957</v>
      </c>
      <c r="I924" s="42">
        <v>9467.2199999999993</v>
      </c>
      <c r="J924" s="41">
        <v>45957</v>
      </c>
      <c r="K924" s="42">
        <v>3.5926198959350586</v>
      </c>
      <c r="L924" s="41">
        <v>45957</v>
      </c>
      <c r="M924" s="42">
        <v>963.57569999999998</v>
      </c>
    </row>
    <row r="925" spans="1:13">
      <c r="A925" s="41">
        <v>45958</v>
      </c>
      <c r="B925" s="42">
        <v>26346.14</v>
      </c>
      <c r="C925" s="42">
        <v>242699835800</v>
      </c>
      <c r="D925">
        <f t="shared" si="42"/>
        <v>9375.7900000000009</v>
      </c>
      <c r="E925">
        <f t="shared" si="43"/>
        <v>3.5563700199127197</v>
      </c>
      <c r="F925">
        <f t="shared" si="44"/>
        <v>950.68050000000005</v>
      </c>
      <c r="G925" s="42"/>
      <c r="H925" s="41">
        <v>45958</v>
      </c>
      <c r="I925" s="42">
        <v>9375.7900000000009</v>
      </c>
      <c r="J925" s="41">
        <v>45958</v>
      </c>
      <c r="K925" s="42">
        <v>3.5563700199127197</v>
      </c>
      <c r="L925" s="41">
        <v>45958</v>
      </c>
      <c r="M925" s="42">
        <v>950.68050000000005</v>
      </c>
    </row>
    <row r="926" spans="1:13">
      <c r="A926" s="41">
        <v>45959</v>
      </c>
      <c r="B926" s="42">
        <v>26346.14</v>
      </c>
      <c r="C926" s="42"/>
      <c r="D926">
        <f t="shared" si="42"/>
        <v>9375.7900000000009</v>
      </c>
      <c r="E926">
        <f t="shared" si="43"/>
        <v>0</v>
      </c>
      <c r="F926">
        <f t="shared" si="44"/>
        <v>947.28489999999999</v>
      </c>
      <c r="G926" s="42"/>
      <c r="H926" s="41">
        <v>45959</v>
      </c>
      <c r="I926" s="42">
        <v>9375.7900000000009</v>
      </c>
      <c r="J926" s="41">
        <v>45959</v>
      </c>
      <c r="K926" s="42"/>
      <c r="L926" s="41">
        <v>45959</v>
      </c>
      <c r="M926" s="42">
        <v>947.28489999999999</v>
      </c>
    </row>
    <row r="927" spans="1:13">
      <c r="A927" s="41">
        <v>45960</v>
      </c>
      <c r="B927" s="42">
        <v>26282.69</v>
      </c>
      <c r="C927" s="42">
        <v>353804446700</v>
      </c>
      <c r="D927">
        <f t="shared" si="42"/>
        <v>9346.86</v>
      </c>
      <c r="E927">
        <f t="shared" si="43"/>
        <v>3.5409998893737793</v>
      </c>
      <c r="F927">
        <f t="shared" si="44"/>
        <v>934.25850000000003</v>
      </c>
      <c r="G927" s="42"/>
      <c r="H927" s="41">
        <v>45960</v>
      </c>
      <c r="I927" s="42">
        <v>9346.86</v>
      </c>
      <c r="J927" s="41">
        <v>45960</v>
      </c>
      <c r="K927" s="42">
        <v>3.5409998893737793</v>
      </c>
      <c r="L927" s="41">
        <v>45960</v>
      </c>
      <c r="M927" s="42">
        <v>934.25850000000003</v>
      </c>
    </row>
    <row r="928" spans="1:13">
      <c r="A928" s="41">
        <v>45961</v>
      </c>
      <c r="B928" s="42">
        <v>25906.65</v>
      </c>
      <c r="C928" s="42">
        <v>257612084200</v>
      </c>
      <c r="D928">
        <f t="shared" si="42"/>
        <v>9168.58</v>
      </c>
      <c r="E928">
        <f t="shared" si="43"/>
        <v>3.54899001121521</v>
      </c>
      <c r="F928">
        <f t="shared" si="44"/>
        <v>939.43449999999996</v>
      </c>
      <c r="G928" s="42"/>
      <c r="H928" s="41">
        <v>45961</v>
      </c>
      <c r="I928" s="42">
        <v>9168.58</v>
      </c>
      <c r="J928" s="41">
        <v>45961</v>
      </c>
      <c r="K928" s="42">
        <v>3.54899001121521</v>
      </c>
      <c r="L928" s="41">
        <v>45961</v>
      </c>
      <c r="M928" s="42">
        <v>939.43449999999996</v>
      </c>
    </row>
    <row r="929" spans="1:13">
      <c r="A929" s="41">
        <v>45964</v>
      </c>
      <c r="B929" s="42">
        <v>26158.36</v>
      </c>
      <c r="C929" s="42">
        <v>228675522100</v>
      </c>
      <c r="D929">
        <f t="shared" si="42"/>
        <v>9258.73</v>
      </c>
      <c r="E929">
        <f t="shared" si="43"/>
        <v>3.5409500598907471</v>
      </c>
      <c r="F929">
        <f t="shared" si="44"/>
        <v>949.01319999999998</v>
      </c>
      <c r="G929" s="42"/>
      <c r="H929" s="41">
        <v>45964</v>
      </c>
      <c r="I929" s="42">
        <v>9258.73</v>
      </c>
      <c r="J929" s="41">
        <v>45964</v>
      </c>
      <c r="K929" s="42">
        <v>3.5409500598907471</v>
      </c>
      <c r="L929" s="41">
        <v>45964</v>
      </c>
      <c r="M929" s="42">
        <v>949.01319999999998</v>
      </c>
    </row>
    <row r="930" spans="1:13">
      <c r="A930" s="41">
        <v>45965</v>
      </c>
      <c r="B930" s="42">
        <v>25952.400000000001</v>
      </c>
      <c r="C930" s="42">
        <v>239986430000</v>
      </c>
      <c r="D930">
        <f t="shared" si="42"/>
        <v>9173.2099999999991</v>
      </c>
      <c r="E930">
        <f t="shared" si="43"/>
        <v>3.5281600952148438</v>
      </c>
      <c r="F930">
        <f t="shared" si="44"/>
        <v>942.63829999999996</v>
      </c>
      <c r="G930" s="42"/>
      <c r="H930" s="41">
        <v>45965</v>
      </c>
      <c r="I930" s="42">
        <v>9173.2099999999991</v>
      </c>
      <c r="J930" s="41">
        <v>45965</v>
      </c>
      <c r="K930" s="42">
        <v>3.5281600952148438</v>
      </c>
      <c r="L930" s="41">
        <v>45965</v>
      </c>
      <c r="M930" s="42">
        <v>942.63829999999996</v>
      </c>
    </row>
    <row r="931" spans="1:13">
      <c r="A931" s="41">
        <v>45966</v>
      </c>
      <c r="B931" s="42">
        <v>25935.41</v>
      </c>
      <c r="C931" s="42">
        <v>238824619600</v>
      </c>
      <c r="D931">
        <f t="shared" si="42"/>
        <v>9163.24</v>
      </c>
      <c r="E931">
        <f t="shared" si="43"/>
        <v>3.4528601169586182</v>
      </c>
      <c r="F931">
        <f t="shared" si="44"/>
        <v>949.20360000000005</v>
      </c>
      <c r="G931" s="42"/>
      <c r="H931" s="41">
        <v>45966</v>
      </c>
      <c r="I931" s="42">
        <v>9163.24</v>
      </c>
      <c r="J931" s="41">
        <v>45966</v>
      </c>
      <c r="K931" s="42">
        <v>3.4528601169586182</v>
      </c>
      <c r="L931" s="41">
        <v>45966</v>
      </c>
      <c r="M931" s="42">
        <v>949.20360000000005</v>
      </c>
    </row>
    <row r="932" spans="1:13">
      <c r="A932" s="41">
        <v>45967</v>
      </c>
      <c r="B932" s="42">
        <v>26485.9</v>
      </c>
      <c r="C932" s="42">
        <v>234653084600</v>
      </c>
      <c r="D932">
        <f t="shared" si="42"/>
        <v>9355.9699999999993</v>
      </c>
      <c r="E932">
        <f t="shared" si="43"/>
        <v>3.4698200225830078</v>
      </c>
      <c r="F932">
        <f t="shared" si="44"/>
        <v>951.37379999999996</v>
      </c>
      <c r="G932" s="42"/>
      <c r="H932" s="41">
        <v>45967</v>
      </c>
      <c r="I932" s="42">
        <v>9355.9699999999993</v>
      </c>
      <c r="J932" s="41">
        <v>45967</v>
      </c>
      <c r="K932" s="42">
        <v>3.4698200225830078</v>
      </c>
      <c r="L932" s="41">
        <v>45967</v>
      </c>
      <c r="M932" s="42">
        <v>951.37379999999996</v>
      </c>
    </row>
    <row r="933" spans="1:13">
      <c r="A933" s="41">
        <v>45968</v>
      </c>
      <c r="B933" s="42">
        <v>26241.83</v>
      </c>
      <c r="C933" s="42">
        <v>209644285700</v>
      </c>
      <c r="D933">
        <f t="shared" si="42"/>
        <v>9267.56</v>
      </c>
      <c r="E933">
        <f t="shared" si="43"/>
        <v>3.4413700103759766</v>
      </c>
      <c r="F933">
        <f t="shared" si="44"/>
        <v>950.30830000000003</v>
      </c>
      <c r="G933" s="42"/>
      <c r="H933" s="41">
        <v>45968</v>
      </c>
      <c r="I933" s="42">
        <v>9267.56</v>
      </c>
      <c r="J933" s="41">
        <v>45968</v>
      </c>
      <c r="K933" s="42">
        <v>3.4413700103759766</v>
      </c>
      <c r="L933" s="41">
        <v>45968</v>
      </c>
      <c r="M933" s="42">
        <v>950.30830000000003</v>
      </c>
    </row>
    <row r="934" spans="1:13">
      <c r="A934" s="41">
        <v>45971</v>
      </c>
      <c r="B934" s="42">
        <v>26649.06</v>
      </c>
      <c r="C934" s="42">
        <v>214787845700</v>
      </c>
      <c r="D934">
        <f t="shared" si="42"/>
        <v>9443.24</v>
      </c>
      <c r="E934">
        <f t="shared" si="43"/>
        <v>3.4150600433349609</v>
      </c>
      <c r="F934">
        <f t="shared" si="44"/>
        <v>969.24379999999996</v>
      </c>
      <c r="G934" s="42"/>
      <c r="H934" s="41">
        <v>45971</v>
      </c>
      <c r="I934" s="42">
        <v>9443.24</v>
      </c>
      <c r="J934" s="41">
        <v>45971</v>
      </c>
      <c r="K934" s="42">
        <v>3.4150600433349609</v>
      </c>
      <c r="L934" s="41">
        <v>45971</v>
      </c>
      <c r="M934" s="42">
        <v>969.24379999999996</v>
      </c>
    </row>
    <row r="935" spans="1:13">
      <c r="A935" s="41">
        <v>45972</v>
      </c>
      <c r="B935" s="42">
        <v>26696.41</v>
      </c>
      <c r="C935" s="42">
        <v>210231454900</v>
      </c>
      <c r="D935">
        <f t="shared" si="42"/>
        <v>9461.49</v>
      </c>
      <c r="E935">
        <f t="shared" si="43"/>
        <v>3.4335699081420898</v>
      </c>
      <c r="F935">
        <f t="shared" si="44"/>
        <v>975.0557</v>
      </c>
      <c r="G935" s="42"/>
      <c r="H935" s="41">
        <v>45972</v>
      </c>
      <c r="I935" s="42">
        <v>9461.49</v>
      </c>
      <c r="J935" s="41">
        <v>45972</v>
      </c>
      <c r="K935" s="42">
        <v>3.4335699081420898</v>
      </c>
      <c r="L935" s="41">
        <v>45972</v>
      </c>
      <c r="M935" s="42">
        <v>975.0557</v>
      </c>
    </row>
    <row r="936" spans="1:13">
      <c r="A936" s="41">
        <v>45973</v>
      </c>
      <c r="B936" s="42">
        <v>26922.73</v>
      </c>
      <c r="C936" s="42">
        <v>236395162600</v>
      </c>
      <c r="D936">
        <f t="shared" si="42"/>
        <v>9538.99</v>
      </c>
      <c r="E936">
        <f t="shared" si="43"/>
        <v>3.4577400684356689</v>
      </c>
      <c r="F936">
        <f t="shared" si="44"/>
        <v>968.24850000000004</v>
      </c>
      <c r="G936" s="42"/>
      <c r="H936" s="41">
        <v>45973</v>
      </c>
      <c r="I936" s="42">
        <v>9538.99</v>
      </c>
      <c r="J936" s="41">
        <v>45973</v>
      </c>
      <c r="K936" s="42">
        <v>3.4577400684356689</v>
      </c>
      <c r="L936" s="41">
        <v>45973</v>
      </c>
      <c r="M936" s="42">
        <v>968.24850000000004</v>
      </c>
    </row>
    <row r="937" spans="1:13">
      <c r="A937" s="41">
        <v>45974</v>
      </c>
      <c r="B937" s="42">
        <v>27073.03</v>
      </c>
      <c r="C937" s="42">
        <v>270673066100.00003</v>
      </c>
      <c r="D937">
        <f t="shared" si="42"/>
        <v>9599.06</v>
      </c>
      <c r="E937">
        <f t="shared" si="43"/>
        <v>3.4904799461364746</v>
      </c>
      <c r="F937">
        <f t="shared" si="44"/>
        <v>972.2953</v>
      </c>
      <c r="G937" s="42"/>
      <c r="H937" s="41">
        <v>45974</v>
      </c>
      <c r="I937" s="42">
        <v>9599.06</v>
      </c>
      <c r="J937" s="41">
        <v>45974</v>
      </c>
      <c r="K937" s="42">
        <v>3.4904799461364746</v>
      </c>
      <c r="L937" s="41">
        <v>45974</v>
      </c>
      <c r="M937" s="42">
        <v>972.2953</v>
      </c>
    </row>
    <row r="938" spans="1:13">
      <c r="A938" s="41">
        <v>45975</v>
      </c>
      <c r="B938" s="42">
        <v>26572.46</v>
      </c>
      <c r="C938" s="42">
        <v>232788089100</v>
      </c>
      <c r="D938">
        <f t="shared" si="42"/>
        <v>9397.9599999999991</v>
      </c>
      <c r="E938">
        <f t="shared" si="43"/>
        <v>3.4698200225830078</v>
      </c>
      <c r="F938">
        <f t="shared" si="44"/>
        <v>967.18409999999994</v>
      </c>
      <c r="G938" s="42"/>
      <c r="H938" s="41">
        <v>45975</v>
      </c>
      <c r="I938" s="42">
        <v>9397.9599999999991</v>
      </c>
      <c r="J938" s="41">
        <v>45975</v>
      </c>
      <c r="K938" s="42">
        <v>3.4698200225830078</v>
      </c>
      <c r="L938" s="41">
        <v>45975</v>
      </c>
      <c r="M938" s="42">
        <v>967.18409999999994</v>
      </c>
    </row>
    <row r="939" spans="1:13">
      <c r="A939" s="41">
        <v>45978</v>
      </c>
      <c r="B939" s="42">
        <v>26384.28</v>
      </c>
      <c r="C939" s="42">
        <v>217612724400</v>
      </c>
      <c r="D939">
        <f t="shared" si="42"/>
        <v>9328.4</v>
      </c>
      <c r="E939">
        <f t="shared" si="43"/>
        <v>3.4347600936889648</v>
      </c>
      <c r="F939">
        <f t="shared" si="44"/>
        <v>957.58130000000006</v>
      </c>
      <c r="G939" s="42"/>
      <c r="H939" s="41">
        <v>45978</v>
      </c>
      <c r="I939" s="42">
        <v>9328.4</v>
      </c>
      <c r="J939" s="41">
        <v>45978</v>
      </c>
      <c r="K939" s="42">
        <v>3.4347600936889648</v>
      </c>
      <c r="L939" s="41">
        <v>45978</v>
      </c>
      <c r="M939" s="42">
        <v>957.58130000000006</v>
      </c>
    </row>
    <row r="940" spans="1:13">
      <c r="A940" s="41">
        <v>45979</v>
      </c>
      <c r="B940" s="42">
        <v>25930.03</v>
      </c>
      <c r="C940" s="42">
        <v>242111639800</v>
      </c>
      <c r="D940">
        <f t="shared" si="42"/>
        <v>9174.84</v>
      </c>
      <c r="E940">
        <f t="shared" si="43"/>
        <v>3.4157099723815918</v>
      </c>
      <c r="F940">
        <f t="shared" si="44"/>
        <v>947.37289999999996</v>
      </c>
      <c r="G940" s="42"/>
      <c r="H940" s="41">
        <v>45979</v>
      </c>
      <c r="I940" s="42">
        <v>9174.84</v>
      </c>
      <c r="J940" s="41">
        <v>45979</v>
      </c>
      <c r="K940" s="42">
        <v>3.4157099723815918</v>
      </c>
      <c r="L940" s="41">
        <v>45979</v>
      </c>
      <c r="M940" s="42">
        <v>947.37289999999996</v>
      </c>
    </row>
    <row r="941" spans="1:13">
      <c r="A941" s="41">
        <v>45980</v>
      </c>
      <c r="B941" s="42">
        <v>25830.65</v>
      </c>
      <c r="C941" s="42">
        <v>211426433800</v>
      </c>
      <c r="D941">
        <f t="shared" si="42"/>
        <v>9151.0400000000009</v>
      </c>
      <c r="E941">
        <f t="shared" si="43"/>
        <v>3.0577399730682373</v>
      </c>
      <c r="F941">
        <f t="shared" si="44"/>
        <v>951.40340000000003</v>
      </c>
      <c r="G941" s="42"/>
      <c r="H941" s="41">
        <v>45980</v>
      </c>
      <c r="I941" s="42">
        <v>9151.0400000000009</v>
      </c>
      <c r="J941" s="41">
        <v>45980</v>
      </c>
      <c r="K941" s="42">
        <v>3.0577399730682373</v>
      </c>
      <c r="L941" s="41">
        <v>45980</v>
      </c>
      <c r="M941" s="42">
        <v>951.40340000000003</v>
      </c>
    </row>
    <row r="942" spans="1:13">
      <c r="A942" s="41">
        <v>45981</v>
      </c>
      <c r="B942" s="42">
        <v>25835.57</v>
      </c>
      <c r="C942" s="42">
        <v>245135668700</v>
      </c>
      <c r="D942">
        <f t="shared" si="42"/>
        <v>9143.34</v>
      </c>
      <c r="E942">
        <f t="shared" si="43"/>
        <v>3.0808999538421631</v>
      </c>
      <c r="F942">
        <f t="shared" si="44"/>
        <v>934.27430000000004</v>
      </c>
      <c r="G942" s="42"/>
      <c r="H942" s="41">
        <v>45981</v>
      </c>
      <c r="I942" s="42">
        <v>9143.34</v>
      </c>
      <c r="J942" s="41">
        <v>45981</v>
      </c>
      <c r="K942" s="42">
        <v>3.0808999538421631</v>
      </c>
      <c r="L942" s="41">
        <v>45981</v>
      </c>
      <c r="M942" s="42">
        <v>934.27430000000004</v>
      </c>
    </row>
    <row r="943" spans="1:13">
      <c r="A943" s="41">
        <v>45982</v>
      </c>
      <c r="B943" s="42">
        <v>25220.02</v>
      </c>
      <c r="C943" s="42">
        <v>285702283000</v>
      </c>
      <c r="D943">
        <f t="shared" si="42"/>
        <v>8919.7800000000007</v>
      </c>
      <c r="E943">
        <f t="shared" si="43"/>
        <v>3.0843501091003418</v>
      </c>
      <c r="F943">
        <f t="shared" si="44"/>
        <v>910.62350000000004</v>
      </c>
      <c r="G943" s="42"/>
      <c r="H943" s="41">
        <v>45982</v>
      </c>
      <c r="I943" s="42">
        <v>8919.7800000000007</v>
      </c>
      <c r="J943" s="41">
        <v>45982</v>
      </c>
      <c r="K943" s="42">
        <v>3.0843501091003418</v>
      </c>
      <c r="L943" s="41">
        <v>45982</v>
      </c>
      <c r="M943" s="42">
        <v>910.62350000000004</v>
      </c>
    </row>
    <row r="944" spans="1:13">
      <c r="A944" s="41">
        <v>45985</v>
      </c>
      <c r="B944" s="42">
        <v>25716.5</v>
      </c>
      <c r="C944" s="42">
        <v>302641831200</v>
      </c>
      <c r="D944">
        <f t="shared" si="42"/>
        <v>9079.42</v>
      </c>
      <c r="E944">
        <f t="shared" si="43"/>
        <v>3.0836300849914551</v>
      </c>
      <c r="F944">
        <f t="shared" si="44"/>
        <v>921.25400000000002</v>
      </c>
      <c r="G944" s="42"/>
      <c r="H944" s="41">
        <v>45985</v>
      </c>
      <c r="I944" s="42">
        <v>9079.42</v>
      </c>
      <c r="J944" s="41">
        <v>45985</v>
      </c>
      <c r="K944" s="42">
        <v>3.0836300849914551</v>
      </c>
      <c r="L944" s="41">
        <v>45985</v>
      </c>
      <c r="M944" s="42">
        <v>921.25400000000002</v>
      </c>
    </row>
    <row r="945" spans="1:13">
      <c r="A945" s="41">
        <v>45986</v>
      </c>
      <c r="B945" s="42">
        <v>25894.55</v>
      </c>
      <c r="C945" s="42">
        <v>231148531500</v>
      </c>
      <c r="D945">
        <f t="shared" si="42"/>
        <v>9158.31</v>
      </c>
      <c r="E945">
        <f t="shared" si="43"/>
        <v>3.1431000232696533</v>
      </c>
      <c r="F945">
        <f t="shared" si="44"/>
        <v>923.77949999999998</v>
      </c>
      <c r="G945" s="42"/>
      <c r="H945" s="41">
        <v>45986</v>
      </c>
      <c r="I945" s="42">
        <v>9158.31</v>
      </c>
      <c r="J945" s="41">
        <v>45986</v>
      </c>
      <c r="K945" s="42">
        <v>3.1431000232696533</v>
      </c>
      <c r="L945" s="41">
        <v>45986</v>
      </c>
      <c r="M945" s="42">
        <v>923.77949999999998</v>
      </c>
    </row>
    <row r="946" spans="1:13">
      <c r="A946" s="41">
        <v>45987</v>
      </c>
      <c r="B946" s="42">
        <v>25928.080000000002</v>
      </c>
      <c r="C946" s="42">
        <v>207077513400</v>
      </c>
      <c r="D946">
        <f t="shared" si="42"/>
        <v>9162.3700000000008</v>
      </c>
      <c r="E946">
        <f t="shared" si="43"/>
        <v>3.2000000476837158</v>
      </c>
      <c r="F946">
        <f t="shared" si="44"/>
        <v>918.70230000000004</v>
      </c>
      <c r="G946" s="42"/>
      <c r="H946" s="41">
        <v>45987</v>
      </c>
      <c r="I946" s="42">
        <v>9162.3700000000008</v>
      </c>
      <c r="J946" s="41">
        <v>45987</v>
      </c>
      <c r="K946" s="42">
        <v>3.2000000476837158</v>
      </c>
      <c r="L946" s="41">
        <v>45987</v>
      </c>
      <c r="M946" s="42">
        <v>918.70230000000004</v>
      </c>
    </row>
    <row r="947" spans="1:13">
      <c r="A947" s="41">
        <v>45988</v>
      </c>
      <c r="B947" s="42">
        <v>25945.93</v>
      </c>
      <c r="C947" s="42">
        <v>204728068200</v>
      </c>
      <c r="D947">
        <f t="shared" si="42"/>
        <v>9164.8700000000008</v>
      </c>
      <c r="E947">
        <f t="shared" si="43"/>
        <v>3.2264299392700195</v>
      </c>
      <c r="F947">
        <f t="shared" si="44"/>
        <v>923.94539999999995</v>
      </c>
      <c r="G947" s="42"/>
      <c r="H947" s="41">
        <v>45988</v>
      </c>
      <c r="I947" s="42">
        <v>9164.8700000000008</v>
      </c>
      <c r="J947" s="41">
        <v>45988</v>
      </c>
      <c r="K947" s="42">
        <v>3.2264299392700195</v>
      </c>
      <c r="L947" s="41">
        <v>45988</v>
      </c>
      <c r="M947" s="42">
        <v>923.94539999999995</v>
      </c>
    </row>
    <row r="948" spans="1:13">
      <c r="A948" s="41">
        <v>45989</v>
      </c>
      <c r="B948" s="42">
        <v>25858.89</v>
      </c>
      <c r="C948" s="42">
        <v>146204011900</v>
      </c>
      <c r="D948">
        <f t="shared" si="42"/>
        <v>9130.18</v>
      </c>
      <c r="E948">
        <f t="shared" si="43"/>
        <v>3.1716699600219727</v>
      </c>
      <c r="F948">
        <f t="shared" si="44"/>
        <v>934.23310000000004</v>
      </c>
      <c r="G948" s="42"/>
      <c r="H948" s="41">
        <v>45989</v>
      </c>
      <c r="I948" s="42">
        <v>9130.18</v>
      </c>
      <c r="J948" s="41">
        <v>45989</v>
      </c>
      <c r="K948" s="42">
        <v>3.1716699600219727</v>
      </c>
      <c r="L948" s="41">
        <v>45989</v>
      </c>
      <c r="M948" s="42">
        <v>934.23310000000004</v>
      </c>
    </row>
    <row r="949" spans="1:13">
      <c r="A949" s="41">
        <v>45992</v>
      </c>
      <c r="B949" s="42">
        <v>26033.26</v>
      </c>
      <c r="C949" s="42">
        <v>200884232100</v>
      </c>
      <c r="D949">
        <f t="shared" si="42"/>
        <v>9172.84</v>
      </c>
      <c r="E949">
        <f t="shared" si="43"/>
        <v>2.9410700798034668</v>
      </c>
      <c r="F949">
        <f t="shared" si="44"/>
        <v>928.5145</v>
      </c>
      <c r="G949" s="42"/>
      <c r="H949" s="41">
        <v>45992</v>
      </c>
      <c r="I949" s="42">
        <v>9172.84</v>
      </c>
      <c r="J949" s="41">
        <v>45992</v>
      </c>
      <c r="K949" s="42">
        <v>2.9410700798034668</v>
      </c>
      <c r="L949" s="41">
        <v>45992</v>
      </c>
      <c r="M949" s="42">
        <v>928.5145</v>
      </c>
    </row>
    <row r="950" spans="1:13">
      <c r="A950" s="41">
        <v>45993</v>
      </c>
      <c r="B950" s="42">
        <v>26095.05</v>
      </c>
      <c r="C950" s="42">
        <v>178246774100</v>
      </c>
      <c r="D950">
        <f t="shared" si="42"/>
        <v>9182.65</v>
      </c>
      <c r="E950">
        <f t="shared" si="43"/>
        <v>2.866070032119751</v>
      </c>
      <c r="F950">
        <f t="shared" si="44"/>
        <v>919.03</v>
      </c>
      <c r="G950" s="42"/>
      <c r="H950" s="41">
        <v>45993</v>
      </c>
      <c r="I950" s="42">
        <v>9182.65</v>
      </c>
      <c r="J950" s="41">
        <v>45993</v>
      </c>
      <c r="K950" s="42">
        <v>2.866070032119751</v>
      </c>
      <c r="L950" s="41">
        <v>45993</v>
      </c>
      <c r="M950" s="42">
        <v>919.03</v>
      </c>
    </row>
    <row r="951" spans="1:13">
      <c r="A951" s="41">
        <v>45994</v>
      </c>
      <c r="B951" s="42">
        <v>25760.73</v>
      </c>
      <c r="C951" s="42">
        <v>164360670100</v>
      </c>
      <c r="D951">
        <f t="shared" si="42"/>
        <v>9028.5499999999993</v>
      </c>
      <c r="E951">
        <f t="shared" si="43"/>
        <v>3.0082700252532959</v>
      </c>
      <c r="F951">
        <f t="shared" si="44"/>
        <v>910.59529999999995</v>
      </c>
      <c r="G951" s="42"/>
      <c r="H951" s="41">
        <v>45994</v>
      </c>
      <c r="I951" s="42">
        <v>9028.5499999999993</v>
      </c>
      <c r="J951" s="41">
        <v>45994</v>
      </c>
      <c r="K951" s="42">
        <v>3.0082700252532959</v>
      </c>
      <c r="L951" s="41">
        <v>45994</v>
      </c>
      <c r="M951" s="42">
        <v>910.59529999999995</v>
      </c>
    </row>
    <row r="952" spans="1:13">
      <c r="A952" s="41">
        <v>45995</v>
      </c>
      <c r="B952" s="42">
        <v>25935.9</v>
      </c>
      <c r="C952" s="42">
        <v>179305874000</v>
      </c>
      <c r="D952">
        <f t="shared" si="42"/>
        <v>9106.48</v>
      </c>
      <c r="E952">
        <f t="shared" si="43"/>
        <v>3.0345799922943115</v>
      </c>
      <c r="F952">
        <f t="shared" si="44"/>
        <v>895.23720000000003</v>
      </c>
      <c r="G952" s="42"/>
      <c r="H952" s="41">
        <v>45995</v>
      </c>
      <c r="I952" s="42">
        <v>9106.48</v>
      </c>
      <c r="J952" s="41">
        <v>45995</v>
      </c>
      <c r="K952" s="42">
        <v>3.0345799922943115</v>
      </c>
      <c r="L952" s="41">
        <v>45995</v>
      </c>
      <c r="M952" s="42">
        <v>895.23720000000003</v>
      </c>
    </row>
    <row r="953" spans="1:13">
      <c r="A953" s="41">
        <v>45996</v>
      </c>
      <c r="B953" s="42">
        <v>26085.08</v>
      </c>
      <c r="C953" s="42">
        <v>210472620100</v>
      </c>
      <c r="D953">
        <f t="shared" si="42"/>
        <v>9198.2999999999993</v>
      </c>
      <c r="E953">
        <f t="shared" si="43"/>
        <v>3.0719099044799805</v>
      </c>
      <c r="F953">
        <f t="shared" si="44"/>
        <v>904.85619999999994</v>
      </c>
      <c r="G953" s="42"/>
      <c r="H953" s="41">
        <v>45996</v>
      </c>
      <c r="I953" s="42">
        <v>9198.2999999999993</v>
      </c>
      <c r="J953" s="41">
        <v>45996</v>
      </c>
      <c r="K953" s="42">
        <v>3.0719099044799805</v>
      </c>
      <c r="L953" s="41">
        <v>45996</v>
      </c>
      <c r="M953" s="42">
        <v>904.85619999999994</v>
      </c>
    </row>
    <row r="954" spans="1:13">
      <c r="A954" s="41">
        <v>45999</v>
      </c>
      <c r="B954" s="42">
        <v>25765.360000000001</v>
      </c>
      <c r="C954" s="42">
        <v>206230253400</v>
      </c>
      <c r="D954">
        <f t="shared" si="42"/>
        <v>9083.5300000000007</v>
      </c>
      <c r="E954">
        <f t="shared" si="43"/>
        <v>3.056610107421875</v>
      </c>
      <c r="F954">
        <f t="shared" si="44"/>
        <v>906.28689999999995</v>
      </c>
      <c r="G954" s="42"/>
      <c r="H954" s="41">
        <v>45999</v>
      </c>
      <c r="I954" s="42">
        <v>9083.5300000000007</v>
      </c>
      <c r="J954" s="41">
        <v>45999</v>
      </c>
      <c r="K954" s="42">
        <v>3.056610107421875</v>
      </c>
      <c r="L954" s="41">
        <v>45999</v>
      </c>
      <c r="M954" s="42">
        <v>906.28689999999995</v>
      </c>
    </row>
    <row r="955" spans="1:13">
      <c r="A955" s="41">
        <v>46000</v>
      </c>
      <c r="B955" s="42">
        <v>25434.23</v>
      </c>
      <c r="C955" s="42">
        <v>210235876800</v>
      </c>
      <c r="D955">
        <f t="shared" si="42"/>
        <v>8936.41</v>
      </c>
      <c r="E955">
        <f t="shared" si="43"/>
        <v>3.0741701126098633</v>
      </c>
      <c r="F955">
        <f t="shared" si="44"/>
        <v>899.67449999999997</v>
      </c>
      <c r="G955" s="42"/>
      <c r="H955" s="41">
        <v>46000</v>
      </c>
      <c r="I955" s="42">
        <v>8936.41</v>
      </c>
      <c r="J955" s="41">
        <v>46000</v>
      </c>
      <c r="K955" s="42">
        <v>3.0741701126098633</v>
      </c>
      <c r="L955" s="41">
        <v>46000</v>
      </c>
      <c r="M955" s="42">
        <v>899.67449999999997</v>
      </c>
    </row>
    <row r="956" spans="1:13">
      <c r="A956" s="41">
        <v>46001</v>
      </c>
      <c r="B956" s="42">
        <v>25540.78</v>
      </c>
      <c r="C956" s="42">
        <v>193391858800</v>
      </c>
      <c r="D956">
        <f t="shared" si="42"/>
        <v>8954.69</v>
      </c>
      <c r="E956">
        <f t="shared" si="43"/>
        <v>3.0715498924255371</v>
      </c>
      <c r="F956">
        <f t="shared" si="44"/>
        <v>903.45839999999998</v>
      </c>
      <c r="G956" s="42"/>
      <c r="H956" s="41">
        <v>46001</v>
      </c>
      <c r="I956" s="42">
        <v>8954.69</v>
      </c>
      <c r="J956" s="41">
        <v>46001</v>
      </c>
      <c r="K956" s="42">
        <v>3.0715498924255371</v>
      </c>
      <c r="L956" s="41">
        <v>46001</v>
      </c>
      <c r="M956" s="42">
        <v>903.45839999999998</v>
      </c>
    </row>
    <row r="957" spans="1:13">
      <c r="A957" s="41">
        <v>46002</v>
      </c>
      <c r="B957" s="42">
        <v>25530.51</v>
      </c>
      <c r="C957" s="42">
        <v>182477057500</v>
      </c>
      <c r="D957">
        <f t="shared" si="42"/>
        <v>8934.2800000000007</v>
      </c>
      <c r="E957">
        <f t="shared" si="43"/>
        <v>3.0549399852752686</v>
      </c>
      <c r="F957">
        <f t="shared" si="44"/>
        <v>881.01710000000003</v>
      </c>
      <c r="G957" s="42"/>
      <c r="H957" s="41">
        <v>46002</v>
      </c>
      <c r="I957" s="42">
        <v>8934.2800000000007</v>
      </c>
      <c r="J957" s="41">
        <v>46002</v>
      </c>
      <c r="K957" s="42">
        <v>3.0549399852752686</v>
      </c>
      <c r="L957" s="41">
        <v>46002</v>
      </c>
      <c r="M957" s="42">
        <v>881.01710000000003</v>
      </c>
    </row>
    <row r="958" spans="1:13">
      <c r="A958" s="41">
        <v>46003</v>
      </c>
      <c r="B958" s="42">
        <v>25976.79</v>
      </c>
      <c r="C958" s="42">
        <v>242656945300</v>
      </c>
      <c r="D958">
        <f t="shared" si="42"/>
        <v>9079.35</v>
      </c>
      <c r="E958">
        <f t="shared" si="43"/>
        <v>3.0269598960876465</v>
      </c>
      <c r="F958">
        <f t="shared" si="44"/>
        <v>887.51779999999997</v>
      </c>
      <c r="G958" s="42"/>
      <c r="H958" s="41">
        <v>46003</v>
      </c>
      <c r="I958" s="42">
        <v>9079.35</v>
      </c>
      <c r="J958" s="41">
        <v>46003</v>
      </c>
      <c r="K958" s="42">
        <v>3.0269598960876465</v>
      </c>
      <c r="L958" s="41">
        <v>46003</v>
      </c>
      <c r="M958" s="42">
        <v>887.51779999999997</v>
      </c>
    </row>
    <row r="959" spans="1:13">
      <c r="A959" s="41">
        <v>46006</v>
      </c>
      <c r="B959" s="42">
        <v>25628.880000000001</v>
      </c>
      <c r="C959" s="42">
        <v>204288665200</v>
      </c>
      <c r="D959">
        <f t="shared" si="42"/>
        <v>8917.7000000000007</v>
      </c>
      <c r="E959">
        <f t="shared" si="43"/>
        <v>2.9882099628448486</v>
      </c>
      <c r="F959">
        <f t="shared" si="44"/>
        <v>891.6472</v>
      </c>
      <c r="G959" s="42"/>
      <c r="H959" s="41">
        <v>46006</v>
      </c>
      <c r="I959" s="42">
        <v>8917.7000000000007</v>
      </c>
      <c r="J959" s="41">
        <v>46006</v>
      </c>
      <c r="K959" s="42">
        <v>2.9882099628448486</v>
      </c>
      <c r="L959" s="41">
        <v>46006</v>
      </c>
      <c r="M959" s="42">
        <v>891.6472</v>
      </c>
    </row>
    <row r="960" spans="1:13">
      <c r="A960" s="41">
        <v>46007</v>
      </c>
      <c r="B960" s="42">
        <v>25235.41</v>
      </c>
      <c r="C960" s="42">
        <v>201527765600</v>
      </c>
      <c r="D960">
        <f t="shared" si="42"/>
        <v>8757.93</v>
      </c>
      <c r="E960">
        <f t="shared" si="43"/>
        <v>3.0895800590515137</v>
      </c>
      <c r="F960">
        <f t="shared" si="44"/>
        <v>887.30409999999995</v>
      </c>
      <c r="G960" s="42"/>
      <c r="H960" s="41">
        <v>46007</v>
      </c>
      <c r="I960" s="42">
        <v>8757.93</v>
      </c>
      <c r="J960" s="41">
        <v>46007</v>
      </c>
      <c r="K960" s="42">
        <v>3.0895800590515137</v>
      </c>
      <c r="L960" s="41">
        <v>46007</v>
      </c>
      <c r="M960" s="42">
        <v>887.30409999999995</v>
      </c>
    </row>
    <row r="961" spans="1:13">
      <c r="A961" s="41">
        <v>46008</v>
      </c>
      <c r="B961" s="42">
        <v>25468.78</v>
      </c>
      <c r="C961" s="42">
        <v>183140540000</v>
      </c>
      <c r="D961">
        <f t="shared" si="42"/>
        <v>8843.57</v>
      </c>
      <c r="E961">
        <f t="shared" si="43"/>
        <v>3.1265499591827393</v>
      </c>
      <c r="F961">
        <f t="shared" si="44"/>
        <v>891.72310000000004</v>
      </c>
      <c r="G961" s="42"/>
      <c r="H961" s="41">
        <v>46008</v>
      </c>
      <c r="I961" s="42">
        <v>8843.57</v>
      </c>
      <c r="J961" s="41">
        <v>46008</v>
      </c>
      <c r="K961" s="42">
        <v>3.1265499591827393</v>
      </c>
      <c r="L961" s="41">
        <v>46008</v>
      </c>
      <c r="M961" s="42">
        <v>891.72310000000004</v>
      </c>
    </row>
    <row r="962" spans="1:13">
      <c r="A962" s="41">
        <v>46009</v>
      </c>
      <c r="B962" s="42">
        <v>25498.13</v>
      </c>
      <c r="C962" s="42">
        <v>162377451400</v>
      </c>
      <c r="D962">
        <f t="shared" si="42"/>
        <v>8841.51</v>
      </c>
      <c r="E962">
        <f t="shared" si="43"/>
        <v>3.1049399375915527</v>
      </c>
      <c r="F962">
        <f t="shared" si="44"/>
        <v>890.37689999999998</v>
      </c>
      <c r="G962" s="42"/>
      <c r="H962" s="41">
        <v>46009</v>
      </c>
      <c r="I962" s="42">
        <v>8841.51</v>
      </c>
      <c r="J962" s="41">
        <v>46009</v>
      </c>
      <c r="K962" s="42">
        <v>3.1049399375915527</v>
      </c>
      <c r="L962" s="41">
        <v>46009</v>
      </c>
      <c r="M962" s="42">
        <v>890.37689999999998</v>
      </c>
    </row>
    <row r="963" spans="1:13">
      <c r="A963" s="41">
        <v>46010</v>
      </c>
      <c r="B963" s="42">
        <v>25690.53</v>
      </c>
      <c r="C963" s="42">
        <v>221186355300</v>
      </c>
      <c r="D963">
        <f t="shared" si="42"/>
        <v>8901.23</v>
      </c>
      <c r="E963">
        <f t="shared" si="43"/>
        <v>3.0880999565124512</v>
      </c>
      <c r="F963">
        <f t="shared" si="44"/>
        <v>906.07849999999996</v>
      </c>
      <c r="G963" s="42"/>
      <c r="H963" s="41">
        <v>46010</v>
      </c>
      <c r="I963" s="42">
        <v>8901.23</v>
      </c>
      <c r="J963" s="41">
        <v>46010</v>
      </c>
      <c r="K963" s="42">
        <v>3.0880999565124512</v>
      </c>
      <c r="L963" s="41">
        <v>46010</v>
      </c>
      <c r="M963" s="42">
        <v>906.07849999999996</v>
      </c>
    </row>
    <row r="964" spans="1:13">
      <c r="A964" s="41">
        <v>46013</v>
      </c>
      <c r="B964" s="42">
        <v>25801.77</v>
      </c>
      <c r="C964" s="42">
        <v>169777036600</v>
      </c>
      <c r="D964">
        <f t="shared" ref="D964:D1027" si="45">IFERROR(VLOOKUP($A964,$H$3:$I$1100,2,FALSE),"")</f>
        <v>8939.68</v>
      </c>
      <c r="E964">
        <f t="shared" ref="E964:E1027" si="46">IFERROR(VLOOKUP($A964,$J$3:$K$1100,2,FALSE),"")</f>
        <v>3.0154199600219727</v>
      </c>
      <c r="F964">
        <f t="shared" ref="F964:F1027" si="47">IFERROR(VLOOKUP($A964,$L$3:$M$1100,2,FALSE),"")</f>
        <v>913.59429999999998</v>
      </c>
      <c r="G964" s="42"/>
      <c r="H964" s="41">
        <v>46013</v>
      </c>
      <c r="I964" s="42">
        <v>8939.68</v>
      </c>
      <c r="J964" s="41">
        <v>46013</v>
      </c>
      <c r="K964" s="42">
        <v>3.0154199600219727</v>
      </c>
      <c r="L964" s="41">
        <v>46013</v>
      </c>
      <c r="M964" s="42">
        <v>913.59429999999998</v>
      </c>
    </row>
    <row r="965" spans="1:13">
      <c r="A965" s="41">
        <v>46014</v>
      </c>
      <c r="B965" s="42">
        <v>25774.14</v>
      </c>
      <c r="C965" s="42">
        <v>157131425600</v>
      </c>
      <c r="D965">
        <f t="shared" si="45"/>
        <v>8913.83</v>
      </c>
      <c r="E965">
        <f t="shared" si="46"/>
        <v>3.0295801162719727</v>
      </c>
      <c r="F965">
        <f t="shared" si="47"/>
        <v>901.41470000000004</v>
      </c>
      <c r="G965" s="42"/>
      <c r="H965" s="41">
        <v>46014</v>
      </c>
      <c r="I965" s="42">
        <v>8913.83</v>
      </c>
      <c r="J965" s="41">
        <v>46014</v>
      </c>
      <c r="K965" s="42">
        <v>3.0295801162719727</v>
      </c>
      <c r="L965" s="41">
        <v>46014</v>
      </c>
      <c r="M965" s="42">
        <v>901.41470000000004</v>
      </c>
    </row>
    <row r="966" spans="1:13">
      <c r="A966" s="41">
        <v>46015</v>
      </c>
      <c r="B966" s="42">
        <v>25818.93</v>
      </c>
      <c r="C966" s="42">
        <v>92524183000</v>
      </c>
      <c r="D966">
        <f t="shared" si="45"/>
        <v>8915.1200000000008</v>
      </c>
      <c r="E966">
        <f t="shared" si="46"/>
        <v>3.0949399471282959</v>
      </c>
      <c r="F966">
        <f t="shared" si="47"/>
        <v>895.92610000000002</v>
      </c>
      <c r="G966" s="42"/>
      <c r="H966" s="41">
        <v>46015</v>
      </c>
      <c r="I966" s="42">
        <v>8915.1200000000008</v>
      </c>
      <c r="J966" s="41">
        <v>46015</v>
      </c>
      <c r="K966" s="42">
        <v>3.0949399471282959</v>
      </c>
      <c r="L966" s="41">
        <v>46015</v>
      </c>
      <c r="M966" s="42">
        <v>895.92610000000002</v>
      </c>
    </row>
    <row r="967" spans="1:13">
      <c r="A967" s="41">
        <v>46016</v>
      </c>
      <c r="B967" s="42">
        <v>25818.93</v>
      </c>
      <c r="C967" s="42"/>
      <c r="D967">
        <f t="shared" si="45"/>
        <v>8915.1200000000008</v>
      </c>
      <c r="E967">
        <f t="shared" si="46"/>
        <v>0</v>
      </c>
      <c r="F967">
        <f t="shared" si="47"/>
        <v>901.13530000000003</v>
      </c>
      <c r="G967" s="42"/>
      <c r="H967" s="41">
        <v>46016</v>
      </c>
      <c r="I967" s="42">
        <v>8915.1200000000008</v>
      </c>
      <c r="J967" s="41">
        <v>46016</v>
      </c>
      <c r="K967" s="42"/>
      <c r="L967" s="41">
        <v>46016</v>
      </c>
      <c r="M967" s="42">
        <v>901.13530000000003</v>
      </c>
    </row>
    <row r="968" spans="1:13">
      <c r="A968" s="41">
        <v>46017</v>
      </c>
      <c r="B968" s="42">
        <v>25818.93</v>
      </c>
      <c r="C968" s="42"/>
      <c r="D968">
        <f t="shared" si="45"/>
        <v>8915.1200000000008</v>
      </c>
      <c r="E968">
        <f t="shared" si="46"/>
        <v>0</v>
      </c>
      <c r="F968">
        <f t="shared" si="47"/>
        <v>901.8229</v>
      </c>
      <c r="G968" s="42"/>
      <c r="H968" s="41">
        <v>46017</v>
      </c>
      <c r="I968" s="42">
        <v>8915.1200000000008</v>
      </c>
      <c r="J968" s="41">
        <v>46017</v>
      </c>
      <c r="K968" s="42"/>
      <c r="L968" s="41">
        <v>46017</v>
      </c>
      <c r="M968" s="42">
        <v>901.8229</v>
      </c>
    </row>
    <row r="969" spans="1:13">
      <c r="A969" s="41">
        <v>46020</v>
      </c>
      <c r="B969" s="42">
        <v>25635.23</v>
      </c>
      <c r="C969" s="42">
        <v>224508358300</v>
      </c>
      <c r="D969">
        <f t="shared" si="45"/>
        <v>8891.7099999999991</v>
      </c>
      <c r="E969">
        <f t="shared" si="46"/>
        <v>3.0843501091003418</v>
      </c>
      <c r="F969">
        <f t="shared" si="47"/>
        <v>903.49339999999995</v>
      </c>
      <c r="G969" s="42"/>
      <c r="H969" s="41">
        <v>46020</v>
      </c>
      <c r="I969" s="42">
        <v>8891.7099999999991</v>
      </c>
      <c r="J969" s="41">
        <v>46020</v>
      </c>
      <c r="K969" s="42">
        <v>3.0843501091003418</v>
      </c>
      <c r="L969" s="41">
        <v>46020</v>
      </c>
      <c r="M969" s="42">
        <v>903.49339999999995</v>
      </c>
    </row>
    <row r="970" spans="1:13">
      <c r="A970" s="41">
        <v>46021</v>
      </c>
      <c r="B970" s="42">
        <v>25854.6</v>
      </c>
      <c r="C970" s="42">
        <v>199769065100</v>
      </c>
      <c r="D970">
        <f t="shared" si="45"/>
        <v>8991.02</v>
      </c>
      <c r="E970">
        <f t="shared" si="46"/>
        <v>3.0360701084136963</v>
      </c>
      <c r="F970">
        <f t="shared" si="47"/>
        <v>904.57100000000003</v>
      </c>
      <c r="G970" s="42"/>
      <c r="H970" s="41">
        <v>46021</v>
      </c>
      <c r="I970" s="42">
        <v>8991.02</v>
      </c>
      <c r="J970" s="41">
        <v>46021</v>
      </c>
      <c r="K970" s="42">
        <v>3.0360701084136963</v>
      </c>
      <c r="L970" s="41">
        <v>46021</v>
      </c>
      <c r="M970" s="42">
        <v>904.57100000000003</v>
      </c>
    </row>
    <row r="971" spans="1:13">
      <c r="A971" s="41">
        <v>46022</v>
      </c>
      <c r="B971" s="42">
        <v>25630.54</v>
      </c>
      <c r="C971" s="42">
        <v>118965851100</v>
      </c>
      <c r="D971">
        <f t="shared" si="45"/>
        <v>8913.68</v>
      </c>
      <c r="E971">
        <f t="shared" si="46"/>
        <v>2.9324400424957275</v>
      </c>
      <c r="F971">
        <f t="shared" si="47"/>
        <v>896.57690000000002</v>
      </c>
      <c r="G971" s="42"/>
      <c r="H971" s="41">
        <v>46022</v>
      </c>
      <c r="I971" s="42">
        <v>8913.68</v>
      </c>
      <c r="J971" s="41">
        <v>46022</v>
      </c>
      <c r="K971" s="42">
        <v>2.9324400424957275</v>
      </c>
      <c r="L971" s="41">
        <v>46022</v>
      </c>
      <c r="M971" s="42">
        <v>896.57690000000002</v>
      </c>
    </row>
    <row r="972" spans="1:13">
      <c r="A972" s="41">
        <v>46027</v>
      </c>
      <c r="B972" s="42">
        <v>26347.24</v>
      </c>
      <c r="C972" s="42">
        <v>283462308900</v>
      </c>
      <c r="D972">
        <f t="shared" si="45"/>
        <v>9148.4699999999993</v>
      </c>
      <c r="E972">
        <f t="shared" si="46"/>
        <v>2.8160700798034668</v>
      </c>
      <c r="F972">
        <f t="shared" si="47"/>
        <v>901.72590000000002</v>
      </c>
      <c r="G972" s="42"/>
      <c r="H972" s="41">
        <v>46027</v>
      </c>
      <c r="I972" s="42">
        <v>9148.4699999999993</v>
      </c>
      <c r="J972" s="41">
        <v>46027</v>
      </c>
      <c r="K972" s="42">
        <v>2.8160700798034668</v>
      </c>
      <c r="L972" s="41">
        <v>46027</v>
      </c>
      <c r="M972" s="42">
        <v>901.72590000000002</v>
      </c>
    </row>
    <row r="973" spans="1:13">
      <c r="A973" s="41">
        <v>46028</v>
      </c>
      <c r="B973" s="42">
        <v>26710.45</v>
      </c>
      <c r="C973" s="42">
        <v>291758187600</v>
      </c>
      <c r="D973">
        <f t="shared" si="45"/>
        <v>9244.24</v>
      </c>
      <c r="E973">
        <f t="shared" si="46"/>
        <v>2.9907100200653076</v>
      </c>
      <c r="F973">
        <f t="shared" si="47"/>
        <v>908.77809999999999</v>
      </c>
      <c r="G973" s="42"/>
      <c r="H973" s="41">
        <v>46028</v>
      </c>
      <c r="I973" s="42">
        <v>9244.24</v>
      </c>
      <c r="J973" s="41">
        <v>46028</v>
      </c>
      <c r="K973" s="42">
        <v>2.9907100200653076</v>
      </c>
      <c r="L973" s="41">
        <v>46028</v>
      </c>
      <c r="M973" s="42">
        <v>908.77809999999999</v>
      </c>
    </row>
    <row r="974" spans="1:13">
      <c r="A974" s="41">
        <v>46029</v>
      </c>
      <c r="B974" s="42">
        <v>26458.95</v>
      </c>
      <c r="C974" s="42">
        <v>276133714300</v>
      </c>
      <c r="D974">
        <f t="shared" si="45"/>
        <v>9138.75</v>
      </c>
      <c r="E974">
        <f t="shared" si="46"/>
        <v>2.9726200103759766</v>
      </c>
      <c r="F974">
        <f t="shared" si="47"/>
        <v>905.27329999999995</v>
      </c>
      <c r="G974" s="42"/>
      <c r="H974" s="41">
        <v>46029</v>
      </c>
      <c r="I974" s="42">
        <v>9138.75</v>
      </c>
      <c r="J974" s="41">
        <v>46029</v>
      </c>
      <c r="K974" s="42">
        <v>2.9726200103759766</v>
      </c>
      <c r="L974" s="41">
        <v>46029</v>
      </c>
      <c r="M974" s="42">
        <v>905.27329999999995</v>
      </c>
    </row>
    <row r="975" spans="1:13">
      <c r="A975" s="41">
        <v>46030</v>
      </c>
      <c r="B975" s="42">
        <v>26149.31</v>
      </c>
      <c r="C975" s="42">
        <v>268274751700</v>
      </c>
      <c r="D975">
        <f t="shared" si="45"/>
        <v>9039.34</v>
      </c>
      <c r="E975">
        <f t="shared" si="46"/>
        <v>2.9952399730682373</v>
      </c>
      <c r="F975">
        <f t="shared" si="47"/>
        <v>911.69920000000002</v>
      </c>
      <c r="G975" s="42"/>
      <c r="H975" s="41">
        <v>46030</v>
      </c>
      <c r="I975" s="42">
        <v>9039.34</v>
      </c>
      <c r="J975" s="41">
        <v>46030</v>
      </c>
      <c r="K975" s="42">
        <v>2.9952399730682373</v>
      </c>
      <c r="L975" s="41">
        <v>46030</v>
      </c>
      <c r="M975" s="42">
        <v>911.69920000000002</v>
      </c>
    </row>
    <row r="976" spans="1:13">
      <c r="A976" s="41">
        <v>46031</v>
      </c>
      <c r="B976" s="42">
        <v>26231.79</v>
      </c>
      <c r="C976" s="42">
        <v>245129966700</v>
      </c>
      <c r="D976">
        <f t="shared" si="45"/>
        <v>9048.5300000000007</v>
      </c>
      <c r="E976">
        <f t="shared" si="46"/>
        <v>2.9124999046325684</v>
      </c>
      <c r="F976">
        <f t="shared" si="47"/>
        <v>916.24879999999996</v>
      </c>
      <c r="G976" s="42"/>
      <c r="H976" s="41">
        <v>46031</v>
      </c>
      <c r="I976" s="42">
        <v>9048.5300000000007</v>
      </c>
      <c r="J976" s="41">
        <v>46031</v>
      </c>
      <c r="K976" s="42">
        <v>2.9124999046325684</v>
      </c>
      <c r="L976" s="41">
        <v>46031</v>
      </c>
      <c r="M976" s="42">
        <v>916.24879999999996</v>
      </c>
    </row>
    <row r="977" spans="1:13">
      <c r="A977" s="41">
        <v>46034</v>
      </c>
      <c r="B977" s="42">
        <v>26608.48</v>
      </c>
      <c r="C977" s="42">
        <v>306223398800</v>
      </c>
      <c r="D977">
        <f t="shared" si="45"/>
        <v>9220.08</v>
      </c>
      <c r="E977">
        <f t="shared" si="46"/>
        <v>2.8900001049041748</v>
      </c>
      <c r="F977">
        <f t="shared" si="47"/>
        <v>925.74279999999999</v>
      </c>
      <c r="G977" s="42"/>
      <c r="H977" s="41">
        <v>46034</v>
      </c>
      <c r="I977" s="42">
        <v>9220.08</v>
      </c>
      <c r="J977" s="41">
        <v>46034</v>
      </c>
      <c r="K977" s="42">
        <v>2.8900001049041748</v>
      </c>
      <c r="L977" s="41">
        <v>46034</v>
      </c>
      <c r="M977" s="42">
        <v>925.74279999999999</v>
      </c>
    </row>
    <row r="978" spans="1:13">
      <c r="A978" s="41">
        <v>46035</v>
      </c>
      <c r="B978" s="42">
        <v>26848.47</v>
      </c>
      <c r="C978" s="42">
        <v>315192466900</v>
      </c>
      <c r="D978">
        <f t="shared" si="45"/>
        <v>9285.41</v>
      </c>
      <c r="E978">
        <f t="shared" si="46"/>
        <v>2.8341100215911865</v>
      </c>
      <c r="F978">
        <f t="shared" si="47"/>
        <v>913.31309999999996</v>
      </c>
      <c r="G978" s="42"/>
      <c r="H978" s="41">
        <v>46035</v>
      </c>
      <c r="I978" s="42">
        <v>9285.41</v>
      </c>
      <c r="J978" s="41">
        <v>46035</v>
      </c>
      <c r="K978" s="42">
        <v>2.8341100215911865</v>
      </c>
      <c r="L978" s="41">
        <v>46035</v>
      </c>
      <c r="M978" s="42">
        <v>913.31309999999996</v>
      </c>
    </row>
    <row r="979" spans="1:13">
      <c r="A979" s="41">
        <v>46036</v>
      </c>
      <c r="B979" s="42">
        <v>26999.81</v>
      </c>
      <c r="C979" s="42">
        <v>340393440600</v>
      </c>
      <c r="D979">
        <f t="shared" si="45"/>
        <v>9315.56</v>
      </c>
      <c r="E979">
        <f t="shared" si="46"/>
        <v>2.8007099628448486</v>
      </c>
      <c r="F979">
        <f t="shared" si="47"/>
        <v>912.49279999999999</v>
      </c>
      <c r="G979" s="42"/>
      <c r="H979" s="41">
        <v>46036</v>
      </c>
      <c r="I979" s="42">
        <v>9315.56</v>
      </c>
      <c r="J979" s="41">
        <v>46036</v>
      </c>
      <c r="K979" s="42">
        <v>2.8007099628448486</v>
      </c>
      <c r="L979" s="41">
        <v>46036</v>
      </c>
      <c r="M979" s="42">
        <v>912.49279999999999</v>
      </c>
    </row>
    <row r="980" spans="1:13">
      <c r="A980" s="41">
        <v>46037</v>
      </c>
      <c r="B980" s="42">
        <v>26923.62</v>
      </c>
      <c r="C980" s="42">
        <v>290455330100</v>
      </c>
      <c r="D980">
        <f t="shared" si="45"/>
        <v>9266.86</v>
      </c>
      <c r="E980">
        <f t="shared" si="46"/>
        <v>2.9042301177978516</v>
      </c>
      <c r="F980">
        <f t="shared" si="47"/>
        <v>918.6789</v>
      </c>
      <c r="G980" s="42"/>
      <c r="H980" s="41">
        <v>46037</v>
      </c>
      <c r="I980" s="42">
        <v>9266.86</v>
      </c>
      <c r="J980" s="41">
        <v>46037</v>
      </c>
      <c r="K980" s="42">
        <v>2.9042301177978516</v>
      </c>
      <c r="L980" s="41">
        <v>46037</v>
      </c>
      <c r="M980" s="42">
        <v>918.6789</v>
      </c>
    </row>
    <row r="981" spans="1:13">
      <c r="A981" s="41">
        <v>46038</v>
      </c>
      <c r="B981" s="42">
        <v>26844.959999999999</v>
      </c>
      <c r="C981" s="42">
        <v>255078624800</v>
      </c>
      <c r="D981">
        <f t="shared" si="45"/>
        <v>9220.81</v>
      </c>
      <c r="E981">
        <f t="shared" si="46"/>
        <v>2.8624401092529297</v>
      </c>
      <c r="F981">
        <f t="shared" si="47"/>
        <v>906.59360000000004</v>
      </c>
      <c r="G981" s="42"/>
      <c r="H981" s="41">
        <v>46038</v>
      </c>
      <c r="I981" s="42">
        <v>9220.81</v>
      </c>
      <c r="J981" s="41">
        <v>46038</v>
      </c>
      <c r="K981" s="42">
        <v>2.8624401092529297</v>
      </c>
      <c r="L981" s="41">
        <v>46038</v>
      </c>
      <c r="M981" s="42">
        <v>906.59360000000004</v>
      </c>
    </row>
    <row r="982" spans="1:13">
      <c r="A982" s="41">
        <v>46041</v>
      </c>
      <c r="B982" s="42">
        <v>26563.9</v>
      </c>
      <c r="C982" s="42">
        <v>225688504800</v>
      </c>
      <c r="D982">
        <f t="shared" si="45"/>
        <v>9134.4500000000007</v>
      </c>
      <c r="E982">
        <f t="shared" si="46"/>
        <v>2.8428599834442139</v>
      </c>
      <c r="F982">
        <f t="shared" si="47"/>
        <v>920.82010000000002</v>
      </c>
      <c r="G982" s="42"/>
      <c r="H982" s="41">
        <v>46041</v>
      </c>
      <c r="I982" s="42">
        <v>9134.4500000000007</v>
      </c>
      <c r="J982" s="41">
        <v>46041</v>
      </c>
      <c r="K982" s="42">
        <v>2.8428599834442139</v>
      </c>
      <c r="L982" s="41">
        <v>46041</v>
      </c>
      <c r="M982" s="42">
        <v>920.82010000000002</v>
      </c>
    </row>
    <row r="983" spans="1:13">
      <c r="A983" s="41">
        <v>46042</v>
      </c>
      <c r="B983" s="42">
        <v>26487.51</v>
      </c>
      <c r="C983" s="42">
        <v>237765786800</v>
      </c>
      <c r="D983">
        <f t="shared" si="45"/>
        <v>9094.76</v>
      </c>
      <c r="E983">
        <f t="shared" si="46"/>
        <v>2.8558900356292725</v>
      </c>
      <c r="F983">
        <f t="shared" si="47"/>
        <v>919.4796</v>
      </c>
      <c r="G983" s="42"/>
      <c r="H983" s="41">
        <v>46042</v>
      </c>
      <c r="I983" s="42">
        <v>9094.76</v>
      </c>
      <c r="J983" s="41">
        <v>46042</v>
      </c>
      <c r="K983" s="42">
        <v>2.8558900356292725</v>
      </c>
      <c r="L983" s="41">
        <v>46042</v>
      </c>
      <c r="M983" s="42">
        <v>919.4796</v>
      </c>
    </row>
    <row r="984" spans="1:13">
      <c r="A984" s="41">
        <v>46043</v>
      </c>
      <c r="B984" s="42">
        <v>26585.06</v>
      </c>
      <c r="C984" s="42">
        <v>250451419700</v>
      </c>
      <c r="D984">
        <f t="shared" si="45"/>
        <v>9122.9500000000007</v>
      </c>
      <c r="E984">
        <f t="shared" si="46"/>
        <v>2.8327300548553467</v>
      </c>
      <c r="F984">
        <f t="shared" si="47"/>
        <v>914.26099999999997</v>
      </c>
      <c r="G984" s="42"/>
      <c r="H984" s="41">
        <v>46043</v>
      </c>
      <c r="I984" s="42">
        <v>9122.9500000000007</v>
      </c>
      <c r="J984" s="41">
        <v>46043</v>
      </c>
      <c r="K984" s="42">
        <v>2.8327300548553467</v>
      </c>
      <c r="L984" s="41">
        <v>46043</v>
      </c>
      <c r="M984" s="42">
        <v>914.26099999999997</v>
      </c>
    </row>
    <row r="985" spans="1:13">
      <c r="A985" s="41">
        <v>46044</v>
      </c>
      <c r="B985" s="42">
        <v>26629.96</v>
      </c>
      <c r="C985" s="42">
        <v>234860062900</v>
      </c>
      <c r="D985">
        <f t="shared" si="45"/>
        <v>9114.2999999999993</v>
      </c>
      <c r="E985">
        <f t="shared" si="46"/>
        <v>2.9056599140167236</v>
      </c>
      <c r="F985">
        <f t="shared" si="47"/>
        <v>916.37919999999997</v>
      </c>
      <c r="G985" s="42"/>
      <c r="H985" s="41">
        <v>46044</v>
      </c>
      <c r="I985" s="42">
        <v>9114.2999999999993</v>
      </c>
      <c r="J985" s="41">
        <v>46044</v>
      </c>
      <c r="K985" s="42">
        <v>2.9056599140167236</v>
      </c>
      <c r="L985" s="41">
        <v>46044</v>
      </c>
      <c r="M985" s="42">
        <v>916.37919999999997</v>
      </c>
    </row>
    <row r="986" spans="1:13">
      <c r="A986" s="41">
        <v>46045</v>
      </c>
      <c r="B986" s="42">
        <v>26749.51</v>
      </c>
      <c r="C986" s="42">
        <v>240872174000</v>
      </c>
      <c r="D986">
        <f t="shared" si="45"/>
        <v>9160.81</v>
      </c>
      <c r="E986">
        <f t="shared" si="46"/>
        <v>2.8850600719451904</v>
      </c>
      <c r="F986">
        <f t="shared" si="47"/>
        <v>917.76179999999999</v>
      </c>
      <c r="G986" s="42"/>
      <c r="H986" s="41">
        <v>46045</v>
      </c>
      <c r="I986" s="42">
        <v>9160.81</v>
      </c>
      <c r="J986" s="41">
        <v>46045</v>
      </c>
      <c r="K986" s="42">
        <v>2.8850600719451904</v>
      </c>
      <c r="L986" s="41">
        <v>46045</v>
      </c>
      <c r="M986" s="42">
        <v>917.76179999999999</v>
      </c>
    </row>
    <row r="987" spans="1:13">
      <c r="A987" s="41">
        <v>46048</v>
      </c>
      <c r="B987" s="42">
        <v>26765.52</v>
      </c>
      <c r="C987" s="42">
        <v>261698846100</v>
      </c>
      <c r="D987">
        <f t="shared" si="45"/>
        <v>9147.2099999999991</v>
      </c>
      <c r="E987">
        <f t="shared" si="46"/>
        <v>2.8563699722290039</v>
      </c>
      <c r="F987">
        <f t="shared" si="47"/>
        <v>930.78060000000005</v>
      </c>
      <c r="G987" s="42"/>
      <c r="H987" s="41">
        <v>46048</v>
      </c>
      <c r="I987" s="42">
        <v>9147.2099999999991</v>
      </c>
      <c r="J987" s="41">
        <v>46048</v>
      </c>
      <c r="K987" s="42">
        <v>2.8563699722290039</v>
      </c>
      <c r="L987" s="41">
        <v>46048</v>
      </c>
      <c r="M987" s="42">
        <v>930.78060000000005</v>
      </c>
    </row>
    <row r="988" spans="1:13">
      <c r="A988" s="41">
        <v>46049</v>
      </c>
      <c r="B988" s="42">
        <v>27126.95</v>
      </c>
      <c r="C988" s="42">
        <v>254372617900</v>
      </c>
      <c r="D988">
        <f t="shared" si="45"/>
        <v>9244.8799999999992</v>
      </c>
      <c r="E988">
        <f t="shared" si="46"/>
        <v>2.8478600978851318</v>
      </c>
      <c r="F988">
        <f t="shared" si="47"/>
        <v>909.79049999999995</v>
      </c>
      <c r="G988" s="42"/>
      <c r="H988" s="41">
        <v>46049</v>
      </c>
      <c r="I988" s="42">
        <v>9244.8799999999992</v>
      </c>
      <c r="J988" s="41">
        <v>46049</v>
      </c>
      <c r="K988" s="42">
        <v>2.8478600978851318</v>
      </c>
      <c r="L988" s="41">
        <v>46049</v>
      </c>
      <c r="M988" s="42">
        <v>909.79049999999995</v>
      </c>
    </row>
    <row r="989" spans="1:13">
      <c r="A989" s="41">
        <v>46050</v>
      </c>
      <c r="B989" s="42">
        <v>27826.91</v>
      </c>
      <c r="C989" s="42">
        <v>361523100100</v>
      </c>
      <c r="D989">
        <f t="shared" si="45"/>
        <v>9512.24</v>
      </c>
      <c r="E989">
        <f t="shared" si="46"/>
        <v>2.839169979095459</v>
      </c>
      <c r="F989">
        <f t="shared" si="47"/>
        <v>927.18409999999994</v>
      </c>
      <c r="G989" s="42"/>
      <c r="H989" s="41">
        <v>46050</v>
      </c>
      <c r="I989" s="42">
        <v>9512.24</v>
      </c>
      <c r="J989" s="41">
        <v>46050</v>
      </c>
      <c r="K989" s="42">
        <v>2.839169979095459</v>
      </c>
      <c r="L989" s="41">
        <v>46050</v>
      </c>
      <c r="M989" s="42">
        <v>927.18409999999994</v>
      </c>
    </row>
    <row r="990" spans="1:13">
      <c r="A990" s="41">
        <v>46051</v>
      </c>
      <c r="B990" s="42">
        <v>27968.09</v>
      </c>
      <c r="C990" s="42">
        <v>331994167200</v>
      </c>
      <c r="D990">
        <f t="shared" si="45"/>
        <v>9552.58</v>
      </c>
      <c r="E990">
        <f t="shared" si="46"/>
        <v>2.8229799270629883</v>
      </c>
      <c r="F990">
        <f t="shared" si="47"/>
        <v>938.87609999999995</v>
      </c>
      <c r="G990" s="42"/>
      <c r="H990" s="41">
        <v>46051</v>
      </c>
      <c r="I990" s="42">
        <v>9552.58</v>
      </c>
      <c r="J990" s="41">
        <v>46051</v>
      </c>
      <c r="K990" s="42">
        <v>2.8229799270629883</v>
      </c>
      <c r="L990" s="41">
        <v>46051</v>
      </c>
      <c r="M990" s="42">
        <v>938.87609999999995</v>
      </c>
    </row>
    <row r="991" spans="1:13">
      <c r="A991" s="41">
        <v>46052</v>
      </c>
      <c r="B991" s="42">
        <v>27387.11</v>
      </c>
      <c r="C991" s="42">
        <v>301612398900</v>
      </c>
      <c r="D991">
        <f t="shared" si="45"/>
        <v>9317.09</v>
      </c>
      <c r="E991">
        <f t="shared" si="46"/>
        <v>2.8259499073028564</v>
      </c>
      <c r="F991">
        <f t="shared" si="47"/>
        <v>949.28920000000005</v>
      </c>
      <c r="G991" s="42"/>
      <c r="H991" s="41">
        <v>46052</v>
      </c>
      <c r="I991" s="42">
        <v>9317.09</v>
      </c>
      <c r="J991" s="41">
        <v>46052</v>
      </c>
      <c r="K991" s="42">
        <v>2.8259499073028564</v>
      </c>
      <c r="L991" s="41">
        <v>46052</v>
      </c>
      <c r="M991" s="42">
        <v>949.28920000000005</v>
      </c>
    </row>
    <row r="992" spans="1:13">
      <c r="A992" s="41">
        <v>46055</v>
      </c>
      <c r="B992" s="42">
        <v>26775.57</v>
      </c>
      <c r="C992" s="42">
        <v>347885741200</v>
      </c>
      <c r="D992">
        <f t="shared" si="45"/>
        <v>9080.19</v>
      </c>
      <c r="E992">
        <f t="shared" si="46"/>
        <v>2.7744100093841553</v>
      </c>
      <c r="F992">
        <f t="shared" si="47"/>
        <v>932.78470000000004</v>
      </c>
      <c r="G992" s="42"/>
      <c r="H992" s="41">
        <v>46055</v>
      </c>
      <c r="I992" s="42">
        <v>9080.19</v>
      </c>
      <c r="J992" s="41">
        <v>46055</v>
      </c>
      <c r="K992" s="42">
        <v>2.7744100093841553</v>
      </c>
      <c r="L992" s="41">
        <v>46055</v>
      </c>
      <c r="M992" s="42">
        <v>932.78470000000004</v>
      </c>
    </row>
    <row r="993" spans="1:13">
      <c r="A993" s="41">
        <v>46056</v>
      </c>
      <c r="B993" s="42">
        <v>26834.77</v>
      </c>
      <c r="C993" s="42">
        <v>335152488400</v>
      </c>
      <c r="D993">
        <f t="shared" si="45"/>
        <v>9053.11</v>
      </c>
      <c r="E993">
        <f t="shared" si="46"/>
        <v>2.7483899593353271</v>
      </c>
      <c r="F993">
        <f t="shared" si="47"/>
        <v>936.0521</v>
      </c>
      <c r="G993" s="42"/>
      <c r="H993" s="41">
        <v>46056</v>
      </c>
      <c r="I993" s="42">
        <v>9053.11</v>
      </c>
      <c r="J993" s="41">
        <v>46056</v>
      </c>
      <c r="K993" s="42">
        <v>2.7483899593353271</v>
      </c>
      <c r="L993" s="41">
        <v>46056</v>
      </c>
      <c r="M993" s="42">
        <v>936.0521</v>
      </c>
    </row>
    <row r="994" spans="1:13">
      <c r="A994" s="41">
        <v>46057</v>
      </c>
      <c r="B994" s="42">
        <v>26847.32</v>
      </c>
      <c r="C994" s="42">
        <v>285432803900</v>
      </c>
      <c r="D994">
        <f t="shared" si="45"/>
        <v>9048.3799999999992</v>
      </c>
      <c r="E994">
        <f t="shared" si="46"/>
        <v>2.7417900562286377</v>
      </c>
      <c r="F994">
        <f t="shared" si="47"/>
        <v>942.61090000000002</v>
      </c>
      <c r="G994" s="42"/>
      <c r="H994" s="41">
        <v>46057</v>
      </c>
      <c r="I994" s="42">
        <v>9048.3799999999992</v>
      </c>
      <c r="J994" s="41">
        <v>46057</v>
      </c>
      <c r="K994" s="42">
        <v>2.7417900562286377</v>
      </c>
      <c r="L994" s="41">
        <v>46057</v>
      </c>
      <c r="M994" s="42">
        <v>942.61090000000002</v>
      </c>
    </row>
    <row r="995" spans="1:13">
      <c r="A995" s="41">
        <v>46058</v>
      </c>
      <c r="B995" s="42">
        <v>26885.24</v>
      </c>
      <c r="C995" s="42">
        <v>315112240300</v>
      </c>
      <c r="D995">
        <f t="shared" si="45"/>
        <v>9093.34</v>
      </c>
      <c r="E995">
        <f t="shared" si="46"/>
        <v>2.7774999141693115</v>
      </c>
      <c r="F995">
        <f t="shared" si="47"/>
        <v>941.40129999999999</v>
      </c>
      <c r="G995" s="42"/>
      <c r="H995" s="41">
        <v>46058</v>
      </c>
      <c r="I995" s="42">
        <v>9093.34</v>
      </c>
      <c r="J995" s="41">
        <v>46058</v>
      </c>
      <c r="K995" s="42">
        <v>2.7774999141693115</v>
      </c>
      <c r="L995" s="41">
        <v>46058</v>
      </c>
      <c r="M995" s="42">
        <v>941.40129999999999</v>
      </c>
    </row>
    <row r="996" spans="1:13">
      <c r="A996" s="41">
        <v>46059</v>
      </c>
      <c r="B996" s="42">
        <v>26559.95</v>
      </c>
      <c r="C996" s="42">
        <v>247865325100</v>
      </c>
      <c r="D996">
        <f t="shared" si="45"/>
        <v>9031.3799999999992</v>
      </c>
      <c r="E996">
        <f t="shared" si="46"/>
        <v>2.7836298942565918</v>
      </c>
      <c r="F996">
        <f t="shared" si="47"/>
        <v>946.63139999999999</v>
      </c>
      <c r="G996" s="42"/>
      <c r="H996" s="41">
        <v>46059</v>
      </c>
      <c r="I996" s="42">
        <v>9031.3799999999992</v>
      </c>
      <c r="J996" s="41">
        <v>46059</v>
      </c>
      <c r="K996" s="42">
        <v>2.7836298942565918</v>
      </c>
      <c r="L996" s="41">
        <v>46059</v>
      </c>
      <c r="M996" s="42">
        <v>946.63139999999999</v>
      </c>
    </row>
    <row r="997" spans="1:13">
      <c r="A997" s="41">
        <v>46062</v>
      </c>
      <c r="B997" s="42">
        <v>27027.16</v>
      </c>
      <c r="C997" s="42">
        <v>255141608000</v>
      </c>
      <c r="D997">
        <f t="shared" si="45"/>
        <v>9168.33</v>
      </c>
      <c r="E997">
        <f t="shared" si="46"/>
        <v>2.7562499046325684</v>
      </c>
      <c r="F997">
        <f t="shared" si="47"/>
        <v>954.23979999999995</v>
      </c>
      <c r="G997" s="42"/>
      <c r="H997" s="41">
        <v>46062</v>
      </c>
      <c r="I997" s="42">
        <v>9168.33</v>
      </c>
      <c r="J997" s="41">
        <v>46062</v>
      </c>
      <c r="K997" s="42">
        <v>2.7562499046325684</v>
      </c>
      <c r="L997" s="41">
        <v>46062</v>
      </c>
      <c r="M997" s="42">
        <v>954.23979999999995</v>
      </c>
    </row>
    <row r="998" spans="1:13">
      <c r="A998" s="41">
        <v>46063</v>
      </c>
      <c r="B998" s="42">
        <v>27183.15</v>
      </c>
      <c r="C998" s="42">
        <v>234039585100</v>
      </c>
      <c r="D998">
        <f t="shared" si="45"/>
        <v>9242.75</v>
      </c>
      <c r="E998">
        <f t="shared" si="46"/>
        <v>2.7336299419403076</v>
      </c>
      <c r="F998">
        <f t="shared" si="47"/>
        <v>947.62170000000003</v>
      </c>
      <c r="G998" s="42"/>
      <c r="H998" s="41">
        <v>46063</v>
      </c>
      <c r="I998" s="42">
        <v>9242.75</v>
      </c>
      <c r="J998" s="41">
        <v>46063</v>
      </c>
      <c r="K998" s="42">
        <v>2.7336299419403076</v>
      </c>
      <c r="L998" s="41">
        <v>46063</v>
      </c>
      <c r="M998" s="42">
        <v>947.62170000000003</v>
      </c>
    </row>
    <row r="999" spans="1:13">
      <c r="A999" s="41">
        <v>46064</v>
      </c>
      <c r="B999" s="42">
        <v>27266.38</v>
      </c>
      <c r="C999" s="42">
        <v>217217515400</v>
      </c>
      <c r="D999">
        <f t="shared" si="45"/>
        <v>9268.18</v>
      </c>
      <c r="E999">
        <f t="shared" si="46"/>
        <v>2.7037498950958252</v>
      </c>
      <c r="F999">
        <f t="shared" si="47"/>
        <v>944.89530000000002</v>
      </c>
      <c r="G999" s="42"/>
      <c r="H999" s="41">
        <v>46064</v>
      </c>
      <c r="I999" s="42">
        <v>9268.18</v>
      </c>
      <c r="J999" s="41">
        <v>46064</v>
      </c>
      <c r="K999" s="42">
        <v>2.7037498950958252</v>
      </c>
      <c r="L999" s="41">
        <v>46064</v>
      </c>
      <c r="M999" s="42">
        <v>944.89530000000002</v>
      </c>
    </row>
    <row r="1000" spans="1:13">
      <c r="A1000" s="41">
        <v>46065</v>
      </c>
      <c r="B1000" s="42">
        <v>27032.54</v>
      </c>
      <c r="C1000" s="42">
        <v>238705043700</v>
      </c>
      <c r="D1000">
        <f t="shared" si="45"/>
        <v>9175.18</v>
      </c>
      <c r="E1000">
        <f t="shared" si="46"/>
        <v>2.6857700347900391</v>
      </c>
      <c r="F1000">
        <f t="shared" si="47"/>
        <v>926.37980000000005</v>
      </c>
      <c r="G1000" s="42"/>
      <c r="H1000" s="41">
        <v>46065</v>
      </c>
      <c r="I1000" s="42">
        <v>9175.18</v>
      </c>
      <c r="J1000" s="41">
        <v>46065</v>
      </c>
      <c r="K1000" s="42">
        <v>2.6857700347900391</v>
      </c>
      <c r="L1000" s="41">
        <v>46065</v>
      </c>
      <c r="M1000" s="42">
        <v>926.37980000000005</v>
      </c>
    </row>
    <row r="1001" spans="1:13">
      <c r="A1001" s="41">
        <v>46066</v>
      </c>
      <c r="B1001" s="42">
        <v>26567.119999999999</v>
      </c>
      <c r="C1001" s="42">
        <v>257577592500</v>
      </c>
      <c r="D1001">
        <f t="shared" si="45"/>
        <v>9032.7099999999991</v>
      </c>
      <c r="E1001">
        <f t="shared" si="46"/>
        <v>2.6864900588989258</v>
      </c>
      <c r="F1001">
        <f t="shared" si="47"/>
        <v>918.11670000000004</v>
      </c>
      <c r="G1001" s="42"/>
      <c r="H1001" s="41">
        <v>46066</v>
      </c>
      <c r="I1001" s="42">
        <v>9032.7099999999991</v>
      </c>
      <c r="J1001" s="41">
        <v>46066</v>
      </c>
      <c r="K1001" s="42">
        <v>2.6864900588989258</v>
      </c>
      <c r="L1001" s="41">
        <v>46066</v>
      </c>
      <c r="M1001" s="42">
        <v>918.11670000000004</v>
      </c>
    </row>
    <row r="1002" spans="1:13">
      <c r="A1002" s="41">
        <v>46077</v>
      </c>
      <c r="B1002" s="42">
        <v>26590.32</v>
      </c>
      <c r="C1002" s="42">
        <v>250992144800</v>
      </c>
      <c r="D1002">
        <f t="shared" si="45"/>
        <v>9007.86</v>
      </c>
      <c r="E1002">
        <f t="shared" si="46"/>
        <v>2.5888700485229492</v>
      </c>
      <c r="F1002">
        <f t="shared" si="47"/>
        <v>929.38530000000003</v>
      </c>
      <c r="G1002" s="42"/>
      <c r="H1002" s="41">
        <v>46077</v>
      </c>
      <c r="I1002" s="42">
        <v>9007.86</v>
      </c>
      <c r="J1002" s="41">
        <v>46077</v>
      </c>
      <c r="K1002" s="42">
        <v>2.5888700485229492</v>
      </c>
      <c r="L1002" s="41">
        <v>46077</v>
      </c>
      <c r="M1002" s="42">
        <v>929.38530000000003</v>
      </c>
    </row>
    <row r="1003" spans="1:13">
      <c r="A1003" s="41">
        <v>46078</v>
      </c>
      <c r="B1003" s="42">
        <v>26765.72</v>
      </c>
      <c r="C1003" s="42">
        <v>236765139400</v>
      </c>
      <c r="D1003">
        <f t="shared" si="45"/>
        <v>9034.75</v>
      </c>
      <c r="E1003">
        <f t="shared" si="46"/>
        <v>2.5767900943756104</v>
      </c>
      <c r="F1003">
        <f t="shared" si="47"/>
        <v>936.97370000000001</v>
      </c>
      <c r="G1003" s="42"/>
      <c r="H1003" s="41">
        <v>46078</v>
      </c>
      <c r="I1003" s="42">
        <v>9034.75</v>
      </c>
      <c r="J1003" s="41">
        <v>46078</v>
      </c>
      <c r="K1003" s="42">
        <v>2.5767900943756104</v>
      </c>
      <c r="L1003" s="41">
        <v>46078</v>
      </c>
      <c r="M1003" s="42">
        <v>936.97370000000001</v>
      </c>
    </row>
    <row r="1004" spans="1:13">
      <c r="A1004" s="41">
        <v>46079</v>
      </c>
      <c r="B1004" s="42">
        <v>26381.02</v>
      </c>
      <c r="C1004" s="42">
        <v>259276862700</v>
      </c>
      <c r="D1004">
        <f t="shared" si="45"/>
        <v>8814.2900000000009</v>
      </c>
      <c r="E1004">
        <f t="shared" si="46"/>
        <v>2.5999999046325684</v>
      </c>
      <c r="F1004">
        <f t="shared" si="47"/>
        <v>939.09730000000002</v>
      </c>
      <c r="G1004" s="42"/>
      <c r="H1004" s="41">
        <v>46079</v>
      </c>
      <c r="I1004" s="42">
        <v>8814.2900000000009</v>
      </c>
      <c r="J1004" s="41">
        <v>46079</v>
      </c>
      <c r="K1004" s="42">
        <v>2.5999999046325684</v>
      </c>
      <c r="L1004" s="41">
        <v>46079</v>
      </c>
      <c r="M1004" s="42">
        <v>939.09730000000002</v>
      </c>
    </row>
    <row r="1005" spans="1:13">
      <c r="A1005" s="41">
        <v>46080</v>
      </c>
      <c r="B1005" s="42">
        <v>26630.54</v>
      </c>
      <c r="C1005" s="42">
        <v>288420375100</v>
      </c>
      <c r="D1005">
        <f t="shared" si="45"/>
        <v>8859.49</v>
      </c>
      <c r="E1005">
        <f t="shared" si="46"/>
        <v>2.5836300849914551</v>
      </c>
      <c r="F1005">
        <f t="shared" si="47"/>
        <v>955.89639999999997</v>
      </c>
      <c r="G1005" s="42"/>
      <c r="H1005" s="41">
        <v>46080</v>
      </c>
      <c r="I1005" s="42">
        <v>8859.49</v>
      </c>
      <c r="J1005" s="41">
        <v>46080</v>
      </c>
      <c r="K1005" s="42">
        <v>2.5836300849914551</v>
      </c>
      <c r="L1005" s="41">
        <v>46080</v>
      </c>
      <c r="M1005" s="42">
        <v>955.89639999999997</v>
      </c>
    </row>
    <row r="1006" spans="1:13">
      <c r="A1006" s="41">
        <v>46083</v>
      </c>
      <c r="B1006" s="42">
        <v>26059.85</v>
      </c>
      <c r="C1006" s="42">
        <v>357678664200</v>
      </c>
      <c r="D1006">
        <f t="shared" si="45"/>
        <v>8701.91</v>
      </c>
      <c r="E1006">
        <f t="shared" si="46"/>
        <v>2.5288701057434082</v>
      </c>
      <c r="F1006">
        <f t="shared" si="47"/>
        <v>945.46289999999999</v>
      </c>
      <c r="G1006" s="42"/>
      <c r="H1006" s="41">
        <v>46083</v>
      </c>
      <c r="I1006" s="42">
        <v>8701.91</v>
      </c>
      <c r="J1006" s="41">
        <v>46083</v>
      </c>
      <c r="K1006" s="42">
        <v>2.5288701057434082</v>
      </c>
      <c r="L1006" s="41">
        <v>46083</v>
      </c>
      <c r="M1006" s="42">
        <v>945.46289999999999</v>
      </c>
    </row>
    <row r="1007" spans="1:13">
      <c r="A1007" s="41">
        <v>46084</v>
      </c>
      <c r="B1007" s="42">
        <v>25768.080000000002</v>
      </c>
      <c r="C1007" s="42">
        <v>370545422600</v>
      </c>
      <c r="D1007">
        <f t="shared" si="45"/>
        <v>8608.7099999999991</v>
      </c>
      <c r="E1007">
        <f t="shared" si="46"/>
        <v>2.4857699871063232</v>
      </c>
      <c r="F1007">
        <f t="shared" si="47"/>
        <v>948.33360000000005</v>
      </c>
      <c r="G1007" s="42"/>
      <c r="H1007" s="41">
        <v>46084</v>
      </c>
      <c r="I1007" s="42">
        <v>8608.7099999999991</v>
      </c>
      <c r="J1007" s="41">
        <v>46084</v>
      </c>
      <c r="K1007" s="42">
        <v>2.4857699871063232</v>
      </c>
      <c r="L1007" s="41">
        <v>46084</v>
      </c>
      <c r="M1007" s="42">
        <v>948.33360000000005</v>
      </c>
    </row>
    <row r="1008" spans="1:13">
      <c r="A1008" s="41">
        <v>46085</v>
      </c>
      <c r="B1008" s="42">
        <v>25249.48</v>
      </c>
      <c r="C1008" s="42">
        <v>364303855000</v>
      </c>
      <c r="D1008">
        <f t="shared" si="45"/>
        <v>8483.9500000000007</v>
      </c>
      <c r="E1008">
        <f t="shared" si="46"/>
        <v>2.5920200347900391</v>
      </c>
      <c r="F1008">
        <f t="shared" si="47"/>
        <v>951.6893</v>
      </c>
      <c r="G1008" s="42"/>
      <c r="H1008" s="41">
        <v>46085</v>
      </c>
      <c r="I1008" s="42">
        <v>8483.9500000000007</v>
      </c>
      <c r="J1008" s="41">
        <v>46085</v>
      </c>
      <c r="K1008" s="42">
        <v>2.5920200347900391</v>
      </c>
      <c r="L1008" s="41">
        <v>46085</v>
      </c>
      <c r="M1008" s="42">
        <v>951.6893</v>
      </c>
    </row>
    <row r="1009" spans="1:13">
      <c r="A1009" s="41">
        <v>46086</v>
      </c>
      <c r="B1009" s="42">
        <v>25321.34</v>
      </c>
      <c r="C1009" s="42">
        <v>321872065000</v>
      </c>
      <c r="D1009">
        <f t="shared" si="45"/>
        <v>8451.43</v>
      </c>
      <c r="E1009">
        <f t="shared" si="46"/>
        <v>2.5843501091003418</v>
      </c>
      <c r="F1009">
        <f t="shared" si="47"/>
        <v>931.34</v>
      </c>
      <c r="G1009" s="42"/>
      <c r="H1009" s="41">
        <v>46086</v>
      </c>
      <c r="I1009" s="42">
        <v>8451.43</v>
      </c>
      <c r="J1009" s="41">
        <v>46086</v>
      </c>
      <c r="K1009" s="42">
        <v>2.5843501091003418</v>
      </c>
      <c r="L1009" s="41">
        <v>46086</v>
      </c>
      <c r="M1009" s="42">
        <v>931.34</v>
      </c>
    </row>
    <row r="1010" spans="1:13">
      <c r="A1010" s="41">
        <v>46087</v>
      </c>
      <c r="B1010" s="42">
        <v>25757.29</v>
      </c>
      <c r="C1010" s="42">
        <v>292766015200</v>
      </c>
      <c r="D1010">
        <f t="shared" si="45"/>
        <v>8628.1299999999992</v>
      </c>
      <c r="E1010">
        <f t="shared" si="46"/>
        <v>2.4658899307250977</v>
      </c>
      <c r="F1010">
        <f t="shared" si="47"/>
        <v>974.6653</v>
      </c>
      <c r="G1010" s="42"/>
      <c r="H1010" s="41">
        <v>46087</v>
      </c>
      <c r="I1010" s="42">
        <v>8628.1299999999992</v>
      </c>
      <c r="J1010" s="41">
        <v>46087</v>
      </c>
      <c r="K1010" s="42">
        <v>2.4658899307250977</v>
      </c>
      <c r="L1010" s="41">
        <v>46087</v>
      </c>
      <c r="M1010" s="42">
        <v>974.6653</v>
      </c>
    </row>
    <row r="1011" spans="1:13">
      <c r="A1011" s="41">
        <v>46090</v>
      </c>
      <c r="B1011" s="42">
        <v>25408.46</v>
      </c>
      <c r="C1011" s="42">
        <v>392330379100</v>
      </c>
      <c r="D1011">
        <f t="shared" si="45"/>
        <v>8581.4599999999991</v>
      </c>
      <c r="E1011">
        <f t="shared" si="46"/>
        <v>2.4302999973297119</v>
      </c>
      <c r="F1011">
        <f t="shared" si="47"/>
        <v>973.80960000000005</v>
      </c>
      <c r="G1011" s="42"/>
      <c r="H1011" s="41">
        <v>46090</v>
      </c>
      <c r="I1011" s="42">
        <v>8581.4599999999991</v>
      </c>
      <c r="J1011" s="41">
        <v>46090</v>
      </c>
      <c r="K1011" s="42">
        <v>2.4302999973297119</v>
      </c>
      <c r="L1011" s="41">
        <v>46090</v>
      </c>
      <c r="M1011" s="42">
        <v>973.80960000000005</v>
      </c>
    </row>
    <row r="1012" spans="1:13">
      <c r="A1012" s="41">
        <v>46091</v>
      </c>
      <c r="B1012" s="42">
        <v>25959.9</v>
      </c>
      <c r="C1012" s="42">
        <v>330928749700</v>
      </c>
      <c r="D1012">
        <f t="shared" si="45"/>
        <v>8710.26</v>
      </c>
      <c r="E1012">
        <f t="shared" si="46"/>
        <v>2.3891699314117432</v>
      </c>
      <c r="F1012">
        <f t="shared" si="47"/>
        <v>975.10490000000004</v>
      </c>
      <c r="G1012" s="42"/>
      <c r="H1012" s="41">
        <v>46091</v>
      </c>
      <c r="I1012" s="42">
        <v>8710.26</v>
      </c>
      <c r="J1012" s="41">
        <v>46091</v>
      </c>
      <c r="K1012" s="42">
        <v>2.3891699314117432</v>
      </c>
      <c r="L1012" s="41">
        <v>46091</v>
      </c>
      <c r="M1012" s="42">
        <v>975.10490000000004</v>
      </c>
    </row>
    <row r="1013" spans="1:13">
      <c r="A1013" s="41">
        <v>46092</v>
      </c>
      <c r="B1013" s="42">
        <v>25898.76</v>
      </c>
      <c r="C1013" s="42">
        <v>254481335500</v>
      </c>
      <c r="D1013">
        <f t="shared" si="45"/>
        <v>8704.52</v>
      </c>
      <c r="E1013">
        <f t="shared" si="46"/>
        <v>2.3618500232696533</v>
      </c>
      <c r="F1013">
        <f t="shared" si="47"/>
        <v>978.32449999999994</v>
      </c>
      <c r="G1013" s="42"/>
      <c r="H1013" s="41">
        <v>46092</v>
      </c>
      <c r="I1013" s="42">
        <v>8704.52</v>
      </c>
      <c r="J1013" s="41">
        <v>46092</v>
      </c>
      <c r="K1013" s="42">
        <v>2.3618500232696533</v>
      </c>
      <c r="L1013" s="41">
        <v>46092</v>
      </c>
      <c r="M1013" s="42">
        <v>978.32449999999994</v>
      </c>
    </row>
    <row r="1014" spans="1:13">
      <c r="A1014" s="41">
        <v>46093</v>
      </c>
      <c r="B1014" s="42">
        <v>25716.76</v>
      </c>
      <c r="C1014" s="42">
        <v>242180288100</v>
      </c>
      <c r="D1014">
        <f t="shared" si="45"/>
        <v>8699.5499999999993</v>
      </c>
      <c r="E1014">
        <f t="shared" si="46"/>
        <v>2.3722600936889648</v>
      </c>
      <c r="F1014">
        <f t="shared" si="47"/>
        <v>983.75699999999995</v>
      </c>
      <c r="G1014" s="42"/>
      <c r="H1014" s="41">
        <v>46093</v>
      </c>
      <c r="I1014" s="42">
        <v>8699.5499999999993</v>
      </c>
      <c r="J1014" s="41">
        <v>46093</v>
      </c>
      <c r="K1014" s="42">
        <v>2.3722600936889648</v>
      </c>
      <c r="L1014" s="41">
        <v>46093</v>
      </c>
      <c r="M1014" s="42">
        <v>983.75699999999995</v>
      </c>
    </row>
    <row r="1015" spans="1:13">
      <c r="A1015" s="41">
        <v>46094</v>
      </c>
      <c r="B1015" s="42">
        <v>25465.599999999999</v>
      </c>
      <c r="C1015" s="42">
        <v>246542129300</v>
      </c>
      <c r="D1015">
        <f t="shared" si="45"/>
        <v>8671.48</v>
      </c>
      <c r="E1015">
        <f t="shared" si="46"/>
        <v>2.3774399757385254</v>
      </c>
      <c r="F1015">
        <f t="shared" si="47"/>
        <v>970.52729999999997</v>
      </c>
      <c r="G1015" s="42"/>
      <c r="H1015" s="41">
        <v>46094</v>
      </c>
      <c r="I1015" s="42">
        <v>8671.48</v>
      </c>
      <c r="J1015" s="41">
        <v>46094</v>
      </c>
      <c r="K1015" s="42">
        <v>2.3774399757385254</v>
      </c>
      <c r="L1015" s="41">
        <v>46094</v>
      </c>
      <c r="M1015" s="42">
        <v>970.52729999999997</v>
      </c>
    </row>
    <row r="1016" spans="1:13">
      <c r="A1016" s="41">
        <v>46097</v>
      </c>
      <c r="B1016" s="42">
        <v>25834.02</v>
      </c>
      <c r="C1016" s="42">
        <v>264453396000</v>
      </c>
      <c r="D1016">
        <f t="shared" si="45"/>
        <v>8816.32</v>
      </c>
      <c r="E1016">
        <f t="shared" si="46"/>
        <v>2.3646399974822998</v>
      </c>
      <c r="F1016">
        <f t="shared" si="47"/>
        <v>977.85360000000003</v>
      </c>
      <c r="G1016" s="42"/>
      <c r="H1016" s="41">
        <v>46097</v>
      </c>
      <c r="I1016" s="42">
        <v>8816.32</v>
      </c>
      <c r="J1016" s="41">
        <v>46097</v>
      </c>
      <c r="K1016" s="42">
        <v>2.3646399974822998</v>
      </c>
      <c r="L1016" s="41">
        <v>46097</v>
      </c>
      <c r="M1016" s="42">
        <v>977.85360000000003</v>
      </c>
    </row>
    <row r="1017" spans="1:13">
      <c r="A1017" s="41">
        <v>46098</v>
      </c>
      <c r="B1017" s="42">
        <v>25868.54</v>
      </c>
      <c r="C1017" s="42">
        <v>268258756900</v>
      </c>
      <c r="D1017">
        <f t="shared" si="45"/>
        <v>8826.73</v>
      </c>
      <c r="E1017">
        <f t="shared" si="46"/>
        <v>2.3544600009918213</v>
      </c>
      <c r="F1017">
        <f t="shared" si="47"/>
        <v>959.43</v>
      </c>
      <c r="G1017" s="42"/>
      <c r="H1017" s="41">
        <v>46098</v>
      </c>
      <c r="I1017" s="42">
        <v>8826.73</v>
      </c>
      <c r="J1017" s="41">
        <v>46098</v>
      </c>
      <c r="K1017" s="42">
        <v>2.3544600009918213</v>
      </c>
      <c r="L1017" s="41">
        <v>46098</v>
      </c>
      <c r="M1017" s="42">
        <v>959.43</v>
      </c>
    </row>
    <row r="1018" spans="1:13">
      <c r="A1018" s="41">
        <v>46099</v>
      </c>
      <c r="B1018" s="42">
        <v>26025.42</v>
      </c>
      <c r="C1018" s="42">
        <v>240373872800</v>
      </c>
      <c r="D1018">
        <f t="shared" si="45"/>
        <v>8835.5</v>
      </c>
      <c r="E1018">
        <f t="shared" si="46"/>
        <v>2.3399999141693115</v>
      </c>
      <c r="F1018">
        <f t="shared" si="47"/>
        <v>954.02120000000002</v>
      </c>
      <c r="G1018" s="42"/>
      <c r="H1018" s="41">
        <v>46099</v>
      </c>
      <c r="I1018" s="42">
        <v>8835.5</v>
      </c>
      <c r="J1018" s="41">
        <v>46099</v>
      </c>
      <c r="K1018" s="42">
        <v>2.3399999141693115</v>
      </c>
      <c r="L1018" s="41">
        <v>46099</v>
      </c>
      <c r="M1018" s="42">
        <v>954.02120000000002</v>
      </c>
    </row>
    <row r="1019" spans="1:13">
      <c r="A1019" s="41">
        <v>46100</v>
      </c>
      <c r="B1019" s="42">
        <v>25500.58</v>
      </c>
      <c r="C1019" s="42">
        <v>306213502800</v>
      </c>
      <c r="D1019">
        <f t="shared" si="45"/>
        <v>8695.8799999999992</v>
      </c>
      <c r="E1019">
        <f t="shared" si="46"/>
        <v>2.350600004196167</v>
      </c>
      <c r="F1019">
        <f t="shared" si="47"/>
        <v>937.38059999999996</v>
      </c>
      <c r="G1019" s="42"/>
      <c r="H1019" s="41">
        <v>46100</v>
      </c>
      <c r="I1019" s="42">
        <v>8695.8799999999992</v>
      </c>
      <c r="J1019" s="41">
        <v>46100</v>
      </c>
      <c r="K1019" s="42">
        <v>2.350600004196167</v>
      </c>
      <c r="L1019" s="41">
        <v>46100</v>
      </c>
      <c r="M1019" s="42">
        <v>937.38059999999996</v>
      </c>
    </row>
    <row r="1020" spans="1:13">
      <c r="A1020" s="41">
        <v>46101</v>
      </c>
      <c r="B1020" s="42">
        <v>25277.32</v>
      </c>
      <c r="C1020" s="42">
        <v>342517507700</v>
      </c>
      <c r="D1020">
        <f t="shared" si="45"/>
        <v>8574.07</v>
      </c>
      <c r="E1020">
        <f t="shared" si="46"/>
        <v>2.3423800468444824</v>
      </c>
      <c r="F1020">
        <f t="shared" si="47"/>
        <v>922.30679999999995</v>
      </c>
      <c r="G1020" s="42"/>
      <c r="H1020" s="41">
        <v>46101</v>
      </c>
      <c r="I1020" s="42">
        <v>8574.07</v>
      </c>
      <c r="J1020" s="41">
        <v>46101</v>
      </c>
      <c r="K1020" s="42">
        <v>2.3423800468444824</v>
      </c>
      <c r="L1020" s="41">
        <v>46101</v>
      </c>
      <c r="M1020" s="42">
        <v>922.30679999999995</v>
      </c>
    </row>
    <row r="1021" spans="1:13">
      <c r="A1021" s="41">
        <v>46104</v>
      </c>
      <c r="B1021" s="42">
        <v>24382.47</v>
      </c>
      <c r="C1021" s="42">
        <v>368677379500</v>
      </c>
      <c r="D1021">
        <f t="shared" si="45"/>
        <v>8307.82</v>
      </c>
      <c r="E1021">
        <f t="shared" si="46"/>
        <v>2.3291099071502686</v>
      </c>
      <c r="F1021">
        <f t="shared" si="47"/>
        <v>862.274</v>
      </c>
      <c r="G1021" s="42"/>
      <c r="H1021" s="41">
        <v>46104</v>
      </c>
      <c r="I1021" s="42">
        <v>8307.82</v>
      </c>
      <c r="J1021" s="41">
        <v>46104</v>
      </c>
      <c r="K1021" s="42">
        <v>2.3291099071502686</v>
      </c>
      <c r="L1021" s="41">
        <v>46104</v>
      </c>
      <c r="M1021" s="42">
        <v>862.274</v>
      </c>
    </row>
    <row r="1022" spans="1:13">
      <c r="A1022" s="41">
        <v>46105</v>
      </c>
      <c r="B1022" s="42">
        <v>25063.71</v>
      </c>
      <c r="C1022" s="42">
        <v>303073359900</v>
      </c>
      <c r="D1022">
        <f t="shared" si="45"/>
        <v>8499.5300000000007</v>
      </c>
      <c r="E1022">
        <f t="shared" si="46"/>
        <v>2.3011300563812256</v>
      </c>
      <c r="F1022">
        <f t="shared" si="47"/>
        <v>874.12300000000005</v>
      </c>
      <c r="G1022" s="42"/>
      <c r="H1022" s="41">
        <v>46105</v>
      </c>
      <c r="I1022" s="42">
        <v>8499.5300000000007</v>
      </c>
      <c r="J1022" s="41">
        <v>46105</v>
      </c>
      <c r="K1022" s="42">
        <v>2.3011300563812256</v>
      </c>
      <c r="L1022" s="41">
        <v>46105</v>
      </c>
      <c r="M1022" s="42">
        <v>874.12300000000005</v>
      </c>
    </row>
    <row r="1023" spans="1:13">
      <c r="A1023" s="41">
        <v>46106</v>
      </c>
      <c r="B1023" s="42">
        <v>25335.95</v>
      </c>
      <c r="C1023" s="42">
        <v>350932898000</v>
      </c>
      <c r="D1023">
        <f t="shared" si="45"/>
        <v>8582.74</v>
      </c>
      <c r="E1023">
        <f t="shared" si="46"/>
        <v>2.3431000709533691</v>
      </c>
      <c r="F1023">
        <f t="shared" si="47"/>
        <v>883.19590000000005</v>
      </c>
      <c r="G1023" s="42"/>
      <c r="H1023" s="41">
        <v>46106</v>
      </c>
      <c r="I1023" s="42">
        <v>8582.74</v>
      </c>
      <c r="J1023" s="41">
        <v>46106</v>
      </c>
      <c r="K1023" s="42">
        <v>2.3431000709533691</v>
      </c>
      <c r="L1023" s="41">
        <v>46106</v>
      </c>
      <c r="M1023" s="42">
        <v>883.19590000000005</v>
      </c>
    </row>
    <row r="1024" spans="1:13">
      <c r="A1024" s="41">
        <v>46107</v>
      </c>
      <c r="B1024" s="42">
        <v>24856.43</v>
      </c>
      <c r="C1024" s="42">
        <v>261662366400</v>
      </c>
      <c r="D1024">
        <f t="shared" si="45"/>
        <v>8389.93</v>
      </c>
      <c r="E1024">
        <f t="shared" si="46"/>
        <v>2.5167899131774902</v>
      </c>
      <c r="F1024">
        <f t="shared" si="47"/>
        <v>884.15800000000002</v>
      </c>
      <c r="G1024" s="42"/>
      <c r="H1024" s="41">
        <v>46107</v>
      </c>
      <c r="I1024" s="42">
        <v>8389.93</v>
      </c>
      <c r="J1024" s="41">
        <v>46107</v>
      </c>
      <c r="K1024" s="42">
        <v>2.5167899131774902</v>
      </c>
      <c r="L1024" s="41">
        <v>46107</v>
      </c>
      <c r="M1024" s="42">
        <v>884.15800000000002</v>
      </c>
    </row>
    <row r="1025" spans="1:13">
      <c r="A1025" s="41">
        <v>46108</v>
      </c>
      <c r="B1025" s="42">
        <v>24951.88</v>
      </c>
      <c r="C1025" s="42">
        <v>263080823200</v>
      </c>
      <c r="D1025">
        <f t="shared" si="45"/>
        <v>8453.77</v>
      </c>
      <c r="E1025">
        <f t="shared" si="46"/>
        <v>2.5311899185180664</v>
      </c>
      <c r="F1025">
        <f t="shared" si="47"/>
        <v>899.64679999999998</v>
      </c>
      <c r="G1025" s="42"/>
      <c r="H1025" s="41">
        <v>46108</v>
      </c>
      <c r="I1025" s="42">
        <v>8453.77</v>
      </c>
      <c r="J1025" s="41">
        <v>46108</v>
      </c>
      <c r="K1025" s="42">
        <v>2.5311899185180664</v>
      </c>
      <c r="L1025" s="41">
        <v>46108</v>
      </c>
      <c r="M1025" s="42">
        <v>899.64679999999998</v>
      </c>
    </row>
    <row r="1026" spans="1:13">
      <c r="A1026" s="41">
        <v>46111</v>
      </c>
      <c r="B1026" s="42">
        <v>24750.79</v>
      </c>
      <c r="C1026" s="42">
        <v>285434883700</v>
      </c>
      <c r="D1026">
        <f t="shared" si="45"/>
        <v>8399.1200000000008</v>
      </c>
      <c r="E1026">
        <f t="shared" si="46"/>
        <v>2.4117898941040039</v>
      </c>
      <c r="F1026">
        <f t="shared" si="47"/>
        <v>901.42219999999998</v>
      </c>
      <c r="G1026" s="42"/>
      <c r="H1026" s="41">
        <v>46111</v>
      </c>
      <c r="I1026" s="42">
        <v>8399.1200000000008</v>
      </c>
      <c r="J1026" s="41">
        <v>46111</v>
      </c>
      <c r="K1026" s="42">
        <v>2.4117898941040039</v>
      </c>
      <c r="L1026" s="41">
        <v>46111</v>
      </c>
      <c r="M1026" s="42">
        <v>901.42219999999998</v>
      </c>
    </row>
    <row r="1027" spans="1:13">
      <c r="A1027" s="41">
        <v>46112</v>
      </c>
      <c r="B1027" s="42">
        <v>24788.14</v>
      </c>
      <c r="C1027" s="42">
        <v>255759570800</v>
      </c>
      <c r="D1027">
        <f t="shared" si="45"/>
        <v>8374.2999999999993</v>
      </c>
      <c r="E1027">
        <f t="shared" si="46"/>
        <v>2.3566100597381592</v>
      </c>
      <c r="F1027">
        <f t="shared" si="47"/>
        <v>878.51750000000004</v>
      </c>
      <c r="G1027" s="42"/>
      <c r="H1027" s="41">
        <v>46112</v>
      </c>
      <c r="I1027" s="42">
        <v>8374.2999999999993</v>
      </c>
      <c r="J1027" s="41">
        <v>46112</v>
      </c>
      <c r="K1027" s="42">
        <v>2.3566100597381592</v>
      </c>
      <c r="L1027" s="41">
        <v>46112</v>
      </c>
      <c r="M1027" s="42">
        <v>878.51750000000004</v>
      </c>
    </row>
    <row r="1028" spans="1:13">
      <c r="A1028" s="41">
        <v>46113</v>
      </c>
      <c r="B1028" s="42">
        <v>25294.03</v>
      </c>
      <c r="C1028" s="42">
        <v>291421115000</v>
      </c>
      <c r="D1028">
        <f t="shared" ref="D1028:D1048" si="48">IFERROR(VLOOKUP($A1028,$H$3:$I$1100,2,FALSE),"")</f>
        <v>8504.81</v>
      </c>
      <c r="E1028">
        <f t="shared" ref="E1028:E1048" si="49">IFERROR(VLOOKUP($A1028,$J$3:$K$1100,2,FALSE),"")</f>
        <v>2.2621400356292725</v>
      </c>
      <c r="F1028">
        <f t="shared" ref="F1028:F1048" si="50">IFERROR(VLOOKUP($A1028,$L$3:$M$1100,2,FALSE),"")</f>
        <v>885.52679999999998</v>
      </c>
      <c r="G1028" s="42"/>
      <c r="H1028" s="41">
        <v>46113</v>
      </c>
      <c r="I1028" s="42">
        <v>8504.81</v>
      </c>
      <c r="J1028" s="41">
        <v>46113</v>
      </c>
      <c r="K1028" s="42">
        <v>2.2621400356292725</v>
      </c>
      <c r="L1028" s="41">
        <v>46113</v>
      </c>
      <c r="M1028" s="42">
        <v>885.52679999999998</v>
      </c>
    </row>
    <row r="1029" spans="1:13">
      <c r="A1029" s="41">
        <v>46114</v>
      </c>
      <c r="B1029" s="42">
        <v>25116.53</v>
      </c>
      <c r="C1029" s="42">
        <v>243627538700</v>
      </c>
      <c r="D1029">
        <f t="shared" si="48"/>
        <v>8456.92</v>
      </c>
      <c r="E1029">
        <f t="shared" si="49"/>
        <v>2.2826800346374512</v>
      </c>
      <c r="F1029">
        <f t="shared" si="50"/>
        <v>908.25030000000004</v>
      </c>
      <c r="G1029" s="42"/>
      <c r="H1029" s="41">
        <v>46114</v>
      </c>
      <c r="I1029" s="42">
        <v>8456.92</v>
      </c>
      <c r="J1029" s="41">
        <v>46114</v>
      </c>
      <c r="K1029" s="42">
        <v>2.2826800346374512</v>
      </c>
      <c r="L1029" s="41">
        <v>46114</v>
      </c>
      <c r="M1029" s="42">
        <v>908.25030000000004</v>
      </c>
    </row>
    <row r="1030" spans="1:13">
      <c r="A1030" s="41">
        <v>46115</v>
      </c>
      <c r="B1030" s="42">
        <v>25116.53</v>
      </c>
      <c r="C1030" s="42"/>
      <c r="D1030">
        <f t="shared" si="48"/>
        <v>8456.92</v>
      </c>
      <c r="E1030">
        <f t="shared" si="49"/>
        <v>0</v>
      </c>
      <c r="F1030">
        <f t="shared" si="50"/>
        <v>875.15980000000002</v>
      </c>
      <c r="G1030" s="42"/>
      <c r="H1030" s="41">
        <v>46115</v>
      </c>
      <c r="I1030" s="42">
        <v>8456.92</v>
      </c>
      <c r="J1030" s="41">
        <v>46115</v>
      </c>
      <c r="K1030" s="42"/>
      <c r="L1030" s="41">
        <v>46115</v>
      </c>
      <c r="M1030" s="42">
        <v>875.15980000000002</v>
      </c>
    </row>
    <row r="1031" spans="1:13">
      <c r="A1031" s="41">
        <v>46119</v>
      </c>
      <c r="B1031" s="42">
        <v>25116.53</v>
      </c>
      <c r="C1031" s="42"/>
      <c r="D1031">
        <f t="shared" si="48"/>
        <v>8456.92</v>
      </c>
      <c r="E1031">
        <f t="shared" si="49"/>
        <v>0</v>
      </c>
      <c r="F1031">
        <f t="shared" si="50"/>
        <v>904.70709999999997</v>
      </c>
      <c r="G1031" s="42"/>
      <c r="H1031" s="41">
        <v>46119</v>
      </c>
      <c r="I1031" s="42">
        <v>8456.92</v>
      </c>
      <c r="J1031" s="41">
        <v>46119</v>
      </c>
      <c r="K1031" s="42"/>
      <c r="L1031" s="41">
        <v>46119</v>
      </c>
      <c r="M1031" s="42">
        <v>904.70709999999997</v>
      </c>
    </row>
    <row r="1032" spans="1:13">
      <c r="A1032" s="41">
        <v>46120</v>
      </c>
      <c r="B1032" s="42">
        <v>25893.02</v>
      </c>
      <c r="C1032" s="42">
        <v>372437019300</v>
      </c>
      <c r="D1032">
        <f t="shared" si="48"/>
        <v>8677.31</v>
      </c>
      <c r="E1032">
        <f t="shared" si="49"/>
        <v>2.3459498882293701</v>
      </c>
      <c r="F1032">
        <f t="shared" si="50"/>
        <v>915.28110000000004</v>
      </c>
      <c r="G1032" s="42"/>
      <c r="H1032" s="41">
        <v>46120</v>
      </c>
      <c r="I1032" s="42">
        <v>8677.31</v>
      </c>
      <c r="J1032" s="41">
        <v>46120</v>
      </c>
      <c r="K1032" s="42">
        <v>2.3459498882293701</v>
      </c>
      <c r="L1032" s="41">
        <v>46120</v>
      </c>
      <c r="M1032" s="42">
        <v>915.28110000000004</v>
      </c>
    </row>
    <row r="1033" spans="1:13">
      <c r="A1033" s="41">
        <v>46121</v>
      </c>
      <c r="B1033" s="42">
        <v>25752.400000000001</v>
      </c>
      <c r="C1033" s="42">
        <v>244977182400</v>
      </c>
      <c r="D1033">
        <f t="shared" si="48"/>
        <v>8611.83</v>
      </c>
      <c r="E1033">
        <f t="shared" si="49"/>
        <v>2.4279799461364746</v>
      </c>
      <c r="F1033">
        <f t="shared" si="50"/>
        <v>906.2876</v>
      </c>
      <c r="G1033" s="42"/>
      <c r="H1033" s="41">
        <v>46121</v>
      </c>
      <c r="I1033" s="42">
        <v>8611.83</v>
      </c>
      <c r="J1033" s="41">
        <v>46121</v>
      </c>
      <c r="K1033" s="42">
        <v>2.4279799461364746</v>
      </c>
      <c r="L1033" s="41">
        <v>46121</v>
      </c>
      <c r="M1033" s="42">
        <v>906.2876</v>
      </c>
    </row>
    <row r="1034" spans="1:13">
      <c r="A1034" s="41">
        <v>46122</v>
      </c>
      <c r="B1034" s="42">
        <v>25893.54</v>
      </c>
      <c r="C1034" s="42">
        <v>246316510200</v>
      </c>
      <c r="D1034">
        <f t="shared" si="48"/>
        <v>8655.0400000000009</v>
      </c>
      <c r="E1034">
        <f t="shared" si="49"/>
        <v>2.4000000953674316</v>
      </c>
      <c r="F1034">
        <f t="shared" si="50"/>
        <v>902.7681</v>
      </c>
      <c r="G1034" s="42"/>
      <c r="H1034" s="41">
        <v>46122</v>
      </c>
      <c r="I1034" s="42">
        <v>8655.0400000000009</v>
      </c>
      <c r="J1034" s="41">
        <v>46122</v>
      </c>
      <c r="K1034" s="42">
        <v>2.4000000953674316</v>
      </c>
      <c r="L1034" s="41">
        <v>46122</v>
      </c>
      <c r="M1034" s="42">
        <v>902.7681</v>
      </c>
    </row>
    <row r="1035" spans="1:13">
      <c r="A1035" s="41">
        <v>46125</v>
      </c>
      <c r="B1035" s="42">
        <v>25660.85</v>
      </c>
      <c r="C1035" s="42">
        <v>207908967400</v>
      </c>
      <c r="D1035">
        <f t="shared" si="48"/>
        <v>8602.06</v>
      </c>
      <c r="E1035">
        <f t="shared" si="49"/>
        <v>2.4302999973297119</v>
      </c>
      <c r="F1035">
        <f t="shared" si="50"/>
        <v>926.38009999999997</v>
      </c>
      <c r="G1035" s="42"/>
      <c r="H1035" s="41">
        <v>46125</v>
      </c>
      <c r="I1035" s="42">
        <v>8602.06</v>
      </c>
      <c r="J1035" s="41">
        <v>46125</v>
      </c>
      <c r="K1035" s="42">
        <v>2.4302999973297119</v>
      </c>
      <c r="L1035" s="41">
        <v>46125</v>
      </c>
      <c r="M1035" s="42">
        <v>926.38009999999997</v>
      </c>
    </row>
    <row r="1036" spans="1:13">
      <c r="A1036" s="41">
        <v>46126</v>
      </c>
      <c r="B1036" s="42">
        <v>25872.32</v>
      </c>
      <c r="C1036" s="42">
        <v>236775978400</v>
      </c>
      <c r="D1036">
        <f t="shared" si="48"/>
        <v>8671.61</v>
      </c>
      <c r="E1036">
        <f t="shared" si="49"/>
        <v>2.4549400806427002</v>
      </c>
      <c r="F1036">
        <f t="shared" si="50"/>
        <v>943.71510000000001</v>
      </c>
      <c r="G1036" s="42"/>
      <c r="H1036" s="41">
        <v>46126</v>
      </c>
      <c r="I1036" s="42">
        <v>8671.61</v>
      </c>
      <c r="J1036" s="41">
        <v>46126</v>
      </c>
      <c r="K1036" s="42">
        <v>2.4549400806427002</v>
      </c>
      <c r="L1036" s="41">
        <v>46126</v>
      </c>
      <c r="M1036" s="42">
        <v>943.71510000000001</v>
      </c>
    </row>
    <row r="1037" spans="1:13">
      <c r="A1037" s="41">
        <v>46127</v>
      </c>
      <c r="B1037" s="42">
        <v>25947.32</v>
      </c>
      <c r="C1037" s="42">
        <v>245587755900</v>
      </c>
      <c r="D1037">
        <f t="shared" si="48"/>
        <v>8718.26</v>
      </c>
      <c r="E1037">
        <f t="shared" si="49"/>
        <v>2.4479200839996338</v>
      </c>
      <c r="F1037">
        <f t="shared" si="50"/>
        <v>947.50969999999995</v>
      </c>
      <c r="G1037" s="42"/>
      <c r="H1037" s="41">
        <v>46127</v>
      </c>
      <c r="I1037" s="42">
        <v>8718.26</v>
      </c>
      <c r="J1037" s="41">
        <v>46127</v>
      </c>
      <c r="K1037" s="42">
        <v>2.4479200839996338</v>
      </c>
      <c r="L1037" s="41">
        <v>46127</v>
      </c>
      <c r="M1037" s="42">
        <v>947.50969999999995</v>
      </c>
    </row>
    <row r="1038" spans="1:13">
      <c r="A1038" s="41">
        <v>46128</v>
      </c>
      <c r="B1038" s="42">
        <v>26394.26</v>
      </c>
      <c r="C1038" s="42">
        <v>256227932800</v>
      </c>
      <c r="D1038">
        <f t="shared" si="48"/>
        <v>8905.11</v>
      </c>
      <c r="E1038">
        <f t="shared" si="49"/>
        <v>2.475830078125</v>
      </c>
      <c r="F1038">
        <f t="shared" si="50"/>
        <v>946.26909999999998</v>
      </c>
      <c r="G1038" s="42"/>
      <c r="H1038" s="41">
        <v>46128</v>
      </c>
      <c r="I1038" s="42">
        <v>8905.11</v>
      </c>
      <c r="J1038" s="41">
        <v>46128</v>
      </c>
      <c r="K1038" s="42">
        <v>2.475830078125</v>
      </c>
      <c r="L1038" s="41">
        <v>46128</v>
      </c>
      <c r="M1038" s="42">
        <v>946.26909999999998</v>
      </c>
    </row>
    <row r="1039" spans="1:13">
      <c r="A1039" s="41">
        <v>46129</v>
      </c>
      <c r="B1039" s="42">
        <v>26160.33</v>
      </c>
      <c r="C1039" s="42">
        <v>238042048100</v>
      </c>
      <c r="D1039">
        <f t="shared" si="48"/>
        <v>8845.02</v>
      </c>
      <c r="E1039">
        <f t="shared" si="49"/>
        <v>2.6041100025177002</v>
      </c>
      <c r="F1039">
        <f t="shared" si="50"/>
        <v>930.40200000000004</v>
      </c>
      <c r="G1039" s="42"/>
      <c r="H1039" s="41">
        <v>46129</v>
      </c>
      <c r="I1039" s="42">
        <v>8845.02</v>
      </c>
      <c r="J1039" s="41">
        <v>46129</v>
      </c>
      <c r="K1039" s="42">
        <v>2.6041100025177002</v>
      </c>
      <c r="L1039" s="41">
        <v>46129</v>
      </c>
      <c r="M1039" s="42">
        <v>930.40200000000004</v>
      </c>
    </row>
    <row r="1040" spans="1:13">
      <c r="A1040" s="41">
        <v>46132</v>
      </c>
      <c r="B1040" s="42">
        <v>26361.07</v>
      </c>
      <c r="C1040" s="42">
        <v>241462799500</v>
      </c>
      <c r="D1040">
        <f t="shared" si="48"/>
        <v>8899.06</v>
      </c>
      <c r="E1040">
        <f t="shared" si="49"/>
        <v>2.5850598812103271</v>
      </c>
      <c r="F1040">
        <f t="shared" si="50"/>
        <v>930.74559999999997</v>
      </c>
      <c r="G1040" s="42"/>
      <c r="H1040" s="41">
        <v>46132</v>
      </c>
      <c r="I1040" s="42">
        <v>8899.06</v>
      </c>
      <c r="J1040" s="41">
        <v>46132</v>
      </c>
      <c r="K1040" s="42">
        <v>2.5850598812103271</v>
      </c>
      <c r="L1040" s="41">
        <v>46132</v>
      </c>
      <c r="M1040" s="42">
        <v>930.74559999999997</v>
      </c>
    </row>
    <row r="1041" spans="1:13">
      <c r="A1041" s="41">
        <v>46133</v>
      </c>
      <c r="B1041" s="42">
        <v>26487.48</v>
      </c>
      <c r="C1041" s="42">
        <v>205177368200</v>
      </c>
      <c r="D1041">
        <f t="shared" si="48"/>
        <v>8943.5400000000009</v>
      </c>
      <c r="E1041">
        <f t="shared" si="49"/>
        <v>2.5715498924255371</v>
      </c>
      <c r="F1041">
        <f t="shared" si="50"/>
        <v>950.73739999999998</v>
      </c>
      <c r="G1041" s="42"/>
      <c r="H1041" s="41">
        <v>46133</v>
      </c>
      <c r="I1041" s="42">
        <v>8943.5400000000009</v>
      </c>
      <c r="J1041" s="41">
        <v>46133</v>
      </c>
      <c r="K1041" s="42">
        <v>2.5715498924255371</v>
      </c>
      <c r="L1041" s="41">
        <v>46133</v>
      </c>
      <c r="M1041" s="42">
        <v>950.73739999999998</v>
      </c>
    </row>
    <row r="1042" spans="1:13">
      <c r="A1042" s="41">
        <v>46134</v>
      </c>
      <c r="B1042" s="42">
        <v>26163.24</v>
      </c>
      <c r="C1042" s="42">
        <v>228302621500</v>
      </c>
      <c r="D1042">
        <f t="shared" si="48"/>
        <v>8801.7800000000007</v>
      </c>
      <c r="E1042">
        <f t="shared" si="49"/>
        <v>2.5692300796508789</v>
      </c>
      <c r="F1042">
        <f t="shared" si="50"/>
        <v>941.28840000000002</v>
      </c>
      <c r="G1042" s="42"/>
      <c r="H1042" s="41">
        <v>46134</v>
      </c>
      <c r="I1042" s="42">
        <v>8801.7800000000007</v>
      </c>
      <c r="J1042" s="41">
        <v>46134</v>
      </c>
      <c r="K1042" s="42">
        <v>2.5692300796508789</v>
      </c>
      <c r="L1042" s="41">
        <v>46134</v>
      </c>
      <c r="M1042" s="42">
        <v>941.28840000000002</v>
      </c>
    </row>
    <row r="1043" spans="1:13">
      <c r="A1043" s="41">
        <v>46135</v>
      </c>
      <c r="B1043" s="42">
        <v>25915.200000000001</v>
      </c>
      <c r="C1043" s="42">
        <v>255379332000</v>
      </c>
      <c r="D1043">
        <f t="shared" si="48"/>
        <v>8732.6299999999992</v>
      </c>
      <c r="E1043">
        <f t="shared" si="49"/>
        <v>2.6042900085449219</v>
      </c>
      <c r="F1043">
        <f t="shared" si="50"/>
        <v>926.56399999999996</v>
      </c>
      <c r="G1043" s="42"/>
      <c r="H1043" s="41">
        <v>46135</v>
      </c>
      <c r="I1043" s="42">
        <v>8732.6299999999992</v>
      </c>
      <c r="J1043" s="41">
        <v>46135</v>
      </c>
      <c r="K1043" s="42">
        <v>2.6042900085449219</v>
      </c>
      <c r="L1043" s="41">
        <v>46135</v>
      </c>
      <c r="M1043" s="42">
        <v>926.56399999999996</v>
      </c>
    </row>
    <row r="1044" spans="1:13">
      <c r="A1044" s="41">
        <v>46136</v>
      </c>
      <c r="B1044" s="42">
        <v>25978.07</v>
      </c>
      <c r="C1044" s="42">
        <v>236722576800</v>
      </c>
      <c r="D1044">
        <f t="shared" si="48"/>
        <v>8775.6200000000008</v>
      </c>
      <c r="E1044">
        <f t="shared" si="49"/>
        <v>2.6066100597381592</v>
      </c>
      <c r="F1044">
        <f t="shared" si="50"/>
        <v>914.74329999999998</v>
      </c>
      <c r="G1044" s="42"/>
      <c r="H1044" s="41">
        <v>46136</v>
      </c>
      <c r="I1044" s="42">
        <v>8775.6200000000008</v>
      </c>
      <c r="J1044" s="41">
        <v>46136</v>
      </c>
      <c r="K1044" s="42">
        <v>2.6066100597381592</v>
      </c>
      <c r="L1044" s="41">
        <v>46136</v>
      </c>
      <c r="M1044" s="42">
        <v>914.74329999999998</v>
      </c>
    </row>
    <row r="1045" spans="1:13">
      <c r="A1045" s="41">
        <v>46139</v>
      </c>
      <c r="B1045" s="42">
        <v>25925.65</v>
      </c>
      <c r="C1045" s="42">
        <v>251634240400</v>
      </c>
      <c r="D1045">
        <f t="shared" si="48"/>
        <v>8756.32</v>
      </c>
      <c r="E1045">
        <f t="shared" si="49"/>
        <v>2.6041100025177002</v>
      </c>
      <c r="F1045">
        <f t="shared" si="50"/>
        <v>909.9896</v>
      </c>
      <c r="G1045" s="42"/>
      <c r="H1045" s="41">
        <v>46139</v>
      </c>
      <c r="I1045" s="42">
        <v>8756.32</v>
      </c>
      <c r="J1045" s="41">
        <v>46139</v>
      </c>
      <c r="K1045" s="42">
        <v>2.6041100025177002</v>
      </c>
      <c r="L1045" s="41">
        <v>46139</v>
      </c>
      <c r="M1045" s="42">
        <v>909.9896</v>
      </c>
    </row>
    <row r="1046" spans="1:13">
      <c r="A1046" s="41">
        <v>46140</v>
      </c>
      <c r="B1046" s="42">
        <v>25679.78</v>
      </c>
      <c r="C1046" s="42">
        <v>262333399800</v>
      </c>
      <c r="D1046">
        <f t="shared" si="48"/>
        <v>8644.81</v>
      </c>
      <c r="E1046">
        <f t="shared" si="49"/>
        <v>2.6105399131774902</v>
      </c>
      <c r="F1046">
        <f t="shared" si="50"/>
        <v>915.76239999999996</v>
      </c>
      <c r="G1046" s="42"/>
      <c r="H1046" s="41">
        <v>46140</v>
      </c>
      <c r="I1046" s="42">
        <v>8644.81</v>
      </c>
      <c r="J1046" s="41">
        <v>46140</v>
      </c>
      <c r="K1046" s="42">
        <v>2.6105399131774902</v>
      </c>
      <c r="L1046" s="41">
        <v>46140</v>
      </c>
      <c r="M1046" s="42">
        <v>915.76239999999996</v>
      </c>
    </row>
    <row r="1047" spans="1:13">
      <c r="A1047" s="41">
        <v>46141</v>
      </c>
      <c r="B1047" s="42">
        <v>26111.84</v>
      </c>
      <c r="C1047" s="42">
        <v>258280787700</v>
      </c>
      <c r="D1047">
        <f t="shared" si="48"/>
        <v>8805.6</v>
      </c>
      <c r="E1047">
        <f t="shared" si="49"/>
        <v>2.6056599617004395</v>
      </c>
      <c r="F1047">
        <f t="shared" si="50"/>
        <v>934.6694</v>
      </c>
      <c r="G1047" s="42"/>
      <c r="H1047" s="41">
        <v>46141</v>
      </c>
      <c r="I1047" s="42">
        <v>8805.6</v>
      </c>
      <c r="J1047" s="41">
        <v>46141</v>
      </c>
      <c r="K1047" s="42">
        <v>2.6056599617004395</v>
      </c>
      <c r="L1047" s="41">
        <v>46141</v>
      </c>
      <c r="M1047" s="42">
        <v>934.6694</v>
      </c>
    </row>
    <row r="1048" spans="1:13">
      <c r="A1048" s="41">
        <v>46142</v>
      </c>
      <c r="B1048" s="42">
        <v>25776.53</v>
      </c>
      <c r="C1048" s="42">
        <v>291552653600</v>
      </c>
      <c r="D1048">
        <f t="shared" si="48"/>
        <v>8681.83</v>
      </c>
      <c r="E1048">
        <f t="shared" si="49"/>
        <v>2.6049399375915527</v>
      </c>
      <c r="F1048">
        <f t="shared" si="50"/>
        <v>941.99559999999997</v>
      </c>
      <c r="G1048" s="42"/>
      <c r="H1048" s="41">
        <v>46142</v>
      </c>
      <c r="I1048" s="42">
        <v>8681.83</v>
      </c>
      <c r="J1048" s="41">
        <v>46142</v>
      </c>
      <c r="K1048" s="42">
        <v>2.6049399375915527</v>
      </c>
      <c r="L1048" s="41">
        <v>46142</v>
      </c>
      <c r="M1048" s="42">
        <v>941.99559999999997</v>
      </c>
    </row>
    <row r="1049" spans="1:13">
      <c r="G1049" s="42"/>
    </row>
    <row r="1050" spans="1:13">
      <c r="G1050" s="42"/>
    </row>
    <row r="1051" spans="1:13">
      <c r="G1051" s="42"/>
    </row>
    <row r="1052" spans="1:13">
      <c r="G1052" s="42"/>
    </row>
  </sheetData>
  <phoneticPr fontId="21"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
  <sheetViews>
    <sheetView zoomScaleNormal="100" workbookViewId="0">
      <pane xSplit="1" ySplit="2" topLeftCell="B3" activePane="bottomRight" state="frozen"/>
      <selection pane="topRight" activeCell="B1" sqref="B1"/>
      <selection pane="bottomLeft" activeCell="A3" sqref="A3"/>
      <selection pane="bottomRight"/>
    </sheetView>
  </sheetViews>
  <sheetFormatPr defaultColWidth="8.6640625" defaultRowHeight="14.25"/>
  <cols>
    <col min="1" max="2" width="14" customWidth="1"/>
    <col min="3" max="4" width="18" customWidth="1"/>
    <col min="5" max="5" width="28" customWidth="1"/>
    <col min="6" max="6" width="56" customWidth="1"/>
  </cols>
  <sheetData>
    <row r="1" spans="1:6" ht="37.5" customHeight="1">
      <c r="A1" s="12" t="s">
        <v>27</v>
      </c>
      <c r="B1" s="12" t="s">
        <v>29</v>
      </c>
      <c r="C1" s="12" t="s">
        <v>131</v>
      </c>
      <c r="D1" s="12" t="s">
        <v>132</v>
      </c>
      <c r="E1" s="12" t="s">
        <v>133</v>
      </c>
      <c r="F1" s="12" t="s">
        <v>134</v>
      </c>
    </row>
    <row r="2" spans="1:6" ht="30" customHeight="1">
      <c r="A2" s="28" t="s">
        <v>135</v>
      </c>
      <c r="B2" s="29" t="s">
        <v>136</v>
      </c>
      <c r="C2" s="28" t="s">
        <v>137</v>
      </c>
      <c r="D2" s="28" t="s">
        <v>138</v>
      </c>
      <c r="E2" s="28" t="s">
        <v>139</v>
      </c>
      <c r="F2" s="28" t="s">
        <v>139</v>
      </c>
    </row>
    <row r="3" spans="1:6">
      <c r="A3" s="25" t="s">
        <v>80</v>
      </c>
      <c r="B3" s="30" t="s">
        <v>82</v>
      </c>
      <c r="C3" s="31" t="s">
        <v>140</v>
      </c>
      <c r="D3" s="31" t="s">
        <v>141</v>
      </c>
      <c r="E3" s="32" t="s">
        <v>142</v>
      </c>
      <c r="F3" s="33" t="s">
        <v>143</v>
      </c>
    </row>
    <row r="4" spans="1:6">
      <c r="C4" t="str">
        <f>IF($B4="","",$B4-5)</f>
        <v/>
      </c>
      <c r="D4" t="str">
        <f>IF($B4="","",$B4+400)</f>
        <v/>
      </c>
      <c r="E4" t="str">
        <f>IF($A4="","",SUBSTITUTE($A4,".","_")&amp;".csv")</f>
        <v/>
      </c>
      <c r="F4" t="str">
        <f>IF($A4="","","=WSD("""&amp;$A4&amp;""",""close,amt,trade_status"","""&amp;TEXT($C4,"yyyy-mm-dd")&amp;""","""&amp;TEXT($D4,"yyyy-mm-dd")&amp;""","""")")</f>
        <v/>
      </c>
    </row>
    <row r="5" spans="1:6" ht="36" customHeight="1">
      <c r="A5" s="70" t="s">
        <v>144</v>
      </c>
      <c r="B5" s="70"/>
      <c r="C5" s="70"/>
      <c r="D5" s="70"/>
      <c r="E5" s="70"/>
      <c r="F5" s="70"/>
    </row>
  </sheetData>
  <mergeCells count="1">
    <mergeCell ref="A5:F5"/>
  </mergeCells>
  <phoneticPr fontId="21" type="noConversion"/>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48D04-66E8-422B-BF71-CD6B083AE0E5}">
  <dimension ref="A1:H393"/>
  <sheetViews>
    <sheetView workbookViewId="0"/>
  </sheetViews>
  <sheetFormatPr defaultRowHeight="14.25"/>
  <cols>
    <col min="3" max="3" width="9.06640625" style="40"/>
    <col min="4" max="8" width="9.06640625" style="50"/>
  </cols>
  <sheetData>
    <row r="1" spans="1:8">
      <c r="A1" s="55" t="s">
        <v>27</v>
      </c>
      <c r="B1" s="55" t="s">
        <v>2190</v>
      </c>
      <c r="C1" s="56" t="s">
        <v>29</v>
      </c>
      <c r="D1" s="59" t="s">
        <v>2192</v>
      </c>
      <c r="E1" s="59" t="s">
        <v>2193</v>
      </c>
      <c r="F1" s="59" t="s">
        <v>2194</v>
      </c>
      <c r="G1" s="59" t="s">
        <v>2195</v>
      </c>
      <c r="H1" s="59" t="s">
        <v>2196</v>
      </c>
    </row>
    <row r="2" spans="1:8">
      <c r="A2" t="s">
        <v>2191</v>
      </c>
    </row>
    <row r="3" spans="1:8">
      <c r="A3" t="s">
        <v>556</v>
      </c>
      <c r="B3" t="s">
        <v>557</v>
      </c>
      <c r="C3" s="40">
        <v>45964</v>
      </c>
      <c r="D3" s="50">
        <v>-23.7439779766001</v>
      </c>
      <c r="E3" s="50">
        <v>-29.525120440468001</v>
      </c>
      <c r="F3" s="50">
        <v>-11.631108052305599</v>
      </c>
      <c r="G3" s="50">
        <v>-27.2539573296628</v>
      </c>
    </row>
    <row r="4" spans="1:8">
      <c r="A4" t="s">
        <v>616</v>
      </c>
      <c r="B4" t="s">
        <v>617</v>
      </c>
      <c r="C4" s="40">
        <v>46111</v>
      </c>
      <c r="D4" s="50">
        <v>11.941747572815499</v>
      </c>
    </row>
    <row r="5" spans="1:8">
      <c r="A5" t="s">
        <v>689</v>
      </c>
      <c r="B5" t="s">
        <v>690</v>
      </c>
      <c r="C5" s="40">
        <v>45951</v>
      </c>
      <c r="D5" s="50">
        <v>-12.401055408971001</v>
      </c>
      <c r="E5" s="50">
        <v>-28.759894459102899</v>
      </c>
      <c r="F5" s="50">
        <v>-23.799472295514501</v>
      </c>
      <c r="G5" s="50">
        <v>-52.902374670184699</v>
      </c>
    </row>
    <row r="6" spans="1:8">
      <c r="A6" t="s">
        <v>699</v>
      </c>
      <c r="B6" t="s">
        <v>700</v>
      </c>
      <c r="C6" s="40">
        <v>44757</v>
      </c>
      <c r="D6" s="50">
        <v>-0.203252032520328</v>
      </c>
      <c r="E6" s="50">
        <v>-0.81300813008131201</v>
      </c>
      <c r="F6" s="50">
        <v>0.81300813008129802</v>
      </c>
      <c r="G6" s="50">
        <v>-9.9593495934959506</v>
      </c>
      <c r="H6" s="50">
        <v>-37.804878048780502</v>
      </c>
    </row>
    <row r="7" spans="1:8">
      <c r="A7" t="s">
        <v>783</v>
      </c>
      <c r="B7" t="s">
        <v>784</v>
      </c>
      <c r="C7" s="40">
        <v>46014</v>
      </c>
      <c r="D7" s="50">
        <v>27.257240204429301</v>
      </c>
      <c r="E7" s="50">
        <v>62.180579216354303</v>
      </c>
      <c r="F7" s="50">
        <v>166.43952299829601</v>
      </c>
    </row>
    <row r="8" spans="1:8">
      <c r="A8" t="s">
        <v>275</v>
      </c>
      <c r="B8" t="s">
        <v>276</v>
      </c>
      <c r="C8" s="40">
        <v>44840</v>
      </c>
      <c r="D8" s="50">
        <v>-2.6315789473684199</v>
      </c>
      <c r="E8" s="50">
        <v>-39.210526315789501</v>
      </c>
      <c r="F8" s="50">
        <v>-47.368421052631597</v>
      </c>
      <c r="G8" s="50">
        <v>-36.842105263157897</v>
      </c>
      <c r="H8" s="50">
        <v>-48.210526315789501</v>
      </c>
    </row>
    <row r="9" spans="1:8">
      <c r="A9" t="s">
        <v>747</v>
      </c>
      <c r="B9" t="s">
        <v>748</v>
      </c>
      <c r="C9" s="40">
        <v>45938</v>
      </c>
      <c r="D9" s="50">
        <v>-25.454545454545499</v>
      </c>
      <c r="E9" s="50">
        <v>-12.987012987012999</v>
      </c>
      <c r="F9" s="50">
        <v>-16.883116883116902</v>
      </c>
      <c r="G9" s="50">
        <v>-6.4935064935064899</v>
      </c>
    </row>
    <row r="10" spans="1:8">
      <c r="A10" t="s">
        <v>299</v>
      </c>
      <c r="B10" t="s">
        <v>300</v>
      </c>
      <c r="C10" s="40">
        <v>45845</v>
      </c>
      <c r="D10" s="50">
        <v>-0.390624999999996</v>
      </c>
      <c r="E10" s="50">
        <v>-1.0416666666666601</v>
      </c>
      <c r="F10" s="50">
        <v>20.7291666666667</v>
      </c>
      <c r="G10" s="50">
        <v>4.4270833333333401</v>
      </c>
      <c r="H10" s="50">
        <v>-19.7916666666667</v>
      </c>
    </row>
    <row r="11" spans="1:8">
      <c r="A11" t="s">
        <v>313</v>
      </c>
      <c r="B11" t="s">
        <v>314</v>
      </c>
      <c r="C11" s="40">
        <v>46064</v>
      </c>
      <c r="D11" s="50">
        <v>0.61135371179039599</v>
      </c>
      <c r="E11" s="50">
        <v>-2.6200873362445298</v>
      </c>
    </row>
    <row r="12" spans="1:8">
      <c r="A12" t="s">
        <v>432</v>
      </c>
      <c r="B12" t="s">
        <v>433</v>
      </c>
      <c r="C12" s="40">
        <v>45761</v>
      </c>
      <c r="D12" s="50">
        <v>-0.715137067938027</v>
      </c>
      <c r="E12" s="50">
        <v>9.6543504171632701</v>
      </c>
      <c r="F12" s="50">
        <v>21.3349225268176</v>
      </c>
      <c r="G12" s="50">
        <v>28.7246722288439</v>
      </c>
      <c r="H12" s="50">
        <v>1.9070321811680599</v>
      </c>
    </row>
    <row r="13" spans="1:8">
      <c r="A13" t="s">
        <v>577</v>
      </c>
      <c r="B13" t="s">
        <v>578</v>
      </c>
      <c r="C13" s="40">
        <v>44750</v>
      </c>
      <c r="D13" s="50">
        <v>-7.6433121019108299</v>
      </c>
      <c r="E13" s="50">
        <v>-4.6178343949044596</v>
      </c>
      <c r="F13" s="50">
        <v>-15.9235668789809</v>
      </c>
      <c r="G13" s="50">
        <v>-37.7388535031847</v>
      </c>
      <c r="H13" s="50">
        <v>-50.4777070063694</v>
      </c>
    </row>
    <row r="14" spans="1:8">
      <c r="A14" t="s">
        <v>864</v>
      </c>
      <c r="B14" t="s">
        <v>865</v>
      </c>
      <c r="C14" s="40">
        <v>46007</v>
      </c>
      <c r="D14" s="50">
        <v>-4.6575342465753398</v>
      </c>
      <c r="E14" s="50">
        <v>34.1324200913242</v>
      </c>
      <c r="F14" s="50">
        <v>6.02739726027397</v>
      </c>
      <c r="G14" s="50">
        <v>-34.5205479452055</v>
      </c>
    </row>
    <row r="15" spans="1:8">
      <c r="A15" t="s">
        <v>856</v>
      </c>
      <c r="B15" t="s">
        <v>857</v>
      </c>
      <c r="C15" s="40">
        <v>44873</v>
      </c>
      <c r="D15" s="50">
        <v>-5.4888507718696298</v>
      </c>
      <c r="E15" s="50">
        <v>-0.17152658662091599</v>
      </c>
      <c r="F15" s="50">
        <v>-1.54373927958833</v>
      </c>
      <c r="G15" s="50">
        <v>-3.43053173241853</v>
      </c>
      <c r="H15" s="50">
        <v>-4.4596912521440704</v>
      </c>
    </row>
    <row r="16" spans="1:8">
      <c r="A16" t="s">
        <v>533</v>
      </c>
      <c r="B16" t="s">
        <v>534</v>
      </c>
      <c r="C16" s="40">
        <v>46059</v>
      </c>
      <c r="D16" s="50">
        <v>2.3636363636363602</v>
      </c>
      <c r="E16" s="50">
        <v>-0.36363636363636898</v>
      </c>
    </row>
    <row r="17" spans="1:8">
      <c r="A17" t="s">
        <v>503</v>
      </c>
      <c r="B17" t="s">
        <v>504</v>
      </c>
      <c r="C17" s="40">
        <v>45247</v>
      </c>
      <c r="D17" s="50">
        <v>3.5714285714285698</v>
      </c>
      <c r="E17" s="50">
        <v>13.5714285714286</v>
      </c>
      <c r="F17" s="50">
        <v>-48.142857142857103</v>
      </c>
      <c r="G17" s="50">
        <v>-35.214285714285701</v>
      </c>
      <c r="H17" s="50">
        <v>-32.428571428571402</v>
      </c>
    </row>
    <row r="18" spans="1:8">
      <c r="A18" t="s">
        <v>691</v>
      </c>
      <c r="B18" t="s">
        <v>692</v>
      </c>
      <c r="C18" s="40">
        <v>45457</v>
      </c>
      <c r="D18" s="50">
        <v>0</v>
      </c>
      <c r="E18" s="50">
        <v>-7.1052631578947398</v>
      </c>
      <c r="F18" s="50">
        <v>-5.2631578947368398</v>
      </c>
      <c r="G18" s="50">
        <v>-33.684210526315802</v>
      </c>
      <c r="H18" s="50">
        <v>-48.684210526315802</v>
      </c>
    </row>
    <row r="19" spans="1:8">
      <c r="A19" t="s">
        <v>594</v>
      </c>
      <c r="B19" t="s">
        <v>595</v>
      </c>
      <c r="C19" s="40">
        <v>44783</v>
      </c>
      <c r="D19" s="50">
        <v>2.7777777777777799</v>
      </c>
      <c r="E19" s="50">
        <v>-5.7407407407407396</v>
      </c>
      <c r="F19" s="50">
        <v>-8.8888888888888804</v>
      </c>
      <c r="G19" s="50">
        <v>-27.407407407407401</v>
      </c>
      <c r="H19" s="50">
        <v>-52.592592592592602</v>
      </c>
    </row>
    <row r="20" spans="1:8">
      <c r="A20" t="s">
        <v>450</v>
      </c>
      <c r="B20" t="s">
        <v>451</v>
      </c>
      <c r="C20" s="40">
        <v>45958</v>
      </c>
      <c r="D20" s="50">
        <v>-15.1843817787419</v>
      </c>
      <c r="E20" s="50">
        <v>-6.6702819956616102</v>
      </c>
      <c r="F20" s="50">
        <v>-12.6898047722343</v>
      </c>
      <c r="G20" s="50">
        <v>-8.4598698481561794</v>
      </c>
    </row>
    <row r="21" spans="1:8">
      <c r="A21" t="s">
        <v>566</v>
      </c>
      <c r="B21" t="s">
        <v>567</v>
      </c>
      <c r="C21" s="40">
        <v>45240</v>
      </c>
      <c r="D21" s="50">
        <v>0.40650406504065401</v>
      </c>
      <c r="E21" s="50">
        <v>-0.40650406504065401</v>
      </c>
      <c r="F21" s="50">
        <v>-3.5230352303523</v>
      </c>
      <c r="G21" s="50">
        <v>-2.9810298102981001</v>
      </c>
      <c r="H21" s="50">
        <v>-5.0135501355013599</v>
      </c>
    </row>
    <row r="22" spans="1:8">
      <c r="A22" t="s">
        <v>809</v>
      </c>
      <c r="B22" t="s">
        <v>810</v>
      </c>
      <c r="C22" s="40">
        <v>45471</v>
      </c>
      <c r="D22" s="50">
        <v>8.0631753948462208</v>
      </c>
      <c r="E22" s="50">
        <v>6.4006650041562798</v>
      </c>
      <c r="F22" s="50">
        <v>-0.74812967581046697</v>
      </c>
      <c r="G22" s="50">
        <v>19.700748129675802</v>
      </c>
      <c r="H22" s="50">
        <v>30.423940149625899</v>
      </c>
    </row>
    <row r="23" spans="1:8">
      <c r="A23" t="s">
        <v>633</v>
      </c>
      <c r="B23" t="s">
        <v>634</v>
      </c>
      <c r="C23" s="40">
        <v>45450</v>
      </c>
      <c r="D23" s="50">
        <v>28.133333333333301</v>
      </c>
      <c r="E23" s="50">
        <v>18.8</v>
      </c>
      <c r="F23" s="50">
        <v>32.4</v>
      </c>
      <c r="G23" s="50">
        <v>118.666666666667</v>
      </c>
      <c r="H23" s="50">
        <v>206.666666666667</v>
      </c>
    </row>
    <row r="24" spans="1:8">
      <c r="A24" t="s">
        <v>585</v>
      </c>
      <c r="B24" t="s">
        <v>586</v>
      </c>
      <c r="C24" s="40">
        <v>45889</v>
      </c>
      <c r="D24" s="50">
        <v>-3.8208168642951299</v>
      </c>
      <c r="E24" s="50">
        <v>33.948177426438299</v>
      </c>
      <c r="F24" s="50">
        <v>18.577075098814198</v>
      </c>
      <c r="G24" s="50">
        <v>28.568291611769901</v>
      </c>
    </row>
    <row r="25" spans="1:8">
      <c r="A25" t="s">
        <v>801</v>
      </c>
      <c r="B25" t="s">
        <v>802</v>
      </c>
      <c r="C25" s="40">
        <v>44742</v>
      </c>
      <c r="D25" s="50">
        <v>2.8037383177569999</v>
      </c>
      <c r="E25" s="50">
        <v>-24.532710280373799</v>
      </c>
      <c r="F25" s="50">
        <v>-26.713395638629301</v>
      </c>
      <c r="G25" s="50">
        <v>-45.404984423675998</v>
      </c>
      <c r="H25" s="50">
        <v>-20.404984423676002</v>
      </c>
    </row>
    <row r="26" spans="1:8">
      <c r="A26" t="s">
        <v>647</v>
      </c>
      <c r="B26" t="s">
        <v>648</v>
      </c>
      <c r="C26" s="40">
        <v>45923</v>
      </c>
      <c r="D26" s="50">
        <v>1.4634146341463401</v>
      </c>
      <c r="E26" s="50">
        <v>-3.0243902439024302</v>
      </c>
      <c r="F26" s="50">
        <v>2.14634146341464</v>
      </c>
      <c r="G26" s="50">
        <v>-12.1951219512195</v>
      </c>
    </row>
    <row r="27" spans="1:8">
      <c r="A27" t="s">
        <v>374</v>
      </c>
      <c r="B27" t="s">
        <v>375</v>
      </c>
      <c r="C27" s="40">
        <v>44575</v>
      </c>
      <c r="D27" s="50">
        <v>-3.1914893617021201</v>
      </c>
      <c r="E27" s="50">
        <v>5.31914893617021</v>
      </c>
      <c r="F27" s="50">
        <v>-17.3758865248227</v>
      </c>
      <c r="G27" s="50">
        <v>-20.801156932616198</v>
      </c>
      <c r="H27" s="50">
        <v>-19.1848540128737</v>
      </c>
    </row>
    <row r="28" spans="1:8">
      <c r="A28" t="s">
        <v>387</v>
      </c>
      <c r="B28" t="s">
        <v>388</v>
      </c>
      <c r="C28" s="40">
        <v>46035</v>
      </c>
      <c r="D28" s="50">
        <v>37.342908438061002</v>
      </c>
      <c r="E28" s="50">
        <v>75.942549371633703</v>
      </c>
      <c r="F28" s="50">
        <v>82.944344703770199</v>
      </c>
    </row>
    <row r="29" spans="1:8">
      <c r="A29" t="s">
        <v>487</v>
      </c>
      <c r="B29" t="s">
        <v>488</v>
      </c>
      <c r="C29" s="40">
        <v>46062</v>
      </c>
      <c r="D29" s="50">
        <v>20.571428571428601</v>
      </c>
      <c r="E29" s="50">
        <v>3.4285714285714302</v>
      </c>
    </row>
    <row r="30" spans="1:8">
      <c r="A30" t="s">
        <v>468</v>
      </c>
      <c r="B30" t="s">
        <v>469</v>
      </c>
      <c r="C30" s="40">
        <v>44630</v>
      </c>
      <c r="D30" s="50">
        <v>-14.137931034482699</v>
      </c>
      <c r="E30" s="50">
        <v>-9.8275862068965392</v>
      </c>
      <c r="F30" s="50">
        <v>-17.586206896551701</v>
      </c>
      <c r="G30" s="50">
        <v>-26.8965517241379</v>
      </c>
      <c r="H30" s="50">
        <v>-37.413793103448299</v>
      </c>
    </row>
    <row r="31" spans="1:8">
      <c r="A31" t="s">
        <v>600</v>
      </c>
      <c r="B31" t="s">
        <v>601</v>
      </c>
      <c r="C31" s="40">
        <v>46090</v>
      </c>
      <c r="D31" s="50">
        <v>8.7671232876712395</v>
      </c>
      <c r="E31" s="50">
        <v>-14.931506849315101</v>
      </c>
    </row>
    <row r="32" spans="1:8">
      <c r="A32" t="s">
        <v>658</v>
      </c>
      <c r="B32" t="s">
        <v>659</v>
      </c>
      <c r="C32" s="40">
        <v>45996</v>
      </c>
      <c r="D32" s="50">
        <v>-1.1811023622047301</v>
      </c>
      <c r="E32" s="50">
        <v>-11.417322834645701</v>
      </c>
      <c r="F32" s="50">
        <v>-9.8425196850393704</v>
      </c>
      <c r="G32" s="50">
        <v>-15.354330708661401</v>
      </c>
    </row>
    <row r="33" spans="1:8">
      <c r="A33" t="s">
        <v>779</v>
      </c>
      <c r="B33" t="s">
        <v>780</v>
      </c>
      <c r="C33" s="40">
        <v>46112</v>
      </c>
      <c r="D33" s="50">
        <v>-7.8688524590163897</v>
      </c>
    </row>
    <row r="34" spans="1:8">
      <c r="A34" t="s">
        <v>741</v>
      </c>
      <c r="B34" t="s">
        <v>742</v>
      </c>
      <c r="C34" s="40">
        <v>45450</v>
      </c>
      <c r="D34" s="50">
        <v>51.798561151079099</v>
      </c>
      <c r="E34" s="50">
        <v>71.582733812949598</v>
      </c>
      <c r="F34" s="50">
        <v>74.280575539568304</v>
      </c>
      <c r="G34" s="50">
        <v>426.97841726618702</v>
      </c>
      <c r="H34" s="50">
        <v>-61.3309352517986</v>
      </c>
    </row>
    <row r="35" spans="1:8">
      <c r="A35" t="s">
        <v>850</v>
      </c>
      <c r="B35" t="s">
        <v>851</v>
      </c>
      <c r="C35" s="40">
        <v>45838</v>
      </c>
      <c r="D35" s="50">
        <v>0.97402597402597602</v>
      </c>
      <c r="E35" s="50">
        <v>9.7402597402597308</v>
      </c>
      <c r="F35" s="50">
        <v>-0.64935064935064701</v>
      </c>
      <c r="G35" s="50">
        <v>-0.64935064935064701</v>
      </c>
      <c r="H35" s="50">
        <v>-29.025974025974001</v>
      </c>
    </row>
    <row r="36" spans="1:8">
      <c r="A36" t="s">
        <v>397</v>
      </c>
      <c r="B36" t="s">
        <v>398</v>
      </c>
      <c r="C36" s="40">
        <v>44994</v>
      </c>
      <c r="D36" s="50">
        <v>0.70422535211267701</v>
      </c>
      <c r="E36" s="50">
        <v>-3.5211267605633698</v>
      </c>
      <c r="F36" s="50">
        <v>-4.9295774647887196</v>
      </c>
      <c r="G36" s="50">
        <v>-26.056338028169002</v>
      </c>
      <c r="H36" s="50">
        <v>-57.746478873239397</v>
      </c>
    </row>
    <row r="37" spans="1:8">
      <c r="A37" t="s">
        <v>383</v>
      </c>
      <c r="B37" t="s">
        <v>384</v>
      </c>
      <c r="C37" s="40">
        <v>45232</v>
      </c>
      <c r="D37" s="50">
        <v>6.5217391304347796</v>
      </c>
      <c r="E37" s="50">
        <v>53.344481605351199</v>
      </c>
      <c r="F37" s="50">
        <v>63.2107023411371</v>
      </c>
      <c r="G37" s="50">
        <v>-6.3545150501672403</v>
      </c>
      <c r="H37" s="50">
        <v>-57.434998515126303</v>
      </c>
    </row>
    <row r="38" spans="1:8">
      <c r="A38" t="s">
        <v>494</v>
      </c>
      <c r="B38" t="s">
        <v>495</v>
      </c>
      <c r="C38" s="40">
        <v>46091</v>
      </c>
      <c r="D38" s="50">
        <v>-11.3993174061433</v>
      </c>
      <c r="E38" s="50">
        <v>-20.477815699658699</v>
      </c>
    </row>
    <row r="39" spans="1:8">
      <c r="A39" t="s">
        <v>346</v>
      </c>
      <c r="B39" t="s">
        <v>347</v>
      </c>
      <c r="C39" s="40">
        <v>46050</v>
      </c>
      <c r="D39" s="50">
        <v>-0.15000000000000599</v>
      </c>
      <c r="E39" s="50">
        <v>5.0999999999999899</v>
      </c>
      <c r="F39" s="50">
        <v>8.75</v>
      </c>
    </row>
    <row r="40" spans="1:8">
      <c r="A40" t="s">
        <v>819</v>
      </c>
      <c r="B40" t="s">
        <v>820</v>
      </c>
      <c r="C40" s="40">
        <v>45847</v>
      </c>
      <c r="D40" s="50">
        <v>8.4406294706723806</v>
      </c>
      <c r="E40" s="50">
        <v>29.971387696709598</v>
      </c>
      <c r="F40" s="50">
        <v>41.344778254649498</v>
      </c>
      <c r="G40" s="50">
        <v>-0.643776824034339</v>
      </c>
      <c r="H40" s="50">
        <v>-33.3333333333333</v>
      </c>
    </row>
    <row r="41" spans="1:8">
      <c r="A41" t="s">
        <v>653</v>
      </c>
      <c r="B41" t="s">
        <v>654</v>
      </c>
      <c r="C41" s="40">
        <v>46021</v>
      </c>
      <c r="D41" s="50">
        <v>-2.3529411764705901</v>
      </c>
      <c r="E41" s="50">
        <v>0.35294117647058498</v>
      </c>
      <c r="F41" s="50">
        <v>-25.882352941176499</v>
      </c>
    </row>
    <row r="42" spans="1:8">
      <c r="A42" t="s">
        <v>733</v>
      </c>
      <c r="B42" t="s">
        <v>734</v>
      </c>
      <c r="C42" s="40">
        <v>46129</v>
      </c>
      <c r="D42" s="50">
        <v>21</v>
      </c>
    </row>
    <row r="43" spans="1:8">
      <c r="A43" t="s">
        <v>929</v>
      </c>
      <c r="B43" t="s">
        <v>930</v>
      </c>
      <c r="C43" s="40">
        <v>45446</v>
      </c>
      <c r="D43" s="50">
        <v>-24.528301886792502</v>
      </c>
      <c r="E43" s="50">
        <v>-46.2264150943396</v>
      </c>
      <c r="F43" s="50">
        <v>-67.924528301886795</v>
      </c>
      <c r="G43" s="50">
        <v>-63.396226415094297</v>
      </c>
      <c r="H43" s="50">
        <v>-69.245283018867894</v>
      </c>
    </row>
    <row r="44" spans="1:8">
      <c r="A44" t="s">
        <v>813</v>
      </c>
      <c r="B44" t="s">
        <v>814</v>
      </c>
      <c r="C44" s="40">
        <v>45120</v>
      </c>
      <c r="D44" s="50">
        <v>34.980988593155899</v>
      </c>
      <c r="E44" s="50">
        <v>13.498098859315601</v>
      </c>
      <c r="F44" s="50">
        <v>71.292775665399205</v>
      </c>
      <c r="G44" s="50">
        <v>93.155893536121695</v>
      </c>
      <c r="H44" s="50">
        <v>74.144486692015207</v>
      </c>
    </row>
    <row r="45" spans="1:8">
      <c r="A45" t="s">
        <v>318</v>
      </c>
      <c r="B45" t="s">
        <v>319</v>
      </c>
      <c r="C45" s="40">
        <v>45930</v>
      </c>
      <c r="D45" s="50">
        <v>17.164179104477601</v>
      </c>
      <c r="E45" s="50">
        <v>17.412935323383099</v>
      </c>
      <c r="F45" s="50">
        <v>19.402985074626901</v>
      </c>
      <c r="G45" s="50">
        <v>89.7180762852405</v>
      </c>
    </row>
    <row r="46" spans="1:8">
      <c r="A46" t="s">
        <v>848</v>
      </c>
      <c r="B46" t="s">
        <v>849</v>
      </c>
      <c r="C46" s="40">
        <v>45377</v>
      </c>
      <c r="D46" s="50">
        <v>83.3333333333333</v>
      </c>
      <c r="E46" s="50">
        <v>105.333333333333</v>
      </c>
      <c r="F46" s="50">
        <v>100</v>
      </c>
      <c r="G46" s="50">
        <v>53.3333333333333</v>
      </c>
      <c r="H46" s="50">
        <v>45.6666666666667</v>
      </c>
    </row>
    <row r="47" spans="1:8">
      <c r="A47" t="s">
        <v>771</v>
      </c>
      <c r="B47" t="s">
        <v>772</v>
      </c>
      <c r="C47" s="40">
        <v>44943</v>
      </c>
      <c r="D47" s="50">
        <v>-7.3033707865168598</v>
      </c>
      <c r="E47" s="50">
        <v>31.460674157303401</v>
      </c>
      <c r="F47" s="50">
        <v>6.7415730337078603</v>
      </c>
      <c r="G47" s="50">
        <v>64.044943820224702</v>
      </c>
      <c r="H47" s="50">
        <v>143.82022471910099</v>
      </c>
    </row>
    <row r="48" spans="1:8">
      <c r="A48" t="s">
        <v>583</v>
      </c>
      <c r="B48" t="s">
        <v>584</v>
      </c>
      <c r="C48" s="40">
        <v>44852</v>
      </c>
      <c r="D48" s="50">
        <v>8.0188679245282994</v>
      </c>
      <c r="E48" s="50">
        <v>131.13207547169799</v>
      </c>
      <c r="F48" s="50">
        <v>90.566037735849093</v>
      </c>
      <c r="G48" s="50">
        <v>99.528301886792505</v>
      </c>
      <c r="H48" s="50">
        <v>-16.5094339622642</v>
      </c>
    </row>
    <row r="49" spans="1:8">
      <c r="A49" t="s">
        <v>862</v>
      </c>
      <c r="B49" t="s">
        <v>863</v>
      </c>
      <c r="C49" s="40">
        <v>45950</v>
      </c>
      <c r="D49" s="50">
        <v>8.3493282149712105</v>
      </c>
      <c r="E49" s="50">
        <v>24.568138195777401</v>
      </c>
      <c r="F49" s="50">
        <v>54.990403071017298</v>
      </c>
      <c r="G49" s="50">
        <v>32.1497120921305</v>
      </c>
    </row>
    <row r="50" spans="1:8">
      <c r="A50" t="s">
        <v>307</v>
      </c>
      <c r="B50" t="s">
        <v>308</v>
      </c>
      <c r="C50" s="40">
        <v>46002</v>
      </c>
      <c r="D50" s="50">
        <v>-1.27659574468085</v>
      </c>
      <c r="E50" s="50">
        <v>-10.709219858156001</v>
      </c>
      <c r="F50" s="50">
        <v>-5.1063829787234001</v>
      </c>
      <c r="G50" s="50">
        <v>4.1843971631205701</v>
      </c>
    </row>
    <row r="51" spans="1:8">
      <c r="A51" t="s">
        <v>631</v>
      </c>
      <c r="B51" t="s">
        <v>632</v>
      </c>
      <c r="C51" s="40">
        <v>45439</v>
      </c>
      <c r="D51" s="50">
        <v>13.4285714285714</v>
      </c>
      <c r="E51" s="50">
        <v>55.428571428571402</v>
      </c>
      <c r="F51" s="50">
        <v>43.142857142857203</v>
      </c>
      <c r="G51" s="50">
        <v>47.428571428571402</v>
      </c>
      <c r="H51" s="50">
        <v>120</v>
      </c>
    </row>
    <row r="52" spans="1:8">
      <c r="A52" t="s">
        <v>939</v>
      </c>
      <c r="B52" t="s">
        <v>940</v>
      </c>
      <c r="C52" s="40">
        <v>44734</v>
      </c>
      <c r="D52" s="50">
        <v>-1.1111111111111101</v>
      </c>
      <c r="E52" s="50">
        <v>-2.1111111111111098</v>
      </c>
      <c r="F52" s="50">
        <v>-26.1111111111111</v>
      </c>
      <c r="G52" s="50">
        <v>-41.7777777777778</v>
      </c>
      <c r="H52" s="50">
        <v>-38.8888888888889</v>
      </c>
    </row>
    <row r="53" spans="1:8">
      <c r="A53" t="s">
        <v>381</v>
      </c>
      <c r="B53" t="s">
        <v>382</v>
      </c>
      <c r="C53" s="40">
        <v>45597</v>
      </c>
      <c r="D53" s="50">
        <v>1.9512195121951199</v>
      </c>
      <c r="E53" s="50">
        <v>3.65853658536586</v>
      </c>
      <c r="F53" s="50">
        <v>4.8780487804878101</v>
      </c>
      <c r="G53" s="50">
        <v>43.414634146341498</v>
      </c>
      <c r="H53" s="50">
        <v>153.038797075628</v>
      </c>
    </row>
    <row r="54" spans="1:8">
      <c r="A54" t="s">
        <v>693</v>
      </c>
      <c r="B54" t="s">
        <v>694</v>
      </c>
      <c r="C54" s="40">
        <v>46059</v>
      </c>
      <c r="D54" s="50">
        <v>-14.580265095729001</v>
      </c>
      <c r="E54" s="50">
        <v>-20.986745213549298</v>
      </c>
    </row>
    <row r="55" spans="1:8">
      <c r="A55" t="s">
        <v>357</v>
      </c>
      <c r="B55" t="s">
        <v>358</v>
      </c>
      <c r="C55" s="40">
        <v>46133</v>
      </c>
      <c r="D55" s="50">
        <v>-4.7619047619047601</v>
      </c>
    </row>
    <row r="56" spans="1:8">
      <c r="A56" t="s">
        <v>285</v>
      </c>
      <c r="B56" t="s">
        <v>286</v>
      </c>
      <c r="C56" s="40">
        <v>45800</v>
      </c>
      <c r="D56" s="50">
        <v>5.1677243880326396</v>
      </c>
      <c r="E56" s="50">
        <v>7.7062556663644601</v>
      </c>
      <c r="F56" s="50">
        <v>51.405258386219401</v>
      </c>
      <c r="G56" s="50">
        <v>53.762466001813202</v>
      </c>
      <c r="H56" s="50">
        <v>25.566636446056201</v>
      </c>
    </row>
    <row r="57" spans="1:8">
      <c r="A57" t="s">
        <v>453</v>
      </c>
      <c r="B57" t="s">
        <v>454</v>
      </c>
      <c r="C57" s="40">
        <v>46141</v>
      </c>
    </row>
    <row r="58" spans="1:8">
      <c r="A58" t="s">
        <v>707</v>
      </c>
      <c r="B58" t="s">
        <v>708</v>
      </c>
      <c r="C58" s="40">
        <v>45999</v>
      </c>
      <c r="D58" s="50">
        <v>28.164556962025301</v>
      </c>
      <c r="E58" s="50">
        <v>27.2151898734177</v>
      </c>
      <c r="F58" s="50">
        <v>13.2120253164557</v>
      </c>
      <c r="G58" s="50">
        <v>7.4367088607595004</v>
      </c>
    </row>
    <row r="59" spans="1:8">
      <c r="A59" t="s">
        <v>799</v>
      </c>
      <c r="B59" t="s">
        <v>800</v>
      </c>
      <c r="C59" s="40">
        <v>45818</v>
      </c>
      <c r="D59" s="50">
        <v>-31.5032679738562</v>
      </c>
      <c r="E59" s="50">
        <v>-43.703703703703702</v>
      </c>
      <c r="F59" s="50">
        <v>-46.492374727668803</v>
      </c>
      <c r="G59" s="50">
        <v>-56.209150326797399</v>
      </c>
      <c r="H59" s="50">
        <v>-70.936819172113303</v>
      </c>
    </row>
    <row r="60" spans="1:8">
      <c r="A60" t="s">
        <v>339</v>
      </c>
      <c r="B60" t="s">
        <v>340</v>
      </c>
      <c r="C60" s="40">
        <v>46056</v>
      </c>
      <c r="D60" s="50">
        <v>-0.71485305798252996</v>
      </c>
      <c r="E60" s="50">
        <v>-16.6004765687053</v>
      </c>
    </row>
    <row r="61" spans="1:8">
      <c r="A61" t="s">
        <v>960</v>
      </c>
      <c r="B61" t="s">
        <v>961</v>
      </c>
      <c r="C61" s="40">
        <v>44578</v>
      </c>
      <c r="D61" s="50">
        <v>-12.1338912133891</v>
      </c>
      <c r="E61" s="50">
        <v>-23.849372384937201</v>
      </c>
      <c r="F61" s="50">
        <v>-23.012552301255202</v>
      </c>
      <c r="G61" s="50">
        <v>-26.422149025193601</v>
      </c>
      <c r="H61" s="50">
        <v>-32.015786818599999</v>
      </c>
    </row>
    <row r="62" spans="1:8">
      <c r="A62" t="s">
        <v>292</v>
      </c>
      <c r="B62" t="s">
        <v>293</v>
      </c>
      <c r="C62" s="40">
        <v>46034</v>
      </c>
      <c r="D62" s="50">
        <v>-4.35139573070607</v>
      </c>
      <c r="E62" s="50">
        <v>-9.8522167487684698</v>
      </c>
      <c r="F62" s="50">
        <v>-33.908045977011497</v>
      </c>
    </row>
    <row r="63" spans="1:8">
      <c r="A63" t="s">
        <v>670</v>
      </c>
      <c r="B63" t="s">
        <v>671</v>
      </c>
      <c r="C63" s="40">
        <v>44722</v>
      </c>
      <c r="D63" s="50">
        <v>-6.1904761904761996</v>
      </c>
      <c r="E63" s="50">
        <v>-23.8095238095238</v>
      </c>
      <c r="F63" s="50">
        <v>-30.952380952380999</v>
      </c>
      <c r="G63" s="50">
        <v>-52.380952380952401</v>
      </c>
      <c r="H63" s="50">
        <v>-58.571428571428598</v>
      </c>
    </row>
    <row r="64" spans="1:8">
      <c r="A64" t="s">
        <v>757</v>
      </c>
      <c r="B64" t="s">
        <v>758</v>
      </c>
      <c r="C64" s="40">
        <v>46010</v>
      </c>
      <c r="D64" s="50">
        <v>9.7674418604651105</v>
      </c>
      <c r="E64" s="50">
        <v>85.232558139534902</v>
      </c>
      <c r="F64" s="50">
        <v>56.511627906976798</v>
      </c>
    </row>
    <row r="65" spans="1:8">
      <c r="A65" t="s">
        <v>259</v>
      </c>
      <c r="B65" t="s">
        <v>260</v>
      </c>
      <c r="C65" s="40">
        <v>45966</v>
      </c>
      <c r="D65" s="50">
        <v>-12.167300380228101</v>
      </c>
      <c r="E65" s="50">
        <v>-17.7946768060837</v>
      </c>
      <c r="F65" s="50">
        <v>-27.2243346007605</v>
      </c>
      <c r="G65" s="50">
        <v>-30.8365019011407</v>
      </c>
    </row>
    <row r="66" spans="1:8">
      <c r="A66" t="s">
        <v>886</v>
      </c>
      <c r="B66" t="s">
        <v>887</v>
      </c>
      <c r="C66" s="40">
        <v>46147</v>
      </c>
    </row>
    <row r="67" spans="1:8">
      <c r="A67" t="s">
        <v>440</v>
      </c>
      <c r="B67" t="s">
        <v>441</v>
      </c>
      <c r="C67" s="40">
        <v>45785</v>
      </c>
      <c r="D67" s="50">
        <v>-19.3813131313131</v>
      </c>
      <c r="E67" s="50">
        <v>-11.9949494949495</v>
      </c>
      <c r="F67" s="50">
        <v>-14.330808080808101</v>
      </c>
      <c r="G67" s="50">
        <v>-22.9166666666667</v>
      </c>
      <c r="H67" s="50">
        <v>-43.677590021249998</v>
      </c>
    </row>
    <row r="68" spans="1:8">
      <c r="A68" t="s">
        <v>248</v>
      </c>
      <c r="B68" t="s">
        <v>249</v>
      </c>
      <c r="C68" s="40">
        <v>45967</v>
      </c>
      <c r="D68" s="50">
        <v>-13.5375494071146</v>
      </c>
      <c r="E68" s="50">
        <v>-16.156126482213399</v>
      </c>
      <c r="F68" s="50">
        <v>-16.403162055336001</v>
      </c>
      <c r="G68" s="50">
        <v>-25.197628458497999</v>
      </c>
    </row>
    <row r="69" spans="1:8">
      <c r="A69" t="s">
        <v>803</v>
      </c>
      <c r="B69" t="s">
        <v>804</v>
      </c>
      <c r="C69" s="40">
        <v>45930</v>
      </c>
      <c r="D69" s="50">
        <v>55.660377358490599</v>
      </c>
      <c r="E69" s="50">
        <v>57.547169811320799</v>
      </c>
      <c r="F69" s="50">
        <v>59.056603773584897</v>
      </c>
      <c r="G69" s="50">
        <v>48.018867924528301</v>
      </c>
    </row>
    <row r="70" spans="1:8">
      <c r="A70" t="s">
        <v>765</v>
      </c>
      <c r="B70" t="s">
        <v>766</v>
      </c>
      <c r="C70" s="40">
        <v>45988</v>
      </c>
      <c r="D70" s="50">
        <v>53.513513513513502</v>
      </c>
      <c r="E70" s="50">
        <v>85.945945945945894</v>
      </c>
      <c r="F70" s="50">
        <v>76.216216216216196</v>
      </c>
      <c r="G70" s="50">
        <v>20.4324324324324</v>
      </c>
    </row>
    <row r="71" spans="1:8">
      <c r="A71" t="s">
        <v>337</v>
      </c>
      <c r="B71" t="s">
        <v>338</v>
      </c>
      <c r="C71" s="40">
        <v>44942</v>
      </c>
      <c r="D71" s="50">
        <v>-5.6666666666666599</v>
      </c>
      <c r="E71" s="50">
        <v>1.6666666666666601</v>
      </c>
      <c r="F71" s="50">
        <v>-1.1666666666666701</v>
      </c>
      <c r="G71" s="50">
        <v>-4.4027405421507204</v>
      </c>
      <c r="H71" s="50">
        <v>-5.58713136729222</v>
      </c>
    </row>
    <row r="72" spans="1:8">
      <c r="A72" t="s">
        <v>279</v>
      </c>
      <c r="B72" t="s">
        <v>280</v>
      </c>
      <c r="C72" s="40">
        <v>45827</v>
      </c>
      <c r="D72" s="50">
        <v>-3.9726027397260402</v>
      </c>
      <c r="E72" s="50">
        <v>-6.8493150684931496</v>
      </c>
      <c r="F72" s="50">
        <v>-4.8767123287671303</v>
      </c>
      <c r="G72" s="50">
        <v>-9.8878840077525201</v>
      </c>
      <c r="H72" s="50">
        <v>-8.0665405025044201</v>
      </c>
    </row>
    <row r="73" spans="1:8">
      <c r="A73" t="s">
        <v>390</v>
      </c>
      <c r="B73" t="s">
        <v>391</v>
      </c>
      <c r="C73" s="40">
        <v>46066</v>
      </c>
      <c r="D73" s="50">
        <v>9.6711798839456395E-2</v>
      </c>
      <c r="E73" s="50">
        <v>-9.5744680851063908</v>
      </c>
    </row>
    <row r="74" spans="1:8">
      <c r="A74" t="s">
        <v>369</v>
      </c>
      <c r="B74" t="s">
        <v>370</v>
      </c>
      <c r="C74" s="40">
        <v>45043</v>
      </c>
      <c r="D74" s="50">
        <v>2.4774774774774602</v>
      </c>
      <c r="E74" s="50">
        <v>-20.608108108108102</v>
      </c>
      <c r="F74" s="50">
        <v>-0.22522522522523999</v>
      </c>
      <c r="G74" s="50">
        <v>28.3783783783784</v>
      </c>
      <c r="H74" s="50">
        <v>-6.0810810810810896</v>
      </c>
    </row>
    <row r="75" spans="1:8">
      <c r="A75" t="s">
        <v>743</v>
      </c>
      <c r="B75" t="s">
        <v>744</v>
      </c>
      <c r="C75" s="40">
        <v>45488</v>
      </c>
      <c r="D75" s="50">
        <v>52.7083333333333</v>
      </c>
      <c r="E75" s="50">
        <v>129.166666666667</v>
      </c>
      <c r="F75" s="50">
        <v>227.083333333333</v>
      </c>
      <c r="G75" s="50">
        <v>402.08333333333297</v>
      </c>
      <c r="H75" s="50">
        <v>289.58333333333297</v>
      </c>
    </row>
    <row r="76" spans="1:8">
      <c r="A76" t="s">
        <v>474</v>
      </c>
      <c r="B76" t="s">
        <v>475</v>
      </c>
      <c r="C76" s="40">
        <v>46101</v>
      </c>
      <c r="D76" s="50">
        <v>1.8229166666666701</v>
      </c>
    </row>
    <row r="77" spans="1:8">
      <c r="A77" t="s">
        <v>256</v>
      </c>
      <c r="B77" t="s">
        <v>257</v>
      </c>
      <c r="C77" s="40">
        <v>44755</v>
      </c>
      <c r="D77" s="50">
        <v>-3.8414634146341502</v>
      </c>
      <c r="E77" s="50">
        <v>6.0975609756094097E-2</v>
      </c>
      <c r="F77" s="50">
        <v>-16.280487804878</v>
      </c>
      <c r="G77" s="50">
        <v>-21.341463414634099</v>
      </c>
      <c r="H77" s="50">
        <v>-31.0365853658537</v>
      </c>
    </row>
    <row r="78" spans="1:8">
      <c r="A78" t="s">
        <v>240</v>
      </c>
      <c r="B78" t="s">
        <v>241</v>
      </c>
      <c r="C78" s="40">
        <v>45958</v>
      </c>
      <c r="D78" s="50">
        <v>3.7442922374429202</v>
      </c>
      <c r="E78" s="50">
        <v>1.3698630136986301</v>
      </c>
      <c r="F78" s="50">
        <v>14.2465753424658</v>
      </c>
      <c r="G78" s="50">
        <v>6.7579908675799096</v>
      </c>
    </row>
    <row r="79" spans="1:8">
      <c r="A79" t="s">
        <v>272</v>
      </c>
      <c r="B79" t="s">
        <v>273</v>
      </c>
      <c r="C79" s="40">
        <v>46044</v>
      </c>
      <c r="D79" s="50">
        <v>-4.9844236760124696</v>
      </c>
      <c r="E79" s="50">
        <v>-21.495327102803699</v>
      </c>
      <c r="F79" s="50">
        <v>-35.264797507788202</v>
      </c>
    </row>
    <row r="80" spans="1:8">
      <c r="A80" t="s">
        <v>364</v>
      </c>
      <c r="B80" t="s">
        <v>365</v>
      </c>
      <c r="C80" s="40">
        <v>45726</v>
      </c>
      <c r="D80" s="50">
        <v>2.0408163265306101</v>
      </c>
      <c r="E80" s="50">
        <v>106.632653061224</v>
      </c>
      <c r="F80" s="50">
        <v>104.810495626822</v>
      </c>
      <c r="G80" s="50">
        <v>84.365139353801496</v>
      </c>
      <c r="H80" s="50">
        <v>124.17041596179899</v>
      </c>
    </row>
    <row r="81" spans="1:8">
      <c r="A81" t="s">
        <v>727</v>
      </c>
      <c r="B81" t="s">
        <v>728</v>
      </c>
      <c r="C81" s="40">
        <v>45838</v>
      </c>
      <c r="D81" s="50">
        <v>2.5316455696202498</v>
      </c>
      <c r="E81" s="50">
        <v>-2.12658227848102</v>
      </c>
      <c r="F81" s="50">
        <v>-21.4177215189873</v>
      </c>
      <c r="G81" s="50">
        <v>-45.772151898734201</v>
      </c>
      <c r="H81" s="50">
        <v>-71.443037974683506</v>
      </c>
    </row>
    <row r="82" spans="1:8">
      <c r="A82" t="s">
        <v>635</v>
      </c>
      <c r="B82" t="s">
        <v>636</v>
      </c>
      <c r="C82" s="40">
        <v>45847</v>
      </c>
      <c r="D82" s="50">
        <v>-0.58910162002945599</v>
      </c>
      <c r="E82" s="50">
        <v>-2.7982326951399199</v>
      </c>
      <c r="F82" s="50">
        <v>53.166421207658303</v>
      </c>
      <c r="G82" s="50">
        <v>-0.58910162002945599</v>
      </c>
      <c r="H82" s="50">
        <v>120.91310751104599</v>
      </c>
    </row>
    <row r="83" spans="1:8">
      <c r="A83" t="s">
        <v>919</v>
      </c>
      <c r="B83" t="s">
        <v>920</v>
      </c>
      <c r="C83" s="40">
        <v>45672</v>
      </c>
      <c r="D83" s="50">
        <v>-1.0622154779969699</v>
      </c>
      <c r="E83" s="50">
        <v>-0.30349013657055501</v>
      </c>
      <c r="F83" s="50">
        <v>-3.18664643399089</v>
      </c>
      <c r="G83" s="50">
        <v>-0.75872534142640102</v>
      </c>
      <c r="H83" s="50">
        <v>-1.74506828528073</v>
      </c>
    </row>
    <row r="84" spans="1:8">
      <c r="A84" t="s">
        <v>268</v>
      </c>
      <c r="B84" t="s">
        <v>269</v>
      </c>
      <c r="C84" s="40">
        <v>44833</v>
      </c>
      <c r="D84" s="50">
        <v>-5.2173913043478199</v>
      </c>
      <c r="E84" s="50">
        <v>-15.326086956521699</v>
      </c>
      <c r="F84" s="50">
        <v>6.3043478260869499</v>
      </c>
      <c r="G84" s="50">
        <v>0.65217391304347205</v>
      </c>
      <c r="H84" s="50">
        <v>-41.1006415756572</v>
      </c>
    </row>
    <row r="85" spans="1:8">
      <c r="A85" t="s">
        <v>282</v>
      </c>
      <c r="B85" t="s">
        <v>283</v>
      </c>
      <c r="C85" s="40">
        <v>45831</v>
      </c>
      <c r="D85" s="50">
        <v>11.7777777777778</v>
      </c>
      <c r="E85" s="50">
        <v>19.1111111111111</v>
      </c>
      <c r="F85" s="50">
        <v>64.977777777777803</v>
      </c>
      <c r="G85" s="50">
        <v>81.688888888888897</v>
      </c>
      <c r="H85" s="50">
        <v>35.559575494452503</v>
      </c>
    </row>
    <row r="86" spans="1:8">
      <c r="A86" t="s">
        <v>509</v>
      </c>
      <c r="B86" t="s">
        <v>510</v>
      </c>
      <c r="C86" s="40">
        <v>44995</v>
      </c>
      <c r="D86" s="50">
        <v>-1.6336056009335</v>
      </c>
      <c r="E86" s="50">
        <v>-0.81680280046674802</v>
      </c>
      <c r="F86" s="50">
        <v>-1.98366394399066</v>
      </c>
      <c r="G86" s="50">
        <v>-4.2652071823600197</v>
      </c>
      <c r="H86" s="50">
        <v>-20.742175292933702</v>
      </c>
    </row>
    <row r="87" spans="1:8">
      <c r="A87" t="s">
        <v>870</v>
      </c>
      <c r="B87" t="s">
        <v>871</v>
      </c>
      <c r="C87" s="40">
        <v>45909</v>
      </c>
      <c r="D87" s="50">
        <v>13.0931458699473</v>
      </c>
      <c r="E87" s="50">
        <v>-18.945518453427098</v>
      </c>
      <c r="F87" s="50">
        <v>-27.416520210896302</v>
      </c>
      <c r="G87" s="50">
        <v>-30.790861159929701</v>
      </c>
    </row>
    <row r="88" spans="1:8">
      <c r="A88" t="s">
        <v>243</v>
      </c>
      <c r="B88" t="s">
        <v>244</v>
      </c>
      <c r="C88" s="40">
        <v>44798</v>
      </c>
      <c r="D88" s="50">
        <v>8.2278481012658204</v>
      </c>
      <c r="E88" s="50">
        <v>19.3037974683544</v>
      </c>
      <c r="F88" s="50">
        <v>10.3164556962025</v>
      </c>
      <c r="G88" s="50">
        <v>53.924050632911403</v>
      </c>
      <c r="H88" s="50">
        <v>-10.4430379746835</v>
      </c>
    </row>
    <row r="89" spans="1:8">
      <c r="A89" t="s">
        <v>394</v>
      </c>
      <c r="B89" t="s">
        <v>395</v>
      </c>
      <c r="C89" s="40">
        <v>45952</v>
      </c>
      <c r="D89" s="50">
        <v>1.68598524762908</v>
      </c>
      <c r="E89" s="50">
        <v>-11.2750263435195</v>
      </c>
      <c r="F89" s="50">
        <v>-16.491043203372001</v>
      </c>
      <c r="G89" s="50">
        <v>-31.243414120126399</v>
      </c>
    </row>
    <row r="90" spans="1:8">
      <c r="A90" t="s">
        <v>830</v>
      </c>
      <c r="B90" t="s">
        <v>831</v>
      </c>
      <c r="C90" s="40">
        <v>44754</v>
      </c>
      <c r="D90" s="50">
        <v>2.3611111111111098</v>
      </c>
      <c r="E90" s="50">
        <v>-4.7222222222222197</v>
      </c>
      <c r="F90" s="50">
        <v>-4.8611111111111196</v>
      </c>
      <c r="G90" s="50">
        <v>-9.44444444444445</v>
      </c>
      <c r="H90" s="50">
        <v>6.6666666666666599</v>
      </c>
    </row>
    <row r="91" spans="1:8">
      <c r="A91" t="s">
        <v>519</v>
      </c>
      <c r="B91" t="s">
        <v>520</v>
      </c>
      <c r="C91" s="40">
        <v>45604</v>
      </c>
      <c r="D91" s="50">
        <v>-15.196998123827401</v>
      </c>
      <c r="E91" s="50">
        <v>-38.086303939962498</v>
      </c>
      <c r="F91" s="50">
        <v>-11.4446529080675</v>
      </c>
      <c r="G91" s="50">
        <v>-26.4540337711069</v>
      </c>
      <c r="H91" s="50">
        <v>-34.982665428670998</v>
      </c>
    </row>
    <row r="92" spans="1:8">
      <c r="A92" t="s">
        <v>793</v>
      </c>
      <c r="B92" t="s">
        <v>794</v>
      </c>
      <c r="C92" s="40">
        <v>46063</v>
      </c>
      <c r="D92" s="50">
        <v>10.9765940274415</v>
      </c>
      <c r="E92" s="50">
        <v>10.088781275222001</v>
      </c>
    </row>
    <row r="93" spans="1:8">
      <c r="A93" t="s">
        <v>826</v>
      </c>
      <c r="B93" t="s">
        <v>827</v>
      </c>
      <c r="C93" s="40">
        <v>44754</v>
      </c>
      <c r="D93" s="50">
        <v>11.9402985074627</v>
      </c>
      <c r="E93" s="50">
        <v>-17.910447761194</v>
      </c>
      <c r="F93" s="50">
        <v>-34.701492537313399</v>
      </c>
      <c r="G93" s="50">
        <v>-54.291044776119399</v>
      </c>
      <c r="H93" s="50">
        <v>-16.791044776119399</v>
      </c>
    </row>
    <row r="94" spans="1:8">
      <c r="A94" t="s">
        <v>490</v>
      </c>
      <c r="B94" t="s">
        <v>491</v>
      </c>
      <c r="C94" s="40">
        <v>46104</v>
      </c>
      <c r="D94" s="50">
        <v>-8.3898305084745797</v>
      </c>
    </row>
    <row r="95" spans="1:8">
      <c r="A95" t="s">
        <v>470</v>
      </c>
      <c r="B95" t="s">
        <v>471</v>
      </c>
      <c r="C95" s="40">
        <v>46013</v>
      </c>
      <c r="D95" s="50">
        <v>-12.9237288135593</v>
      </c>
      <c r="E95" s="50">
        <v>-20.338983050847499</v>
      </c>
      <c r="F95" s="50">
        <v>-26.906779661016898</v>
      </c>
    </row>
    <row r="96" spans="1:8">
      <c r="A96" t="s">
        <v>976</v>
      </c>
      <c r="B96" t="s">
        <v>977</v>
      </c>
      <c r="C96" s="40">
        <v>46128</v>
      </c>
      <c r="D96" s="50">
        <v>-14.6322971948446</v>
      </c>
    </row>
    <row r="97" spans="1:8">
      <c r="A97" t="s">
        <v>405</v>
      </c>
      <c r="B97" t="s">
        <v>406</v>
      </c>
      <c r="C97" s="40">
        <v>44910</v>
      </c>
      <c r="D97" s="50">
        <v>-7.3852295409181696</v>
      </c>
      <c r="E97" s="50">
        <v>9.1816367265469108</v>
      </c>
      <c r="F97" s="50">
        <v>13.772455089820401</v>
      </c>
      <c r="G97" s="50">
        <v>-1.19760479041915</v>
      </c>
      <c r="H97" s="50">
        <v>-25.728208850229901</v>
      </c>
    </row>
    <row r="98" spans="1:8">
      <c r="A98" t="s">
        <v>253</v>
      </c>
      <c r="B98" t="s">
        <v>254</v>
      </c>
      <c r="C98" s="40">
        <v>45847</v>
      </c>
      <c r="D98" s="50">
        <v>-2.5201612903225801</v>
      </c>
      <c r="E98" s="50">
        <v>19.556451612903199</v>
      </c>
      <c r="F98" s="50">
        <v>69.662308024424803</v>
      </c>
      <c r="G98" s="50">
        <v>24.311046690927</v>
      </c>
      <c r="H98" s="50">
        <v>2.2427989884660202</v>
      </c>
    </row>
    <row r="99" spans="1:8">
      <c r="A99" t="s">
        <v>507</v>
      </c>
      <c r="B99" t="s">
        <v>508</v>
      </c>
      <c r="C99" s="40">
        <v>45282</v>
      </c>
      <c r="D99" s="50">
        <v>-4</v>
      </c>
      <c r="E99" s="50">
        <v>-36</v>
      </c>
      <c r="F99" s="50">
        <v>-42</v>
      </c>
      <c r="G99" s="50">
        <v>-51</v>
      </c>
      <c r="H99" s="50">
        <v>55</v>
      </c>
    </row>
    <row r="100" spans="1:8">
      <c r="A100" t="s">
        <v>838</v>
      </c>
      <c r="B100" t="s">
        <v>839</v>
      </c>
      <c r="C100" s="40">
        <v>46014</v>
      </c>
      <c r="D100" s="50">
        <v>-6.9002695417789797</v>
      </c>
      <c r="E100" s="50">
        <v>38.274932614555297</v>
      </c>
      <c r="F100" s="50">
        <v>49.7304582210243</v>
      </c>
    </row>
    <row r="101" spans="1:8">
      <c r="A101" t="s">
        <v>430</v>
      </c>
      <c r="B101" t="s">
        <v>431</v>
      </c>
      <c r="C101" s="40">
        <v>44917</v>
      </c>
      <c r="D101" s="50">
        <v>19.047619047619101</v>
      </c>
      <c r="E101" s="50">
        <v>8.1349206349206398</v>
      </c>
      <c r="F101" s="50">
        <v>1.19047619047619</v>
      </c>
      <c r="G101" s="50">
        <v>0.39682539682540202</v>
      </c>
      <c r="H101" s="50">
        <v>3.2987342570262101</v>
      </c>
    </row>
    <row r="102" spans="1:8">
      <c r="A102" t="s">
        <v>737</v>
      </c>
      <c r="B102" t="s">
        <v>738</v>
      </c>
      <c r="C102" s="40">
        <v>45994</v>
      </c>
      <c r="D102" s="50">
        <v>22.385321100917398</v>
      </c>
      <c r="E102" s="50">
        <v>-30.0183486238532</v>
      </c>
      <c r="F102" s="50">
        <v>-65.522935779816507</v>
      </c>
      <c r="G102" s="50">
        <v>-70.935779816513801</v>
      </c>
    </row>
    <row r="103" spans="1:8">
      <c r="A103" t="s">
        <v>401</v>
      </c>
      <c r="B103" t="s">
        <v>402</v>
      </c>
      <c r="C103" s="40">
        <v>45211</v>
      </c>
      <c r="D103" s="50">
        <v>-2.5537634408602199</v>
      </c>
      <c r="E103" s="50">
        <v>-4.1666666666666696</v>
      </c>
      <c r="F103" s="50">
        <v>-3.3602150537634401</v>
      </c>
      <c r="G103" s="50">
        <v>-11.8279569892473</v>
      </c>
      <c r="H103" s="50">
        <v>-20.8333333333333</v>
      </c>
    </row>
    <row r="104" spans="1:8">
      <c r="A104" t="s">
        <v>438</v>
      </c>
      <c r="B104" t="s">
        <v>439</v>
      </c>
      <c r="C104" s="40">
        <v>44869</v>
      </c>
      <c r="D104" s="50">
        <v>25.0936329588015</v>
      </c>
      <c r="E104" s="50">
        <v>19.288389513108601</v>
      </c>
      <c r="F104" s="50">
        <v>66.6666666666667</v>
      </c>
      <c r="G104" s="50">
        <v>105.99250936329599</v>
      </c>
      <c r="H104" s="50">
        <v>31.086142322097398</v>
      </c>
    </row>
    <row r="105" spans="1:8">
      <c r="A105" t="s">
        <v>854</v>
      </c>
      <c r="B105" t="s">
        <v>855</v>
      </c>
      <c r="C105" s="40">
        <v>45989</v>
      </c>
      <c r="D105" s="50">
        <v>1.9090909090909201</v>
      </c>
      <c r="E105" s="50">
        <v>-20.454545454545499</v>
      </c>
      <c r="F105" s="50">
        <v>-15.2727272727273</v>
      </c>
      <c r="G105" s="50">
        <v>-32.909090909090899</v>
      </c>
    </row>
    <row r="106" spans="1:8">
      <c r="A106" t="s">
        <v>331</v>
      </c>
      <c r="B106" t="s">
        <v>332</v>
      </c>
      <c r="C106" s="40">
        <v>45588</v>
      </c>
      <c r="D106" s="50">
        <v>-7.3141486810551504</v>
      </c>
      <c r="E106" s="50">
        <v>-25.899280575539599</v>
      </c>
      <c r="F106" s="50">
        <v>-31.175059952038399</v>
      </c>
      <c r="G106" s="50">
        <v>-17.266187050359701</v>
      </c>
      <c r="H106" s="50">
        <v>-19.6700859307782</v>
      </c>
    </row>
    <row r="107" spans="1:8">
      <c r="A107" t="s">
        <v>350</v>
      </c>
      <c r="B107" t="s">
        <v>351</v>
      </c>
      <c r="C107" s="40">
        <v>44651</v>
      </c>
      <c r="D107" s="50">
        <v>0</v>
      </c>
      <c r="E107" s="50">
        <v>-4.1575492341356801</v>
      </c>
      <c r="F107" s="50">
        <v>-12.2113848089762</v>
      </c>
      <c r="G107" s="50">
        <v>-12.034925280954001</v>
      </c>
      <c r="H107" s="50">
        <v>-7.3587477883668004</v>
      </c>
    </row>
    <row r="108" spans="1:8">
      <c r="A108" t="s">
        <v>575</v>
      </c>
      <c r="B108" t="s">
        <v>576</v>
      </c>
      <c r="C108" s="40">
        <v>45624</v>
      </c>
      <c r="D108" s="50">
        <v>4.9673202614378997</v>
      </c>
      <c r="E108" s="50">
        <v>-27.973856209150298</v>
      </c>
      <c r="F108" s="50">
        <v>-15.6862745098039</v>
      </c>
      <c r="G108" s="50">
        <v>-20.915032679738601</v>
      </c>
      <c r="H108" s="50">
        <v>91.804303274315302</v>
      </c>
    </row>
    <row r="109" spans="1:8">
      <c r="A109" t="s">
        <v>581</v>
      </c>
      <c r="B109" t="s">
        <v>582</v>
      </c>
      <c r="C109" s="40">
        <v>45670</v>
      </c>
      <c r="D109" s="50">
        <v>-0.38314176245209902</v>
      </c>
      <c r="E109" s="50">
        <v>0</v>
      </c>
      <c r="F109" s="50">
        <v>0</v>
      </c>
      <c r="G109" s="50">
        <v>0</v>
      </c>
      <c r="H109" s="50">
        <v>2.12765957446807</v>
      </c>
    </row>
    <row r="110" spans="1:8">
      <c r="A110" t="s">
        <v>988</v>
      </c>
      <c r="B110" t="s">
        <v>989</v>
      </c>
      <c r="C110" s="40">
        <v>45541</v>
      </c>
      <c r="D110" s="50">
        <v>-26.842105263157901</v>
      </c>
      <c r="E110" s="50">
        <v>4.9473684210526399</v>
      </c>
      <c r="F110" s="50">
        <v>6.5263157894736796</v>
      </c>
      <c r="G110" s="50">
        <v>5.4736842105263097</v>
      </c>
      <c r="H110" s="50">
        <v>1.3164208230500001</v>
      </c>
    </row>
    <row r="111" spans="1:8">
      <c r="A111" t="s">
        <v>660</v>
      </c>
      <c r="B111" t="s">
        <v>661</v>
      </c>
      <c r="C111" s="40">
        <v>46090</v>
      </c>
      <c r="D111" s="50">
        <v>-16.7741935483871</v>
      </c>
      <c r="E111" s="50">
        <v>-37.096774193548399</v>
      </c>
    </row>
    <row r="112" spans="1:8">
      <c r="A112" t="s">
        <v>603</v>
      </c>
      <c r="B112" t="s">
        <v>604</v>
      </c>
      <c r="C112" s="40">
        <v>44874</v>
      </c>
      <c r="D112" s="50">
        <v>-17.5</v>
      </c>
      <c r="E112" s="50">
        <v>-68.5</v>
      </c>
      <c r="F112" s="50">
        <v>-68.5</v>
      </c>
      <c r="G112" s="50">
        <v>-77.5</v>
      </c>
      <c r="H112" s="50">
        <v>-82.5</v>
      </c>
    </row>
    <row r="113" spans="1:8">
      <c r="A113" t="s">
        <v>465</v>
      </c>
      <c r="B113" t="s">
        <v>466</v>
      </c>
      <c r="C113" s="40">
        <v>46148</v>
      </c>
    </row>
    <row r="114" spans="1:8">
      <c r="A114" t="s">
        <v>711</v>
      </c>
      <c r="B114" t="s">
        <v>712</v>
      </c>
      <c r="C114" s="40">
        <v>44757</v>
      </c>
      <c r="D114" s="50">
        <v>0</v>
      </c>
      <c r="E114" s="50">
        <v>-5.7377049180327901</v>
      </c>
      <c r="F114" s="50">
        <v>-18.032786885245901</v>
      </c>
      <c r="G114" s="50">
        <v>-11.4754098360656</v>
      </c>
      <c r="H114" s="50">
        <v>9.8360655737704992</v>
      </c>
    </row>
    <row r="115" spans="1:8">
      <c r="A115" t="s">
        <v>676</v>
      </c>
      <c r="B115" t="s">
        <v>677</v>
      </c>
      <c r="C115" s="40">
        <v>45057</v>
      </c>
      <c r="D115" s="50">
        <v>-6.1326658322903702</v>
      </c>
      <c r="E115" s="50">
        <v>-32.540675844806003</v>
      </c>
      <c r="F115" s="50">
        <v>-33.1664580725907</v>
      </c>
      <c r="G115" s="50">
        <v>-18.648310387984999</v>
      </c>
      <c r="H115" s="50">
        <v>-54.991816693944401</v>
      </c>
    </row>
    <row r="116" spans="1:8">
      <c r="A116" t="s">
        <v>262</v>
      </c>
      <c r="B116" t="s">
        <v>263</v>
      </c>
      <c r="C116" s="40">
        <v>45978</v>
      </c>
      <c r="D116" s="50">
        <v>-10.777385159010599</v>
      </c>
      <c r="E116" s="50">
        <v>-3.0624263839811499</v>
      </c>
      <c r="F116" s="50">
        <v>10.0706713780919</v>
      </c>
      <c r="G116" s="50">
        <v>-3.94581861012957</v>
      </c>
    </row>
    <row r="117" spans="1:8">
      <c r="A117" t="s">
        <v>917</v>
      </c>
      <c r="B117" t="s">
        <v>918</v>
      </c>
      <c r="C117" s="40">
        <v>44610</v>
      </c>
      <c r="D117" s="50">
        <v>-6.4935064935064997</v>
      </c>
      <c r="E117" s="50">
        <v>-18.831168831168799</v>
      </c>
      <c r="F117" s="50">
        <v>-22.0779220779221</v>
      </c>
      <c r="G117" s="50">
        <v>-27.272727272727298</v>
      </c>
      <c r="H117" s="50">
        <v>-24.675324675324699</v>
      </c>
    </row>
    <row r="118" spans="1:8">
      <c r="A118" t="s">
        <v>927</v>
      </c>
      <c r="B118" t="s">
        <v>928</v>
      </c>
      <c r="C118" s="40">
        <v>45510</v>
      </c>
      <c r="D118" s="50">
        <v>-23.265306122449001</v>
      </c>
      <c r="E118" s="50">
        <v>-7.4829931972789101</v>
      </c>
      <c r="F118" s="50">
        <v>-8.2993197278911506</v>
      </c>
      <c r="G118" s="50">
        <v>46.938775510204103</v>
      </c>
      <c r="H118" s="50">
        <v>102.721088435374</v>
      </c>
    </row>
    <row r="119" spans="1:8">
      <c r="A119" t="s">
        <v>295</v>
      </c>
      <c r="B119" t="s">
        <v>296</v>
      </c>
      <c r="C119" s="40">
        <v>45719</v>
      </c>
      <c r="D119" s="50">
        <v>35.655172413793103</v>
      </c>
      <c r="E119" s="50">
        <v>54.344827586206897</v>
      </c>
      <c r="F119" s="50">
        <v>101.551724137931</v>
      </c>
      <c r="G119" s="50">
        <v>75.862068965517196</v>
      </c>
      <c r="H119" s="50">
        <v>37.172413793103502</v>
      </c>
    </row>
    <row r="120" spans="1:8">
      <c r="A120" t="s">
        <v>807</v>
      </c>
      <c r="B120" t="s">
        <v>808</v>
      </c>
      <c r="C120" s="40">
        <v>45847</v>
      </c>
      <c r="D120" s="50">
        <v>-13.5265700483092</v>
      </c>
      <c r="E120" s="50">
        <v>-23.091787439613501</v>
      </c>
      <c r="F120" s="50">
        <v>-35.797101449275402</v>
      </c>
      <c r="G120" s="50">
        <v>-43.478260869565197</v>
      </c>
      <c r="H120" s="50">
        <v>-39.6135265700483</v>
      </c>
    </row>
    <row r="121" spans="1:8">
      <c r="A121" t="s">
        <v>461</v>
      </c>
      <c r="B121" t="s">
        <v>462</v>
      </c>
      <c r="C121" s="40">
        <v>45971</v>
      </c>
      <c r="D121" s="50">
        <v>-6.5454545454545503</v>
      </c>
      <c r="E121" s="50">
        <v>-3.7575757575757498</v>
      </c>
      <c r="F121" s="50">
        <v>-4.8484848484848504</v>
      </c>
      <c r="G121" s="50">
        <v>2.96969696969696</v>
      </c>
    </row>
    <row r="122" spans="1:8">
      <c r="A122" t="s">
        <v>221</v>
      </c>
      <c r="B122" t="s">
        <v>1045</v>
      </c>
      <c r="C122" s="40">
        <v>45797</v>
      </c>
      <c r="D122" s="50">
        <v>0.91443500979752201</v>
      </c>
      <c r="E122" s="50">
        <v>9.2749836708034099</v>
      </c>
      <c r="F122" s="50">
        <v>38.381259487618102</v>
      </c>
      <c r="G122" s="50">
        <v>65.690765027767895</v>
      </c>
      <c r="H122" s="50">
        <v>61.368397244434902</v>
      </c>
    </row>
    <row r="123" spans="1:8">
      <c r="A123" t="s">
        <v>846</v>
      </c>
      <c r="B123" t="s">
        <v>847</v>
      </c>
      <c r="C123" s="40">
        <v>45818</v>
      </c>
      <c r="D123" s="50">
        <v>-8.4507042253521103</v>
      </c>
      <c r="E123" s="50">
        <v>-29.647887323943699</v>
      </c>
      <c r="F123" s="50">
        <v>-24.9295774647887</v>
      </c>
      <c r="G123" s="50">
        <v>-20.915492957746501</v>
      </c>
      <c r="H123" s="50">
        <v>60.985915492957801</v>
      </c>
    </row>
    <row r="124" spans="1:8">
      <c r="A124" t="s">
        <v>511</v>
      </c>
      <c r="B124" t="s">
        <v>512</v>
      </c>
      <c r="C124" s="40">
        <v>45272</v>
      </c>
      <c r="D124" s="50">
        <v>-5.1546391752577296</v>
      </c>
      <c r="E124" s="50">
        <v>-2.0618556701030899</v>
      </c>
      <c r="F124" s="50">
        <v>2.8865979381443401</v>
      </c>
      <c r="G124" s="50">
        <v>-7.8350515463917496</v>
      </c>
      <c r="H124" s="50">
        <v>49.380646003010398</v>
      </c>
    </row>
    <row r="125" spans="1:8">
      <c r="A125" t="s">
        <v>797</v>
      </c>
      <c r="B125" t="s">
        <v>798</v>
      </c>
      <c r="C125" s="40">
        <v>44651</v>
      </c>
      <c r="D125" s="50">
        <v>59.266409266409298</v>
      </c>
      <c r="E125" s="50">
        <v>71.428571428571502</v>
      </c>
      <c r="F125" s="50">
        <v>112.355212355212</v>
      </c>
      <c r="G125" s="50">
        <v>-44.787644787644801</v>
      </c>
      <c r="H125" s="50">
        <v>-56.370656370656398</v>
      </c>
    </row>
    <row r="126" spans="1:8">
      <c r="A126" t="s">
        <v>220</v>
      </c>
      <c r="B126" t="s">
        <v>393</v>
      </c>
      <c r="C126" s="40">
        <v>45405</v>
      </c>
      <c r="D126" s="50">
        <v>-10.625</v>
      </c>
      <c r="E126" s="50">
        <v>-18.75</v>
      </c>
      <c r="F126" s="50">
        <v>-19.0772496462166</v>
      </c>
      <c r="G126" s="50">
        <v>-50.324648297677498</v>
      </c>
      <c r="H126" s="50">
        <v>-20.950351551154998</v>
      </c>
    </row>
    <row r="127" spans="1:8">
      <c r="A127" t="s">
        <v>695</v>
      </c>
      <c r="B127" t="s">
        <v>696</v>
      </c>
      <c r="C127" s="40">
        <v>46031</v>
      </c>
      <c r="D127" s="50">
        <v>4.1798941798941902</v>
      </c>
      <c r="E127" s="50">
        <v>9.7883597883598004</v>
      </c>
      <c r="F127" s="50">
        <v>-32.804232804232797</v>
      </c>
    </row>
    <row r="128" spans="1:8">
      <c r="A128" t="s">
        <v>360</v>
      </c>
      <c r="B128" t="s">
        <v>361</v>
      </c>
      <c r="C128" s="40">
        <v>45700</v>
      </c>
      <c r="D128" s="50">
        <v>4.6236559139784896</v>
      </c>
      <c r="E128" s="50">
        <v>76.559139784946197</v>
      </c>
      <c r="F128" s="50">
        <v>164.51612903225799</v>
      </c>
      <c r="G128" s="50">
        <v>163.44086021505399</v>
      </c>
      <c r="H128" s="50">
        <v>131.397849462366</v>
      </c>
    </row>
    <row r="129" spans="1:8">
      <c r="A129" t="s">
        <v>463</v>
      </c>
      <c r="B129" t="s">
        <v>464</v>
      </c>
      <c r="C129" s="40">
        <v>45636</v>
      </c>
      <c r="D129" s="50">
        <v>11.216730038022799</v>
      </c>
      <c r="E129" s="50">
        <v>37.737642585551299</v>
      </c>
      <c r="F129" s="50">
        <v>95.057034220532302</v>
      </c>
      <c r="G129" s="50">
        <v>89.733840304182493</v>
      </c>
      <c r="H129" s="50">
        <v>94.093222407759598</v>
      </c>
    </row>
    <row r="130" spans="1:8">
      <c r="A130" t="s">
        <v>348</v>
      </c>
      <c r="B130" t="s">
        <v>349</v>
      </c>
      <c r="C130" s="40">
        <v>45071</v>
      </c>
      <c r="D130" s="50">
        <v>-17.445482866043601</v>
      </c>
      <c r="E130" s="50">
        <v>-19.6261682242991</v>
      </c>
      <c r="F130" s="50">
        <v>-15.264797507788201</v>
      </c>
      <c r="G130" s="50">
        <v>35.514018691588802</v>
      </c>
      <c r="H130" s="50">
        <v>-21.806853582554499</v>
      </c>
    </row>
    <row r="131" spans="1:8">
      <c r="A131" t="s">
        <v>497</v>
      </c>
      <c r="B131" t="s">
        <v>498</v>
      </c>
      <c r="C131" s="40">
        <v>44942</v>
      </c>
      <c r="D131" s="50">
        <v>1.85497470489039</v>
      </c>
      <c r="E131" s="50">
        <v>-14.5025295109612</v>
      </c>
      <c r="F131" s="50">
        <v>0</v>
      </c>
      <c r="G131" s="50">
        <v>-25.463743676222599</v>
      </c>
      <c r="H131" s="50">
        <v>-64.273679242373305</v>
      </c>
    </row>
    <row r="132" spans="1:8">
      <c r="A132" t="s">
        <v>226</v>
      </c>
      <c r="B132" t="s">
        <v>227</v>
      </c>
      <c r="C132" s="40">
        <v>45623</v>
      </c>
      <c r="D132" s="50">
        <v>-4.9562682215743301</v>
      </c>
      <c r="E132" s="50">
        <v>-0.43731778425655599</v>
      </c>
      <c r="F132" s="50">
        <v>15.1603498542274</v>
      </c>
      <c r="G132" s="50">
        <v>2.6239067055393801</v>
      </c>
      <c r="H132" s="50">
        <v>35.687772688792897</v>
      </c>
    </row>
    <row r="133" spans="1:8">
      <c r="A133" t="s">
        <v>219</v>
      </c>
      <c r="B133" t="s">
        <v>81</v>
      </c>
      <c r="C133" s="40">
        <v>46135</v>
      </c>
      <c r="D133" s="50">
        <v>3.4090909090909101</v>
      </c>
    </row>
    <row r="134" spans="1:8">
      <c r="A134" t="s">
        <v>882</v>
      </c>
      <c r="B134" t="s">
        <v>883</v>
      </c>
      <c r="C134" s="40">
        <v>45303</v>
      </c>
      <c r="D134" s="50">
        <v>32.575757575757599</v>
      </c>
      <c r="E134" s="50">
        <v>42.045454545454497</v>
      </c>
      <c r="F134" s="50">
        <v>37.5</v>
      </c>
      <c r="G134" s="50">
        <v>12.1212121212121</v>
      </c>
      <c r="H134" s="50">
        <v>-4.9242424242424399</v>
      </c>
    </row>
    <row r="135" spans="1:8">
      <c r="A135" t="s">
        <v>715</v>
      </c>
      <c r="B135" t="s">
        <v>716</v>
      </c>
      <c r="C135" s="40">
        <v>44942</v>
      </c>
      <c r="D135" s="50">
        <v>-10.6086956521739</v>
      </c>
      <c r="E135" s="50">
        <v>13.7391304347826</v>
      </c>
      <c r="F135" s="50">
        <v>-11.304347826087</v>
      </c>
      <c r="G135" s="50">
        <v>-33.043478260869598</v>
      </c>
      <c r="H135" s="50">
        <v>-31.304347826087</v>
      </c>
    </row>
    <row r="136" spans="1:8">
      <c r="A136" t="s">
        <v>290</v>
      </c>
      <c r="B136" t="s">
        <v>291</v>
      </c>
      <c r="C136" s="40">
        <v>44896</v>
      </c>
      <c r="D136" s="50">
        <v>-3.6708860759493702</v>
      </c>
      <c r="E136" s="50">
        <v>-4.9378891151043103</v>
      </c>
      <c r="F136" s="50">
        <v>-9.8526649159560602</v>
      </c>
      <c r="G136" s="50">
        <v>-28.3477422717929</v>
      </c>
      <c r="H136" s="50">
        <v>-56.801707434618798</v>
      </c>
    </row>
    <row r="137" spans="1:8">
      <c r="A137" t="s">
        <v>548</v>
      </c>
      <c r="B137" t="s">
        <v>549</v>
      </c>
      <c r="C137" s="40">
        <v>45300</v>
      </c>
      <c r="D137" s="50">
        <v>45.8333333333333</v>
      </c>
      <c r="E137" s="50">
        <v>68.0555555555556</v>
      </c>
      <c r="F137" s="50">
        <v>6.94444444444445</v>
      </c>
      <c r="G137" s="50">
        <v>16.6666666666667</v>
      </c>
      <c r="H137" s="50">
        <v>-16.6666666666667</v>
      </c>
    </row>
    <row r="138" spans="1:8">
      <c r="A138" t="s">
        <v>868</v>
      </c>
      <c r="B138" t="s">
        <v>869</v>
      </c>
      <c r="C138" s="40">
        <v>45055</v>
      </c>
      <c r="D138" s="50">
        <v>57.142857142857203</v>
      </c>
      <c r="E138" s="50">
        <v>40.816326530612201</v>
      </c>
      <c r="F138" s="50">
        <v>9.1836734693877595</v>
      </c>
      <c r="G138" s="50">
        <v>-13.265306122448999</v>
      </c>
      <c r="H138" s="50">
        <v>42.857142857142797</v>
      </c>
    </row>
    <row r="139" spans="1:8">
      <c r="A139" t="s">
        <v>649</v>
      </c>
      <c r="B139" t="s">
        <v>650</v>
      </c>
      <c r="C139" s="40">
        <v>45471</v>
      </c>
      <c r="D139" s="50">
        <v>-37.204301075268802</v>
      </c>
      <c r="E139" s="50">
        <v>-61.720430107526902</v>
      </c>
      <c r="F139" s="50">
        <v>-55.268817204301101</v>
      </c>
      <c r="G139" s="50">
        <v>-47.956989247311803</v>
      </c>
      <c r="H139" s="50">
        <v>-73.763440860215098</v>
      </c>
    </row>
    <row r="140" spans="1:8">
      <c r="A140" t="s">
        <v>935</v>
      </c>
      <c r="B140" t="s">
        <v>936</v>
      </c>
      <c r="C140" s="40">
        <v>44924</v>
      </c>
      <c r="D140" s="50">
        <v>15.4285714285714</v>
      </c>
      <c r="E140" s="50">
        <v>-16</v>
      </c>
      <c r="F140" s="50">
        <v>136.57142857142901</v>
      </c>
      <c r="G140" s="50">
        <v>-76.857142857142904</v>
      </c>
      <c r="H140" s="50">
        <v>-78.830083565459603</v>
      </c>
    </row>
    <row r="141" spans="1:8">
      <c r="A141" t="s">
        <v>371</v>
      </c>
      <c r="B141" t="s">
        <v>372</v>
      </c>
      <c r="C141" s="40">
        <v>45804</v>
      </c>
      <c r="D141" s="50">
        <v>-6.3670411985018696</v>
      </c>
      <c r="E141" s="50">
        <v>30.149812734082399</v>
      </c>
      <c r="F141" s="50">
        <v>60.112359550561798</v>
      </c>
      <c r="G141" s="50">
        <v>49.812734082397</v>
      </c>
      <c r="H141" s="50">
        <v>35.544660451190602</v>
      </c>
    </row>
    <row r="142" spans="1:8">
      <c r="A142" t="s">
        <v>505</v>
      </c>
      <c r="B142" t="s">
        <v>506</v>
      </c>
      <c r="C142" s="40">
        <v>45958</v>
      </c>
      <c r="D142" s="50">
        <v>-21.799678628816299</v>
      </c>
      <c r="E142" s="50">
        <v>-57.8146759507231</v>
      </c>
      <c r="F142" s="50">
        <v>-68.119978575254393</v>
      </c>
      <c r="G142" s="50">
        <v>-70.198178896625606</v>
      </c>
    </row>
    <row r="143" spans="1:8">
      <c r="A143" t="s">
        <v>609</v>
      </c>
      <c r="B143" t="s">
        <v>610</v>
      </c>
      <c r="C143" s="40">
        <v>46013</v>
      </c>
      <c r="D143" s="50">
        <v>8.9010989010989103</v>
      </c>
      <c r="E143" s="50">
        <v>26.8131868131868</v>
      </c>
      <c r="F143" s="50">
        <v>26.8131868131868</v>
      </c>
    </row>
    <row r="144" spans="1:8">
      <c r="A144" t="s">
        <v>342</v>
      </c>
      <c r="B144" t="s">
        <v>343</v>
      </c>
      <c r="C144" s="40">
        <v>45252</v>
      </c>
      <c r="D144" s="50">
        <v>-5.5045871559633097</v>
      </c>
      <c r="E144" s="50">
        <v>0</v>
      </c>
      <c r="F144" s="50">
        <v>0.91743119266055095</v>
      </c>
      <c r="G144" s="50">
        <v>-11.0091743119266</v>
      </c>
      <c r="H144" s="50">
        <v>-6.7475161108267496</v>
      </c>
    </row>
    <row r="145" spans="1:8">
      <c r="A145" t="s">
        <v>422</v>
      </c>
      <c r="B145" t="s">
        <v>423</v>
      </c>
      <c r="C145" s="40">
        <v>45646</v>
      </c>
      <c r="D145" s="50">
        <v>-5.48654244306418</v>
      </c>
      <c r="E145" s="50">
        <v>3.7267080745341601</v>
      </c>
      <c r="F145" s="50">
        <v>14.0786749482402</v>
      </c>
      <c r="G145" s="50">
        <v>-1.7557037636636901</v>
      </c>
      <c r="H145" s="50">
        <v>24.615000479588499</v>
      </c>
    </row>
    <row r="146" spans="1:8">
      <c r="A146" t="s">
        <v>836</v>
      </c>
      <c r="B146" t="s">
        <v>837</v>
      </c>
      <c r="C146" s="40">
        <v>45016</v>
      </c>
      <c r="D146" s="50">
        <v>-1.47058823529412</v>
      </c>
      <c r="E146" s="50">
        <v>7.3529411764705799</v>
      </c>
      <c r="F146" s="50">
        <v>-14.705882352941201</v>
      </c>
      <c r="G146" s="50">
        <v>-32.352941176470601</v>
      </c>
      <c r="H146" s="50">
        <v>205.88235294117601</v>
      </c>
    </row>
    <row r="147" spans="1:8">
      <c r="A147" t="s">
        <v>459</v>
      </c>
      <c r="B147" t="s">
        <v>460</v>
      </c>
      <c r="C147" s="40">
        <v>44876</v>
      </c>
      <c r="D147" s="50">
        <v>-20.7478890229192</v>
      </c>
      <c r="E147" s="50">
        <v>-24.607961399276199</v>
      </c>
      <c r="F147" s="50">
        <v>-30.036188178528299</v>
      </c>
      <c r="G147" s="50">
        <v>-51.869722557297898</v>
      </c>
      <c r="H147" s="50">
        <v>-64.223016288473602</v>
      </c>
    </row>
    <row r="148" spans="1:8">
      <c r="A148" t="s">
        <v>787</v>
      </c>
      <c r="B148" t="s">
        <v>788</v>
      </c>
      <c r="C148" s="40">
        <v>44844</v>
      </c>
      <c r="D148" s="50">
        <v>-7.2727272727272796</v>
      </c>
      <c r="E148" s="50">
        <v>-1.8181818181818199</v>
      </c>
      <c r="F148" s="50">
        <v>-1.8181818181818199</v>
      </c>
      <c r="G148" s="50">
        <v>-5.4545454545454604</v>
      </c>
      <c r="H148" s="50">
        <v>-9.0909090909091006</v>
      </c>
    </row>
    <row r="149" spans="1:8">
      <c r="A149" t="s">
        <v>424</v>
      </c>
      <c r="B149" t="s">
        <v>425</v>
      </c>
      <c r="C149" s="40">
        <v>45895</v>
      </c>
      <c r="D149" s="50">
        <v>-8.55643044619422</v>
      </c>
      <c r="E149" s="50">
        <v>22.729658792650898</v>
      </c>
      <c r="F149" s="50">
        <v>-11.653543307086601</v>
      </c>
      <c r="G149" s="50">
        <v>-19.370078740157499</v>
      </c>
    </row>
    <row r="150" spans="1:8">
      <c r="A150" t="s">
        <v>888</v>
      </c>
      <c r="B150" t="s">
        <v>889</v>
      </c>
      <c r="C150" s="40">
        <v>45240</v>
      </c>
      <c r="D150" s="50">
        <v>18.518518518518501</v>
      </c>
      <c r="E150" s="50">
        <v>-41.975308641975303</v>
      </c>
      <c r="F150" s="50">
        <v>-73.765432098765402</v>
      </c>
      <c r="G150" s="50">
        <v>-76.851851851851805</v>
      </c>
      <c r="H150" s="50">
        <v>-84.567901234567898</v>
      </c>
    </row>
    <row r="151" spans="1:8">
      <c r="A151" t="s">
        <v>529</v>
      </c>
      <c r="B151" t="s">
        <v>530</v>
      </c>
      <c r="C151" s="40">
        <v>45834</v>
      </c>
      <c r="D151" s="50">
        <v>-8.3333333333333197</v>
      </c>
      <c r="E151" s="50">
        <v>-10.8333333333333</v>
      </c>
      <c r="F151" s="50">
        <v>-13.75</v>
      </c>
      <c r="G151" s="50">
        <v>-15</v>
      </c>
      <c r="H151" s="50">
        <v>-12.1318770226537</v>
      </c>
    </row>
    <row r="152" spans="1:8">
      <c r="A152" t="s">
        <v>789</v>
      </c>
      <c r="B152" t="s">
        <v>790</v>
      </c>
      <c r="C152" s="40">
        <v>45288</v>
      </c>
      <c r="D152" s="50">
        <v>10.5726872246696</v>
      </c>
      <c r="E152" s="50">
        <v>-11.233480176211501</v>
      </c>
      <c r="F152" s="50">
        <v>2.8634361233480301</v>
      </c>
      <c r="G152" s="50">
        <v>13.215859030837001</v>
      </c>
      <c r="H152" s="50">
        <v>20.0440528634361</v>
      </c>
    </row>
    <row r="153" spans="1:8">
      <c r="A153" t="s">
        <v>304</v>
      </c>
      <c r="B153" t="s">
        <v>305</v>
      </c>
      <c r="C153" s="40">
        <v>46057</v>
      </c>
      <c r="D153" s="50">
        <v>14.0438247011952</v>
      </c>
      <c r="E153" s="50">
        <v>21.215139442231099</v>
      </c>
    </row>
    <row r="154" spans="1:8">
      <c r="A154" t="s">
        <v>811</v>
      </c>
      <c r="B154" t="s">
        <v>812</v>
      </c>
      <c r="C154" s="40">
        <v>44907</v>
      </c>
      <c r="D154" s="50">
        <v>-20.5</v>
      </c>
      <c r="E154" s="50">
        <v>-16.5</v>
      </c>
      <c r="F154" s="50">
        <v>-26</v>
      </c>
      <c r="G154" s="50">
        <v>-3</v>
      </c>
      <c r="H154" s="50">
        <v>-23</v>
      </c>
    </row>
    <row r="155" spans="1:8">
      <c r="A155" t="s">
        <v>446</v>
      </c>
      <c r="B155" t="s">
        <v>447</v>
      </c>
      <c r="C155" s="40">
        <v>45471</v>
      </c>
      <c r="D155" s="50">
        <v>21.714285714285701</v>
      </c>
      <c r="E155" s="50">
        <v>17.714285714285701</v>
      </c>
      <c r="F155" s="50">
        <v>85</v>
      </c>
      <c r="G155" s="50">
        <v>197.42857142857099</v>
      </c>
      <c r="H155" s="50">
        <v>891.42857142857099</v>
      </c>
    </row>
    <row r="156" spans="1:8">
      <c r="A156" t="s">
        <v>1040</v>
      </c>
      <c r="B156" t="s">
        <v>1041</v>
      </c>
      <c r="C156" s="40">
        <v>45940</v>
      </c>
      <c r="D156" s="50">
        <v>-61.395348837209298</v>
      </c>
      <c r="E156" s="50">
        <v>-80.697674418604606</v>
      </c>
      <c r="F156" s="50">
        <v>-83.720930232558104</v>
      </c>
      <c r="G156" s="50">
        <v>-87.674418604651194</v>
      </c>
    </row>
    <row r="157" spans="1:8">
      <c r="A157" t="s">
        <v>362</v>
      </c>
      <c r="B157" t="s">
        <v>363</v>
      </c>
      <c r="C157" s="40">
        <v>45485</v>
      </c>
      <c r="D157" s="50">
        <v>-10.363636363636401</v>
      </c>
      <c r="E157" s="50">
        <v>-30.545454545454501</v>
      </c>
      <c r="F157" s="50">
        <v>-17.272727272727298</v>
      </c>
      <c r="G157" s="50">
        <v>-26.5454545454546</v>
      </c>
      <c r="H157" s="50">
        <v>-8.3636363636363704</v>
      </c>
    </row>
    <row r="158" spans="1:8">
      <c r="A158" t="s">
        <v>907</v>
      </c>
      <c r="B158" t="s">
        <v>908</v>
      </c>
      <c r="C158" s="40">
        <v>45124</v>
      </c>
      <c r="D158" s="50">
        <v>0</v>
      </c>
      <c r="E158" s="50">
        <v>-46.774193548387103</v>
      </c>
      <c r="F158" s="50">
        <v>-56.451612903225801</v>
      </c>
      <c r="G158" s="50">
        <v>-52.688172043010802</v>
      </c>
      <c r="H158" s="50">
        <v>-70.430107526881699</v>
      </c>
    </row>
    <row r="159" spans="1:8">
      <c r="A159" t="s">
        <v>678</v>
      </c>
      <c r="B159" t="s">
        <v>679</v>
      </c>
      <c r="C159" s="40">
        <v>45670</v>
      </c>
      <c r="D159" s="50">
        <v>47.959183673469397</v>
      </c>
      <c r="E159" s="50">
        <v>-3.06122448979592</v>
      </c>
      <c r="F159" s="50">
        <v>21.428571428571399</v>
      </c>
      <c r="G159" s="50">
        <v>29.591836734693899</v>
      </c>
      <c r="H159" s="50">
        <v>12.244897959183699</v>
      </c>
    </row>
    <row r="160" spans="1:8">
      <c r="A160" t="s">
        <v>399</v>
      </c>
      <c r="B160" t="s">
        <v>400</v>
      </c>
      <c r="C160" s="40">
        <v>45834</v>
      </c>
      <c r="D160" s="50">
        <v>24.3333333333333</v>
      </c>
      <c r="E160" s="50">
        <v>30.133333333333301</v>
      </c>
      <c r="F160" s="50">
        <v>56.866666666666703</v>
      </c>
      <c r="G160" s="50">
        <v>61.4621099554235</v>
      </c>
      <c r="H160" s="50">
        <v>-27.924715205547301</v>
      </c>
    </row>
    <row r="161" spans="1:8">
      <c r="A161" t="s">
        <v>717</v>
      </c>
      <c r="B161" t="s">
        <v>718</v>
      </c>
      <c r="C161" s="40">
        <v>45265</v>
      </c>
      <c r="D161" s="50">
        <v>12.1212121212121</v>
      </c>
      <c r="E161" s="50">
        <v>-16.6666666666667</v>
      </c>
      <c r="F161" s="50">
        <v>-16.6666666666667</v>
      </c>
      <c r="G161" s="50">
        <v>-30.303030303030301</v>
      </c>
      <c r="H161" s="50">
        <v>25.757575757575701</v>
      </c>
    </row>
    <row r="162" spans="1:8">
      <c r="A162" t="s">
        <v>483</v>
      </c>
      <c r="B162" t="s">
        <v>484</v>
      </c>
      <c r="C162" s="40">
        <v>45666</v>
      </c>
      <c r="D162" s="50">
        <v>-7.6433121019108299</v>
      </c>
      <c r="E162" s="50">
        <v>-8.9171974522293098</v>
      </c>
      <c r="F162" s="50">
        <v>9.5541401273885302</v>
      </c>
      <c r="G162" s="50">
        <v>17.069766751295401</v>
      </c>
      <c r="H162" s="50">
        <v>31.1745579261503</v>
      </c>
    </row>
    <row r="163" spans="1:8">
      <c r="A163" t="s">
        <v>905</v>
      </c>
      <c r="B163" t="s">
        <v>906</v>
      </c>
      <c r="C163" s="40">
        <v>46035</v>
      </c>
      <c r="D163" s="50">
        <v>-19.024390243902399</v>
      </c>
      <c r="E163" s="50">
        <v>-35.934959349593498</v>
      </c>
      <c r="F163" s="50">
        <v>-41.626016260162601</v>
      </c>
    </row>
    <row r="164" spans="1:8">
      <c r="A164" t="s">
        <v>896</v>
      </c>
      <c r="B164" t="s">
        <v>897</v>
      </c>
      <c r="C164" s="40">
        <v>45475</v>
      </c>
      <c r="D164" s="50">
        <v>-25.170068027210899</v>
      </c>
      <c r="E164" s="50">
        <v>-23.1292517006803</v>
      </c>
      <c r="F164" s="50">
        <v>-32.653061224489797</v>
      </c>
      <c r="G164" s="50">
        <v>-34.6938775510204</v>
      </c>
      <c r="H164" s="50">
        <v>-41.496598639455797</v>
      </c>
    </row>
    <row r="165" spans="1:8">
      <c r="A165" t="s">
        <v>899</v>
      </c>
      <c r="B165" t="s">
        <v>900</v>
      </c>
      <c r="C165" s="40">
        <v>45265</v>
      </c>
      <c r="D165" s="50">
        <v>-4.4692737430167604</v>
      </c>
      <c r="E165" s="50">
        <v>-8.3798882681564297</v>
      </c>
      <c r="F165" s="50">
        <v>-5.0279329608938603</v>
      </c>
      <c r="G165" s="50">
        <v>-6.7039106145251504</v>
      </c>
      <c r="H165" s="50">
        <v>3.9748282283439198</v>
      </c>
    </row>
    <row r="166" spans="1:8">
      <c r="A166" t="s">
        <v>598</v>
      </c>
      <c r="B166" t="s">
        <v>599</v>
      </c>
      <c r="C166" s="40">
        <v>45440</v>
      </c>
      <c r="D166" s="50">
        <v>-26.6666666666667</v>
      </c>
      <c r="E166" s="50">
        <v>30.476190476190499</v>
      </c>
      <c r="F166" s="50">
        <v>-7.1428571428571503</v>
      </c>
      <c r="G166" s="50">
        <v>-37.984218735663802</v>
      </c>
      <c r="H166" s="50">
        <v>-23.505826222589199</v>
      </c>
    </row>
    <row r="167" spans="1:8">
      <c r="A167" t="s">
        <v>937</v>
      </c>
      <c r="B167" t="s">
        <v>938</v>
      </c>
      <c r="C167" s="40">
        <v>45016</v>
      </c>
      <c r="D167" s="50">
        <v>25</v>
      </c>
      <c r="E167" s="50">
        <v>158.333333333333</v>
      </c>
      <c r="F167" s="50">
        <v>313.09523809523802</v>
      </c>
      <c r="G167" s="50">
        <v>619.04761904761904</v>
      </c>
      <c r="H167" s="50">
        <v>558.33333333333303</v>
      </c>
    </row>
    <row r="168" spans="1:8">
      <c r="A168" t="s">
        <v>377</v>
      </c>
      <c r="B168" t="s">
        <v>378</v>
      </c>
      <c r="C168" s="40">
        <v>45197</v>
      </c>
      <c r="D168" s="50">
        <v>-3.8571428571428501</v>
      </c>
      <c r="E168" s="50">
        <v>-3.71428571428571</v>
      </c>
      <c r="F168" s="50">
        <v>199.28571428571399</v>
      </c>
      <c r="G168" s="50">
        <v>52.142857142857103</v>
      </c>
      <c r="H168" s="50">
        <v>14.857142857142801</v>
      </c>
    </row>
    <row r="169" spans="1:8">
      <c r="A169" t="s">
        <v>316</v>
      </c>
      <c r="B169" t="s">
        <v>317</v>
      </c>
      <c r="C169" s="40">
        <v>45266</v>
      </c>
      <c r="D169" s="50">
        <v>0.66666666666666696</v>
      </c>
      <c r="E169" s="50">
        <v>46.4</v>
      </c>
      <c r="F169" s="50">
        <v>30.6666666666667</v>
      </c>
      <c r="G169" s="50">
        <v>30.133333333333301</v>
      </c>
      <c r="H169" s="50">
        <v>16</v>
      </c>
    </row>
    <row r="170" spans="1:8">
      <c r="A170" t="s">
        <v>297</v>
      </c>
      <c r="B170" t="s">
        <v>298</v>
      </c>
      <c r="C170" s="40">
        <v>45625</v>
      </c>
      <c r="D170" s="50">
        <v>-10.077519379845</v>
      </c>
      <c r="E170" s="50">
        <v>8.9922480620155092</v>
      </c>
      <c r="F170" s="50">
        <v>37.209302325581397</v>
      </c>
      <c r="G170" s="50">
        <v>45.581395348837198</v>
      </c>
      <c r="H170" s="50">
        <v>23.922677846005101</v>
      </c>
    </row>
    <row r="171" spans="1:8">
      <c r="A171" t="s">
        <v>966</v>
      </c>
      <c r="B171" t="s">
        <v>967</v>
      </c>
      <c r="C171" s="40">
        <v>44909</v>
      </c>
      <c r="D171" s="50">
        <v>-29.1666666666667</v>
      </c>
      <c r="E171" s="50">
        <v>-29.1666666666667</v>
      </c>
      <c r="F171" s="50">
        <v>-31.9444444444444</v>
      </c>
      <c r="G171" s="50">
        <v>-31.25</v>
      </c>
      <c r="H171" s="50">
        <v>-33.3333333333333</v>
      </c>
    </row>
    <row r="172" spans="1:8">
      <c r="A172" t="s">
        <v>436</v>
      </c>
      <c r="B172" t="s">
        <v>437</v>
      </c>
      <c r="C172" s="40">
        <v>45793</v>
      </c>
      <c r="D172" s="50">
        <v>-8.1081081081081106</v>
      </c>
      <c r="E172" s="50">
        <v>14.944356120826701</v>
      </c>
      <c r="F172" s="50">
        <v>23.801637040343198</v>
      </c>
      <c r="G172" s="50">
        <v>12.411886432631601</v>
      </c>
      <c r="H172" s="50">
        <v>13.2372306795673</v>
      </c>
    </row>
    <row r="173" spans="1:8">
      <c r="A173" t="s">
        <v>852</v>
      </c>
      <c r="B173" t="s">
        <v>853</v>
      </c>
      <c r="C173" s="40">
        <v>45359</v>
      </c>
      <c r="D173" s="50">
        <v>8.4745762711864501</v>
      </c>
      <c r="E173" s="50">
        <v>3.3898305084745801</v>
      </c>
      <c r="F173" s="50">
        <v>-3.3898305084745801</v>
      </c>
      <c r="G173" s="50">
        <v>1.6949152542372901</v>
      </c>
      <c r="H173" s="50">
        <v>3.3898305084745801</v>
      </c>
    </row>
    <row r="174" spans="1:8">
      <c r="A174" t="s">
        <v>674</v>
      </c>
      <c r="B174" t="s">
        <v>675</v>
      </c>
      <c r="C174" s="40">
        <v>44797</v>
      </c>
      <c r="D174" s="50">
        <v>0</v>
      </c>
      <c r="E174" s="50">
        <v>-30.151338766007001</v>
      </c>
      <c r="F174" s="50">
        <v>-27.590221187427201</v>
      </c>
      <c r="G174" s="50">
        <v>-12.6891734575087</v>
      </c>
      <c r="H174" s="50">
        <v>-8.1490104772991891</v>
      </c>
    </row>
    <row r="175" spans="1:8">
      <c r="A175" t="s">
        <v>892</v>
      </c>
      <c r="B175" t="s">
        <v>893</v>
      </c>
      <c r="C175" s="40">
        <v>45645</v>
      </c>
      <c r="D175" s="50">
        <v>-31.400966183574901</v>
      </c>
      <c r="E175" s="50">
        <v>-50.7246376811594</v>
      </c>
      <c r="F175" s="50">
        <v>-57.004830917874401</v>
      </c>
      <c r="G175" s="50">
        <v>-54.8309178743961</v>
      </c>
      <c r="H175" s="50">
        <v>-66.476686750257798</v>
      </c>
    </row>
    <row r="176" spans="1:8">
      <c r="A176" t="s">
        <v>901</v>
      </c>
      <c r="B176" t="s">
        <v>902</v>
      </c>
      <c r="C176" s="40">
        <v>45994</v>
      </c>
      <c r="D176" s="50">
        <v>-13.4048257372654</v>
      </c>
      <c r="E176" s="50">
        <v>-29.758713136729199</v>
      </c>
      <c r="F176" s="50">
        <v>-39.008042895442401</v>
      </c>
      <c r="G176" s="50">
        <v>-43.833780160857899</v>
      </c>
    </row>
    <row r="177" spans="1:8">
      <c r="A177" t="s">
        <v>322</v>
      </c>
      <c r="B177" t="s">
        <v>323</v>
      </c>
      <c r="C177" s="40">
        <v>45842</v>
      </c>
      <c r="D177" s="50">
        <v>5.3508771929824501</v>
      </c>
      <c r="E177" s="50">
        <v>6.40350877192982</v>
      </c>
      <c r="F177" s="50">
        <v>7.0097950980188104</v>
      </c>
      <c r="G177" s="50">
        <v>27.186726160271501</v>
      </c>
      <c r="H177" s="50">
        <v>29.708842543053098</v>
      </c>
    </row>
    <row r="178" spans="1:8">
      <c r="A178" t="s">
        <v>560</v>
      </c>
      <c r="B178" t="s">
        <v>561</v>
      </c>
      <c r="C178" s="40">
        <v>44792</v>
      </c>
      <c r="D178" s="50">
        <v>15.1898734177215</v>
      </c>
      <c r="E178" s="50">
        <v>41.772151898734201</v>
      </c>
      <c r="F178" s="50">
        <v>125.31645569620299</v>
      </c>
      <c r="G178" s="50">
        <v>-41.139240506329102</v>
      </c>
      <c r="H178" s="50">
        <v>-50.632911392405099</v>
      </c>
    </row>
    <row r="179" spans="1:8">
      <c r="A179" t="s">
        <v>884</v>
      </c>
      <c r="B179" t="s">
        <v>885</v>
      </c>
      <c r="C179" s="40">
        <v>44572</v>
      </c>
      <c r="D179" s="50">
        <v>0</v>
      </c>
      <c r="E179" s="50">
        <v>-0.81300813008130202</v>
      </c>
      <c r="F179" s="50">
        <v>-1.6260162601626</v>
      </c>
      <c r="G179" s="50">
        <v>-17.0731707317073</v>
      </c>
      <c r="H179" s="50">
        <v>-10.569105691056899</v>
      </c>
    </row>
    <row r="180" spans="1:8">
      <c r="A180" t="s">
        <v>858</v>
      </c>
      <c r="B180" t="s">
        <v>859</v>
      </c>
      <c r="C180" s="40">
        <v>45405</v>
      </c>
      <c r="D180" s="50">
        <v>0</v>
      </c>
      <c r="E180" s="50">
        <v>-25.657894736842099</v>
      </c>
      <c r="F180" s="50">
        <v>-15.1315789473684</v>
      </c>
      <c r="G180" s="50">
        <v>-73.684210526315795</v>
      </c>
      <c r="H180" s="50">
        <v>-73.684210526315795</v>
      </c>
    </row>
    <row r="181" spans="1:8">
      <c r="A181" t="s">
        <v>540</v>
      </c>
      <c r="B181" t="s">
        <v>541</v>
      </c>
      <c r="C181" s="40">
        <v>45567</v>
      </c>
      <c r="D181" s="50">
        <v>-25.683060109289599</v>
      </c>
      <c r="E181" s="50">
        <v>-36.065573770491802</v>
      </c>
      <c r="F181" s="50">
        <v>-45.027322404371603</v>
      </c>
      <c r="G181" s="50">
        <v>-27.650273224043701</v>
      </c>
      <c r="H181" s="50">
        <v>-42.950819672131203</v>
      </c>
    </row>
    <row r="182" spans="1:8">
      <c r="A182" t="s">
        <v>828</v>
      </c>
      <c r="B182" t="s">
        <v>829</v>
      </c>
      <c r="C182" s="40">
        <v>45282</v>
      </c>
      <c r="D182" s="50">
        <v>-1.78571428571429</v>
      </c>
      <c r="E182" s="50">
        <v>1.78571428571427</v>
      </c>
      <c r="F182" s="50">
        <v>8.9285714285714199</v>
      </c>
      <c r="G182" s="50">
        <v>42.857142857142797</v>
      </c>
      <c r="H182" s="50">
        <v>32.030772366007703</v>
      </c>
    </row>
    <row r="183" spans="1:8">
      <c r="A183" t="s">
        <v>442</v>
      </c>
      <c r="B183" t="s">
        <v>443</v>
      </c>
      <c r="C183" s="40">
        <v>45107</v>
      </c>
      <c r="D183" s="50">
        <v>-9.2753623188405907</v>
      </c>
      <c r="E183" s="50">
        <v>-4.0579710144927601</v>
      </c>
      <c r="F183" s="50">
        <v>11.5942028985507</v>
      </c>
      <c r="G183" s="50">
        <v>-25.507246376811601</v>
      </c>
      <c r="H183" s="50">
        <v>-16.376811594202898</v>
      </c>
    </row>
    <row r="184" spans="1:8">
      <c r="A184" t="s">
        <v>229</v>
      </c>
      <c r="B184" t="s">
        <v>230</v>
      </c>
      <c r="C184" s="40">
        <v>45925</v>
      </c>
      <c r="D184" s="50">
        <v>-0.12531328320802901</v>
      </c>
      <c r="E184" s="50">
        <v>-0.50125313283208095</v>
      </c>
      <c r="F184" s="50">
        <v>-4.4486215538847196</v>
      </c>
      <c r="G184" s="50">
        <v>-11.7167919799499</v>
      </c>
    </row>
    <row r="185" spans="1:8">
      <c r="A185" t="s">
        <v>564</v>
      </c>
      <c r="B185" t="s">
        <v>565</v>
      </c>
      <c r="C185" s="40">
        <v>45747</v>
      </c>
      <c r="D185" s="50">
        <v>-14.4</v>
      </c>
      <c r="E185" s="50">
        <v>31.2</v>
      </c>
      <c r="F185" s="50">
        <v>11.2</v>
      </c>
      <c r="G185" s="50">
        <v>6.8</v>
      </c>
      <c r="H185" s="50">
        <v>68.400000000000006</v>
      </c>
    </row>
    <row r="186" spans="1:8">
      <c r="A186" t="s">
        <v>231</v>
      </c>
      <c r="B186" t="s">
        <v>232</v>
      </c>
      <c r="C186" s="40">
        <v>46059</v>
      </c>
      <c r="D186" s="50">
        <v>-3.2576505429417599</v>
      </c>
      <c r="E186" s="50">
        <v>4.8864758144126297</v>
      </c>
    </row>
    <row r="187" spans="1:8">
      <c r="A187" t="s">
        <v>913</v>
      </c>
      <c r="B187" t="s">
        <v>914</v>
      </c>
      <c r="C187" s="40">
        <v>44742</v>
      </c>
      <c r="D187" s="50">
        <v>4.7619047619047699</v>
      </c>
      <c r="E187" s="50">
        <v>-19.047619047619001</v>
      </c>
      <c r="F187" s="50">
        <v>-34.126984126984098</v>
      </c>
      <c r="G187" s="50">
        <v>-34.920634920634903</v>
      </c>
      <c r="H187" s="50">
        <v>-30.952380952380999</v>
      </c>
    </row>
    <row r="188" spans="1:8">
      <c r="A188" t="s">
        <v>703</v>
      </c>
      <c r="B188" t="s">
        <v>704</v>
      </c>
      <c r="C188" s="40">
        <v>44830</v>
      </c>
      <c r="D188" s="50">
        <v>-9.6774193548386993</v>
      </c>
      <c r="E188" s="50">
        <v>-24.193548387096801</v>
      </c>
      <c r="F188" s="50">
        <v>-37.903225806451601</v>
      </c>
      <c r="G188" s="50">
        <v>-36.290322580645203</v>
      </c>
      <c r="H188" s="50">
        <v>-46.774193548387103</v>
      </c>
    </row>
    <row r="189" spans="1:8">
      <c r="A189" t="s">
        <v>945</v>
      </c>
      <c r="B189" t="s">
        <v>946</v>
      </c>
      <c r="C189" s="40">
        <v>46013</v>
      </c>
      <c r="D189" s="50">
        <v>-9.0128755364806796</v>
      </c>
      <c r="E189" s="50">
        <v>-15.8798283261803</v>
      </c>
      <c r="F189" s="50">
        <v>-21.0300429184549</v>
      </c>
    </row>
    <row r="190" spans="1:8">
      <c r="A190" t="s">
        <v>713</v>
      </c>
      <c r="B190" t="s">
        <v>714</v>
      </c>
      <c r="C190" s="40">
        <v>45300</v>
      </c>
      <c r="D190" s="50">
        <v>7.38060781476121</v>
      </c>
      <c r="E190" s="50">
        <v>26.193921852387898</v>
      </c>
      <c r="F190" s="50">
        <v>449.92764109985501</v>
      </c>
      <c r="G190" s="50">
        <v>751.66425470332797</v>
      </c>
      <c r="H190" s="50">
        <v>-9.2031101309188603</v>
      </c>
    </row>
    <row r="191" spans="1:8">
      <c r="A191" t="s">
        <v>222</v>
      </c>
      <c r="B191" t="s">
        <v>223</v>
      </c>
      <c r="C191" s="40">
        <v>45552</v>
      </c>
      <c r="D191" s="50">
        <v>19.627749576988201</v>
      </c>
      <c r="E191" s="50">
        <v>20.3891708967851</v>
      </c>
      <c r="F191" s="50">
        <v>26.649746192893399</v>
      </c>
      <c r="G191" s="50">
        <v>26.142131979695399</v>
      </c>
      <c r="H191" s="50">
        <v>33.649959317858801</v>
      </c>
    </row>
    <row r="192" spans="1:8">
      <c r="A192" t="s">
        <v>767</v>
      </c>
      <c r="B192" t="s">
        <v>768</v>
      </c>
      <c r="C192" s="40">
        <v>45282</v>
      </c>
      <c r="D192" s="50">
        <v>22.9885057471264</v>
      </c>
      <c r="E192" s="50">
        <v>8.0459770114942692</v>
      </c>
      <c r="F192" s="50">
        <v>17.241379310344801</v>
      </c>
      <c r="G192" s="50">
        <v>59.310344827586199</v>
      </c>
      <c r="H192" s="50">
        <v>-12.7684326884463</v>
      </c>
    </row>
    <row r="193" spans="1:8">
      <c r="A193" t="s">
        <v>355</v>
      </c>
      <c r="B193" t="s">
        <v>356</v>
      </c>
      <c r="C193" s="40">
        <v>45604</v>
      </c>
      <c r="D193" s="50">
        <v>-12.879884225759801</v>
      </c>
      <c r="E193" s="50">
        <v>-12.590448625180899</v>
      </c>
      <c r="F193" s="50">
        <v>-13.169319826338601</v>
      </c>
      <c r="G193" s="50">
        <v>-21.083208231628401</v>
      </c>
      <c r="H193" s="50">
        <v>-39.961052416370201</v>
      </c>
    </row>
    <row r="194" spans="1:8">
      <c r="A194" t="s">
        <v>834</v>
      </c>
      <c r="B194" t="s">
        <v>835</v>
      </c>
      <c r="C194" s="40">
        <v>44910</v>
      </c>
      <c r="D194" s="50">
        <v>25</v>
      </c>
      <c r="E194" s="50">
        <v>35</v>
      </c>
      <c r="F194" s="50">
        <v>18.3333333333333</v>
      </c>
      <c r="G194" s="50">
        <v>33.3333333333333</v>
      </c>
      <c r="H194" s="50">
        <v>25</v>
      </c>
    </row>
    <row r="195" spans="1:8">
      <c r="A195" t="s">
        <v>878</v>
      </c>
      <c r="B195" t="s">
        <v>879</v>
      </c>
      <c r="C195" s="40">
        <v>45210</v>
      </c>
      <c r="D195" s="50">
        <v>-17.177914110429398</v>
      </c>
      <c r="E195" s="50">
        <v>-20.858895705521501</v>
      </c>
      <c r="F195" s="50">
        <v>-26.380368098159501</v>
      </c>
      <c r="G195" s="50">
        <v>-32.5153374233129</v>
      </c>
      <c r="H195" s="50">
        <v>-43.558282208588899</v>
      </c>
    </row>
    <row r="196" spans="1:8">
      <c r="A196" t="s">
        <v>558</v>
      </c>
      <c r="B196" t="s">
        <v>559</v>
      </c>
      <c r="C196" s="40">
        <v>46021</v>
      </c>
      <c r="D196" s="50">
        <v>-3.1413612565444899</v>
      </c>
      <c r="E196" s="50">
        <v>-45.1570680628272</v>
      </c>
      <c r="F196" s="50">
        <v>-46.727748691099499</v>
      </c>
    </row>
    <row r="197" spans="1:8">
      <c r="A197" t="s">
        <v>731</v>
      </c>
      <c r="B197" t="s">
        <v>732</v>
      </c>
      <c r="C197" s="40">
        <v>45476</v>
      </c>
      <c r="D197" s="50">
        <v>-32.089552238806</v>
      </c>
      <c r="E197" s="50">
        <v>-48.507462686567202</v>
      </c>
      <c r="F197" s="50">
        <v>-47.761194029850699</v>
      </c>
      <c r="G197" s="50">
        <v>-50.746268656716403</v>
      </c>
      <c r="H197" s="50">
        <v>-54.477611940298502</v>
      </c>
    </row>
    <row r="198" spans="1:8">
      <c r="A198" t="s">
        <v>842</v>
      </c>
      <c r="B198" t="s">
        <v>843</v>
      </c>
      <c r="C198" s="40">
        <v>45125</v>
      </c>
      <c r="D198" s="50">
        <v>-12.396694214876</v>
      </c>
      <c r="E198" s="50">
        <v>-29.752066115702501</v>
      </c>
      <c r="F198" s="50">
        <v>-43.801652892561997</v>
      </c>
      <c r="G198" s="50">
        <v>-41.322314049586801</v>
      </c>
      <c r="H198" s="50">
        <v>-52.892561983471097</v>
      </c>
    </row>
    <row r="199" spans="1:8">
      <c r="A199" t="s">
        <v>911</v>
      </c>
      <c r="B199" t="s">
        <v>912</v>
      </c>
      <c r="C199" s="40">
        <v>44851</v>
      </c>
      <c r="D199" s="50">
        <v>51.1111111111111</v>
      </c>
      <c r="E199" s="50">
        <v>117.037037037037</v>
      </c>
      <c r="F199" s="50">
        <v>77.7777777777778</v>
      </c>
      <c r="G199" s="50">
        <v>-38.518518518518498</v>
      </c>
      <c r="H199" s="50">
        <v>-43.703703703703702</v>
      </c>
    </row>
    <row r="200" spans="1:8">
      <c r="A200" t="s">
        <v>639</v>
      </c>
      <c r="B200" t="s">
        <v>640</v>
      </c>
      <c r="C200" s="40">
        <v>44699</v>
      </c>
      <c r="D200" s="50">
        <v>7.0588235294117601</v>
      </c>
      <c r="E200" s="50">
        <v>111.764705882353</v>
      </c>
      <c r="F200" s="50">
        <v>120.470588235294</v>
      </c>
      <c r="G200" s="50">
        <v>75.095336756448404</v>
      </c>
      <c r="H200" s="50">
        <v>86.216256793682305</v>
      </c>
    </row>
    <row r="201" spans="1:8">
      <c r="A201" t="s">
        <v>544</v>
      </c>
      <c r="B201" t="s">
        <v>545</v>
      </c>
      <c r="C201" s="40">
        <v>45117</v>
      </c>
      <c r="D201" s="50">
        <v>-19.7222222222222</v>
      </c>
      <c r="E201" s="50">
        <v>-25.8333333333333</v>
      </c>
      <c r="F201" s="50">
        <v>-25.8333333333333</v>
      </c>
      <c r="G201" s="50">
        <v>-26.6666666666667</v>
      </c>
      <c r="H201" s="50">
        <v>-28.0555555555556</v>
      </c>
    </row>
    <row r="202" spans="1:8">
      <c r="A202" t="s">
        <v>933</v>
      </c>
      <c r="B202" t="s">
        <v>934</v>
      </c>
      <c r="C202" s="40">
        <v>45379</v>
      </c>
      <c r="D202" s="50">
        <v>-16.2162162162162</v>
      </c>
      <c r="E202" s="50">
        <v>-27.027027027027</v>
      </c>
      <c r="F202" s="50">
        <v>-30.4054054054054</v>
      </c>
      <c r="G202" s="50">
        <v>-30.4054054054054</v>
      </c>
      <c r="H202" s="50">
        <v>-33.108108108108098</v>
      </c>
    </row>
    <row r="203" spans="1:8">
      <c r="A203" t="s">
        <v>325</v>
      </c>
      <c r="B203" t="s">
        <v>326</v>
      </c>
      <c r="C203" s="40">
        <v>45985</v>
      </c>
      <c r="D203" s="50">
        <v>20.082248115147401</v>
      </c>
      <c r="E203" s="50">
        <v>52.844413982179603</v>
      </c>
      <c r="F203" s="50">
        <v>66.141192597669601</v>
      </c>
      <c r="G203" s="50">
        <v>118.917066483893</v>
      </c>
    </row>
    <row r="204" spans="1:8">
      <c r="A204" t="s">
        <v>773</v>
      </c>
      <c r="B204" t="s">
        <v>774</v>
      </c>
      <c r="C204" s="40">
        <v>45666</v>
      </c>
      <c r="D204" s="50">
        <v>-11.2426035502959</v>
      </c>
      <c r="E204" s="50">
        <v>-17.7514792899408</v>
      </c>
      <c r="F204" s="50">
        <v>-14.2011834319527</v>
      </c>
      <c r="G204" s="50">
        <v>-21.7455621301775</v>
      </c>
      <c r="H204" s="50">
        <v>-13.496364600465499</v>
      </c>
    </row>
    <row r="205" spans="1:8">
      <c r="A205" t="s">
        <v>860</v>
      </c>
      <c r="B205" t="s">
        <v>861</v>
      </c>
      <c r="C205" s="40">
        <v>45574</v>
      </c>
      <c r="D205" s="50">
        <v>-29.0322580645161</v>
      </c>
      <c r="E205" s="50">
        <v>-24.193548387096801</v>
      </c>
      <c r="F205" s="50">
        <v>-32.258064516128997</v>
      </c>
      <c r="G205" s="50">
        <v>-30.645161290322601</v>
      </c>
      <c r="H205" s="50">
        <v>58.064516129032199</v>
      </c>
    </row>
    <row r="206" spans="1:8">
      <c r="A206" t="s">
        <v>662</v>
      </c>
      <c r="B206" t="s">
        <v>663</v>
      </c>
      <c r="C206" s="40">
        <v>44943</v>
      </c>
      <c r="D206" s="50">
        <v>3.1746031746031802</v>
      </c>
      <c r="E206" s="50">
        <v>-2.38095238095238</v>
      </c>
      <c r="F206" s="50">
        <v>10.3174603174603</v>
      </c>
      <c r="G206" s="50">
        <v>0.79365079365079405</v>
      </c>
      <c r="H206" s="50">
        <v>-20.634920634920601</v>
      </c>
    </row>
    <row r="207" spans="1:8">
      <c r="A207" t="s">
        <v>236</v>
      </c>
      <c r="B207" t="s">
        <v>237</v>
      </c>
      <c r="C207" s="40">
        <v>44904</v>
      </c>
      <c r="D207" s="50">
        <v>-27.272727272727298</v>
      </c>
      <c r="E207" s="50">
        <v>-19.039451114922802</v>
      </c>
      <c r="F207" s="50">
        <v>-24.528301886792399</v>
      </c>
      <c r="G207" s="50">
        <v>-26.243567753001699</v>
      </c>
      <c r="H207" s="50">
        <v>-21.952495857196801</v>
      </c>
    </row>
    <row r="208" spans="1:8">
      <c r="A208" t="s">
        <v>805</v>
      </c>
      <c r="B208" t="s">
        <v>806</v>
      </c>
      <c r="C208" s="40">
        <v>44939</v>
      </c>
      <c r="D208" s="50">
        <v>-14.285714285714301</v>
      </c>
      <c r="E208" s="50">
        <v>-12.5</v>
      </c>
      <c r="F208" s="50">
        <v>14.285714285714301</v>
      </c>
      <c r="G208" s="50">
        <v>58.928571428571402</v>
      </c>
      <c r="H208" s="50">
        <v>321.42857142857099</v>
      </c>
    </row>
    <row r="209" spans="1:8">
      <c r="A209" t="s">
        <v>643</v>
      </c>
      <c r="B209" t="s">
        <v>644</v>
      </c>
      <c r="C209" s="40">
        <v>45476</v>
      </c>
      <c r="D209" s="50">
        <v>-14.1566265060241</v>
      </c>
      <c r="E209" s="50">
        <v>54.819277108433702</v>
      </c>
      <c r="F209" s="50">
        <v>193.674698795181</v>
      </c>
      <c r="G209" s="50">
        <v>209.487951807229</v>
      </c>
      <c r="H209" s="50">
        <v>264.45783132530102</v>
      </c>
    </row>
    <row r="210" spans="1:8">
      <c r="A210" t="s">
        <v>448</v>
      </c>
      <c r="B210" t="s">
        <v>449</v>
      </c>
      <c r="C210" s="40">
        <v>44757</v>
      </c>
      <c r="D210" s="50">
        <v>-8.8888888888888999</v>
      </c>
      <c r="E210" s="50">
        <v>-33.8888888888889</v>
      </c>
      <c r="F210" s="50">
        <v>-42.7777777777778</v>
      </c>
      <c r="G210" s="50">
        <v>-56.6666666666667</v>
      </c>
      <c r="H210" s="50">
        <v>-49.4444444444444</v>
      </c>
    </row>
    <row r="211" spans="1:8">
      <c r="A211" t="s">
        <v>277</v>
      </c>
      <c r="B211" t="s">
        <v>278</v>
      </c>
      <c r="C211" s="40">
        <v>45902</v>
      </c>
      <c r="D211" s="50">
        <v>-2.30582524271844</v>
      </c>
      <c r="E211" s="50">
        <v>-15.8373786407767</v>
      </c>
      <c r="F211" s="50">
        <v>-3.15533980582524</v>
      </c>
      <c r="G211" s="50">
        <v>-19.478155339805799</v>
      </c>
    </row>
    <row r="212" spans="1:8">
      <c r="A212" t="s">
        <v>705</v>
      </c>
      <c r="B212" t="s">
        <v>706</v>
      </c>
      <c r="C212" s="40">
        <v>45743</v>
      </c>
      <c r="D212" s="50">
        <v>-25.373134328358201</v>
      </c>
      <c r="E212" s="50">
        <v>31.343283582089501</v>
      </c>
      <c r="F212" s="50">
        <v>122.38805970149301</v>
      </c>
      <c r="G212" s="50">
        <v>94.029850746268707</v>
      </c>
      <c r="H212" s="50">
        <v>43.283582089552198</v>
      </c>
    </row>
    <row r="213" spans="1:8">
      <c r="A213" t="s">
        <v>664</v>
      </c>
      <c r="B213" t="s">
        <v>665</v>
      </c>
      <c r="C213" s="40">
        <v>44945</v>
      </c>
      <c r="D213" s="50">
        <v>-20.729684908789402</v>
      </c>
      <c r="E213" s="50">
        <v>-27.363184079602</v>
      </c>
      <c r="F213" s="50">
        <v>-25.538971807628499</v>
      </c>
      <c r="G213" s="50">
        <v>-37.6451077943615</v>
      </c>
      <c r="H213" s="50">
        <v>-7.1310116086235604</v>
      </c>
    </row>
    <row r="214" spans="1:8">
      <c r="A214" t="s">
        <v>755</v>
      </c>
      <c r="B214" t="s">
        <v>756</v>
      </c>
      <c r="C214" s="40">
        <v>45483</v>
      </c>
      <c r="D214" s="50">
        <v>-4.1666666666666696</v>
      </c>
      <c r="E214" s="50">
        <v>-12.5</v>
      </c>
      <c r="F214" s="50">
        <v>-25.8333333333333</v>
      </c>
      <c r="G214" s="50">
        <v>-25</v>
      </c>
      <c r="H214" s="50">
        <v>-18.3333333333333</v>
      </c>
    </row>
    <row r="215" spans="1:8">
      <c r="A215" t="s">
        <v>725</v>
      </c>
      <c r="B215" t="s">
        <v>726</v>
      </c>
      <c r="C215" s="40">
        <v>44750</v>
      </c>
      <c r="D215" s="50">
        <v>-18.7358916478555</v>
      </c>
      <c r="E215" s="50">
        <v>-34.311512415349902</v>
      </c>
      <c r="F215" s="50">
        <v>-45.372460496614003</v>
      </c>
      <c r="G215" s="50">
        <v>-52.821670428893903</v>
      </c>
      <c r="H215" s="50">
        <v>-52.144469525959401</v>
      </c>
    </row>
    <row r="216" spans="1:8">
      <c r="A216" t="s">
        <v>479</v>
      </c>
      <c r="B216" t="s">
        <v>480</v>
      </c>
      <c r="C216" s="40">
        <v>44755</v>
      </c>
      <c r="D216" s="50">
        <v>7.1428571428571503</v>
      </c>
      <c r="E216" s="50">
        <v>-13.75</v>
      </c>
      <c r="F216" s="50">
        <v>-0.71428571428571497</v>
      </c>
      <c r="G216" s="50">
        <v>3.21428571428573</v>
      </c>
      <c r="H216" s="50">
        <v>-1.78571428571428</v>
      </c>
    </row>
    <row r="217" spans="1:8">
      <c r="A217" t="s">
        <v>246</v>
      </c>
      <c r="B217" t="s">
        <v>247</v>
      </c>
      <c r="C217" s="40">
        <v>45226</v>
      </c>
      <c r="D217" s="50">
        <v>3.3333333333333401</v>
      </c>
      <c r="E217" s="50">
        <v>9.3333333333333304</v>
      </c>
      <c r="F217" s="50">
        <v>32.8333333333333</v>
      </c>
      <c r="G217" s="50">
        <v>0</v>
      </c>
      <c r="H217" s="50">
        <v>-46.4166666666667</v>
      </c>
    </row>
    <row r="218" spans="1:8">
      <c r="A218" t="s">
        <v>903</v>
      </c>
      <c r="B218" t="s">
        <v>904</v>
      </c>
      <c r="C218" s="40">
        <v>44760</v>
      </c>
      <c r="D218" s="50">
        <v>-35.443037974683499</v>
      </c>
      <c r="E218" s="50">
        <v>73.417721518987307</v>
      </c>
      <c r="F218" s="50">
        <v>16.455696202531598</v>
      </c>
      <c r="G218" s="50">
        <v>15.1898734177215</v>
      </c>
      <c r="H218" s="50">
        <v>84.8101265822785</v>
      </c>
    </row>
    <row r="219" spans="1:8">
      <c r="A219" t="s">
        <v>413</v>
      </c>
      <c r="B219" t="s">
        <v>414</v>
      </c>
      <c r="C219" s="40">
        <v>45372</v>
      </c>
      <c r="D219" s="50">
        <v>-0.24449877750610699</v>
      </c>
      <c r="E219" s="50">
        <v>57.4572127139364</v>
      </c>
      <c r="F219" s="50">
        <v>72.860635696821504</v>
      </c>
      <c r="G219" s="50">
        <v>74.816625916870393</v>
      </c>
      <c r="H219" s="50">
        <v>64.7402599660996</v>
      </c>
    </row>
    <row r="220" spans="1:8">
      <c r="A220" t="s">
        <v>513</v>
      </c>
      <c r="B220" t="s">
        <v>514</v>
      </c>
      <c r="C220" s="40">
        <v>45015</v>
      </c>
      <c r="D220" s="50">
        <v>-21.722846441947599</v>
      </c>
      <c r="E220" s="50">
        <v>11.9850187265918</v>
      </c>
      <c r="F220" s="50">
        <v>-80.524344569288402</v>
      </c>
      <c r="G220" s="50">
        <v>-88.014981273408196</v>
      </c>
      <c r="H220" s="50">
        <v>-91.573033707865207</v>
      </c>
    </row>
    <row r="221" spans="1:8">
      <c r="A221" t="s">
        <v>822</v>
      </c>
      <c r="B221" t="s">
        <v>823</v>
      </c>
      <c r="C221" s="40">
        <v>44881</v>
      </c>
      <c r="D221" s="50">
        <v>-5.6338028169014001</v>
      </c>
      <c r="E221" s="50">
        <v>-26.760563380281699</v>
      </c>
      <c r="F221" s="50">
        <v>-45.774647887323901</v>
      </c>
      <c r="G221" s="50">
        <v>-52.816901408450697</v>
      </c>
      <c r="H221" s="50">
        <v>-56.535129142200098</v>
      </c>
    </row>
    <row r="222" spans="1:8">
      <c r="A222" t="s">
        <v>485</v>
      </c>
      <c r="B222" t="s">
        <v>486</v>
      </c>
      <c r="C222" s="40">
        <v>45280</v>
      </c>
      <c r="D222" s="50">
        <v>9.1954022988505706</v>
      </c>
      <c r="E222" s="50">
        <v>1.14942528735632</v>
      </c>
      <c r="F222" s="50">
        <v>-9.1954022988505706</v>
      </c>
      <c r="G222" s="50">
        <v>-10.3448275862069</v>
      </c>
      <c r="H222" s="50">
        <v>-31.3459801264679</v>
      </c>
    </row>
    <row r="223" spans="1:8">
      <c r="A223" t="s">
        <v>723</v>
      </c>
      <c r="B223" t="s">
        <v>724</v>
      </c>
      <c r="C223" s="40">
        <v>45359</v>
      </c>
      <c r="D223" s="50">
        <v>95.3333333333333</v>
      </c>
      <c r="E223" s="50">
        <v>134.666666666667</v>
      </c>
      <c r="F223" s="50">
        <v>-23.3333333333333</v>
      </c>
      <c r="G223" s="50">
        <v>15.3333333333333</v>
      </c>
      <c r="H223" s="50">
        <v>15.3333333333333</v>
      </c>
    </row>
    <row r="224" spans="1:8">
      <c r="A224" t="s">
        <v>984</v>
      </c>
      <c r="B224" t="s">
        <v>985</v>
      </c>
      <c r="C224" s="40">
        <v>45205</v>
      </c>
      <c r="D224" s="50">
        <v>-18.032786885245901</v>
      </c>
      <c r="E224" s="50">
        <v>11.4754098360656</v>
      </c>
      <c r="F224" s="50">
        <v>3.4836065573770498</v>
      </c>
      <c r="G224" s="50">
        <v>-3.6885245901639299</v>
      </c>
      <c r="H224" s="50">
        <v>-30.327868852459002</v>
      </c>
    </row>
    <row r="225" spans="1:8">
      <c r="A225" t="s">
        <v>709</v>
      </c>
      <c r="B225" t="s">
        <v>710</v>
      </c>
      <c r="C225" s="40">
        <v>45429</v>
      </c>
      <c r="D225" s="50">
        <v>-19.6261682242991</v>
      </c>
      <c r="E225" s="50">
        <v>-14.641744548286599</v>
      </c>
      <c r="F225" s="50">
        <v>-12.7725856697819</v>
      </c>
      <c r="G225" s="50">
        <v>-5.9190031152648004</v>
      </c>
      <c r="H225" s="50">
        <v>4.0826593734482</v>
      </c>
    </row>
    <row r="226" spans="1:8">
      <c r="A226" t="s">
        <v>962</v>
      </c>
      <c r="B226" t="s">
        <v>963</v>
      </c>
      <c r="C226" s="40">
        <v>46035</v>
      </c>
      <c r="D226" s="50">
        <v>-4.4776119402985097</v>
      </c>
      <c r="E226" s="50">
        <v>-1.4925373134328399</v>
      </c>
      <c r="F226" s="50">
        <v>-17.910447761194</v>
      </c>
    </row>
    <row r="227" spans="1:8">
      <c r="A227" t="s">
        <v>573</v>
      </c>
      <c r="B227" t="s">
        <v>574</v>
      </c>
      <c r="C227" s="40">
        <v>45239</v>
      </c>
      <c r="D227" s="50">
        <v>-1.82926829268291</v>
      </c>
      <c r="E227" s="50">
        <v>33.536585365853703</v>
      </c>
      <c r="F227" s="50">
        <v>80.487804878048806</v>
      </c>
      <c r="G227" s="50">
        <v>65.853658536585399</v>
      </c>
      <c r="H227" s="50">
        <v>300</v>
      </c>
    </row>
    <row r="228" spans="1:8">
      <c r="A228" t="s">
        <v>472</v>
      </c>
      <c r="B228" t="s">
        <v>473</v>
      </c>
      <c r="C228" s="40">
        <v>45461</v>
      </c>
      <c r="D228" s="50">
        <v>-11.6809116809117</v>
      </c>
      <c r="E228" s="50">
        <v>-35.612535612535602</v>
      </c>
      <c r="F228" s="50">
        <v>-40.170940170940199</v>
      </c>
      <c r="G228" s="50">
        <v>-4.8927065268417902</v>
      </c>
      <c r="H228" s="50">
        <v>-16.8965396836482</v>
      </c>
    </row>
    <row r="229" spans="1:8">
      <c r="A229" t="s">
        <v>872</v>
      </c>
      <c r="B229" t="s">
        <v>873</v>
      </c>
      <c r="C229" s="40">
        <v>44946</v>
      </c>
      <c r="D229" s="50">
        <v>-5.6603773584905701</v>
      </c>
      <c r="E229" s="50">
        <v>-25.471698113207498</v>
      </c>
      <c r="F229" s="50">
        <v>-34.905660377358501</v>
      </c>
      <c r="G229" s="50">
        <v>-34.905660377358501</v>
      </c>
      <c r="H229" s="50">
        <v>-43.396226415094297</v>
      </c>
    </row>
    <row r="230" spans="1:8">
      <c r="A230" t="s">
        <v>444</v>
      </c>
      <c r="B230" t="s">
        <v>445</v>
      </c>
      <c r="C230" s="40">
        <v>44755</v>
      </c>
      <c r="D230" s="50">
        <v>-1.7921146953405001</v>
      </c>
      <c r="E230" s="50">
        <v>-3.5842293906810001</v>
      </c>
      <c r="F230" s="50">
        <v>-22.2939068100358</v>
      </c>
      <c r="G230" s="50">
        <v>-11.1111111111111</v>
      </c>
      <c r="H230" s="50">
        <v>-3.2258064516128999</v>
      </c>
    </row>
    <row r="231" spans="1:8">
      <c r="A231" t="s">
        <v>417</v>
      </c>
      <c r="B231" t="s">
        <v>418</v>
      </c>
      <c r="C231" s="40">
        <v>44925</v>
      </c>
      <c r="D231" s="50">
        <v>-5.3375196232339102</v>
      </c>
      <c r="E231" s="50">
        <v>-20.879120879120901</v>
      </c>
      <c r="F231" s="50">
        <v>-46.938775510204103</v>
      </c>
      <c r="G231" s="50">
        <v>-52.747252747252801</v>
      </c>
      <c r="H231" s="50">
        <v>-72.684458398744098</v>
      </c>
    </row>
    <row r="232" spans="1:8">
      <c r="A232" t="s">
        <v>605</v>
      </c>
      <c r="B232" t="s">
        <v>606</v>
      </c>
      <c r="C232" s="40">
        <v>45833</v>
      </c>
      <c r="D232" s="50">
        <v>-7.5396825396825404</v>
      </c>
      <c r="E232" s="50">
        <v>-5.9523809523809499</v>
      </c>
      <c r="F232" s="50">
        <v>-22.619047619047599</v>
      </c>
      <c r="G232" s="50">
        <v>-25</v>
      </c>
      <c r="H232" s="50">
        <v>-31.349206349206298</v>
      </c>
    </row>
    <row r="233" spans="1:8">
      <c r="A233" t="s">
        <v>552</v>
      </c>
      <c r="B233" t="s">
        <v>553</v>
      </c>
      <c r="C233" s="40">
        <v>44680</v>
      </c>
      <c r="D233" s="50">
        <v>-4.2016806722689104</v>
      </c>
      <c r="E233" s="50">
        <v>-6.5546218487395098</v>
      </c>
      <c r="F233" s="50">
        <v>-17.647058823529399</v>
      </c>
      <c r="G233" s="50">
        <v>-20.8403361344538</v>
      </c>
      <c r="H233" s="50">
        <v>-34.621848739495803</v>
      </c>
    </row>
    <row r="234" spans="1:8">
      <c r="A234" t="s">
        <v>411</v>
      </c>
      <c r="B234" t="s">
        <v>412</v>
      </c>
      <c r="C234" s="40">
        <v>45741</v>
      </c>
      <c r="D234" s="50">
        <v>-3.9603960396039599</v>
      </c>
      <c r="E234" s="50">
        <v>3.3663366336633702</v>
      </c>
      <c r="F234" s="50">
        <v>21.5841584158416</v>
      </c>
      <c r="G234" s="50">
        <v>42.495049504950501</v>
      </c>
      <c r="H234" s="50">
        <v>73.838328973286096</v>
      </c>
    </row>
    <row r="235" spans="1:8">
      <c r="A235" t="s">
        <v>817</v>
      </c>
      <c r="B235" t="s">
        <v>818</v>
      </c>
      <c r="C235" s="40">
        <v>45667</v>
      </c>
      <c r="D235" s="50">
        <v>-1.4492753623188299</v>
      </c>
      <c r="E235" s="50">
        <v>-5.7971014492753499</v>
      </c>
      <c r="F235" s="50">
        <v>-2.8985507246376701</v>
      </c>
      <c r="G235" s="50">
        <v>-10.144927536231901</v>
      </c>
      <c r="H235" s="50">
        <v>-4.92672658084365</v>
      </c>
    </row>
    <row r="236" spans="1:8">
      <c r="A236" t="s">
        <v>521</v>
      </c>
      <c r="B236" t="s">
        <v>522</v>
      </c>
      <c r="C236" s="40">
        <v>45014</v>
      </c>
      <c r="D236" s="50">
        <v>17.0542635658915</v>
      </c>
      <c r="E236" s="50">
        <v>10.4651162790698</v>
      </c>
      <c r="F236" s="50">
        <v>19.767441860465102</v>
      </c>
      <c r="G236" s="50">
        <v>16.6666666666667</v>
      </c>
      <c r="H236" s="50">
        <v>29.457364341085299</v>
      </c>
    </row>
    <row r="237" spans="1:8">
      <c r="A237" t="s">
        <v>590</v>
      </c>
      <c r="B237" t="s">
        <v>591</v>
      </c>
      <c r="C237" s="40">
        <v>45194</v>
      </c>
      <c r="D237" s="50">
        <v>4.3137254901960898</v>
      </c>
      <c r="E237" s="50">
        <v>-7.4509803921568603</v>
      </c>
      <c r="F237" s="50">
        <v>7.8431372549019702</v>
      </c>
      <c r="G237" s="50">
        <v>2.9411764705882399</v>
      </c>
      <c r="H237" s="50">
        <v>428.43137254902001</v>
      </c>
    </row>
    <row r="238" spans="1:8">
      <c r="A238" t="s">
        <v>320</v>
      </c>
      <c r="B238" t="s">
        <v>321</v>
      </c>
      <c r="C238" s="40">
        <v>44894</v>
      </c>
      <c r="D238" s="50">
        <v>29.371980676328501</v>
      </c>
      <c r="E238" s="50">
        <v>69.891275374127005</v>
      </c>
      <c r="F238" s="50">
        <v>67.258058132392506</v>
      </c>
      <c r="G238" s="50">
        <v>49.411689091795999</v>
      </c>
      <c r="H238" s="50">
        <v>23.345792048131798</v>
      </c>
    </row>
    <row r="239" spans="1:8">
      <c r="A239" t="s">
        <v>352</v>
      </c>
      <c r="B239" t="s">
        <v>353</v>
      </c>
      <c r="C239" s="40">
        <v>45595</v>
      </c>
      <c r="D239" s="50">
        <v>-4.4210526315789496</v>
      </c>
      <c r="E239" s="50">
        <v>3.57894736842105</v>
      </c>
      <c r="F239" s="50">
        <v>-2.1052631578947301</v>
      </c>
      <c r="G239" s="50">
        <v>21.473684210526301</v>
      </c>
      <c r="H239" s="50">
        <v>46.526315789473699</v>
      </c>
    </row>
    <row r="240" spans="1:8">
      <c r="A240" t="s">
        <v>866</v>
      </c>
      <c r="B240" t="s">
        <v>867</v>
      </c>
      <c r="C240" s="40">
        <v>45512</v>
      </c>
      <c r="D240" s="50">
        <v>-1.46699266503668</v>
      </c>
      <c r="E240" s="50">
        <v>9.7799511002444994</v>
      </c>
      <c r="F240" s="50">
        <v>19.070904645476801</v>
      </c>
      <c r="G240" s="50">
        <v>41.075794621026901</v>
      </c>
      <c r="H240" s="50">
        <v>-6.7970660146699302</v>
      </c>
    </row>
    <row r="241" spans="1:8">
      <c r="A241" t="s">
        <v>415</v>
      </c>
      <c r="B241" t="s">
        <v>416</v>
      </c>
      <c r="C241" s="40">
        <v>44918</v>
      </c>
      <c r="D241" s="50">
        <v>-25.6</v>
      </c>
      <c r="E241" s="50">
        <v>-8</v>
      </c>
      <c r="F241" s="50">
        <v>29</v>
      </c>
      <c r="G241" s="50">
        <v>41.8</v>
      </c>
      <c r="H241" s="50">
        <v>-68.959999999999994</v>
      </c>
    </row>
    <row r="242" spans="1:8">
      <c r="A242" t="s">
        <v>434</v>
      </c>
      <c r="B242" t="s">
        <v>435</v>
      </c>
      <c r="C242" s="40">
        <v>44748</v>
      </c>
      <c r="D242" s="50">
        <v>-2.4822695035461</v>
      </c>
      <c r="E242" s="50">
        <v>-38.156028368794303</v>
      </c>
      <c r="F242" s="50">
        <v>-47.5177304964539</v>
      </c>
      <c r="G242" s="50">
        <v>-42.411347517730498</v>
      </c>
      <c r="H242" s="50">
        <v>-70.460992907801398</v>
      </c>
    </row>
    <row r="243" spans="1:8">
      <c r="A243" t="s">
        <v>719</v>
      </c>
      <c r="B243" t="s">
        <v>720</v>
      </c>
      <c r="C243" s="40">
        <v>44910</v>
      </c>
      <c r="D243" s="50">
        <v>31.9554848966614</v>
      </c>
      <c r="E243" s="50">
        <v>103.81558028616899</v>
      </c>
      <c r="F243" s="50">
        <v>113.036565977742</v>
      </c>
      <c r="G243" s="50">
        <v>119.236883942766</v>
      </c>
      <c r="H243" s="50">
        <v>-6.6772655007949098</v>
      </c>
    </row>
    <row r="244" spans="1:8">
      <c r="A244" t="s">
        <v>645</v>
      </c>
      <c r="B244" t="s">
        <v>646</v>
      </c>
      <c r="C244" s="40">
        <v>46001</v>
      </c>
      <c r="D244" s="50">
        <v>27.819548872180398</v>
      </c>
      <c r="E244" s="50">
        <v>-16.165413533834599</v>
      </c>
      <c r="F244" s="50">
        <v>-23.233082706766901</v>
      </c>
      <c r="G244" s="50">
        <v>-41.578947368421098</v>
      </c>
    </row>
    <row r="245" spans="1:8">
      <c r="A245" t="s">
        <v>523</v>
      </c>
      <c r="B245" t="s">
        <v>524</v>
      </c>
      <c r="C245" s="40">
        <v>44889</v>
      </c>
      <c r="D245" s="50">
        <v>15.2564102564103</v>
      </c>
      <c r="E245" s="50">
        <v>57.948717948717999</v>
      </c>
      <c r="F245" s="50">
        <v>68.461538461538495</v>
      </c>
      <c r="G245" s="50">
        <v>33.589743589743598</v>
      </c>
      <c r="H245" s="50">
        <v>33.589743589743598</v>
      </c>
    </row>
    <row r="246" spans="1:8">
      <c r="A246" t="s">
        <v>1000</v>
      </c>
      <c r="B246" t="s">
        <v>1001</v>
      </c>
      <c r="C246" s="40">
        <v>45106</v>
      </c>
      <c r="D246" s="50">
        <v>1.2</v>
      </c>
      <c r="E246" s="50">
        <v>16.6666666666667</v>
      </c>
      <c r="F246" s="50">
        <v>-13.466666666666701</v>
      </c>
      <c r="G246" s="50">
        <v>46</v>
      </c>
      <c r="H246" s="50">
        <v>-57.266666666666701</v>
      </c>
    </row>
    <row r="247" spans="1:8">
      <c r="A247" t="s">
        <v>777</v>
      </c>
      <c r="B247" t="s">
        <v>778</v>
      </c>
      <c r="C247" s="40">
        <v>45406</v>
      </c>
      <c r="D247" s="50">
        <v>4.6195652173913002</v>
      </c>
      <c r="E247" s="50">
        <v>-32.880434782608702</v>
      </c>
      <c r="F247" s="50">
        <v>-61.413043478260903</v>
      </c>
      <c r="G247" s="50">
        <v>-71.739130434782595</v>
      </c>
      <c r="H247" s="50">
        <v>-84.510869565217405</v>
      </c>
    </row>
    <row r="248" spans="1:8">
      <c r="A248" t="s">
        <v>951</v>
      </c>
      <c r="B248" t="s">
        <v>952</v>
      </c>
      <c r="C248" s="40">
        <v>45958</v>
      </c>
      <c r="D248" s="50">
        <v>51.197604790419199</v>
      </c>
      <c r="E248" s="50">
        <v>8.7574850299401295</v>
      </c>
      <c r="F248" s="50">
        <v>13.098802395209599</v>
      </c>
      <c r="G248" s="50">
        <v>4.4910179640718599</v>
      </c>
    </row>
    <row r="249" spans="1:8">
      <c r="A249" t="s">
        <v>428</v>
      </c>
      <c r="B249" t="s">
        <v>429</v>
      </c>
      <c r="C249" s="40">
        <v>44673</v>
      </c>
      <c r="D249" s="50">
        <v>10.2040816326531</v>
      </c>
      <c r="E249" s="50">
        <v>18.979591836734699</v>
      </c>
      <c r="F249" s="50">
        <v>-7.75510204081632</v>
      </c>
      <c r="G249" s="50">
        <v>-20.734693877550999</v>
      </c>
      <c r="H249" s="50">
        <v>6.9387755102040796</v>
      </c>
    </row>
    <row r="250" spans="1:8">
      <c r="A250" t="s">
        <v>745</v>
      </c>
      <c r="B250" t="s">
        <v>746</v>
      </c>
      <c r="C250" s="40">
        <v>45834</v>
      </c>
      <c r="D250" s="50">
        <v>-24.886363636363601</v>
      </c>
      <c r="E250" s="50">
        <v>-15</v>
      </c>
      <c r="F250" s="50">
        <v>-26.363636363636399</v>
      </c>
      <c r="G250" s="50">
        <v>-36.25</v>
      </c>
      <c r="H250" s="50">
        <v>-42.272727272727302</v>
      </c>
    </row>
    <row r="251" spans="1:8">
      <c r="A251" t="s">
        <v>542</v>
      </c>
      <c r="B251" t="s">
        <v>543</v>
      </c>
      <c r="C251" s="40">
        <v>45589</v>
      </c>
      <c r="D251" s="50">
        <v>16.341463414634099</v>
      </c>
      <c r="E251" s="50">
        <v>1.7073170731707401</v>
      </c>
      <c r="F251" s="50">
        <v>-1.9512195121951199</v>
      </c>
      <c r="G251" s="50">
        <v>123.414634146341</v>
      </c>
      <c r="H251" s="50">
        <v>70.243902439024396</v>
      </c>
    </row>
    <row r="252" spans="1:8">
      <c r="A252" t="s">
        <v>525</v>
      </c>
      <c r="B252" t="s">
        <v>526</v>
      </c>
      <c r="C252" s="40">
        <v>45762</v>
      </c>
      <c r="D252" s="50">
        <v>9.7560975609756095</v>
      </c>
      <c r="E252" s="50">
        <v>-4.8780487804878003</v>
      </c>
      <c r="F252" s="50">
        <v>46.439024390243901</v>
      </c>
      <c r="G252" s="50">
        <v>60.097560975609802</v>
      </c>
      <c r="H252" s="50">
        <v>70.048780487804905</v>
      </c>
    </row>
    <row r="253" spans="1:8">
      <c r="A253" t="s">
        <v>753</v>
      </c>
      <c r="B253" t="s">
        <v>754</v>
      </c>
      <c r="C253" s="40">
        <v>46105</v>
      </c>
      <c r="D253" s="50">
        <v>61.406025824964097</v>
      </c>
    </row>
    <row r="254" spans="1:8">
      <c r="A254" t="s">
        <v>309</v>
      </c>
      <c r="B254" t="s">
        <v>310</v>
      </c>
      <c r="C254" s="40">
        <v>45105</v>
      </c>
      <c r="D254" s="50">
        <v>16.113744075829398</v>
      </c>
      <c r="E254" s="50">
        <v>156.39810426540299</v>
      </c>
      <c r="F254" s="50">
        <v>152.369668246445</v>
      </c>
      <c r="G254" s="50">
        <v>-18.0094786729858</v>
      </c>
      <c r="H254" s="50">
        <v>-55.734597156398102</v>
      </c>
    </row>
    <row r="255" spans="1:8">
      <c r="A255" t="s">
        <v>994</v>
      </c>
      <c r="B255" t="s">
        <v>995</v>
      </c>
      <c r="C255" s="40">
        <v>45371</v>
      </c>
      <c r="D255" s="50">
        <v>-2.24489795918368</v>
      </c>
      <c r="E255" s="50">
        <v>7.3469387755102096</v>
      </c>
      <c r="F255" s="50">
        <v>17.1428571428571</v>
      </c>
      <c r="G255" s="50">
        <v>-8.1632653061224492</v>
      </c>
      <c r="H255" s="50">
        <v>-64.040816326530603</v>
      </c>
    </row>
    <row r="256" spans="1:8">
      <c r="A256" t="s">
        <v>536</v>
      </c>
      <c r="B256" t="s">
        <v>537</v>
      </c>
      <c r="C256" s="40">
        <v>44747</v>
      </c>
      <c r="D256" s="50">
        <v>-2.0725388601036401</v>
      </c>
      <c r="E256" s="50">
        <v>-32.331606217616603</v>
      </c>
      <c r="F256" s="50">
        <v>-59.533678756476696</v>
      </c>
      <c r="G256" s="50">
        <v>-61.191709844559597</v>
      </c>
      <c r="H256" s="50">
        <v>-19.1709844559586</v>
      </c>
    </row>
    <row r="257" spans="1:8">
      <c r="A257" t="s">
        <v>1012</v>
      </c>
      <c r="B257" t="s">
        <v>1013</v>
      </c>
      <c r="C257" s="40">
        <v>45054</v>
      </c>
      <c r="D257" s="50">
        <v>2.9545454545454501</v>
      </c>
      <c r="E257" s="50">
        <v>45.454545454545503</v>
      </c>
      <c r="F257" s="50">
        <v>46.818181818181799</v>
      </c>
      <c r="G257" s="50">
        <v>56.590909090909101</v>
      </c>
      <c r="H257" s="50">
        <v>22.5</v>
      </c>
    </row>
    <row r="258" spans="1:8">
      <c r="A258" t="s">
        <v>618</v>
      </c>
      <c r="B258" t="s">
        <v>619</v>
      </c>
      <c r="C258" s="40">
        <v>45296</v>
      </c>
      <c r="D258" s="50">
        <v>0</v>
      </c>
      <c r="E258" s="50">
        <v>-18.488372093023301</v>
      </c>
      <c r="F258" s="50">
        <v>-0.81395348837209602</v>
      </c>
      <c r="G258" s="50">
        <v>65.116279069767401</v>
      </c>
      <c r="H258" s="50">
        <v>-59.209302325581397</v>
      </c>
    </row>
    <row r="259" spans="1:8">
      <c r="A259" t="s">
        <v>457</v>
      </c>
      <c r="B259" t="s">
        <v>458</v>
      </c>
      <c r="C259" s="40">
        <v>44935</v>
      </c>
      <c r="D259" s="50">
        <v>-6.3063063063062996</v>
      </c>
      <c r="E259" s="50">
        <v>10.2702702702703</v>
      </c>
      <c r="F259" s="50">
        <v>3.6036036036036099</v>
      </c>
      <c r="G259" s="50">
        <v>10.090090090090101</v>
      </c>
      <c r="H259" s="50">
        <v>-55.405405405405403</v>
      </c>
    </row>
    <row r="260" spans="1:8">
      <c r="A260" t="s">
        <v>409</v>
      </c>
      <c r="B260" t="s">
        <v>410</v>
      </c>
      <c r="C260" s="40">
        <v>44818</v>
      </c>
      <c r="D260" s="50">
        <v>0.33333333333332599</v>
      </c>
      <c r="E260" s="50">
        <v>-0.16666666666666299</v>
      </c>
      <c r="F260" s="50">
        <v>4.8333333333333304</v>
      </c>
      <c r="G260" s="50">
        <v>-0.83333333333333004</v>
      </c>
      <c r="H260" s="50">
        <v>-77.5</v>
      </c>
    </row>
    <row r="261" spans="1:8">
      <c r="A261" t="s">
        <v>925</v>
      </c>
      <c r="B261" t="s">
        <v>926</v>
      </c>
      <c r="C261" s="40">
        <v>45456</v>
      </c>
      <c r="D261" s="50">
        <v>-8.6206896551724093</v>
      </c>
      <c r="E261" s="50">
        <v>0.17241379310344501</v>
      </c>
      <c r="F261" s="50">
        <v>120</v>
      </c>
      <c r="G261" s="50">
        <v>65</v>
      </c>
      <c r="H261" s="50">
        <v>15.862068965517199</v>
      </c>
    </row>
    <row r="262" spans="1:8">
      <c r="A262" t="s">
        <v>579</v>
      </c>
      <c r="B262" t="s">
        <v>580</v>
      </c>
      <c r="C262" s="40">
        <v>45071</v>
      </c>
      <c r="D262" s="50">
        <v>11.336032388664</v>
      </c>
      <c r="E262" s="50">
        <v>2.2267206477732699</v>
      </c>
      <c r="F262" s="50">
        <v>-29.352226720647799</v>
      </c>
      <c r="G262" s="50">
        <v>-20.951417004048601</v>
      </c>
      <c r="H262" s="50">
        <v>-67.914979757085007</v>
      </c>
    </row>
    <row r="263" spans="1:8">
      <c r="A263" t="s">
        <v>931</v>
      </c>
      <c r="B263" t="s">
        <v>932</v>
      </c>
      <c r="C263" s="40">
        <v>45800</v>
      </c>
      <c r="D263" s="50">
        <v>-2.6666666666666701</v>
      </c>
      <c r="E263" s="50">
        <v>3.3333333333333299</v>
      </c>
      <c r="F263" s="50">
        <v>53.266666666666701</v>
      </c>
      <c r="G263" s="50">
        <v>91.5</v>
      </c>
      <c r="H263" s="50">
        <v>-20.933333333333302</v>
      </c>
    </row>
    <row r="264" spans="1:8">
      <c r="A264" t="s">
        <v>668</v>
      </c>
      <c r="B264" t="s">
        <v>669</v>
      </c>
      <c r="C264" s="40">
        <v>45029</v>
      </c>
      <c r="D264" s="50">
        <v>-45.977011494252899</v>
      </c>
      <c r="E264" s="50">
        <v>-67.509578544061299</v>
      </c>
      <c r="F264" s="50">
        <v>-67.049808429118798</v>
      </c>
      <c r="G264" s="50">
        <v>-69.348659003831401</v>
      </c>
      <c r="H264" s="50">
        <v>-81.340996168582393</v>
      </c>
    </row>
    <row r="265" spans="1:8">
      <c r="A265" t="s">
        <v>492</v>
      </c>
      <c r="B265" t="s">
        <v>493</v>
      </c>
      <c r="C265" s="40">
        <v>45483</v>
      </c>
      <c r="D265" s="50">
        <v>-17.994100294985198</v>
      </c>
      <c r="E265" s="50">
        <v>-21.091445427728601</v>
      </c>
      <c r="F265" s="50">
        <v>-25.663716814159301</v>
      </c>
      <c r="G265" s="50">
        <v>-53.4513274336283</v>
      </c>
      <c r="H265" s="50">
        <v>-68.849557522123902</v>
      </c>
    </row>
    <row r="266" spans="1:8">
      <c r="A266" t="s">
        <v>964</v>
      </c>
      <c r="B266" t="s">
        <v>965</v>
      </c>
      <c r="C266" s="40">
        <v>44750</v>
      </c>
      <c r="D266" s="50">
        <v>-3.2196969696969702</v>
      </c>
      <c r="E266" s="50">
        <v>-24.053030303030301</v>
      </c>
      <c r="F266" s="50">
        <v>-49.810606060606098</v>
      </c>
      <c r="G266" s="50">
        <v>-60.227272727272698</v>
      </c>
      <c r="H266" s="50">
        <v>-79.356060606060595</v>
      </c>
    </row>
    <row r="267" spans="1:8">
      <c r="A267" t="s">
        <v>329</v>
      </c>
      <c r="B267" t="s">
        <v>330</v>
      </c>
      <c r="C267" s="40">
        <v>45195</v>
      </c>
      <c r="D267" s="50">
        <v>-2.71186440677966</v>
      </c>
      <c r="E267" s="50">
        <v>12.7118644067797</v>
      </c>
      <c r="F267" s="50">
        <v>3.22033898305085</v>
      </c>
      <c r="G267" s="50">
        <v>-34.644067796610202</v>
      </c>
      <c r="H267" s="50">
        <v>-23.8983050847458</v>
      </c>
    </row>
    <row r="268" spans="1:8">
      <c r="A268" t="s">
        <v>968</v>
      </c>
      <c r="B268" t="s">
        <v>969</v>
      </c>
      <c r="C268" s="40">
        <v>45919</v>
      </c>
      <c r="D268" s="50">
        <v>-9.26365795724465</v>
      </c>
      <c r="E268" s="50">
        <v>-38.242280285035598</v>
      </c>
      <c r="F268" s="50">
        <v>-35.011876484560602</v>
      </c>
      <c r="G268" s="50">
        <v>-29.2636579572447</v>
      </c>
    </row>
    <row r="269" spans="1:8">
      <c r="A269" t="s">
        <v>1026</v>
      </c>
      <c r="B269" t="s">
        <v>1027</v>
      </c>
      <c r="C269" s="40">
        <v>45945</v>
      </c>
      <c r="D269" s="50">
        <v>128.13688212927801</v>
      </c>
      <c r="E269" s="50">
        <v>142.015209125475</v>
      </c>
      <c r="F269" s="50">
        <v>152.85171102661599</v>
      </c>
      <c r="G269" s="50">
        <v>150.950570342205</v>
      </c>
    </row>
    <row r="270" spans="1:8">
      <c r="A270" t="s">
        <v>301</v>
      </c>
      <c r="B270" t="s">
        <v>302</v>
      </c>
      <c r="C270" s="40">
        <v>45785</v>
      </c>
      <c r="D270" s="50">
        <v>-13.721804511278201</v>
      </c>
      <c r="E270" s="50">
        <v>-17.481203007518801</v>
      </c>
      <c r="F270" s="50">
        <v>-16.541353383458699</v>
      </c>
      <c r="G270" s="50">
        <v>-18.796992481202999</v>
      </c>
      <c r="H270" s="50">
        <v>36.9924812030075</v>
      </c>
    </row>
    <row r="271" spans="1:8">
      <c r="A271" t="s">
        <v>824</v>
      </c>
      <c r="B271" t="s">
        <v>825</v>
      </c>
      <c r="C271" s="40">
        <v>45967</v>
      </c>
      <c r="D271" s="50">
        <v>-15.163934426229501</v>
      </c>
      <c r="E271" s="50">
        <v>-7.6229508196721296</v>
      </c>
      <c r="F271" s="50">
        <v>-16.393442622950801</v>
      </c>
      <c r="G271" s="50">
        <v>-33.893442622950801</v>
      </c>
    </row>
    <row r="272" spans="1:8">
      <c r="A272" t="s">
        <v>335</v>
      </c>
      <c r="B272" t="s">
        <v>336</v>
      </c>
      <c r="C272" s="40">
        <v>44755</v>
      </c>
      <c r="D272" s="50">
        <v>7.0254110612855003</v>
      </c>
      <c r="E272" s="50">
        <v>-15.545590433482801</v>
      </c>
      <c r="F272" s="50">
        <v>-12.4869284478486</v>
      </c>
      <c r="G272" s="50">
        <v>44.012738799856201</v>
      </c>
      <c r="H272" s="50">
        <v>170.21579988032701</v>
      </c>
    </row>
    <row r="273" spans="1:8">
      <c r="A273" t="s">
        <v>970</v>
      </c>
      <c r="B273" t="s">
        <v>971</v>
      </c>
      <c r="C273" s="40">
        <v>45665</v>
      </c>
      <c r="D273" s="50">
        <v>11.1111111111111</v>
      </c>
      <c r="E273" s="50">
        <v>94.594594594594597</v>
      </c>
      <c r="F273" s="50">
        <v>73.573573573573597</v>
      </c>
      <c r="G273" s="50">
        <v>105.40540540540501</v>
      </c>
      <c r="H273" s="50">
        <v>157.65765765765801</v>
      </c>
    </row>
    <row r="274" spans="1:8">
      <c r="A274" t="s">
        <v>1034</v>
      </c>
      <c r="B274" t="s">
        <v>1035</v>
      </c>
      <c r="C274" s="40">
        <v>45524</v>
      </c>
      <c r="D274" s="50">
        <v>67.883211678832097</v>
      </c>
      <c r="E274" s="50">
        <v>132.116788321168</v>
      </c>
      <c r="F274" s="50">
        <v>80.656934306569397</v>
      </c>
      <c r="G274" s="50">
        <v>259.12408759124099</v>
      </c>
      <c r="H274" s="50">
        <v>60.218978102189801</v>
      </c>
    </row>
    <row r="275" spans="1:8">
      <c r="A275" t="s">
        <v>947</v>
      </c>
      <c r="B275" t="s">
        <v>948</v>
      </c>
      <c r="C275" s="40">
        <v>45089</v>
      </c>
      <c r="D275" s="50">
        <v>38.041002277904298</v>
      </c>
      <c r="E275" s="50">
        <v>-7.0615034168564996</v>
      </c>
      <c r="F275" s="50">
        <v>-5.2391799544419104</v>
      </c>
      <c r="G275" s="50">
        <v>-7.97266514806378</v>
      </c>
      <c r="H275" s="50">
        <v>-67.471526195899798</v>
      </c>
    </row>
    <row r="276" spans="1:8">
      <c r="A276" t="s">
        <v>1010</v>
      </c>
      <c r="B276" t="s">
        <v>1011</v>
      </c>
      <c r="C276" s="40">
        <v>45841</v>
      </c>
      <c r="D276" s="50">
        <v>-6.4516129032258096</v>
      </c>
      <c r="E276" s="50">
        <v>-16.935483870967701</v>
      </c>
      <c r="F276" s="50">
        <v>-23.709677419354801</v>
      </c>
      <c r="G276" s="50">
        <v>-25.806451612903199</v>
      </c>
      <c r="H276" s="50">
        <v>-71.774193548387103</v>
      </c>
    </row>
    <row r="277" spans="1:8">
      <c r="A277" t="s">
        <v>992</v>
      </c>
      <c r="B277" t="s">
        <v>993</v>
      </c>
      <c r="C277" s="40">
        <v>46140</v>
      </c>
      <c r="D277" s="50">
        <v>0.28216704288939098</v>
      </c>
    </row>
    <row r="278" spans="1:8">
      <c r="A278" t="s">
        <v>953</v>
      </c>
      <c r="B278" t="s">
        <v>954</v>
      </c>
      <c r="C278" s="40">
        <v>46140</v>
      </c>
      <c r="D278" s="50">
        <v>-2.58992805755397</v>
      </c>
    </row>
    <row r="279" spans="1:8">
      <c r="A279" t="s">
        <v>554</v>
      </c>
      <c r="B279" t="s">
        <v>555</v>
      </c>
      <c r="C279" s="40">
        <v>44642</v>
      </c>
      <c r="D279" s="50">
        <v>4.3478260869565197</v>
      </c>
      <c r="E279" s="50">
        <v>-5.7971014492753703</v>
      </c>
      <c r="F279" s="50">
        <v>-13.768115942029</v>
      </c>
      <c r="G279" s="50">
        <v>-33.695652173912997</v>
      </c>
      <c r="H279" s="50">
        <v>-36.594202898550698</v>
      </c>
    </row>
    <row r="280" spans="1:8">
      <c r="A280" t="s">
        <v>666</v>
      </c>
      <c r="B280" t="s">
        <v>667</v>
      </c>
      <c r="C280" s="40">
        <v>44736</v>
      </c>
      <c r="D280" s="50">
        <v>-33.014354066985597</v>
      </c>
      <c r="E280" s="50">
        <v>-69.736842105263193</v>
      </c>
      <c r="F280" s="50">
        <v>-64.114832535885199</v>
      </c>
      <c r="G280" s="50">
        <v>-80.622009569377994</v>
      </c>
      <c r="H280" s="50">
        <v>-85.7655502392345</v>
      </c>
    </row>
    <row r="281" spans="1:8">
      <c r="A281" t="s">
        <v>531</v>
      </c>
      <c r="B281" t="s">
        <v>532</v>
      </c>
      <c r="C281" s="40">
        <v>45807</v>
      </c>
      <c r="D281" s="50">
        <v>-18.154311649016599</v>
      </c>
      <c r="E281" s="50">
        <v>-24.508320726172499</v>
      </c>
      <c r="F281" s="50">
        <v>-25.264750378214799</v>
      </c>
      <c r="G281" s="50">
        <v>-37.065052950075597</v>
      </c>
      <c r="H281" s="50">
        <v>-47.806354009077197</v>
      </c>
    </row>
    <row r="282" spans="1:8">
      <c r="A282" t="s">
        <v>426</v>
      </c>
      <c r="B282" t="s">
        <v>427</v>
      </c>
      <c r="C282" s="40">
        <v>45197</v>
      </c>
      <c r="D282" s="50">
        <v>-7.6923076923076898</v>
      </c>
      <c r="E282" s="50">
        <v>-14.4444444444444</v>
      </c>
      <c r="F282" s="50">
        <v>-16.7521367521367</v>
      </c>
      <c r="G282" s="50">
        <v>-22.564102564102601</v>
      </c>
      <c r="H282" s="50">
        <v>-14.615384615384601</v>
      </c>
    </row>
    <row r="283" spans="1:8">
      <c r="A283" t="s">
        <v>996</v>
      </c>
      <c r="B283" t="s">
        <v>997</v>
      </c>
      <c r="C283" s="40">
        <v>46031</v>
      </c>
      <c r="D283" s="50">
        <v>26.956521739130402</v>
      </c>
      <c r="E283" s="50">
        <v>118.405797101449</v>
      </c>
      <c r="F283" s="50">
        <v>178.26086956521701</v>
      </c>
    </row>
    <row r="284" spans="1:8">
      <c r="A284" t="s">
        <v>1020</v>
      </c>
      <c r="B284" t="s">
        <v>1021</v>
      </c>
      <c r="C284" s="40">
        <v>45436</v>
      </c>
      <c r="D284" s="50">
        <v>-51.1019283746556</v>
      </c>
      <c r="E284" s="50">
        <v>-62.121212121212103</v>
      </c>
      <c r="F284" s="50">
        <v>-54.201101928374598</v>
      </c>
      <c r="G284" s="50">
        <v>-63.911845730027601</v>
      </c>
      <c r="H284" s="50">
        <v>-72.245179063360894</v>
      </c>
    </row>
    <row r="285" spans="1:8">
      <c r="A285" t="s">
        <v>1028</v>
      </c>
      <c r="B285" t="s">
        <v>1029</v>
      </c>
      <c r="C285" s="40">
        <v>45194</v>
      </c>
      <c r="D285" s="50">
        <v>-6.25</v>
      </c>
      <c r="E285" s="50">
        <v>-40.5625</v>
      </c>
      <c r="F285" s="50">
        <v>-45.1875</v>
      </c>
      <c r="G285" s="50">
        <v>-47.9375</v>
      </c>
      <c r="H285" s="50">
        <v>-47.6875</v>
      </c>
    </row>
    <row r="286" spans="1:8">
      <c r="A286" t="s">
        <v>1030</v>
      </c>
      <c r="B286" t="s">
        <v>1031</v>
      </c>
      <c r="C286" s="40">
        <v>44651</v>
      </c>
      <c r="D286" s="50">
        <v>8.1188118811881207</v>
      </c>
      <c r="E286" s="50">
        <v>-2.9702970297029698</v>
      </c>
      <c r="F286" s="50">
        <v>-9.9009900990098991</v>
      </c>
      <c r="G286" s="50">
        <v>-24.8316831683168</v>
      </c>
      <c r="H286" s="50">
        <v>-8.51485148514851</v>
      </c>
    </row>
    <row r="287" spans="1:8">
      <c r="A287" t="s">
        <v>761</v>
      </c>
      <c r="B287" t="s">
        <v>762</v>
      </c>
      <c r="C287" s="40">
        <v>45197</v>
      </c>
      <c r="D287" s="50">
        <v>-14.705882352941201</v>
      </c>
      <c r="E287" s="50">
        <v>-36.397058823529399</v>
      </c>
      <c r="F287" s="50">
        <v>-50.367647058823501</v>
      </c>
      <c r="G287" s="50">
        <v>-69.485294117647101</v>
      </c>
      <c r="H287" s="50">
        <v>-61.397058823529399</v>
      </c>
    </row>
    <row r="288" spans="1:8">
      <c r="A288" t="s">
        <v>680</v>
      </c>
      <c r="B288" t="s">
        <v>681</v>
      </c>
      <c r="C288" s="40">
        <v>44805</v>
      </c>
      <c r="D288" s="50">
        <v>-2.3076923076923102</v>
      </c>
      <c r="E288" s="50">
        <v>2.8846153846153801</v>
      </c>
      <c r="F288" s="50">
        <v>0</v>
      </c>
      <c r="G288" s="50">
        <v>-1.15384615384616</v>
      </c>
      <c r="H288" s="50">
        <v>-10.384615384615399</v>
      </c>
    </row>
    <row r="289" spans="1:8">
      <c r="A289" t="s">
        <v>629</v>
      </c>
      <c r="B289" t="s">
        <v>630</v>
      </c>
      <c r="C289" s="40">
        <v>45379</v>
      </c>
      <c r="D289" s="50">
        <v>3.0720338983050901</v>
      </c>
      <c r="E289" s="50">
        <v>-1.4830508474576101</v>
      </c>
      <c r="F289" s="50">
        <v>-0.21186440677965701</v>
      </c>
      <c r="G289" s="50">
        <v>0.95338983050847304</v>
      </c>
      <c r="H289" s="50">
        <v>0.211864406779675</v>
      </c>
    </row>
    <row r="290" spans="1:8">
      <c r="A290" t="s">
        <v>568</v>
      </c>
      <c r="B290" t="s">
        <v>569</v>
      </c>
      <c r="C290" s="40">
        <v>45581</v>
      </c>
      <c r="D290" s="50">
        <v>0</v>
      </c>
      <c r="E290" s="50">
        <v>-19.327731092436998</v>
      </c>
      <c r="F290" s="50">
        <v>-45.378151260504197</v>
      </c>
      <c r="G290" s="50">
        <v>-15.126050420168101</v>
      </c>
      <c r="H290" s="50">
        <v>-12.605042016806699</v>
      </c>
    </row>
    <row r="291" spans="1:8">
      <c r="A291" t="s">
        <v>1018</v>
      </c>
      <c r="B291" t="s">
        <v>1019</v>
      </c>
      <c r="C291" s="40">
        <v>45174</v>
      </c>
      <c r="D291" s="50">
        <v>28.073770491803302</v>
      </c>
      <c r="E291" s="50">
        <v>41.393442622950801</v>
      </c>
      <c r="F291" s="50">
        <v>54.456967213114801</v>
      </c>
      <c r="G291" s="50">
        <v>40.112704918032797</v>
      </c>
      <c r="H291" s="50">
        <v>-24.7950819672131</v>
      </c>
    </row>
    <row r="292" spans="1:8">
      <c r="A292" t="s">
        <v>697</v>
      </c>
      <c r="B292" t="s">
        <v>698</v>
      </c>
      <c r="C292" s="40">
        <v>45940</v>
      </c>
      <c r="D292" s="50">
        <v>-7.16112531969309</v>
      </c>
      <c r="E292" s="50">
        <v>-6.3427109974424596</v>
      </c>
      <c r="F292" s="50">
        <v>12.9411764705882</v>
      </c>
      <c r="G292" s="50">
        <v>28.695652173913</v>
      </c>
    </row>
    <row r="293" spans="1:8">
      <c r="A293" t="s">
        <v>915</v>
      </c>
      <c r="B293" t="s">
        <v>916</v>
      </c>
      <c r="C293" s="40">
        <v>46008</v>
      </c>
      <c r="D293" s="50">
        <v>-14.0929535232384</v>
      </c>
      <c r="E293" s="50">
        <v>0.74962518740629402</v>
      </c>
      <c r="F293" s="50">
        <v>-27.436281859070501</v>
      </c>
      <c r="G293" s="50">
        <v>-37.481259370314802</v>
      </c>
    </row>
    <row r="294" spans="1:8">
      <c r="A294" t="s">
        <v>311</v>
      </c>
      <c r="B294" t="s">
        <v>312</v>
      </c>
      <c r="C294" s="40">
        <v>44833</v>
      </c>
      <c r="D294" s="50">
        <v>-22.257053291536</v>
      </c>
      <c r="E294" s="50">
        <v>-36.050156739811897</v>
      </c>
      <c r="F294" s="50">
        <v>-13.636363636363599</v>
      </c>
      <c r="G294" s="50">
        <v>-19.7492163009404</v>
      </c>
      <c r="H294" s="50">
        <v>30.721003134796302</v>
      </c>
    </row>
    <row r="295" spans="1:8">
      <c r="A295" t="s">
        <v>958</v>
      </c>
      <c r="B295" t="s">
        <v>959</v>
      </c>
      <c r="C295" s="40">
        <v>46030</v>
      </c>
      <c r="D295" s="50">
        <v>83.269961977186298</v>
      </c>
      <c r="E295" s="50">
        <v>377.566539923954</v>
      </c>
      <c r="F295" s="50">
        <v>611.78707224334596</v>
      </c>
    </row>
    <row r="296" spans="1:8">
      <c r="A296" t="s">
        <v>759</v>
      </c>
      <c r="B296" t="s">
        <v>760</v>
      </c>
      <c r="C296" s="40">
        <v>45300</v>
      </c>
      <c r="D296" s="50">
        <v>25.992779783393502</v>
      </c>
      <c r="E296" s="50">
        <v>50.541516245487401</v>
      </c>
      <c r="F296" s="50">
        <v>108.032490974729</v>
      </c>
      <c r="G296" s="50">
        <v>225.361010830325</v>
      </c>
      <c r="H296" s="50">
        <v>37.184115523465699</v>
      </c>
    </row>
    <row r="297" spans="1:8">
      <c r="A297" t="s">
        <v>344</v>
      </c>
      <c r="B297" t="s">
        <v>345</v>
      </c>
      <c r="C297" s="40">
        <v>45833</v>
      </c>
      <c r="D297" s="50">
        <v>-2.36111111111112</v>
      </c>
      <c r="E297" s="50">
        <v>61.9444444444444</v>
      </c>
      <c r="F297" s="50">
        <v>51.9444444444444</v>
      </c>
      <c r="G297" s="50">
        <v>33.0555555555556</v>
      </c>
      <c r="H297" s="50">
        <v>-14.7222222222222</v>
      </c>
    </row>
    <row r="298" spans="1:8">
      <c r="A298" t="s">
        <v>419</v>
      </c>
      <c r="B298" t="s">
        <v>420</v>
      </c>
      <c r="C298" s="40">
        <v>46090</v>
      </c>
      <c r="D298" s="50">
        <v>-0.46511627906977099</v>
      </c>
      <c r="E298" s="50">
        <v>-4.18604651162791</v>
      </c>
    </row>
    <row r="299" spans="1:8">
      <c r="A299" t="s">
        <v>894</v>
      </c>
      <c r="B299" t="s">
        <v>895</v>
      </c>
      <c r="C299" s="40">
        <v>44615</v>
      </c>
      <c r="D299" s="50">
        <v>-0.14005602240896101</v>
      </c>
      <c r="E299" s="50">
        <v>-8.9635854341736696</v>
      </c>
      <c r="F299" s="50">
        <v>-7.98319327731092</v>
      </c>
      <c r="G299" s="50">
        <v>-1.9607843137254899</v>
      </c>
      <c r="H299" s="50">
        <v>37.955182072829103</v>
      </c>
    </row>
    <row r="300" spans="1:8">
      <c r="A300" t="s">
        <v>596</v>
      </c>
      <c r="B300" t="s">
        <v>597</v>
      </c>
      <c r="C300" s="40">
        <v>45280</v>
      </c>
      <c r="D300" s="50">
        <v>30.367504835589902</v>
      </c>
      <c r="E300" s="50">
        <v>88.588007736943894</v>
      </c>
      <c r="F300" s="50">
        <v>183.752417794971</v>
      </c>
      <c r="G300" s="50">
        <v>132.10831721470001</v>
      </c>
      <c r="H300" s="50">
        <v>0.38684719535782502</v>
      </c>
    </row>
    <row r="301" spans="1:8">
      <c r="A301" t="s">
        <v>1014</v>
      </c>
      <c r="B301" t="s">
        <v>1015</v>
      </c>
      <c r="C301" s="40">
        <v>45831</v>
      </c>
      <c r="D301" s="50">
        <v>28.297872340425499</v>
      </c>
      <c r="E301" s="50">
        <v>84.851063829787194</v>
      </c>
      <c r="F301" s="50">
        <v>717.02127659574501</v>
      </c>
      <c r="G301" s="50">
        <v>682.127659574468</v>
      </c>
      <c r="H301" s="50">
        <v>226.17021276595699</v>
      </c>
    </row>
    <row r="302" spans="1:8">
      <c r="A302" t="s">
        <v>890</v>
      </c>
      <c r="B302" t="s">
        <v>891</v>
      </c>
      <c r="C302" s="40">
        <v>46063</v>
      </c>
      <c r="D302" s="50">
        <v>20.212765957446798</v>
      </c>
      <c r="E302" s="50">
        <v>-28.581560283687899</v>
      </c>
    </row>
    <row r="303" spans="1:8">
      <c r="A303" t="s">
        <v>980</v>
      </c>
      <c r="B303" t="s">
        <v>981</v>
      </c>
      <c r="C303" s="40">
        <v>45880</v>
      </c>
      <c r="D303" s="50">
        <v>60.757211538461497</v>
      </c>
      <c r="E303" s="50">
        <v>47.295673076923102</v>
      </c>
      <c r="F303" s="50">
        <v>20.192307692307701</v>
      </c>
      <c r="G303" s="50">
        <v>21.995192307692299</v>
      </c>
    </row>
    <row r="304" spans="1:8">
      <c r="A304" t="s">
        <v>949</v>
      </c>
      <c r="B304" t="s">
        <v>950</v>
      </c>
      <c r="C304" s="40">
        <v>46010</v>
      </c>
      <c r="D304" s="50">
        <v>-1.7621145374449301</v>
      </c>
      <c r="E304" s="50">
        <v>-3.0837004405286299</v>
      </c>
      <c r="F304" s="50">
        <v>-1.4977973568281999</v>
      </c>
    </row>
    <row r="305" spans="1:8">
      <c r="A305" t="s">
        <v>986</v>
      </c>
      <c r="B305" t="s">
        <v>987</v>
      </c>
      <c r="C305" s="40">
        <v>44844</v>
      </c>
      <c r="D305" s="50">
        <v>-1.06194690265487</v>
      </c>
      <c r="E305" s="50">
        <v>12.212389380531</v>
      </c>
      <c r="F305" s="50">
        <v>41.592920353982301</v>
      </c>
      <c r="G305" s="50">
        <v>22.8318584070797</v>
      </c>
      <c r="H305" s="50">
        <v>16.814159292035399</v>
      </c>
    </row>
    <row r="306" spans="1:8">
      <c r="A306" t="s">
        <v>546</v>
      </c>
      <c r="B306" t="s">
        <v>547</v>
      </c>
      <c r="C306" s="40">
        <v>45118</v>
      </c>
      <c r="D306" s="50">
        <v>5.6</v>
      </c>
      <c r="E306" s="50">
        <v>26.4</v>
      </c>
      <c r="F306" s="50">
        <v>21.6</v>
      </c>
      <c r="G306" s="50">
        <v>46.96</v>
      </c>
      <c r="H306" s="50">
        <v>121.28</v>
      </c>
    </row>
    <row r="307" spans="1:8">
      <c r="A307" t="s">
        <v>739</v>
      </c>
      <c r="B307" t="s">
        <v>740</v>
      </c>
      <c r="C307" s="40">
        <v>45573</v>
      </c>
      <c r="D307" s="50">
        <v>-36.195652173912997</v>
      </c>
      <c r="E307" s="50">
        <v>-42.3913043478261</v>
      </c>
      <c r="F307" s="50">
        <v>-54.7826086956522</v>
      </c>
      <c r="G307" s="50">
        <v>-49.130434782608702</v>
      </c>
      <c r="H307" s="50">
        <v>-63.260869565217398</v>
      </c>
    </row>
    <row r="308" spans="1:8">
      <c r="A308" t="s">
        <v>1016</v>
      </c>
      <c r="B308" t="s">
        <v>1017</v>
      </c>
      <c r="C308" s="40">
        <v>46013</v>
      </c>
      <c r="D308" s="50">
        <v>-40.1111111111111</v>
      </c>
      <c r="E308" s="50">
        <v>-65.703703703703695</v>
      </c>
      <c r="F308" s="50">
        <v>-73.518518518518505</v>
      </c>
    </row>
    <row r="309" spans="1:8">
      <c r="A309" t="s">
        <v>1002</v>
      </c>
      <c r="B309" t="s">
        <v>1003</v>
      </c>
      <c r="C309" s="40">
        <v>45804</v>
      </c>
      <c r="D309" s="50">
        <v>-16.089965397923901</v>
      </c>
      <c r="E309" s="50">
        <v>-11.591695501730101</v>
      </c>
      <c r="F309" s="50">
        <v>166.089965397924</v>
      </c>
      <c r="G309" s="50">
        <v>355.88235294117601</v>
      </c>
      <c r="H309" s="50">
        <v>477.42214532871998</v>
      </c>
    </row>
    <row r="310" spans="1:8">
      <c r="A310" t="s">
        <v>588</v>
      </c>
      <c r="B310" t="s">
        <v>589</v>
      </c>
      <c r="C310" s="40">
        <v>45656</v>
      </c>
      <c r="D310" s="50">
        <v>44.840525328330202</v>
      </c>
      <c r="E310" s="50">
        <v>84.990619136960603</v>
      </c>
      <c r="F310" s="50">
        <v>162.66416510318899</v>
      </c>
      <c r="G310" s="50">
        <v>172.04502814258899</v>
      </c>
      <c r="H310" s="50">
        <v>-16.7917448405253</v>
      </c>
    </row>
    <row r="311" spans="1:8">
      <c r="A311" t="s">
        <v>683</v>
      </c>
      <c r="B311" t="s">
        <v>684</v>
      </c>
      <c r="C311" s="40">
        <v>45482</v>
      </c>
      <c r="D311" s="50">
        <v>-11.9537275064267</v>
      </c>
      <c r="E311" s="50">
        <v>-1.54241645244216</v>
      </c>
      <c r="F311" s="50">
        <v>-8.7403598971722296</v>
      </c>
      <c r="G311" s="50">
        <v>-5.2699228791773702</v>
      </c>
      <c r="H311" s="50">
        <v>-8.9974293059126005</v>
      </c>
    </row>
    <row r="312" spans="1:8">
      <c r="A312" t="s">
        <v>614</v>
      </c>
      <c r="B312" t="s">
        <v>615</v>
      </c>
      <c r="C312" s="40">
        <v>45726</v>
      </c>
      <c r="D312" s="50">
        <v>-30.039920159680602</v>
      </c>
      <c r="E312" s="50">
        <v>-57.085828343313402</v>
      </c>
      <c r="F312" s="50">
        <v>-65.069860279441102</v>
      </c>
      <c r="G312" s="50">
        <v>-59.0818363273453</v>
      </c>
      <c r="H312" s="50">
        <v>-80.139720558882203</v>
      </c>
    </row>
    <row r="313" spans="1:8">
      <c r="A313" t="s">
        <v>1004</v>
      </c>
      <c r="B313" t="s">
        <v>1005</v>
      </c>
      <c r="C313" s="40">
        <v>45863</v>
      </c>
      <c r="D313" s="50">
        <v>4.3219076005961297</v>
      </c>
      <c r="E313" s="50">
        <v>-1.93740685543964</v>
      </c>
      <c r="F313" s="50">
        <v>-2.6080476900148999</v>
      </c>
      <c r="G313" s="50">
        <v>-21.013412816691499</v>
      </c>
      <c r="H313" s="50">
        <v>27.4962742175857</v>
      </c>
    </row>
    <row r="314" spans="1:8">
      <c r="A314" t="s">
        <v>637</v>
      </c>
      <c r="B314" t="s">
        <v>638</v>
      </c>
      <c r="C314" s="40">
        <v>45632</v>
      </c>
      <c r="D314" s="50">
        <v>10.944935418082901</v>
      </c>
      <c r="E314" s="50">
        <v>54.180829367777001</v>
      </c>
      <c r="F314" s="50">
        <v>40.856560163154299</v>
      </c>
      <c r="G314" s="50">
        <v>8.7695445275322896</v>
      </c>
      <c r="H314" s="50">
        <v>-1.2916383412644501</v>
      </c>
    </row>
    <row r="315" spans="1:8">
      <c r="A315" t="s">
        <v>1006</v>
      </c>
      <c r="B315" t="s">
        <v>1007</v>
      </c>
      <c r="C315" s="40">
        <v>46001</v>
      </c>
      <c r="D315" s="50">
        <v>14.603174603174599</v>
      </c>
      <c r="E315" s="50">
        <v>56.349206349206298</v>
      </c>
      <c r="F315" s="50">
        <v>80.634920634920604</v>
      </c>
      <c r="G315" s="50">
        <v>25.396825396825399</v>
      </c>
    </row>
    <row r="316" spans="1:8">
      <c r="A316" t="s">
        <v>735</v>
      </c>
      <c r="B316" t="s">
        <v>736</v>
      </c>
      <c r="C316" s="40">
        <v>45656</v>
      </c>
      <c r="D316" s="50">
        <v>-0.483870967741931</v>
      </c>
      <c r="E316" s="50">
        <v>55.161290322580598</v>
      </c>
      <c r="F316" s="50">
        <v>51.129032258064498</v>
      </c>
      <c r="G316" s="50">
        <v>12.580645161290301</v>
      </c>
      <c r="H316" s="50">
        <v>210.96774193548401</v>
      </c>
    </row>
    <row r="317" spans="1:8">
      <c r="A317" t="s">
        <v>791</v>
      </c>
      <c r="B317" t="s">
        <v>792</v>
      </c>
      <c r="C317" s="40">
        <v>45784</v>
      </c>
      <c r="D317" s="50">
        <v>-5.2208835341365303</v>
      </c>
      <c r="E317" s="50">
        <v>36.947791164658703</v>
      </c>
      <c r="F317" s="50">
        <v>12.048192771084301</v>
      </c>
      <c r="G317" s="50">
        <v>53.815261044176701</v>
      </c>
      <c r="H317" s="50">
        <v>-18.473895582329298</v>
      </c>
    </row>
    <row r="318" spans="1:8">
      <c r="A318" t="s">
        <v>607</v>
      </c>
      <c r="B318" t="s">
        <v>608</v>
      </c>
      <c r="C318" s="40">
        <v>44840</v>
      </c>
      <c r="D318" s="50">
        <v>0.60024009603842399</v>
      </c>
      <c r="E318" s="50">
        <v>51.860744297719101</v>
      </c>
      <c r="F318" s="50">
        <v>41.656662665066001</v>
      </c>
      <c r="G318" s="50">
        <v>56.062424969988001</v>
      </c>
      <c r="H318" s="50">
        <v>168.00720288115201</v>
      </c>
    </row>
    <row r="319" spans="1:8">
      <c r="A319" t="s">
        <v>455</v>
      </c>
      <c r="B319" t="s">
        <v>456</v>
      </c>
      <c r="C319" s="40">
        <v>45013</v>
      </c>
      <c r="D319" s="50">
        <v>22.959738846572399</v>
      </c>
      <c r="E319" s="50">
        <v>9.9020674646354703</v>
      </c>
      <c r="F319" s="50">
        <v>11.316648531012</v>
      </c>
      <c r="G319" s="50">
        <v>2.2850924918389501</v>
      </c>
      <c r="H319" s="50">
        <v>11.425462459194801</v>
      </c>
    </row>
    <row r="320" spans="1:8">
      <c r="A320" t="s">
        <v>909</v>
      </c>
      <c r="B320" t="s">
        <v>910</v>
      </c>
      <c r="C320" s="40">
        <v>45967</v>
      </c>
      <c r="D320" s="50">
        <v>-32.865853658536601</v>
      </c>
      <c r="E320" s="50">
        <v>1.2195121951219501</v>
      </c>
      <c r="F320" s="50">
        <v>19.512195121951201</v>
      </c>
      <c r="G320" s="50">
        <v>53.658536585365901</v>
      </c>
    </row>
    <row r="321" spans="1:8">
      <c r="A321" t="s">
        <v>499</v>
      </c>
      <c r="B321" t="s">
        <v>500</v>
      </c>
      <c r="C321" s="40">
        <v>45847</v>
      </c>
      <c r="D321" s="50">
        <v>6.89265536723165</v>
      </c>
      <c r="E321" s="50">
        <v>7.9096045197740201</v>
      </c>
      <c r="F321" s="50">
        <v>67.796610169491501</v>
      </c>
      <c r="G321" s="50">
        <v>31.412429378531101</v>
      </c>
      <c r="H321" s="50">
        <v>-4.5197740112994396</v>
      </c>
    </row>
    <row r="322" spans="1:8">
      <c r="A322" t="s">
        <v>815</v>
      </c>
      <c r="B322" t="s">
        <v>816</v>
      </c>
      <c r="C322" s="40">
        <v>44924</v>
      </c>
      <c r="D322" s="50">
        <v>3.5398230088495399</v>
      </c>
      <c r="E322" s="50">
        <v>134.29203539823001</v>
      </c>
      <c r="F322" s="50">
        <v>140.044247787611</v>
      </c>
      <c r="G322" s="50">
        <v>119.13716814159299</v>
      </c>
      <c r="H322" s="50">
        <v>-43.694690265486699</v>
      </c>
    </row>
    <row r="323" spans="1:8">
      <c r="A323" t="s">
        <v>477</v>
      </c>
      <c r="B323" t="s">
        <v>478</v>
      </c>
      <c r="C323" s="40">
        <v>45233</v>
      </c>
      <c r="D323" s="50">
        <v>-14.2661179698217</v>
      </c>
      <c r="E323" s="50">
        <v>3.2921810699588501</v>
      </c>
      <c r="F323" s="50">
        <v>45.404663923182397</v>
      </c>
      <c r="G323" s="50">
        <v>9.8765432098765409</v>
      </c>
      <c r="H323" s="50">
        <v>9.05349794238683</v>
      </c>
    </row>
    <row r="324" spans="1:8">
      <c r="A324" t="s">
        <v>407</v>
      </c>
      <c r="B324" t="s">
        <v>408</v>
      </c>
      <c r="C324" s="40">
        <v>45211</v>
      </c>
      <c r="D324" s="50">
        <v>31.104033970275999</v>
      </c>
      <c r="E324" s="50">
        <v>44.3736730360934</v>
      </c>
      <c r="F324" s="50">
        <v>32.961783439490397</v>
      </c>
      <c r="G324" s="50">
        <v>21.549893842887499</v>
      </c>
      <c r="H324" s="50">
        <v>9.5217166446503505</v>
      </c>
    </row>
    <row r="325" spans="1:8">
      <c r="A325" t="s">
        <v>550</v>
      </c>
      <c r="B325" t="s">
        <v>551</v>
      </c>
      <c r="C325" s="40">
        <v>45930</v>
      </c>
      <c r="D325" s="50">
        <v>29.5541401273885</v>
      </c>
      <c r="E325" s="50">
        <v>11.082802547770701</v>
      </c>
      <c r="F325" s="50">
        <v>28.6624203821656</v>
      </c>
      <c r="G325" s="50">
        <v>75.668789808917197</v>
      </c>
    </row>
    <row r="326" spans="1:8">
      <c r="A326" t="s">
        <v>701</v>
      </c>
      <c r="B326" t="s">
        <v>702</v>
      </c>
      <c r="C326" s="40">
        <v>46129</v>
      </c>
      <c r="D326" s="50">
        <v>53.118279569892501</v>
      </c>
    </row>
    <row r="327" spans="1:8">
      <c r="A327" t="s">
        <v>1038</v>
      </c>
      <c r="B327" t="s">
        <v>1039</v>
      </c>
      <c r="C327" s="40">
        <v>45897</v>
      </c>
      <c r="D327" s="50">
        <v>5.6690837178642104</v>
      </c>
      <c r="E327" s="50">
        <v>25.906394199077099</v>
      </c>
      <c r="F327" s="50">
        <v>7.1193144363876097</v>
      </c>
      <c r="G327" s="50">
        <v>92.485168094924205</v>
      </c>
    </row>
    <row r="328" spans="1:8">
      <c r="A328" t="s">
        <v>1024</v>
      </c>
      <c r="B328" t="s">
        <v>1025</v>
      </c>
      <c r="C328" s="40">
        <v>45282</v>
      </c>
      <c r="D328" s="50">
        <v>-5.3311793214862702</v>
      </c>
      <c r="E328" s="50">
        <v>-4.03877221324717</v>
      </c>
      <c r="F328" s="50">
        <v>-51.0500807754443</v>
      </c>
      <c r="G328" s="50">
        <v>-43.457189014539601</v>
      </c>
      <c r="H328" s="50">
        <v>-93.134087237479804</v>
      </c>
    </row>
    <row r="329" spans="1:8">
      <c r="A329" t="s">
        <v>972</v>
      </c>
      <c r="B329" t="s">
        <v>973</v>
      </c>
      <c r="C329" s="40">
        <v>45596</v>
      </c>
      <c r="D329" s="50">
        <v>34.615384615384599</v>
      </c>
      <c r="E329" s="50">
        <v>47.596153846153797</v>
      </c>
      <c r="F329" s="50">
        <v>-21.3461538461539</v>
      </c>
      <c r="G329" s="50">
        <v>-46.730769230769198</v>
      </c>
      <c r="H329" s="50">
        <v>-61.730769230769198</v>
      </c>
    </row>
    <row r="330" spans="1:8">
      <c r="A330" t="s">
        <v>974</v>
      </c>
      <c r="B330" t="s">
        <v>975</v>
      </c>
      <c r="C330" s="40">
        <v>46024</v>
      </c>
      <c r="D330" s="50">
        <v>-1.1607661056297101</v>
      </c>
      <c r="E330" s="50">
        <v>4.4689495066743996</v>
      </c>
      <c r="F330" s="50">
        <v>-8.2994776552524705</v>
      </c>
    </row>
    <row r="331" spans="1:8">
      <c r="A331" t="s">
        <v>775</v>
      </c>
      <c r="B331" t="s">
        <v>776</v>
      </c>
      <c r="C331" s="40">
        <v>45967</v>
      </c>
      <c r="D331" s="50">
        <v>-14.3536875495638</v>
      </c>
      <c r="E331" s="50">
        <v>-11.8953211736717</v>
      </c>
      <c r="F331" s="50">
        <v>-13.3227597145123</v>
      </c>
      <c r="G331" s="50">
        <v>-34.377478191911202</v>
      </c>
    </row>
    <row r="332" spans="1:8">
      <c r="A332" t="s">
        <v>672</v>
      </c>
      <c r="B332" t="s">
        <v>673</v>
      </c>
      <c r="C332" s="40">
        <v>45838</v>
      </c>
      <c r="D332" s="50">
        <v>42.037786774628898</v>
      </c>
      <c r="E332" s="50">
        <v>140.55330634277999</v>
      </c>
      <c r="F332" s="50">
        <v>78.812415654520905</v>
      </c>
      <c r="G332" s="50">
        <v>73.076923076923094</v>
      </c>
      <c r="H332" s="50">
        <v>-10.998650472334701</v>
      </c>
    </row>
    <row r="333" spans="1:8">
      <c r="A333" t="s">
        <v>785</v>
      </c>
      <c r="B333" t="s">
        <v>786</v>
      </c>
      <c r="C333" s="40">
        <v>45653</v>
      </c>
      <c r="D333" s="50">
        <v>-9.7938144329896808</v>
      </c>
      <c r="E333" s="50">
        <v>28.865979381443299</v>
      </c>
      <c r="F333" s="50">
        <v>68.556701030927897</v>
      </c>
      <c r="G333" s="50">
        <v>34.020618556701002</v>
      </c>
      <c r="H333" s="50">
        <v>33.0927835051546</v>
      </c>
    </row>
    <row r="334" spans="1:8">
      <c r="A334" t="s">
        <v>562</v>
      </c>
      <c r="B334" t="s">
        <v>563</v>
      </c>
      <c r="C334" s="40">
        <v>44907</v>
      </c>
      <c r="D334" s="50">
        <v>0</v>
      </c>
      <c r="E334" s="50">
        <v>0.19455252918288199</v>
      </c>
      <c r="F334" s="50">
        <v>2.4319066147859898</v>
      </c>
      <c r="G334" s="50">
        <v>-6.0311284046692597</v>
      </c>
      <c r="H334" s="50">
        <v>-7.7821011673151697</v>
      </c>
    </row>
    <row r="335" spans="1:8">
      <c r="A335" t="s">
        <v>943</v>
      </c>
      <c r="B335" t="s">
        <v>944</v>
      </c>
      <c r="C335" s="40">
        <v>45946</v>
      </c>
      <c r="D335" s="50">
        <v>2.4896265560166002</v>
      </c>
      <c r="E335" s="50">
        <v>7.46887966804979</v>
      </c>
      <c r="F335" s="50">
        <v>-3.3195020746888</v>
      </c>
      <c r="G335" s="50">
        <v>12.1161825726141</v>
      </c>
    </row>
    <row r="336" spans="1:8">
      <c r="A336" t="s">
        <v>1022</v>
      </c>
      <c r="B336" t="s">
        <v>1023</v>
      </c>
      <c r="C336" s="40">
        <v>46031</v>
      </c>
      <c r="D336" s="50">
        <v>-7.6735688185140001</v>
      </c>
      <c r="E336" s="50">
        <v>-12.911084043849</v>
      </c>
      <c r="F336" s="50">
        <v>-18.2095006090134</v>
      </c>
    </row>
    <row r="337" spans="1:8">
      <c r="A337" t="s">
        <v>687</v>
      </c>
      <c r="B337" t="s">
        <v>688</v>
      </c>
      <c r="C337" s="40">
        <v>45265</v>
      </c>
      <c r="D337" s="50">
        <v>-22.929292929292899</v>
      </c>
      <c r="E337" s="50">
        <v>-17.272727272727298</v>
      </c>
      <c r="F337" s="50">
        <v>-9.5959595959596093</v>
      </c>
      <c r="G337" s="50">
        <v>-10.1010101010101</v>
      </c>
      <c r="H337" s="50">
        <v>-19.191919191919201</v>
      </c>
    </row>
    <row r="338" spans="1:8">
      <c r="A338" t="s">
        <v>527</v>
      </c>
      <c r="B338" t="s">
        <v>528</v>
      </c>
      <c r="C338" s="40">
        <v>44588</v>
      </c>
      <c r="D338" s="50">
        <v>-11.938775510204101</v>
      </c>
      <c r="E338" s="50">
        <v>-58.724489795918402</v>
      </c>
      <c r="F338" s="50">
        <v>-3.2653061224489801</v>
      </c>
      <c r="G338" s="50">
        <v>4.0816326530612104</v>
      </c>
      <c r="H338" s="50">
        <v>-11.0204081632653</v>
      </c>
    </row>
    <row r="339" spans="1:8">
      <c r="A339" t="s">
        <v>721</v>
      </c>
      <c r="B339" t="s">
        <v>722</v>
      </c>
      <c r="C339" s="40">
        <v>45917</v>
      </c>
      <c r="D339" s="50">
        <v>0.99220411055989099</v>
      </c>
      <c r="E339" s="50">
        <v>44.365698086463503</v>
      </c>
      <c r="F339" s="50">
        <v>77.888022678951103</v>
      </c>
      <c r="G339" s="50">
        <v>203.33097094259401</v>
      </c>
    </row>
    <row r="340" spans="1:8">
      <c r="A340" t="s">
        <v>624</v>
      </c>
      <c r="B340" t="s">
        <v>625</v>
      </c>
      <c r="C340" s="40">
        <v>45289</v>
      </c>
      <c r="D340" s="50">
        <v>-3.1370390753990001</v>
      </c>
      <c r="E340" s="50">
        <v>-1.6510731975784301</v>
      </c>
      <c r="F340" s="50">
        <v>111.777655476059</v>
      </c>
      <c r="G340" s="50">
        <v>89.983489268024201</v>
      </c>
      <c r="H340" s="50">
        <v>-2.8068244358833199</v>
      </c>
    </row>
    <row r="341" spans="1:8">
      <c r="A341" t="s">
        <v>1008</v>
      </c>
      <c r="B341" t="s">
        <v>1009</v>
      </c>
      <c r="C341" s="40">
        <v>46014</v>
      </c>
      <c r="D341" s="50">
        <v>-0.81395348837209602</v>
      </c>
      <c r="E341" s="50">
        <v>-6.3953488372092897</v>
      </c>
      <c r="F341" s="50">
        <v>64.418604651162795</v>
      </c>
    </row>
    <row r="342" spans="1:8">
      <c r="A342" t="s">
        <v>990</v>
      </c>
      <c r="B342" t="s">
        <v>991</v>
      </c>
      <c r="C342" s="40">
        <v>44925</v>
      </c>
      <c r="D342" s="50">
        <v>-3.5107587768969499</v>
      </c>
      <c r="E342" s="50">
        <v>-9.6262740656851609</v>
      </c>
      <c r="F342" s="50">
        <v>7.7010192525481296</v>
      </c>
      <c r="G342" s="50">
        <v>7.5877689694224202</v>
      </c>
      <c r="H342" s="50">
        <v>-3.8505096262740599</v>
      </c>
    </row>
    <row r="343" spans="1:8">
      <c r="A343" t="s">
        <v>729</v>
      </c>
      <c r="B343" t="s">
        <v>730</v>
      </c>
      <c r="C343" s="40">
        <v>44925</v>
      </c>
      <c r="D343" s="50">
        <v>-17.171717171717201</v>
      </c>
      <c r="E343" s="50">
        <v>-24.848484848484802</v>
      </c>
      <c r="F343" s="50">
        <v>0.20202020202019799</v>
      </c>
      <c r="G343" s="50">
        <v>-19.191919191919201</v>
      </c>
      <c r="H343" s="50">
        <v>-22.3232323232323</v>
      </c>
    </row>
    <row r="344" spans="1:8">
      <c r="A344" t="s">
        <v>751</v>
      </c>
      <c r="B344" t="s">
        <v>752</v>
      </c>
      <c r="C344" s="40">
        <v>46105</v>
      </c>
      <c r="D344" s="50">
        <v>-2.2149837133550498</v>
      </c>
    </row>
    <row r="345" spans="1:8">
      <c r="A345" t="s">
        <v>874</v>
      </c>
      <c r="B345" t="s">
        <v>875</v>
      </c>
      <c r="C345" s="40">
        <v>46030</v>
      </c>
      <c r="D345" s="50">
        <v>12.244897959183699</v>
      </c>
      <c r="E345" s="50">
        <v>64.158163265306101</v>
      </c>
      <c r="F345" s="50">
        <v>100.765306122449</v>
      </c>
    </row>
    <row r="346" spans="1:8">
      <c r="A346" t="s">
        <v>655</v>
      </c>
      <c r="B346" t="s">
        <v>656</v>
      </c>
      <c r="C346" s="40">
        <v>44938</v>
      </c>
      <c r="D346" s="50">
        <v>0</v>
      </c>
      <c r="E346" s="50">
        <v>0.83333333333333304</v>
      </c>
      <c r="F346" s="50">
        <v>0.33333333333333798</v>
      </c>
      <c r="G346" s="50">
        <v>-19.6666666666667</v>
      </c>
      <c r="H346" s="50">
        <v>-18.334314302530899</v>
      </c>
    </row>
    <row r="347" spans="1:8">
      <c r="A347" t="s">
        <v>1036</v>
      </c>
      <c r="B347" t="s">
        <v>1037</v>
      </c>
      <c r="C347" s="40">
        <v>45737</v>
      </c>
      <c r="D347" s="50">
        <v>-16.787790697674399</v>
      </c>
      <c r="E347" s="50">
        <v>-35.465116279069797</v>
      </c>
      <c r="F347" s="50">
        <v>-29.2151162790698</v>
      </c>
      <c r="G347" s="50">
        <v>-31.2209302325581</v>
      </c>
      <c r="H347" s="50">
        <v>-45.145348837209298</v>
      </c>
    </row>
    <row r="348" spans="1:8">
      <c r="A348" t="s">
        <v>538</v>
      </c>
      <c r="B348" t="s">
        <v>539</v>
      </c>
      <c r="C348" s="40">
        <v>45632</v>
      </c>
      <c r="D348" s="50">
        <v>-54.420289855072497</v>
      </c>
      <c r="E348" s="50">
        <v>-59.710144927536199</v>
      </c>
      <c r="F348" s="50">
        <v>-33.550724637681199</v>
      </c>
      <c r="G348" s="50">
        <v>-15.072463768115901</v>
      </c>
      <c r="H348" s="50">
        <v>-22.536231884058001</v>
      </c>
    </row>
    <row r="349" spans="1:8">
      <c r="A349" t="s">
        <v>612</v>
      </c>
      <c r="B349" t="s">
        <v>613</v>
      </c>
      <c r="C349" s="40">
        <v>45996</v>
      </c>
      <c r="D349" s="50">
        <v>12.1481481481482</v>
      </c>
      <c r="E349" s="50">
        <v>31.604938271604901</v>
      </c>
      <c r="F349" s="50">
        <v>15.407407407407399</v>
      </c>
      <c r="G349" s="50">
        <v>10.8641975308642</v>
      </c>
    </row>
    <row r="350" spans="1:8">
      <c r="A350" t="s">
        <v>570</v>
      </c>
      <c r="B350" t="s">
        <v>571</v>
      </c>
      <c r="C350" s="40">
        <v>45999</v>
      </c>
      <c r="D350" s="50">
        <v>1.8918918918918901</v>
      </c>
      <c r="E350" s="50">
        <v>22.612612612612601</v>
      </c>
      <c r="F350" s="50">
        <v>23.603603603603599</v>
      </c>
      <c r="G350" s="50">
        <v>39.639639639639597</v>
      </c>
    </row>
    <row r="351" spans="1:8">
      <c r="A351" t="s">
        <v>998</v>
      </c>
      <c r="B351" t="s">
        <v>999</v>
      </c>
      <c r="C351" s="40">
        <v>45884</v>
      </c>
      <c r="D351" s="50">
        <v>-7.4235807860262</v>
      </c>
      <c r="E351" s="50">
        <v>-26.9170305676856</v>
      </c>
      <c r="F351" s="50">
        <v>-42.462882096069897</v>
      </c>
      <c r="G351" s="50">
        <v>-43.790393013100399</v>
      </c>
    </row>
    <row r="352" spans="1:8">
      <c r="A352" t="s">
        <v>844</v>
      </c>
      <c r="B352" t="s">
        <v>845</v>
      </c>
      <c r="C352" s="40">
        <v>45043</v>
      </c>
      <c r="D352" s="50">
        <v>-6.5217391304347796</v>
      </c>
      <c r="E352" s="50">
        <v>19.565217391304401</v>
      </c>
      <c r="F352" s="50">
        <v>-2.6086956521739002</v>
      </c>
      <c r="G352" s="50">
        <v>-49.565217391304301</v>
      </c>
      <c r="H352" s="50">
        <v>-66.847826086956502</v>
      </c>
    </row>
    <row r="353" spans="1:8">
      <c r="A353" t="s">
        <v>234</v>
      </c>
      <c r="B353" t="s">
        <v>235</v>
      </c>
      <c r="C353" s="40">
        <v>44610</v>
      </c>
      <c r="D353" s="50">
        <v>-4.6563192904656301</v>
      </c>
      <c r="E353" s="50">
        <v>2.66075388026607</v>
      </c>
      <c r="F353" s="50">
        <v>0.66518847006651205</v>
      </c>
      <c r="G353" s="50">
        <v>21.507760532150801</v>
      </c>
      <c r="H353" s="50">
        <v>-23.7250554323725</v>
      </c>
    </row>
    <row r="354" spans="1:8">
      <c r="A354" t="s">
        <v>481</v>
      </c>
      <c r="B354" t="s">
        <v>482</v>
      </c>
      <c r="C354" s="40">
        <v>45482</v>
      </c>
      <c r="D354" s="50">
        <v>1.54525386313464</v>
      </c>
      <c r="E354" s="50">
        <v>-7.0640176600441604</v>
      </c>
      <c r="F354" s="50">
        <v>54.525386313465802</v>
      </c>
      <c r="G354" s="50">
        <v>34.437086092715198</v>
      </c>
      <c r="H354" s="50">
        <v>-11.9205298013245</v>
      </c>
    </row>
    <row r="355" spans="1:8">
      <c r="A355" t="s">
        <v>923</v>
      </c>
      <c r="B355" t="s">
        <v>924</v>
      </c>
      <c r="C355" s="40">
        <v>45818</v>
      </c>
      <c r="D355" s="50">
        <v>0.441176470588239</v>
      </c>
      <c r="E355" s="50">
        <v>-12.647058823529401</v>
      </c>
      <c r="F355" s="50">
        <v>-26.323529411764699</v>
      </c>
      <c r="G355" s="50">
        <v>-42.352941176470601</v>
      </c>
      <c r="H355" s="50">
        <v>-75</v>
      </c>
    </row>
    <row r="356" spans="1:8">
      <c r="A356" t="s">
        <v>592</v>
      </c>
      <c r="B356" t="s">
        <v>593</v>
      </c>
      <c r="C356" s="40">
        <v>45428</v>
      </c>
      <c r="D356" s="50">
        <v>18.199419167473401</v>
      </c>
      <c r="E356" s="50">
        <v>55.566311713456003</v>
      </c>
      <c r="F356" s="50">
        <v>90.416263310745407</v>
      </c>
      <c r="G356" s="50">
        <v>85.479186834462695</v>
      </c>
      <c r="H356" s="50">
        <v>58.857696030977699</v>
      </c>
    </row>
    <row r="357" spans="1:8">
      <c r="A357" t="s">
        <v>626</v>
      </c>
      <c r="B357" t="s">
        <v>627</v>
      </c>
      <c r="C357" s="40">
        <v>46104</v>
      </c>
      <c r="D357" s="50">
        <v>16.266666666666701</v>
      </c>
    </row>
    <row r="358" spans="1:8">
      <c r="A358" t="s">
        <v>749</v>
      </c>
      <c r="B358" t="s">
        <v>750</v>
      </c>
      <c r="C358" s="40">
        <v>45656</v>
      </c>
      <c r="D358" s="50">
        <v>-2.7586206896551801</v>
      </c>
      <c r="E358" s="50">
        <v>30.459770114942501</v>
      </c>
      <c r="F358" s="50">
        <v>43.678160919540197</v>
      </c>
      <c r="G358" s="50">
        <v>37.586206896551701</v>
      </c>
      <c r="H358" s="50">
        <v>20.3448275862069</v>
      </c>
    </row>
    <row r="359" spans="1:8">
      <c r="A359" t="s">
        <v>641</v>
      </c>
      <c r="B359" t="s">
        <v>642</v>
      </c>
      <c r="C359" s="40">
        <v>45667</v>
      </c>
      <c r="D359" s="50">
        <v>6.2352941176470598</v>
      </c>
      <c r="E359" s="50">
        <v>5</v>
      </c>
      <c r="F359" s="50">
        <v>35.176470588235297</v>
      </c>
      <c r="G359" s="50">
        <v>73.882352941176507</v>
      </c>
      <c r="H359" s="50">
        <v>4.5882352941176503</v>
      </c>
    </row>
    <row r="360" spans="1:8">
      <c r="A360" t="s">
        <v>876</v>
      </c>
      <c r="B360" t="s">
        <v>877</v>
      </c>
      <c r="C360" s="40">
        <v>45649</v>
      </c>
      <c r="D360" s="50">
        <v>0.84477296726504802</v>
      </c>
      <c r="E360" s="50">
        <v>37.539598732840503</v>
      </c>
      <c r="F360" s="50">
        <v>272.75607180570199</v>
      </c>
      <c r="G360" s="50">
        <v>278.82787750791999</v>
      </c>
      <c r="H360" s="50">
        <v>205.70221752903899</v>
      </c>
    </row>
    <row r="361" spans="1:8">
      <c r="A361" t="s">
        <v>941</v>
      </c>
      <c r="B361" t="s">
        <v>942</v>
      </c>
      <c r="C361" s="40">
        <v>46112</v>
      </c>
      <c r="D361" s="50">
        <v>63.125</v>
      </c>
    </row>
    <row r="362" spans="1:8">
      <c r="A362" t="s">
        <v>982</v>
      </c>
      <c r="B362" t="s">
        <v>983</v>
      </c>
      <c r="C362" s="40">
        <v>46030</v>
      </c>
      <c r="D362" s="50">
        <v>18.816254416961101</v>
      </c>
      <c r="E362" s="50">
        <v>18.021201413427601</v>
      </c>
      <c r="F362" s="50">
        <v>-2.82685512367491</v>
      </c>
    </row>
    <row r="363" spans="1:8">
      <c r="A363" t="s">
        <v>769</v>
      </c>
      <c r="B363" t="s">
        <v>770</v>
      </c>
      <c r="C363" s="40">
        <v>45611</v>
      </c>
      <c r="D363" s="50">
        <v>23.782051282051299</v>
      </c>
      <c r="E363" s="50">
        <v>32.051282051282101</v>
      </c>
      <c r="F363" s="50">
        <v>76.6666666666667</v>
      </c>
      <c r="G363" s="50">
        <v>45.6410256410256</v>
      </c>
      <c r="H363" s="50">
        <v>-18.589743589743598</v>
      </c>
    </row>
    <row r="364" spans="1:8">
      <c r="A364" t="s">
        <v>956</v>
      </c>
      <c r="B364" t="s">
        <v>957</v>
      </c>
      <c r="C364" s="40">
        <v>46111</v>
      </c>
      <c r="D364" s="50">
        <v>5.5999999999999899</v>
      </c>
    </row>
    <row r="365" spans="1:8">
      <c r="A365" t="s">
        <v>840</v>
      </c>
      <c r="B365" t="s">
        <v>841</v>
      </c>
      <c r="C365" s="40">
        <v>46021</v>
      </c>
      <c r="D365" s="50">
        <v>35.0900600400267</v>
      </c>
      <c r="E365" s="50">
        <v>144.16277518345601</v>
      </c>
      <c r="F365" s="50">
        <v>95.797198132088099</v>
      </c>
    </row>
    <row r="366" spans="1:8">
      <c r="A366" t="s">
        <v>327</v>
      </c>
      <c r="B366" t="s">
        <v>328</v>
      </c>
      <c r="C366" s="40">
        <v>45278</v>
      </c>
      <c r="D366" s="50">
        <v>-1.81043663471778</v>
      </c>
      <c r="E366" s="50">
        <v>-7.98722044728434</v>
      </c>
      <c r="F366" s="50">
        <v>-22.4707135250266</v>
      </c>
      <c r="G366" s="50">
        <v>-21.831735889243902</v>
      </c>
      <c r="H366" s="50">
        <v>-21.192758253461101</v>
      </c>
    </row>
    <row r="367" spans="1:8">
      <c r="A367" t="s">
        <v>832</v>
      </c>
      <c r="B367" t="s">
        <v>833</v>
      </c>
      <c r="C367" s="40">
        <v>46066</v>
      </c>
      <c r="D367" s="50">
        <v>16.5226781857452</v>
      </c>
      <c r="E367" s="50">
        <v>-45.626349892008598</v>
      </c>
    </row>
    <row r="368" spans="1:8">
      <c r="A368" t="s">
        <v>978</v>
      </c>
      <c r="B368" t="s">
        <v>979</v>
      </c>
      <c r="C368" s="40">
        <v>46111</v>
      </c>
      <c r="D368" s="50">
        <v>42.652671755725201</v>
      </c>
    </row>
    <row r="369" spans="1:8">
      <c r="A369" t="s">
        <v>501</v>
      </c>
      <c r="B369" t="s">
        <v>502</v>
      </c>
      <c r="C369" s="40">
        <v>45119</v>
      </c>
      <c r="D369" s="50">
        <v>-0.51724137931033998</v>
      </c>
      <c r="E369" s="50">
        <v>9.9999999999999893</v>
      </c>
      <c r="F369" s="50">
        <v>1.3793103448275801</v>
      </c>
      <c r="G369" s="50">
        <v>-7.2413793103448301</v>
      </c>
      <c r="H369" s="50">
        <v>-84.965517241379303</v>
      </c>
    </row>
    <row r="370" spans="1:8">
      <c r="A370" t="s">
        <v>651</v>
      </c>
      <c r="B370" t="s">
        <v>652</v>
      </c>
      <c r="C370" s="40">
        <v>45483</v>
      </c>
      <c r="D370" s="50">
        <v>5.1111111111111196</v>
      </c>
      <c r="E370" s="50">
        <v>64.4444444444444</v>
      </c>
      <c r="F370" s="50">
        <v>38.6666666666667</v>
      </c>
      <c r="G370" s="50">
        <v>49.185185185185198</v>
      </c>
      <c r="H370" s="50">
        <v>80.740740740740705</v>
      </c>
    </row>
    <row r="371" spans="1:8">
      <c r="A371" t="s">
        <v>880</v>
      </c>
      <c r="B371" t="s">
        <v>881</v>
      </c>
      <c r="C371" s="40">
        <v>46021</v>
      </c>
      <c r="D371" s="50">
        <v>16.6077738515901</v>
      </c>
      <c r="E371" s="50">
        <v>39.071176173649697</v>
      </c>
      <c r="F371" s="50">
        <v>7.5214538112064702</v>
      </c>
    </row>
    <row r="372" spans="1:8">
      <c r="A372" t="s">
        <v>763</v>
      </c>
      <c r="B372" t="s">
        <v>764</v>
      </c>
      <c r="C372" s="40">
        <v>46021</v>
      </c>
      <c r="D372" s="50">
        <v>0.49484536082474601</v>
      </c>
      <c r="E372" s="50">
        <v>42.268041237113401</v>
      </c>
      <c r="F372" s="50">
        <v>321.03092783505201</v>
      </c>
    </row>
    <row r="373" spans="1:8">
      <c r="A373" t="s">
        <v>620</v>
      </c>
      <c r="B373" t="s">
        <v>621</v>
      </c>
      <c r="C373" s="40">
        <v>44918</v>
      </c>
      <c r="D373" s="50">
        <v>-8.74316939890711</v>
      </c>
      <c r="E373" s="50">
        <v>-6.55737704918032</v>
      </c>
      <c r="F373" s="50">
        <v>39.2349726775956</v>
      </c>
      <c r="G373" s="50">
        <v>38.142076502732202</v>
      </c>
      <c r="H373" s="50">
        <v>-8.9617486338797807</v>
      </c>
    </row>
    <row r="374" spans="1:8">
      <c r="A374" t="s">
        <v>921</v>
      </c>
      <c r="B374" t="s">
        <v>922</v>
      </c>
      <c r="C374" s="40">
        <v>46111</v>
      </c>
      <c r="D374" s="50">
        <v>-2.6086956521739002</v>
      </c>
    </row>
    <row r="375" spans="1:8">
      <c r="A375" t="s">
        <v>517</v>
      </c>
      <c r="B375" t="s">
        <v>518</v>
      </c>
      <c r="C375" s="40">
        <v>45916</v>
      </c>
      <c r="D375" s="50">
        <v>-1.70940170940171</v>
      </c>
      <c r="E375" s="50">
        <v>-22.8205128205128</v>
      </c>
      <c r="F375" s="50">
        <v>-31.153846153846199</v>
      </c>
      <c r="G375" s="50">
        <v>-13.0769230769231</v>
      </c>
    </row>
    <row r="376" spans="1:8">
      <c r="A376" t="s">
        <v>622</v>
      </c>
      <c r="B376" t="s">
        <v>623</v>
      </c>
      <c r="C376" s="40">
        <v>45831</v>
      </c>
      <c r="D376" s="50">
        <v>2.8333333333333299</v>
      </c>
      <c r="E376" s="50">
        <v>9.6666666666666696</v>
      </c>
      <c r="F376" s="50">
        <v>118.5</v>
      </c>
      <c r="G376" s="50">
        <v>17.3333333333333</v>
      </c>
      <c r="H376" s="50">
        <v>-42.5</v>
      </c>
    </row>
    <row r="377" spans="1:8">
      <c r="A377" t="s">
        <v>781</v>
      </c>
      <c r="B377" t="s">
        <v>782</v>
      </c>
      <c r="C377" s="40">
        <v>45443</v>
      </c>
      <c r="D377" s="50">
        <v>-11.2828438948995</v>
      </c>
      <c r="E377" s="50">
        <v>-45.054095826893303</v>
      </c>
      <c r="F377" s="50">
        <v>-51.931993817619798</v>
      </c>
      <c r="G377" s="50">
        <v>-48.763523956723297</v>
      </c>
      <c r="H377" s="50">
        <v>-66.5378670788253</v>
      </c>
    </row>
    <row r="378" spans="1:8">
      <c r="A378" t="s">
        <v>795</v>
      </c>
      <c r="B378" t="s">
        <v>796</v>
      </c>
      <c r="C378" s="40">
        <v>46021</v>
      </c>
      <c r="D378" s="50">
        <v>40.1489505754909</v>
      </c>
      <c r="E378" s="50">
        <v>164.31956668923499</v>
      </c>
      <c r="F378" s="50">
        <v>31.279620853080601</v>
      </c>
    </row>
    <row r="379" spans="1:8">
      <c r="A379" t="s">
        <v>251</v>
      </c>
      <c r="B379" t="s">
        <v>252</v>
      </c>
      <c r="C379" s="40">
        <v>44630</v>
      </c>
      <c r="D379" s="50">
        <v>-8.7476400251730695</v>
      </c>
      <c r="E379" s="50">
        <v>-14.5374449339207</v>
      </c>
      <c r="F379" s="50">
        <v>-2.6431718061674099</v>
      </c>
      <c r="G379" s="50">
        <v>-5.5380742605412303</v>
      </c>
      <c r="H379" s="50">
        <v>-45.185651353052201</v>
      </c>
    </row>
    <row r="380" spans="1:8">
      <c r="A380" t="s">
        <v>367</v>
      </c>
      <c r="B380" t="s">
        <v>368</v>
      </c>
      <c r="C380" s="40">
        <v>44925</v>
      </c>
      <c r="D380" s="50">
        <v>25.714285714285701</v>
      </c>
      <c r="E380" s="50">
        <v>10</v>
      </c>
      <c r="F380" s="50">
        <v>80</v>
      </c>
      <c r="G380" s="50">
        <v>20.476190476190499</v>
      </c>
      <c r="H380" s="50">
        <v>15.714285714285699</v>
      </c>
    </row>
    <row r="381" spans="1:8">
      <c r="A381" t="s">
        <v>333</v>
      </c>
      <c r="B381" t="s">
        <v>334</v>
      </c>
      <c r="C381" s="40">
        <v>46100</v>
      </c>
      <c r="D381" s="50">
        <v>-18.7403993855607</v>
      </c>
      <c r="E381" s="50">
        <v>-13.210445468510001</v>
      </c>
    </row>
    <row r="382" spans="1:8">
      <c r="A382" t="s">
        <v>1032</v>
      </c>
      <c r="B382" t="s">
        <v>1033</v>
      </c>
      <c r="C382" s="40">
        <v>44788</v>
      </c>
      <c r="D382" s="50">
        <v>-12</v>
      </c>
      <c r="E382" s="50">
        <v>-26</v>
      </c>
      <c r="F382" s="50">
        <v>-26</v>
      </c>
      <c r="G382" s="50">
        <v>-27</v>
      </c>
      <c r="H382" s="50">
        <v>-5.3999999999999897</v>
      </c>
    </row>
    <row r="383" spans="1:8">
      <c r="A383" t="s">
        <v>685</v>
      </c>
      <c r="B383" t="s">
        <v>686</v>
      </c>
      <c r="C383" s="40">
        <v>45008</v>
      </c>
      <c r="D383" s="50">
        <v>-13.125</v>
      </c>
      <c r="E383" s="50">
        <v>-18.125</v>
      </c>
      <c r="F383" s="50">
        <v>-29.375</v>
      </c>
      <c r="G383" s="50">
        <v>-34.375</v>
      </c>
      <c r="H383" s="50">
        <v>-43.335526315789501</v>
      </c>
    </row>
    <row r="384" spans="1:8">
      <c r="A384" t="s">
        <v>403</v>
      </c>
      <c r="B384" t="s">
        <v>404</v>
      </c>
      <c r="C384" s="40">
        <v>44925</v>
      </c>
      <c r="D384" s="50">
        <v>35.2112676056338</v>
      </c>
      <c r="E384" s="50">
        <v>68.008048289738397</v>
      </c>
      <c r="F384" s="50">
        <v>87.122736418511096</v>
      </c>
      <c r="G384" s="50">
        <v>48.692152917504998</v>
      </c>
      <c r="H384" s="50">
        <v>46.277665995975902</v>
      </c>
    </row>
    <row r="385" spans="1:8">
      <c r="A385" t="s">
        <v>379</v>
      </c>
      <c r="B385" t="s">
        <v>380</v>
      </c>
      <c r="C385" s="40">
        <v>45876</v>
      </c>
      <c r="D385" s="50">
        <v>-7.59599332220367</v>
      </c>
      <c r="E385" s="50">
        <v>-16.110183639399001</v>
      </c>
      <c r="F385" s="50">
        <v>-19.7662771285476</v>
      </c>
      <c r="G385" s="50">
        <v>-28.714524207011699</v>
      </c>
      <c r="H385" s="50">
        <v>-23.839732888146902</v>
      </c>
    </row>
    <row r="386" spans="1:8">
      <c r="A386" t="s">
        <v>515</v>
      </c>
      <c r="B386" t="s">
        <v>516</v>
      </c>
      <c r="C386" s="40">
        <v>44650</v>
      </c>
      <c r="D386" s="50">
        <v>2.5588536335721601</v>
      </c>
      <c r="E386" s="50">
        <v>-35.7215967246673</v>
      </c>
      <c r="F386" s="50">
        <v>-44.114636642783999</v>
      </c>
      <c r="G386" s="50">
        <v>-31.627430910951901</v>
      </c>
      <c r="H386" s="50">
        <v>-69.805527123848506</v>
      </c>
    </row>
    <row r="387" spans="1:8">
      <c r="A387" t="s">
        <v>288</v>
      </c>
      <c r="B387" t="s">
        <v>289</v>
      </c>
      <c r="C387" s="40">
        <v>45030</v>
      </c>
      <c r="D387" s="50">
        <v>-15.3956834532374</v>
      </c>
      <c r="E387" s="50">
        <v>-37.266187050359697</v>
      </c>
      <c r="F387" s="50">
        <v>-28.201438848920901</v>
      </c>
      <c r="G387" s="50">
        <v>-42.4460431654676</v>
      </c>
      <c r="H387" s="50">
        <v>-66.012229790886707</v>
      </c>
    </row>
    <row r="388" spans="1:8">
      <c r="A388" t="s">
        <v>385</v>
      </c>
      <c r="B388" t="s">
        <v>386</v>
      </c>
      <c r="C388" s="40">
        <v>44917</v>
      </c>
      <c r="D388" s="50">
        <v>1.2738853503184699</v>
      </c>
      <c r="E388" s="50">
        <v>15.031847133757999</v>
      </c>
      <c r="F388" s="50">
        <v>-12.101910828025501</v>
      </c>
      <c r="G388" s="50">
        <v>-5.7324840764331197</v>
      </c>
      <c r="H388" s="50">
        <v>-26.751592356687901</v>
      </c>
    </row>
    <row r="389" spans="1:8">
      <c r="A389" t="s">
        <v>265</v>
      </c>
      <c r="B389" t="s">
        <v>266</v>
      </c>
      <c r="C389" s="40">
        <v>44648</v>
      </c>
      <c r="D389" s="50">
        <v>1.3043478260869501</v>
      </c>
      <c r="E389" s="50">
        <v>2.1739130434782501</v>
      </c>
      <c r="F389" s="50">
        <v>-12.453663362590399</v>
      </c>
      <c r="G389" s="50">
        <v>-21.461138431782299</v>
      </c>
      <c r="H389" s="50">
        <v>-28.967367656109001</v>
      </c>
    </row>
    <row r="390" spans="1:8">
      <c r="A390" t="s">
        <v>270</v>
      </c>
      <c r="B390" t="s">
        <v>271</v>
      </c>
      <c r="C390" s="40">
        <v>44825</v>
      </c>
      <c r="D390" s="50">
        <v>-13.830954994511499</v>
      </c>
      <c r="E390" s="50">
        <v>-22.612513721185501</v>
      </c>
      <c r="F390" s="50">
        <v>60.263446761800203</v>
      </c>
      <c r="G390" s="50">
        <v>88.2546652030735</v>
      </c>
      <c r="H390" s="50">
        <v>80.570801317233801</v>
      </c>
    </row>
    <row r="391" spans="1:8">
      <c r="A391" t="s">
        <v>238</v>
      </c>
      <c r="B391" t="s">
        <v>239</v>
      </c>
      <c r="C391" s="40">
        <v>44692</v>
      </c>
      <c r="D391" s="50">
        <v>5.6910569105691096</v>
      </c>
      <c r="E391" s="50">
        <v>59.674796747967498</v>
      </c>
      <c r="F391" s="50">
        <v>29.430894308943099</v>
      </c>
      <c r="G391" s="50">
        <v>53.495934959349597</v>
      </c>
      <c r="H391" s="50">
        <v>60</v>
      </c>
    </row>
    <row r="393" spans="1:8">
      <c r="A393" t="s">
        <v>1042</v>
      </c>
    </row>
  </sheetData>
  <phoneticPr fontId="2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A1A2-8128-43C4-9195-E415121784CA}">
  <dimension ref="A1:F392"/>
  <sheetViews>
    <sheetView workbookViewId="0">
      <selection activeCell="I29" sqref="I29"/>
    </sheetView>
  </sheetViews>
  <sheetFormatPr defaultRowHeight="14.25"/>
  <cols>
    <col min="3" max="3" width="10.59765625" style="40" bestFit="1" customWidth="1"/>
    <col min="4" max="6" width="9.06640625" style="61"/>
  </cols>
  <sheetData>
    <row r="1" spans="1:6">
      <c r="A1" s="55" t="s">
        <v>27</v>
      </c>
      <c r="B1" s="55" t="s">
        <v>2190</v>
      </c>
      <c r="C1" s="56" t="s">
        <v>29</v>
      </c>
      <c r="D1" s="60" t="s">
        <v>2287</v>
      </c>
      <c r="E1" s="60" t="s">
        <v>2288</v>
      </c>
      <c r="F1" s="60" t="s">
        <v>2289</v>
      </c>
    </row>
    <row r="2" spans="1:6">
      <c r="A2" t="s">
        <v>243</v>
      </c>
      <c r="B2" t="s">
        <v>244</v>
      </c>
      <c r="C2" s="40">
        <v>44798</v>
      </c>
      <c r="D2" s="61">
        <v>1.163835</v>
      </c>
      <c r="E2" s="61">
        <v>183.88593</v>
      </c>
      <c r="F2" s="61">
        <v>183.88593</v>
      </c>
    </row>
    <row r="3" spans="1:6">
      <c r="A3" t="s">
        <v>277</v>
      </c>
      <c r="B3" t="s">
        <v>278</v>
      </c>
      <c r="C3" s="40">
        <v>45902</v>
      </c>
      <c r="D3" s="61">
        <v>2.382352</v>
      </c>
      <c r="E3" s="61">
        <v>41.500571839999999</v>
      </c>
      <c r="F3" s="61">
        <v>41.500571839999999</v>
      </c>
    </row>
    <row r="4" spans="1:6">
      <c r="A4" t="s">
        <v>485</v>
      </c>
      <c r="B4" t="s">
        <v>486</v>
      </c>
      <c r="C4" s="40">
        <v>45280</v>
      </c>
      <c r="D4" s="61">
        <v>2.3891</v>
      </c>
      <c r="E4" s="61">
        <v>2.8669199999999999</v>
      </c>
      <c r="F4" s="61">
        <v>2.8669199999999999</v>
      </c>
    </row>
    <row r="5" spans="1:6">
      <c r="A5" t="s">
        <v>362</v>
      </c>
      <c r="B5" t="s">
        <v>363</v>
      </c>
      <c r="C5" s="40">
        <v>45485</v>
      </c>
      <c r="D5" s="61">
        <v>0.55025500000000005</v>
      </c>
      <c r="E5" s="61">
        <v>15.1320125</v>
      </c>
      <c r="F5" s="61">
        <v>15.1320125</v>
      </c>
    </row>
    <row r="6" spans="1:6">
      <c r="A6" t="s">
        <v>846</v>
      </c>
      <c r="B6" t="s">
        <v>847</v>
      </c>
      <c r="C6" s="40">
        <v>45818</v>
      </c>
      <c r="D6" s="61">
        <v>0.184</v>
      </c>
      <c r="E6" s="61">
        <v>1.84</v>
      </c>
      <c r="F6" s="61">
        <v>1.84</v>
      </c>
    </row>
    <row r="7" spans="1:6">
      <c r="A7" t="s">
        <v>419</v>
      </c>
      <c r="B7" t="s">
        <v>420</v>
      </c>
      <c r="C7" s="40">
        <v>46090</v>
      </c>
      <c r="D7" s="61">
        <v>0.96779999999999999</v>
      </c>
      <c r="E7" s="61">
        <v>14.865408</v>
      </c>
      <c r="F7" s="61">
        <v>14.865408</v>
      </c>
    </row>
    <row r="8" spans="1:6">
      <c r="A8" t="s">
        <v>703</v>
      </c>
      <c r="B8" t="s">
        <v>704</v>
      </c>
      <c r="C8" s="40">
        <v>44830</v>
      </c>
      <c r="D8" s="61">
        <v>1.5625</v>
      </c>
      <c r="E8" s="61">
        <v>1.328125</v>
      </c>
      <c r="F8" s="61">
        <v>1.328125</v>
      </c>
    </row>
    <row r="9" spans="1:6">
      <c r="A9" t="s">
        <v>436</v>
      </c>
      <c r="B9" t="s">
        <v>437</v>
      </c>
      <c r="C9" s="40">
        <v>45793</v>
      </c>
      <c r="D9" s="61">
        <v>1.68364</v>
      </c>
      <c r="E9" s="61">
        <v>12.1053716</v>
      </c>
      <c r="F9" s="61">
        <v>8.4737601199999997</v>
      </c>
    </row>
    <row r="10" spans="1:6">
      <c r="A10" t="s">
        <v>479</v>
      </c>
      <c r="B10" t="s">
        <v>480</v>
      </c>
      <c r="C10" s="40">
        <v>44755</v>
      </c>
      <c r="D10" s="61">
        <v>0.52714499999999997</v>
      </c>
      <c r="E10" s="61">
        <v>3.2050415999999999</v>
      </c>
      <c r="F10" s="61">
        <v>3.2050415999999999</v>
      </c>
    </row>
    <row r="11" spans="1:6">
      <c r="A11" t="s">
        <v>279</v>
      </c>
      <c r="B11" t="s">
        <v>280</v>
      </c>
      <c r="C11" s="40">
        <v>45827</v>
      </c>
      <c r="D11" s="61">
        <v>2.9122439999999998</v>
      </c>
      <c r="E11" s="61">
        <v>105.7144572</v>
      </c>
      <c r="F11" s="61">
        <v>105.7144572</v>
      </c>
    </row>
    <row r="12" spans="1:6">
      <c r="A12" t="s">
        <v>434</v>
      </c>
      <c r="B12" t="s">
        <v>435</v>
      </c>
      <c r="C12" s="40">
        <v>44748</v>
      </c>
      <c r="D12" s="61">
        <v>0.19</v>
      </c>
      <c r="E12" s="61">
        <v>5.7949999999999999</v>
      </c>
      <c r="F12" s="61">
        <v>5.7949999999999999</v>
      </c>
    </row>
    <row r="13" spans="1:6">
      <c r="A13" t="s">
        <v>749</v>
      </c>
      <c r="B13" t="s">
        <v>750</v>
      </c>
      <c r="C13" s="40">
        <v>45656</v>
      </c>
      <c r="D13" s="61">
        <v>7.0355500000000001E-2</v>
      </c>
      <c r="E13" s="61">
        <v>5.8254353999999999</v>
      </c>
      <c r="F13" s="61">
        <v>5.8254353999999999</v>
      </c>
    </row>
    <row r="14" spans="1:6">
      <c r="A14" t="s">
        <v>413</v>
      </c>
      <c r="B14" t="s">
        <v>414</v>
      </c>
      <c r="C14" s="40">
        <v>45372</v>
      </c>
      <c r="D14" s="61">
        <v>2.3393999999999999</v>
      </c>
      <c r="E14" s="61">
        <v>9.5447520000000008</v>
      </c>
      <c r="F14" s="61">
        <v>9.5447520000000008</v>
      </c>
    </row>
    <row r="15" spans="1:6">
      <c r="A15" t="s">
        <v>509</v>
      </c>
      <c r="B15" t="s">
        <v>510</v>
      </c>
      <c r="C15" s="40">
        <v>44995</v>
      </c>
      <c r="D15" s="61">
        <v>0.59936999999999996</v>
      </c>
      <c r="E15" s="61">
        <v>10.18929</v>
      </c>
      <c r="F15" s="61">
        <v>10.18929</v>
      </c>
    </row>
    <row r="16" spans="1:6">
      <c r="A16" t="s">
        <v>383</v>
      </c>
      <c r="B16" t="s">
        <v>384</v>
      </c>
      <c r="C16" s="40">
        <v>45232</v>
      </c>
      <c r="D16" s="61">
        <v>0.77360399999999996</v>
      </c>
      <c r="E16" s="61">
        <v>4.6261519199999999</v>
      </c>
      <c r="F16" s="61">
        <v>4.6261519199999999</v>
      </c>
    </row>
    <row r="17" spans="1:6">
      <c r="A17" t="s">
        <v>499</v>
      </c>
      <c r="B17" t="s">
        <v>500</v>
      </c>
      <c r="C17" s="40">
        <v>45847</v>
      </c>
      <c r="D17" s="61">
        <v>1.780756</v>
      </c>
      <c r="E17" s="61">
        <v>29.916700800000001</v>
      </c>
      <c r="F17" s="61">
        <v>29.916700800000001</v>
      </c>
    </row>
    <row r="18" spans="1:6">
      <c r="A18" t="s">
        <v>492</v>
      </c>
      <c r="B18" t="s">
        <v>493</v>
      </c>
      <c r="C18" s="40">
        <v>45483</v>
      </c>
      <c r="D18" s="61">
        <v>0.30004799999999998</v>
      </c>
      <c r="E18" s="61">
        <v>10.50168</v>
      </c>
      <c r="F18" s="61">
        <v>10.50168</v>
      </c>
    </row>
    <row r="19" spans="1:6">
      <c r="A19" t="s">
        <v>357</v>
      </c>
      <c r="B19" t="s">
        <v>358</v>
      </c>
      <c r="C19" s="40">
        <v>46133</v>
      </c>
      <c r="D19" s="61">
        <v>1.1022749999999999</v>
      </c>
      <c r="E19" s="61">
        <v>231.34547699999999</v>
      </c>
      <c r="F19" s="61">
        <v>231.34547699999999</v>
      </c>
    </row>
    <row r="20" spans="1:6">
      <c r="A20" t="s">
        <v>901</v>
      </c>
      <c r="B20" t="s">
        <v>902</v>
      </c>
      <c r="C20" s="40">
        <v>45994</v>
      </c>
      <c r="D20" s="61">
        <v>0.24299999999999999</v>
      </c>
      <c r="E20" s="61">
        <v>1.7739</v>
      </c>
      <c r="F20" s="61">
        <v>1.7739</v>
      </c>
    </row>
    <row r="21" spans="1:6">
      <c r="A21" t="s">
        <v>709</v>
      </c>
      <c r="B21" t="s">
        <v>710</v>
      </c>
      <c r="C21" s="40">
        <v>45429</v>
      </c>
      <c r="D21" s="61">
        <v>0.4</v>
      </c>
      <c r="E21" s="61">
        <v>1.28</v>
      </c>
      <c r="F21" s="61">
        <v>1.28</v>
      </c>
    </row>
    <row r="22" spans="1:6">
      <c r="A22" t="s">
        <v>570</v>
      </c>
      <c r="B22" t="s">
        <v>571</v>
      </c>
      <c r="C22" s="40">
        <v>45999</v>
      </c>
      <c r="D22" s="61">
        <v>0.20094999999999999</v>
      </c>
      <c r="E22" s="61">
        <v>23.310199999999998</v>
      </c>
      <c r="F22" s="61">
        <v>23.310199999999998</v>
      </c>
    </row>
    <row r="23" spans="1:6">
      <c r="A23" t="s">
        <v>558</v>
      </c>
      <c r="B23" t="s">
        <v>559</v>
      </c>
      <c r="C23" s="40">
        <v>46021</v>
      </c>
      <c r="D23" s="61">
        <v>0.246</v>
      </c>
      <c r="E23" s="61">
        <v>1.7465999999999999</v>
      </c>
      <c r="F23" s="61">
        <v>1.7465999999999999</v>
      </c>
    </row>
    <row r="24" spans="1:6">
      <c r="A24" t="s">
        <v>562</v>
      </c>
      <c r="B24" t="s">
        <v>563</v>
      </c>
      <c r="C24" s="40">
        <v>44907</v>
      </c>
      <c r="D24" s="61">
        <v>0.13104099999999999</v>
      </c>
      <c r="E24" s="61">
        <v>6.7355074000000004</v>
      </c>
      <c r="F24" s="61">
        <v>3.812595</v>
      </c>
    </row>
    <row r="25" spans="1:6">
      <c r="A25" t="s">
        <v>767</v>
      </c>
      <c r="B25" t="s">
        <v>768</v>
      </c>
      <c r="C25" s="40">
        <v>45282</v>
      </c>
      <c r="D25" s="61">
        <v>0.21</v>
      </c>
      <c r="E25" s="61">
        <v>2.2469999999999999</v>
      </c>
      <c r="F25" s="61">
        <v>2.2469999999999999</v>
      </c>
    </row>
    <row r="26" spans="1:6">
      <c r="A26" t="s">
        <v>325</v>
      </c>
      <c r="B26" t="s">
        <v>326</v>
      </c>
      <c r="C26" s="40">
        <v>45985</v>
      </c>
      <c r="D26" s="61">
        <v>5.75</v>
      </c>
      <c r="E26" s="61">
        <v>63.192500000000003</v>
      </c>
      <c r="F26" s="61">
        <v>63.192500000000003</v>
      </c>
    </row>
    <row r="27" spans="1:6">
      <c r="A27" t="s">
        <v>958</v>
      </c>
      <c r="B27" t="s">
        <v>959</v>
      </c>
      <c r="C27" s="40">
        <v>46030</v>
      </c>
      <c r="D27" s="61">
        <v>0.43032399999999998</v>
      </c>
      <c r="E27" s="61">
        <v>50.003648800000001</v>
      </c>
      <c r="F27" s="61">
        <v>50.003648800000001</v>
      </c>
    </row>
    <row r="28" spans="1:6">
      <c r="A28" t="s">
        <v>840</v>
      </c>
      <c r="B28" t="s">
        <v>841</v>
      </c>
      <c r="C28" s="40">
        <v>46021</v>
      </c>
      <c r="D28" s="61">
        <v>1.08894</v>
      </c>
      <c r="E28" s="61">
        <v>26.189007</v>
      </c>
      <c r="F28" s="61">
        <v>26.189007</v>
      </c>
    </row>
    <row r="29" spans="1:6">
      <c r="A29" t="s">
        <v>600</v>
      </c>
      <c r="B29" t="s">
        <v>601</v>
      </c>
      <c r="C29" s="40">
        <v>46090</v>
      </c>
      <c r="D29" s="61">
        <v>0.26748300000000003</v>
      </c>
      <c r="E29" s="61">
        <v>19.066188239999999</v>
      </c>
      <c r="F29" s="61">
        <v>19.066188239999999</v>
      </c>
    </row>
    <row r="30" spans="1:6">
      <c r="A30" t="s">
        <v>735</v>
      </c>
      <c r="B30" t="s">
        <v>736</v>
      </c>
      <c r="C30" s="40">
        <v>45656</v>
      </c>
      <c r="D30" s="61">
        <v>0.47028399999999998</v>
      </c>
      <c r="E30" s="61">
        <v>14.512964240000001</v>
      </c>
      <c r="F30" s="61">
        <v>14.512964240000001</v>
      </c>
    </row>
    <row r="31" spans="1:6">
      <c r="A31" t="s">
        <v>390</v>
      </c>
      <c r="B31" t="s">
        <v>391</v>
      </c>
      <c r="C31" s="40">
        <v>46066</v>
      </c>
      <c r="D31" s="61">
        <v>1.399888</v>
      </c>
      <c r="E31" s="61">
        <v>28.123749920000002</v>
      </c>
      <c r="F31" s="61">
        <v>28.123749920000002</v>
      </c>
    </row>
    <row r="32" spans="1:6">
      <c r="A32" t="s">
        <v>477</v>
      </c>
      <c r="B32" t="s">
        <v>478</v>
      </c>
      <c r="C32" s="40">
        <v>45233</v>
      </c>
      <c r="D32" s="61">
        <v>0.22576499999999999</v>
      </c>
      <c r="E32" s="61">
        <v>2.3366677500000002</v>
      </c>
      <c r="F32" s="61">
        <v>2.3366677500000002</v>
      </c>
    </row>
    <row r="33" spans="1:6">
      <c r="A33" t="s">
        <v>653</v>
      </c>
      <c r="B33" t="s">
        <v>654</v>
      </c>
      <c r="C33" s="40">
        <v>46021</v>
      </c>
      <c r="D33" s="61">
        <v>0.16061400000000001</v>
      </c>
      <c r="E33" s="61">
        <v>12.49095078</v>
      </c>
      <c r="F33" s="61">
        <v>12.49095078</v>
      </c>
    </row>
    <row r="34" spans="1:6">
      <c r="A34" t="s">
        <v>221</v>
      </c>
      <c r="B34" t="s">
        <v>1045</v>
      </c>
      <c r="C34" s="40">
        <v>45797</v>
      </c>
      <c r="D34" s="61">
        <v>1.559153</v>
      </c>
      <c r="E34" s="61">
        <v>410.05723899999998</v>
      </c>
      <c r="F34" s="61">
        <v>410.05723899999998</v>
      </c>
    </row>
    <row r="35" spans="1:6">
      <c r="A35" t="s">
        <v>222</v>
      </c>
      <c r="B35" t="s">
        <v>223</v>
      </c>
      <c r="C35" s="40">
        <v>45552</v>
      </c>
      <c r="D35" s="61">
        <v>6.5084850000000003</v>
      </c>
      <c r="E35" s="61">
        <v>356.66497800000002</v>
      </c>
      <c r="F35" s="61">
        <v>356.66497800000002</v>
      </c>
    </row>
    <row r="36" spans="1:6">
      <c r="A36" t="s">
        <v>503</v>
      </c>
      <c r="B36" t="s">
        <v>504</v>
      </c>
      <c r="C36" s="40">
        <v>45247</v>
      </c>
      <c r="D36" s="61">
        <v>1.9760450000000001</v>
      </c>
      <c r="E36" s="61">
        <v>40.706527000000001</v>
      </c>
      <c r="F36" s="61">
        <v>40.706527000000001</v>
      </c>
    </row>
    <row r="37" spans="1:6">
      <c r="A37" t="s">
        <v>976</v>
      </c>
      <c r="B37" t="s">
        <v>977</v>
      </c>
      <c r="C37" s="40">
        <v>46128</v>
      </c>
      <c r="D37" s="61">
        <v>0.135739</v>
      </c>
      <c r="E37" s="61">
        <v>44.006583800000001</v>
      </c>
      <c r="F37" s="61">
        <v>44.006583800000001</v>
      </c>
    </row>
    <row r="38" spans="1:6">
      <c r="A38" t="s">
        <v>915</v>
      </c>
      <c r="B38" t="s">
        <v>916</v>
      </c>
      <c r="C38" s="40">
        <v>46008</v>
      </c>
      <c r="D38" s="61">
        <v>2.4146239999999999</v>
      </c>
      <c r="E38" s="61">
        <v>16.12968832</v>
      </c>
      <c r="F38" s="61">
        <v>16.12968832</v>
      </c>
    </row>
    <row r="39" spans="1:6">
      <c r="A39" t="s">
        <v>984</v>
      </c>
      <c r="B39" t="s">
        <v>985</v>
      </c>
      <c r="C39" s="40">
        <v>45205</v>
      </c>
      <c r="D39" s="61">
        <v>1.73258</v>
      </c>
      <c r="E39" s="61">
        <v>11.26177</v>
      </c>
      <c r="F39" s="61">
        <v>11.26177</v>
      </c>
    </row>
    <row r="40" spans="1:6">
      <c r="A40" t="s">
        <v>494</v>
      </c>
      <c r="B40" t="s">
        <v>495</v>
      </c>
      <c r="C40" s="40">
        <v>46091</v>
      </c>
      <c r="D40" s="61">
        <v>0.40250000000000002</v>
      </c>
      <c r="E40" s="61">
        <v>11.616149999999999</v>
      </c>
      <c r="F40" s="61">
        <v>11.616149999999999</v>
      </c>
    </row>
    <row r="41" spans="1:6">
      <c r="A41" t="s">
        <v>304</v>
      </c>
      <c r="B41" t="s">
        <v>305</v>
      </c>
      <c r="C41" s="40">
        <v>46057</v>
      </c>
      <c r="D41" s="61">
        <v>0.3</v>
      </c>
      <c r="E41" s="61">
        <v>10.8</v>
      </c>
      <c r="F41" s="61">
        <v>10.8</v>
      </c>
    </row>
    <row r="42" spans="1:6">
      <c r="A42" t="s">
        <v>998</v>
      </c>
      <c r="B42" t="s">
        <v>999</v>
      </c>
      <c r="C42" s="40">
        <v>45884</v>
      </c>
      <c r="D42" s="61">
        <v>0.365564</v>
      </c>
      <c r="E42" s="61">
        <v>6.8287355200000004</v>
      </c>
      <c r="F42" s="61">
        <v>6.8287355200000004</v>
      </c>
    </row>
    <row r="43" spans="1:6">
      <c r="A43" t="s">
        <v>497</v>
      </c>
      <c r="B43" t="s">
        <v>498</v>
      </c>
      <c r="C43" s="40">
        <v>44942</v>
      </c>
      <c r="D43" s="61">
        <v>0.466165</v>
      </c>
      <c r="E43" s="61">
        <v>9.0063078000000001</v>
      </c>
      <c r="F43" s="61">
        <v>5.8878665999999997</v>
      </c>
    </row>
    <row r="44" spans="1:6">
      <c r="A44" t="s">
        <v>1018</v>
      </c>
      <c r="B44" t="s">
        <v>1019</v>
      </c>
      <c r="C44" s="40">
        <v>45174</v>
      </c>
      <c r="D44" s="61">
        <v>0.18065000000000001</v>
      </c>
      <c r="E44" s="61">
        <v>3.36009</v>
      </c>
      <c r="F44" s="61">
        <v>3.36009</v>
      </c>
    </row>
    <row r="45" spans="1:6">
      <c r="A45" t="s">
        <v>1014</v>
      </c>
      <c r="B45" t="s">
        <v>1015</v>
      </c>
      <c r="C45" s="40">
        <v>45831</v>
      </c>
      <c r="D45" s="61">
        <v>0.15281</v>
      </c>
      <c r="E45" s="61">
        <v>2.0094514999999999</v>
      </c>
      <c r="F45" s="61">
        <v>2.0094514999999999</v>
      </c>
    </row>
    <row r="46" spans="1:6">
      <c r="A46" t="s">
        <v>468</v>
      </c>
      <c r="B46" t="s">
        <v>469</v>
      </c>
      <c r="C46" s="40">
        <v>44630</v>
      </c>
      <c r="D46" s="61">
        <v>1.04189</v>
      </c>
      <c r="E46" s="61">
        <v>8.4809845999999993</v>
      </c>
      <c r="F46" s="61">
        <v>8.4809845999999993</v>
      </c>
    </row>
    <row r="47" spans="1:6">
      <c r="A47" t="s">
        <v>399</v>
      </c>
      <c r="B47" t="s">
        <v>400</v>
      </c>
      <c r="C47" s="40">
        <v>45834</v>
      </c>
      <c r="D47" s="61">
        <v>0.619035</v>
      </c>
      <c r="E47" s="61">
        <v>14.85684</v>
      </c>
      <c r="F47" s="61">
        <v>14.85684</v>
      </c>
    </row>
    <row r="48" spans="1:6">
      <c r="A48" t="s">
        <v>680</v>
      </c>
      <c r="B48" t="s">
        <v>681</v>
      </c>
      <c r="C48" s="40">
        <v>44805</v>
      </c>
      <c r="D48" s="61">
        <v>0.24468500000000001</v>
      </c>
      <c r="E48" s="61">
        <v>6.1709557000000004</v>
      </c>
      <c r="F48" s="61">
        <v>6.1709557000000004</v>
      </c>
    </row>
    <row r="49" spans="1:6">
      <c r="A49" t="s">
        <v>256</v>
      </c>
      <c r="B49" t="s">
        <v>257</v>
      </c>
      <c r="C49" s="40">
        <v>44755</v>
      </c>
      <c r="D49" s="61">
        <v>1.641222</v>
      </c>
      <c r="E49" s="61">
        <v>134.58020400000001</v>
      </c>
      <c r="F49" s="61">
        <v>134.58020400000001</v>
      </c>
    </row>
    <row r="50" spans="1:6">
      <c r="A50" t="s">
        <v>401</v>
      </c>
      <c r="B50" t="s">
        <v>402</v>
      </c>
      <c r="C50" s="40">
        <v>45211</v>
      </c>
      <c r="D50" s="61">
        <v>1.06667</v>
      </c>
      <c r="E50" s="61">
        <v>7.8613578999999998</v>
      </c>
      <c r="F50" s="61">
        <v>7.8613578999999998</v>
      </c>
    </row>
    <row r="51" spans="1:6">
      <c r="A51" t="s">
        <v>329</v>
      </c>
      <c r="B51" t="s">
        <v>330</v>
      </c>
      <c r="C51" s="40">
        <v>45195</v>
      </c>
      <c r="D51" s="61">
        <v>0.46965800000000002</v>
      </c>
      <c r="E51" s="61">
        <v>13.150423999999999</v>
      </c>
      <c r="F51" s="61">
        <v>13.150423999999999</v>
      </c>
    </row>
    <row r="52" spans="1:6">
      <c r="A52" t="s">
        <v>874</v>
      </c>
      <c r="B52" t="s">
        <v>875</v>
      </c>
      <c r="C52" s="40">
        <v>46030</v>
      </c>
      <c r="D52" s="61">
        <v>0.25431799999999999</v>
      </c>
      <c r="E52" s="61">
        <v>36.774382799999998</v>
      </c>
      <c r="F52" s="61">
        <v>36.774382799999998</v>
      </c>
    </row>
    <row r="53" spans="1:6">
      <c r="A53" t="s">
        <v>465</v>
      </c>
      <c r="B53" t="s">
        <v>466</v>
      </c>
      <c r="C53" s="40">
        <v>46148</v>
      </c>
      <c r="D53" s="61">
        <v>0.27</v>
      </c>
      <c r="E53" s="61">
        <v>10.6191</v>
      </c>
      <c r="F53" s="61">
        <v>10.6191</v>
      </c>
    </row>
    <row r="54" spans="1:6">
      <c r="A54" t="s">
        <v>229</v>
      </c>
      <c r="B54" t="s">
        <v>230</v>
      </c>
      <c r="C54" s="40">
        <v>45925</v>
      </c>
      <c r="D54" s="61">
        <v>3.3877290000000002</v>
      </c>
      <c r="E54" s="61">
        <v>104.17266675</v>
      </c>
      <c r="F54" s="61">
        <v>104.17266675</v>
      </c>
    </row>
    <row r="55" spans="1:6">
      <c r="A55" t="s">
        <v>970</v>
      </c>
      <c r="B55" t="s">
        <v>971</v>
      </c>
      <c r="C55" s="40">
        <v>45665</v>
      </c>
      <c r="D55" s="61">
        <v>1.8111200000000001</v>
      </c>
      <c r="E55" s="61">
        <v>5.8318063999999996</v>
      </c>
      <c r="F55" s="61">
        <v>5.8318063999999996</v>
      </c>
    </row>
    <row r="56" spans="1:6">
      <c r="A56" t="s">
        <v>292</v>
      </c>
      <c r="B56" t="s">
        <v>293</v>
      </c>
      <c r="C56" s="40">
        <v>46034</v>
      </c>
      <c r="D56" s="61">
        <v>0.50741099999999995</v>
      </c>
      <c r="E56" s="61">
        <v>53.176672799999999</v>
      </c>
      <c r="F56" s="61">
        <v>53.176672799999999</v>
      </c>
    </row>
    <row r="57" spans="1:6">
      <c r="A57" t="s">
        <v>695</v>
      </c>
      <c r="B57" t="s">
        <v>696</v>
      </c>
      <c r="C57" s="40">
        <v>46031</v>
      </c>
      <c r="D57" s="61">
        <v>0.42280400000000001</v>
      </c>
      <c r="E57" s="61">
        <v>12.68412</v>
      </c>
      <c r="F57" s="61">
        <v>12.68412</v>
      </c>
    </row>
    <row r="58" spans="1:6">
      <c r="A58" t="s">
        <v>275</v>
      </c>
      <c r="B58" t="s">
        <v>276</v>
      </c>
      <c r="C58" s="40">
        <v>44840</v>
      </c>
      <c r="D58" s="61">
        <v>2.6584530000000002</v>
      </c>
      <c r="E58" s="61">
        <v>101.021214</v>
      </c>
      <c r="F58" s="61">
        <v>101.021214</v>
      </c>
    </row>
    <row r="59" spans="1:6">
      <c r="A59" t="s">
        <v>517</v>
      </c>
      <c r="B59" t="s">
        <v>518</v>
      </c>
      <c r="C59" s="40">
        <v>45916</v>
      </c>
      <c r="D59" s="61">
        <v>0.224825</v>
      </c>
      <c r="E59" s="61">
        <v>47.842759999999998</v>
      </c>
      <c r="F59" s="61">
        <v>47.842759999999998</v>
      </c>
    </row>
    <row r="60" spans="1:6">
      <c r="A60" t="s">
        <v>585</v>
      </c>
      <c r="B60" t="s">
        <v>586</v>
      </c>
      <c r="C60" s="40">
        <v>45889</v>
      </c>
      <c r="D60" s="61">
        <v>0.54907499999999998</v>
      </c>
      <c r="E60" s="61">
        <v>23.500409999999999</v>
      </c>
      <c r="F60" s="61">
        <v>23.500409999999999</v>
      </c>
    </row>
    <row r="61" spans="1:6">
      <c r="A61" t="s">
        <v>664</v>
      </c>
      <c r="B61" t="s">
        <v>665</v>
      </c>
      <c r="C61" s="40">
        <v>44945</v>
      </c>
      <c r="D61" s="61">
        <v>1.2188099999999999</v>
      </c>
      <c r="E61" s="61">
        <v>4.9727448000000001</v>
      </c>
      <c r="F61" s="61">
        <v>4.9727448000000001</v>
      </c>
    </row>
    <row r="62" spans="1:6">
      <c r="A62" t="s">
        <v>350</v>
      </c>
      <c r="B62" t="s">
        <v>351</v>
      </c>
      <c r="C62" s="40">
        <v>44651</v>
      </c>
      <c r="D62" s="61">
        <v>0.87747699999999995</v>
      </c>
      <c r="E62" s="61">
        <v>20.076673759999998</v>
      </c>
      <c r="F62" s="61">
        <v>20.076673759999998</v>
      </c>
    </row>
    <row r="63" spans="1:6">
      <c r="A63" t="s">
        <v>234</v>
      </c>
      <c r="B63" t="s">
        <v>235</v>
      </c>
      <c r="C63" s="40">
        <v>44610</v>
      </c>
      <c r="D63" s="61">
        <v>0.53911799999999999</v>
      </c>
      <c r="E63" s="61">
        <v>23.182074</v>
      </c>
      <c r="F63" s="61">
        <v>23.182074</v>
      </c>
    </row>
    <row r="64" spans="1:6">
      <c r="A64" t="s">
        <v>953</v>
      </c>
      <c r="B64" t="s">
        <v>954</v>
      </c>
      <c r="C64" s="40">
        <v>46140</v>
      </c>
      <c r="D64" s="61">
        <v>0.471302</v>
      </c>
      <c r="E64" s="61">
        <v>13.026787280000001</v>
      </c>
      <c r="F64" s="61">
        <v>13.026787280000001</v>
      </c>
    </row>
    <row r="65" spans="1:6">
      <c r="A65" t="s">
        <v>483</v>
      </c>
      <c r="B65" t="s">
        <v>484</v>
      </c>
      <c r="C65" s="40">
        <v>45666</v>
      </c>
      <c r="D65" s="61">
        <v>1.44974</v>
      </c>
      <c r="E65" s="61">
        <v>4.3492199999999999</v>
      </c>
      <c r="F65" s="61">
        <v>4.3492199999999999</v>
      </c>
    </row>
    <row r="66" spans="1:6">
      <c r="A66" t="s">
        <v>658</v>
      </c>
      <c r="B66" t="s">
        <v>659</v>
      </c>
      <c r="C66" s="40">
        <v>45996</v>
      </c>
      <c r="D66" s="61">
        <v>0.97364499999999998</v>
      </c>
      <c r="E66" s="61">
        <v>6.8544608</v>
      </c>
      <c r="F66" s="61">
        <v>6.8544608</v>
      </c>
    </row>
    <row r="67" spans="1:6">
      <c r="A67" t="s">
        <v>701</v>
      </c>
      <c r="B67" t="s">
        <v>702</v>
      </c>
      <c r="C67" s="40">
        <v>46129</v>
      </c>
      <c r="D67" s="61">
        <v>1.8471150000000001</v>
      </c>
      <c r="E67" s="61">
        <v>14.0750163</v>
      </c>
      <c r="F67" s="61">
        <v>14.0750163</v>
      </c>
    </row>
    <row r="68" spans="1:6">
      <c r="A68" t="s">
        <v>311</v>
      </c>
      <c r="B68" t="s">
        <v>312</v>
      </c>
      <c r="C68" s="40">
        <v>44833</v>
      </c>
      <c r="D68" s="61">
        <v>1.3081910000000001</v>
      </c>
      <c r="E68" s="61">
        <v>62.793168000000001</v>
      </c>
      <c r="F68" s="61">
        <v>62.793168000000001</v>
      </c>
    </row>
    <row r="69" spans="1:6">
      <c r="A69" t="s">
        <v>1038</v>
      </c>
      <c r="B69" t="s">
        <v>1039</v>
      </c>
      <c r="C69" s="40">
        <v>45897</v>
      </c>
      <c r="D69" s="61">
        <v>1.2627999999999999</v>
      </c>
      <c r="E69" s="61">
        <v>13.789776</v>
      </c>
      <c r="F69" s="61">
        <v>13.789776</v>
      </c>
    </row>
    <row r="70" spans="1:6">
      <c r="A70" t="s">
        <v>949</v>
      </c>
      <c r="B70" t="s">
        <v>950</v>
      </c>
      <c r="C70" s="40">
        <v>46010</v>
      </c>
      <c r="D70" s="61">
        <v>5.4079799999999997E-2</v>
      </c>
      <c r="E70" s="61">
        <v>14.222987399999999</v>
      </c>
      <c r="F70" s="61">
        <v>14.222987399999999</v>
      </c>
    </row>
    <row r="71" spans="1:6">
      <c r="A71" t="s">
        <v>290</v>
      </c>
      <c r="B71" t="s">
        <v>291</v>
      </c>
      <c r="C71" s="40">
        <v>44896</v>
      </c>
      <c r="D71" s="61">
        <v>2.3816259999999998</v>
      </c>
      <c r="E71" s="61">
        <v>37.629690799999999</v>
      </c>
      <c r="F71" s="61">
        <v>37.629690799999999</v>
      </c>
    </row>
    <row r="72" spans="1:6">
      <c r="A72" t="s">
        <v>525</v>
      </c>
      <c r="B72" t="s">
        <v>526</v>
      </c>
      <c r="C72" s="40">
        <v>45762</v>
      </c>
      <c r="D72" s="61">
        <v>0.199321</v>
      </c>
      <c r="E72" s="61">
        <v>18.855766599999999</v>
      </c>
      <c r="F72" s="61">
        <v>18.855766599999999</v>
      </c>
    </row>
    <row r="73" spans="1:6">
      <c r="A73" t="s">
        <v>641</v>
      </c>
      <c r="B73" t="s">
        <v>642</v>
      </c>
      <c r="C73" s="40">
        <v>45667</v>
      </c>
      <c r="D73" s="61">
        <v>0.31899</v>
      </c>
      <c r="E73" s="61">
        <v>19.251046500000001</v>
      </c>
      <c r="F73" s="61">
        <v>19.251046500000001</v>
      </c>
    </row>
    <row r="74" spans="1:6">
      <c r="A74" t="s">
        <v>346</v>
      </c>
      <c r="B74" t="s">
        <v>347</v>
      </c>
      <c r="C74" s="40">
        <v>46050</v>
      </c>
      <c r="D74" s="61">
        <v>0.17837800000000001</v>
      </c>
      <c r="E74" s="61">
        <v>42.204234800000002</v>
      </c>
      <c r="F74" s="61">
        <v>42.204234800000002</v>
      </c>
    </row>
    <row r="75" spans="1:6">
      <c r="A75" t="s">
        <v>763</v>
      </c>
      <c r="B75" t="s">
        <v>764</v>
      </c>
      <c r="C75" s="40">
        <v>46021</v>
      </c>
      <c r="D75" s="61">
        <v>0.22694400000000001</v>
      </c>
      <c r="E75" s="61">
        <v>10.893312</v>
      </c>
      <c r="F75" s="61">
        <v>10.893312</v>
      </c>
    </row>
    <row r="76" spans="1:6">
      <c r="A76" t="s">
        <v>830</v>
      </c>
      <c r="B76" t="s">
        <v>831</v>
      </c>
      <c r="C76" s="40">
        <v>44754</v>
      </c>
      <c r="D76" s="61">
        <v>0.52</v>
      </c>
      <c r="E76" s="61">
        <v>3.952</v>
      </c>
      <c r="F76" s="61">
        <v>3.952</v>
      </c>
    </row>
    <row r="77" spans="1:6">
      <c r="A77" t="s">
        <v>870</v>
      </c>
      <c r="B77" t="s">
        <v>871</v>
      </c>
      <c r="C77" s="40">
        <v>45909</v>
      </c>
      <c r="D77" s="61">
        <v>9.0410000000000004E-2</v>
      </c>
      <c r="E77" s="61">
        <v>4.475295</v>
      </c>
      <c r="F77" s="61">
        <v>4.475295</v>
      </c>
    </row>
    <row r="78" spans="1:6">
      <c r="A78" t="s">
        <v>921</v>
      </c>
      <c r="B78" t="s">
        <v>922</v>
      </c>
      <c r="C78" s="40">
        <v>46111</v>
      </c>
      <c r="D78" s="61">
        <v>1.0637160000000001</v>
      </c>
      <c r="E78" s="61">
        <v>18.083172000000001</v>
      </c>
      <c r="F78" s="61">
        <v>18.083172000000001</v>
      </c>
    </row>
    <row r="79" spans="1:6">
      <c r="A79" t="s">
        <v>307</v>
      </c>
      <c r="B79" t="s">
        <v>308</v>
      </c>
      <c r="C79" s="40">
        <v>46002</v>
      </c>
      <c r="D79" s="61">
        <v>2.151662</v>
      </c>
      <c r="E79" s="61">
        <v>30.338434199999998</v>
      </c>
      <c r="F79" s="61">
        <v>30.338434199999998</v>
      </c>
    </row>
    <row r="80" spans="1:6">
      <c r="A80" t="s">
        <v>972</v>
      </c>
      <c r="B80" t="s">
        <v>973</v>
      </c>
      <c r="C80" s="40">
        <v>45596</v>
      </c>
      <c r="D80" s="61">
        <v>0.14588000000000001</v>
      </c>
      <c r="E80" s="61">
        <v>2.3340800000000002</v>
      </c>
      <c r="F80" s="61">
        <v>2.3340800000000002</v>
      </c>
    </row>
    <row r="81" spans="1:6">
      <c r="A81" t="s">
        <v>377</v>
      </c>
      <c r="B81" t="s">
        <v>378</v>
      </c>
      <c r="C81" s="40">
        <v>45197</v>
      </c>
      <c r="D81" s="61">
        <v>0.18976000000000001</v>
      </c>
      <c r="E81" s="61">
        <v>2.6566399999999999</v>
      </c>
      <c r="F81" s="61">
        <v>2.6566399999999999</v>
      </c>
    </row>
    <row r="82" spans="1:6">
      <c r="A82" t="s">
        <v>626</v>
      </c>
      <c r="B82" t="s">
        <v>627</v>
      </c>
      <c r="C82" s="40">
        <v>46104</v>
      </c>
      <c r="D82" s="61">
        <v>0.95</v>
      </c>
      <c r="E82" s="61">
        <v>10.26</v>
      </c>
      <c r="F82" s="61">
        <v>10.26</v>
      </c>
    </row>
    <row r="83" spans="1:6">
      <c r="A83" t="s">
        <v>844</v>
      </c>
      <c r="B83" t="s">
        <v>845</v>
      </c>
      <c r="C83" s="40">
        <v>45043</v>
      </c>
      <c r="D83" s="61">
        <v>0.66788999999999998</v>
      </c>
      <c r="E83" s="61">
        <v>6.0777989999999997</v>
      </c>
      <c r="F83" s="61">
        <v>6.0777989999999997</v>
      </c>
    </row>
    <row r="84" spans="1:6">
      <c r="A84" t="s">
        <v>348</v>
      </c>
      <c r="B84" t="s">
        <v>349</v>
      </c>
      <c r="C84" s="40">
        <v>45071</v>
      </c>
      <c r="D84" s="61">
        <v>3.6469399999999998</v>
      </c>
      <c r="E84" s="61">
        <v>16.484168799999999</v>
      </c>
      <c r="F84" s="61">
        <v>16.484168799999999</v>
      </c>
    </row>
    <row r="85" spans="1:6">
      <c r="A85" t="s">
        <v>1036</v>
      </c>
      <c r="B85" t="s">
        <v>1037</v>
      </c>
      <c r="C85" s="40">
        <v>45737</v>
      </c>
      <c r="D85" s="61">
        <v>0.11385000000000001</v>
      </c>
      <c r="E85" s="61">
        <v>7.8328800000000003</v>
      </c>
      <c r="F85" s="61">
        <v>7.8328800000000003</v>
      </c>
    </row>
    <row r="86" spans="1:6">
      <c r="A86" t="s">
        <v>974</v>
      </c>
      <c r="B86" t="s">
        <v>975</v>
      </c>
      <c r="C86" s="40">
        <v>46024</v>
      </c>
      <c r="D86" s="61">
        <v>3.2757339999999999</v>
      </c>
      <c r="E86" s="61">
        <v>64.204386400000004</v>
      </c>
      <c r="F86" s="61">
        <v>64.204386400000004</v>
      </c>
    </row>
    <row r="87" spans="1:6">
      <c r="A87" t="s">
        <v>331</v>
      </c>
      <c r="B87" t="s">
        <v>332</v>
      </c>
      <c r="C87" s="40">
        <v>45588</v>
      </c>
      <c r="D87" s="61">
        <v>3.9819659999999999</v>
      </c>
      <c r="E87" s="61">
        <v>57.738506999999998</v>
      </c>
      <c r="F87" s="61">
        <v>57.738506999999998</v>
      </c>
    </row>
    <row r="88" spans="1:6">
      <c r="A88" t="s">
        <v>231</v>
      </c>
      <c r="B88" t="s">
        <v>232</v>
      </c>
      <c r="C88" s="40">
        <v>46059</v>
      </c>
      <c r="D88" s="61">
        <v>3.1022310000000002</v>
      </c>
      <c r="E88" s="61">
        <v>120.987009</v>
      </c>
      <c r="F88" s="61">
        <v>120.987009</v>
      </c>
    </row>
    <row r="89" spans="1:6">
      <c r="A89" t="s">
        <v>968</v>
      </c>
      <c r="B89" t="s">
        <v>969</v>
      </c>
      <c r="C89" s="40">
        <v>45919</v>
      </c>
      <c r="D89" s="61">
        <v>1.02626</v>
      </c>
      <c r="E89" s="61">
        <v>20.9254414</v>
      </c>
      <c r="F89" s="61">
        <v>20.9254414</v>
      </c>
    </row>
    <row r="90" spans="1:6">
      <c r="A90" t="s">
        <v>282</v>
      </c>
      <c r="B90" t="s">
        <v>283</v>
      </c>
      <c r="C90" s="40">
        <v>45831</v>
      </c>
      <c r="D90" s="61">
        <v>4.7653639999999999</v>
      </c>
      <c r="E90" s="61">
        <v>107.36365092</v>
      </c>
      <c r="F90" s="61">
        <v>107.36365092</v>
      </c>
    </row>
    <row r="91" spans="1:6">
      <c r="A91" t="s">
        <v>248</v>
      </c>
      <c r="B91" t="s">
        <v>249</v>
      </c>
      <c r="C91" s="40">
        <v>45967</v>
      </c>
      <c r="D91" s="61">
        <v>1.5509999999999999</v>
      </c>
      <c r="E91" s="61">
        <v>34.122</v>
      </c>
      <c r="F91" s="61">
        <v>34.122</v>
      </c>
    </row>
    <row r="92" spans="1:6">
      <c r="A92" t="s">
        <v>511</v>
      </c>
      <c r="B92" t="s">
        <v>512</v>
      </c>
      <c r="C92" s="40">
        <v>45272</v>
      </c>
      <c r="D92" s="61">
        <v>0.32</v>
      </c>
      <c r="E92" s="61">
        <v>3.1040000000000001</v>
      </c>
      <c r="F92" s="61">
        <v>3.1040000000000001</v>
      </c>
    </row>
    <row r="93" spans="1:6">
      <c r="A93" t="s">
        <v>442</v>
      </c>
      <c r="B93" t="s">
        <v>443</v>
      </c>
      <c r="C93" s="40">
        <v>45107</v>
      </c>
      <c r="D93" s="61">
        <v>0.37095</v>
      </c>
      <c r="E93" s="61">
        <v>4.5701039999999997</v>
      </c>
      <c r="F93" s="61">
        <v>2.6107312</v>
      </c>
    </row>
    <row r="94" spans="1:6">
      <c r="A94" t="s">
        <v>925</v>
      </c>
      <c r="B94" t="s">
        <v>926</v>
      </c>
      <c r="C94" s="40">
        <v>45456</v>
      </c>
      <c r="D94" s="61">
        <v>1.9616899999999999</v>
      </c>
      <c r="E94" s="61">
        <v>10.357723200000001</v>
      </c>
      <c r="F94" s="61">
        <v>10.357723200000001</v>
      </c>
    </row>
    <row r="95" spans="1:6">
      <c r="A95" t="s">
        <v>745</v>
      </c>
      <c r="B95" t="s">
        <v>746</v>
      </c>
      <c r="C95" s="40">
        <v>45834</v>
      </c>
      <c r="D95" s="61">
        <v>1.221965</v>
      </c>
      <c r="E95" s="61">
        <v>8.0405297000000004</v>
      </c>
      <c r="F95" s="61">
        <v>8.0405297000000004</v>
      </c>
    </row>
    <row r="96" spans="1:6">
      <c r="A96" t="s">
        <v>560</v>
      </c>
      <c r="B96" t="s">
        <v>561</v>
      </c>
      <c r="C96" s="40">
        <v>44792</v>
      </c>
      <c r="D96" s="61">
        <v>2.7715000000000001</v>
      </c>
      <c r="E96" s="61">
        <v>1.5520400000000001</v>
      </c>
      <c r="F96" s="61">
        <v>1.5520400000000001</v>
      </c>
    </row>
    <row r="97" spans="1:6">
      <c r="A97" t="s">
        <v>297</v>
      </c>
      <c r="B97" t="s">
        <v>298</v>
      </c>
      <c r="C97" s="40">
        <v>45625</v>
      </c>
      <c r="D97" s="61">
        <v>0.43956800000000001</v>
      </c>
      <c r="E97" s="61">
        <v>5.2748160000000004</v>
      </c>
      <c r="F97" s="61">
        <v>5.2748160000000004</v>
      </c>
    </row>
    <row r="98" spans="1:6">
      <c r="A98" t="s">
        <v>583</v>
      </c>
      <c r="B98" t="s">
        <v>584</v>
      </c>
      <c r="C98" s="40">
        <v>44852</v>
      </c>
      <c r="D98" s="61">
        <v>2.7149999999999999</v>
      </c>
      <c r="E98" s="61">
        <v>6.0001499999999997</v>
      </c>
      <c r="F98" s="61">
        <v>6.0001499999999997</v>
      </c>
    </row>
    <row r="99" spans="1:6">
      <c r="A99" t="s">
        <v>318</v>
      </c>
      <c r="B99" t="s">
        <v>319</v>
      </c>
      <c r="C99" s="40">
        <v>45930</v>
      </c>
      <c r="D99" s="61">
        <v>4.0133929999999998</v>
      </c>
      <c r="E99" s="61">
        <v>287.31880487000001</v>
      </c>
      <c r="F99" s="61">
        <v>287.31880487000001</v>
      </c>
    </row>
    <row r="100" spans="1:6">
      <c r="A100" t="s">
        <v>1030</v>
      </c>
      <c r="B100" t="s">
        <v>1031</v>
      </c>
      <c r="C100" s="40">
        <v>44651</v>
      </c>
      <c r="D100" s="61">
        <v>0.34712999999999999</v>
      </c>
      <c r="E100" s="61">
        <v>8.6088240000000003</v>
      </c>
      <c r="F100" s="61">
        <v>8.6088240000000003</v>
      </c>
    </row>
    <row r="101" spans="1:6">
      <c r="A101" t="s">
        <v>394</v>
      </c>
      <c r="B101" t="s">
        <v>395</v>
      </c>
      <c r="C101" s="40">
        <v>45952</v>
      </c>
      <c r="D101" s="61">
        <v>1.3508020000000001</v>
      </c>
      <c r="E101" s="61">
        <v>29.042242999999999</v>
      </c>
      <c r="F101" s="61">
        <v>29.042242999999999</v>
      </c>
    </row>
    <row r="102" spans="1:6">
      <c r="A102" t="s">
        <v>313</v>
      </c>
      <c r="B102" t="s">
        <v>314</v>
      </c>
      <c r="C102" s="40">
        <v>46064</v>
      </c>
      <c r="D102" s="61">
        <v>1.080584</v>
      </c>
      <c r="E102" s="61">
        <v>49.490747200000001</v>
      </c>
      <c r="F102" s="61">
        <v>49.490747200000001</v>
      </c>
    </row>
    <row r="103" spans="1:6">
      <c r="A103" t="s">
        <v>272</v>
      </c>
      <c r="B103" t="s">
        <v>273</v>
      </c>
      <c r="C103" s="40">
        <v>46044</v>
      </c>
      <c r="D103" s="61">
        <v>0.52259100000000003</v>
      </c>
      <c r="E103" s="61">
        <v>16.200320999999999</v>
      </c>
      <c r="F103" s="61">
        <v>16.200320999999999</v>
      </c>
    </row>
    <row r="104" spans="1:6">
      <c r="A104" t="s">
        <v>253</v>
      </c>
      <c r="B104" t="s">
        <v>254</v>
      </c>
      <c r="C104" s="40">
        <v>45847</v>
      </c>
      <c r="D104" s="61">
        <v>3.015952</v>
      </c>
      <c r="E104" s="61">
        <v>54.830007360000003</v>
      </c>
      <c r="F104" s="61">
        <v>54.830007360000003</v>
      </c>
    </row>
    <row r="105" spans="1:6">
      <c r="A105" t="s">
        <v>411</v>
      </c>
      <c r="B105" t="s">
        <v>412</v>
      </c>
      <c r="C105" s="40">
        <v>45741</v>
      </c>
      <c r="D105" s="61">
        <v>0.89435200000000004</v>
      </c>
      <c r="E105" s="61">
        <v>23.789763199999999</v>
      </c>
      <c r="F105" s="61">
        <v>23.789763199999999</v>
      </c>
    </row>
    <row r="106" spans="1:6">
      <c r="A106" t="s">
        <v>542</v>
      </c>
      <c r="B106" t="s">
        <v>543</v>
      </c>
      <c r="C106" s="40">
        <v>45589</v>
      </c>
      <c r="D106" s="61">
        <v>15.255342000000001</v>
      </c>
      <c r="E106" s="61">
        <v>60.868814579999999</v>
      </c>
      <c r="F106" s="61">
        <v>60.868814579999999</v>
      </c>
    </row>
    <row r="107" spans="1:6">
      <c r="A107" t="s">
        <v>1004</v>
      </c>
      <c r="B107" t="s">
        <v>1005</v>
      </c>
      <c r="C107" s="40">
        <v>45863</v>
      </c>
      <c r="D107" s="61">
        <v>0.42391800000000002</v>
      </c>
      <c r="E107" s="61">
        <v>14.83713</v>
      </c>
      <c r="F107" s="61">
        <v>14.83713</v>
      </c>
    </row>
    <row r="108" spans="1:6">
      <c r="A108" t="s">
        <v>554</v>
      </c>
      <c r="B108" t="s">
        <v>555</v>
      </c>
      <c r="C108" s="40">
        <v>44642</v>
      </c>
      <c r="D108" s="61">
        <v>0.46527499999999999</v>
      </c>
      <c r="E108" s="61">
        <v>6.8023205000000004</v>
      </c>
      <c r="F108" s="61">
        <v>6.8023205000000004</v>
      </c>
    </row>
    <row r="109" spans="1:6">
      <c r="A109" t="s">
        <v>1000</v>
      </c>
      <c r="B109" t="s">
        <v>1001</v>
      </c>
      <c r="C109" s="40">
        <v>45106</v>
      </c>
      <c r="D109" s="61">
        <v>0.63727999999999996</v>
      </c>
      <c r="E109" s="61">
        <v>7.9086448000000003</v>
      </c>
      <c r="F109" s="61">
        <v>7.9086448000000003</v>
      </c>
    </row>
    <row r="110" spans="1:6">
      <c r="A110" t="s">
        <v>262</v>
      </c>
      <c r="B110" t="s">
        <v>263</v>
      </c>
      <c r="C110" s="40">
        <v>45978</v>
      </c>
      <c r="D110" s="61">
        <v>1.042254</v>
      </c>
      <c r="E110" s="61">
        <v>35.436636</v>
      </c>
      <c r="F110" s="61">
        <v>35.436636</v>
      </c>
    </row>
    <row r="111" spans="1:6">
      <c r="A111" t="s">
        <v>890</v>
      </c>
      <c r="B111" t="s">
        <v>891</v>
      </c>
      <c r="C111" s="40">
        <v>46063</v>
      </c>
      <c r="D111" s="61">
        <v>1.060913</v>
      </c>
      <c r="E111" s="61">
        <v>29.917746600000001</v>
      </c>
      <c r="F111" s="61">
        <v>29.917746600000001</v>
      </c>
    </row>
    <row r="112" spans="1:6">
      <c r="A112" t="s">
        <v>487</v>
      </c>
      <c r="B112" t="s">
        <v>488</v>
      </c>
      <c r="C112" s="40">
        <v>46062</v>
      </c>
      <c r="D112" s="61">
        <v>0.75773500000000005</v>
      </c>
      <c r="E112" s="61">
        <v>80.994294150000002</v>
      </c>
      <c r="F112" s="61">
        <v>80.994294150000002</v>
      </c>
    </row>
    <row r="113" spans="1:6">
      <c r="A113" t="s">
        <v>387</v>
      </c>
      <c r="B113" t="s">
        <v>388</v>
      </c>
      <c r="C113" s="40">
        <v>46035</v>
      </c>
      <c r="D113" s="61">
        <v>0.33253100000000002</v>
      </c>
      <c r="E113" s="61">
        <v>53.870021999999999</v>
      </c>
      <c r="F113" s="61">
        <v>53.870021999999999</v>
      </c>
    </row>
    <row r="114" spans="1:6">
      <c r="A114" t="s">
        <v>719</v>
      </c>
      <c r="B114" t="s">
        <v>720</v>
      </c>
      <c r="C114" s="40">
        <v>44910</v>
      </c>
      <c r="D114" s="61">
        <v>0.16764999999999999</v>
      </c>
      <c r="E114" s="61">
        <v>4.1878970000000004</v>
      </c>
      <c r="F114" s="61">
        <v>4.1878970000000004</v>
      </c>
    </row>
    <row r="115" spans="1:6">
      <c r="A115" t="s">
        <v>381</v>
      </c>
      <c r="B115" t="s">
        <v>382</v>
      </c>
      <c r="C115" s="40">
        <v>45597</v>
      </c>
      <c r="D115" s="61">
        <v>2.6503100000000002</v>
      </c>
      <c r="E115" s="61">
        <v>11.078295799999999</v>
      </c>
      <c r="F115" s="61">
        <v>11.078295799999999</v>
      </c>
    </row>
    <row r="116" spans="1:6">
      <c r="A116" t="s">
        <v>344</v>
      </c>
      <c r="B116" t="s">
        <v>345</v>
      </c>
      <c r="C116" s="40">
        <v>45833</v>
      </c>
      <c r="D116" s="61">
        <v>0.44178600000000001</v>
      </c>
      <c r="E116" s="61">
        <v>18.52850484</v>
      </c>
      <c r="F116" s="61">
        <v>18.52850484</v>
      </c>
    </row>
    <row r="117" spans="1:6">
      <c r="A117" t="s">
        <v>819</v>
      </c>
      <c r="B117" t="s">
        <v>820</v>
      </c>
      <c r="C117" s="40">
        <v>45847</v>
      </c>
      <c r="D117" s="61">
        <v>0.21556</v>
      </c>
      <c r="E117" s="61">
        <v>25.974979999999999</v>
      </c>
      <c r="F117" s="61">
        <v>25.974979999999999</v>
      </c>
    </row>
    <row r="118" spans="1:6">
      <c r="A118" t="s">
        <v>832</v>
      </c>
      <c r="B118" t="s">
        <v>833</v>
      </c>
      <c r="C118" s="40">
        <v>46066</v>
      </c>
      <c r="D118" s="61">
        <v>0.280302</v>
      </c>
      <c r="E118" s="61">
        <v>7.5849721199999998</v>
      </c>
      <c r="F118" s="61">
        <v>7.5849721199999998</v>
      </c>
    </row>
    <row r="119" spans="1:6">
      <c r="A119" t="s">
        <v>1008</v>
      </c>
      <c r="B119" t="s">
        <v>1009</v>
      </c>
      <c r="C119" s="40">
        <v>46014</v>
      </c>
      <c r="D119" s="61">
        <v>0.18321000000000001</v>
      </c>
      <c r="E119" s="61">
        <v>5.8627200000000004</v>
      </c>
      <c r="F119" s="61">
        <v>5.8627200000000004</v>
      </c>
    </row>
    <row r="120" spans="1:6">
      <c r="A120" t="s">
        <v>826</v>
      </c>
      <c r="B120" t="s">
        <v>827</v>
      </c>
      <c r="C120" s="40">
        <v>44754</v>
      </c>
      <c r="D120" s="61">
        <v>0.76770000000000005</v>
      </c>
      <c r="E120" s="61">
        <v>4.1148720000000001</v>
      </c>
      <c r="F120" s="61">
        <v>4.1148720000000001</v>
      </c>
    </row>
    <row r="121" spans="1:6">
      <c r="A121" t="s">
        <v>360</v>
      </c>
      <c r="B121" t="s">
        <v>361</v>
      </c>
      <c r="C121" s="40">
        <v>45700</v>
      </c>
      <c r="D121" s="61">
        <v>2.0427279999999999</v>
      </c>
      <c r="E121" s="61">
        <v>20.304716320000001</v>
      </c>
      <c r="F121" s="61">
        <v>20.304716320000001</v>
      </c>
    </row>
    <row r="122" spans="1:6">
      <c r="A122" t="s">
        <v>240</v>
      </c>
      <c r="B122" t="s">
        <v>241</v>
      </c>
      <c r="C122" s="40">
        <v>45958</v>
      </c>
      <c r="D122" s="61">
        <v>7.2061440000000001</v>
      </c>
      <c r="E122" s="61">
        <v>153.4908672</v>
      </c>
      <c r="F122" s="61">
        <v>153.4908672</v>
      </c>
    </row>
    <row r="123" spans="1:6">
      <c r="A123" t="s">
        <v>546</v>
      </c>
      <c r="B123" t="s">
        <v>547</v>
      </c>
      <c r="C123" s="40">
        <v>45118</v>
      </c>
      <c r="D123" s="61">
        <v>0.25813000000000003</v>
      </c>
      <c r="E123" s="61">
        <v>15.642678</v>
      </c>
      <c r="F123" s="61">
        <v>15.642678</v>
      </c>
    </row>
    <row r="124" spans="1:6">
      <c r="A124" t="s">
        <v>246</v>
      </c>
      <c r="B124" t="s">
        <v>247</v>
      </c>
      <c r="C124" s="40">
        <v>45226</v>
      </c>
      <c r="D124" s="61">
        <v>3.265504</v>
      </c>
      <c r="E124" s="61">
        <v>39.186048</v>
      </c>
      <c r="F124" s="61">
        <v>39.186048</v>
      </c>
    </row>
    <row r="125" spans="1:6">
      <c r="A125" t="s">
        <v>575</v>
      </c>
      <c r="B125" t="s">
        <v>576</v>
      </c>
      <c r="C125" s="40">
        <v>45624</v>
      </c>
      <c r="D125" s="61">
        <v>0.453988</v>
      </c>
      <c r="E125" s="61">
        <v>5.6385309599999998</v>
      </c>
      <c r="F125" s="61">
        <v>5.6385309599999998</v>
      </c>
    </row>
    <row r="126" spans="1:6">
      <c r="A126" t="s">
        <v>996</v>
      </c>
      <c r="B126" t="s">
        <v>997</v>
      </c>
      <c r="C126" s="40">
        <v>46031</v>
      </c>
      <c r="D126" s="61">
        <v>0.33577240000000003</v>
      </c>
      <c r="E126" s="61">
        <v>55.402445999999998</v>
      </c>
      <c r="F126" s="61">
        <v>55.402445999999998</v>
      </c>
    </row>
    <row r="127" spans="1:6">
      <c r="A127" t="s">
        <v>556</v>
      </c>
      <c r="B127" t="s">
        <v>557</v>
      </c>
      <c r="C127" s="40">
        <v>45964</v>
      </c>
      <c r="D127" s="61">
        <v>8.3017999999999995E-2</v>
      </c>
      <c r="E127" s="61">
        <v>11.705538000000001</v>
      </c>
      <c r="F127" s="61">
        <v>11.705538000000001</v>
      </c>
    </row>
    <row r="128" spans="1:6">
      <c r="A128" t="s">
        <v>982</v>
      </c>
      <c r="B128" t="s">
        <v>983</v>
      </c>
      <c r="C128" s="40">
        <v>46030</v>
      </c>
      <c r="D128" s="61">
        <v>0.31880500000000001</v>
      </c>
      <c r="E128" s="61">
        <v>13.785128200000001</v>
      </c>
      <c r="F128" s="61">
        <v>13.785128200000001</v>
      </c>
    </row>
    <row r="129" spans="1:6">
      <c r="A129" t="s">
        <v>339</v>
      </c>
      <c r="B129" t="s">
        <v>340</v>
      </c>
      <c r="C129" s="40">
        <v>46056</v>
      </c>
      <c r="D129" s="61">
        <v>0.44755699999999998</v>
      </c>
      <c r="E129" s="61">
        <v>110.994136</v>
      </c>
      <c r="F129" s="61">
        <v>110.994136</v>
      </c>
    </row>
    <row r="130" spans="1:6">
      <c r="A130" t="s">
        <v>268</v>
      </c>
      <c r="B130" t="s">
        <v>269</v>
      </c>
      <c r="C130" s="40">
        <v>44833</v>
      </c>
      <c r="D130" s="61">
        <v>1.2804869999999999</v>
      </c>
      <c r="E130" s="61">
        <v>63.192033449999997</v>
      </c>
      <c r="F130" s="61">
        <v>63.192033449999997</v>
      </c>
    </row>
    <row r="131" spans="1:6">
      <c r="A131" t="s">
        <v>374</v>
      </c>
      <c r="B131" t="s">
        <v>375</v>
      </c>
      <c r="C131" s="40">
        <v>44575</v>
      </c>
      <c r="D131" s="61">
        <v>1.2546600000000001</v>
      </c>
      <c r="E131" s="61">
        <v>42.407508</v>
      </c>
      <c r="F131" s="61">
        <v>42.407508</v>
      </c>
    </row>
    <row r="132" spans="1:6">
      <c r="A132" t="s">
        <v>295</v>
      </c>
      <c r="B132" t="s">
        <v>296</v>
      </c>
      <c r="C132" s="40">
        <v>45719</v>
      </c>
      <c r="D132" s="61">
        <v>0.196188</v>
      </c>
      <c r="E132" s="61">
        <v>39.728070000000002</v>
      </c>
      <c r="F132" s="61">
        <v>39.728070000000002</v>
      </c>
    </row>
    <row r="133" spans="1:6">
      <c r="A133" t="s">
        <v>533</v>
      </c>
      <c r="B133" t="s">
        <v>534</v>
      </c>
      <c r="C133" s="40">
        <v>46059</v>
      </c>
      <c r="D133" s="61">
        <v>0.58019500000000002</v>
      </c>
      <c r="E133" s="61">
        <v>55.582681000000001</v>
      </c>
      <c r="F133" s="61">
        <v>55.582681000000001</v>
      </c>
    </row>
    <row r="134" spans="1:6">
      <c r="A134" t="s">
        <v>775</v>
      </c>
      <c r="B134" t="s">
        <v>776</v>
      </c>
      <c r="C134" s="40">
        <v>45967</v>
      </c>
      <c r="D134" s="61">
        <v>0.48248999999999997</v>
      </c>
      <c r="E134" s="61">
        <v>67.066109999999995</v>
      </c>
      <c r="F134" s="61">
        <v>67.066109999999995</v>
      </c>
    </row>
    <row r="135" spans="1:6">
      <c r="A135" t="s">
        <v>727</v>
      </c>
      <c r="B135" t="s">
        <v>728</v>
      </c>
      <c r="C135" s="40">
        <v>45838</v>
      </c>
      <c r="D135" s="61">
        <v>0.47916799999999998</v>
      </c>
      <c r="E135" s="61">
        <v>13.3208704</v>
      </c>
      <c r="F135" s="61">
        <v>11.5833704</v>
      </c>
    </row>
    <row r="136" spans="1:6">
      <c r="A136" t="s">
        <v>596</v>
      </c>
      <c r="B136" t="s">
        <v>597</v>
      </c>
      <c r="C136" s="40">
        <v>45280</v>
      </c>
      <c r="D136" s="61">
        <v>0.22116</v>
      </c>
      <c r="E136" s="61">
        <v>6.5573940000000004</v>
      </c>
      <c r="F136" s="61">
        <v>6.5573940000000004</v>
      </c>
    </row>
    <row r="137" spans="1:6">
      <c r="A137" t="s">
        <v>226</v>
      </c>
      <c r="B137" t="s">
        <v>227</v>
      </c>
      <c r="C137" s="40">
        <v>45623</v>
      </c>
      <c r="D137" s="61">
        <v>1.7</v>
      </c>
      <c r="E137" s="61">
        <v>58.31</v>
      </c>
      <c r="F137" s="61">
        <v>58.31</v>
      </c>
    </row>
    <row r="138" spans="1:6">
      <c r="A138" t="s">
        <v>809</v>
      </c>
      <c r="B138" t="s">
        <v>810</v>
      </c>
      <c r="C138" s="40">
        <v>45471</v>
      </c>
      <c r="D138" s="61">
        <v>4.8182000000000003E-2</v>
      </c>
      <c r="E138" s="61">
        <v>4.0150060600000002</v>
      </c>
      <c r="F138" s="61">
        <v>4.0150060600000002</v>
      </c>
    </row>
    <row r="139" spans="1:6">
      <c r="A139" t="s">
        <v>259</v>
      </c>
      <c r="B139" t="s">
        <v>260</v>
      </c>
      <c r="C139" s="40">
        <v>45966</v>
      </c>
      <c r="D139" s="61">
        <v>1.08619</v>
      </c>
      <c r="E139" s="61">
        <v>142.83398500000001</v>
      </c>
      <c r="F139" s="61">
        <v>142.83398500000001</v>
      </c>
    </row>
    <row r="140" spans="1:6">
      <c r="A140" t="s">
        <v>693</v>
      </c>
      <c r="B140" t="s">
        <v>694</v>
      </c>
      <c r="C140" s="40">
        <v>46059</v>
      </c>
      <c r="D140" s="61">
        <v>4.9460999999999998E-2</v>
      </c>
      <c r="E140" s="61">
        <v>2.9627138999999998</v>
      </c>
      <c r="F140" s="61">
        <v>2.9627138999999998</v>
      </c>
    </row>
    <row r="141" spans="1:6">
      <c r="A141" t="s">
        <v>689</v>
      </c>
      <c r="B141" t="s">
        <v>690</v>
      </c>
      <c r="C141" s="40">
        <v>45951</v>
      </c>
      <c r="D141" s="61">
        <v>0.78391100000000002</v>
      </c>
      <c r="E141" s="61">
        <v>23.9876766</v>
      </c>
      <c r="F141" s="61">
        <v>23.9876766</v>
      </c>
    </row>
    <row r="142" spans="1:6">
      <c r="A142" t="s">
        <v>322</v>
      </c>
      <c r="B142" t="s">
        <v>323</v>
      </c>
      <c r="C142" s="40">
        <v>45842</v>
      </c>
      <c r="D142" s="61">
        <v>0.399947</v>
      </c>
      <c r="E142" s="61">
        <v>23.99682</v>
      </c>
      <c r="F142" s="61">
        <v>23.99682</v>
      </c>
    </row>
    <row r="143" spans="1:6">
      <c r="A143" t="s">
        <v>1022</v>
      </c>
      <c r="B143" t="s">
        <v>1023</v>
      </c>
      <c r="C143" s="40">
        <v>46031</v>
      </c>
      <c r="D143" s="61">
        <v>0.36351800000000001</v>
      </c>
      <c r="E143" s="61">
        <v>21.073138459999999</v>
      </c>
      <c r="F143" s="61">
        <v>21.073138459999999</v>
      </c>
    </row>
    <row r="144" spans="1:6">
      <c r="A144" t="s">
        <v>474</v>
      </c>
      <c r="B144" t="s">
        <v>475</v>
      </c>
      <c r="C144" s="40">
        <v>46101</v>
      </c>
      <c r="D144" s="61">
        <v>0.46</v>
      </c>
      <c r="E144" s="61">
        <v>33.064799999999998</v>
      </c>
      <c r="F144" s="61">
        <v>33.064799999999998</v>
      </c>
    </row>
    <row r="145" spans="1:6">
      <c r="A145" t="s">
        <v>285</v>
      </c>
      <c r="B145" t="s">
        <v>286</v>
      </c>
      <c r="C145" s="40">
        <v>45800</v>
      </c>
      <c r="D145" s="61">
        <v>2.581976</v>
      </c>
      <c r="E145" s="61">
        <v>113.73604280000001</v>
      </c>
      <c r="F145" s="61">
        <v>113.73604280000001</v>
      </c>
    </row>
    <row r="146" spans="1:6">
      <c r="A146" t="s">
        <v>219</v>
      </c>
      <c r="B146" t="s">
        <v>81</v>
      </c>
      <c r="C146" s="40">
        <v>46135</v>
      </c>
      <c r="D146" s="61">
        <v>0.58548199999999995</v>
      </c>
      <c r="E146" s="61">
        <v>45.491951399999998</v>
      </c>
      <c r="F146" s="61">
        <v>45.491951399999998</v>
      </c>
    </row>
    <row r="147" spans="1:6">
      <c r="A147" t="s">
        <v>795</v>
      </c>
      <c r="B147" t="s">
        <v>796</v>
      </c>
      <c r="C147" s="40">
        <v>46021</v>
      </c>
      <c r="D147" s="61">
        <v>0.25356099999999998</v>
      </c>
      <c r="E147" s="61">
        <v>18.712801800000001</v>
      </c>
      <c r="F147" s="61">
        <v>18.712801800000001</v>
      </c>
    </row>
    <row r="148" spans="1:6">
      <c r="A148" t="s">
        <v>461</v>
      </c>
      <c r="B148" t="s">
        <v>462</v>
      </c>
      <c r="C148" s="40">
        <v>45971</v>
      </c>
      <c r="D148" s="61">
        <v>1.045166</v>
      </c>
      <c r="E148" s="61">
        <v>27.383349200000001</v>
      </c>
      <c r="F148" s="61">
        <v>27.383349200000001</v>
      </c>
    </row>
    <row r="149" spans="1:6">
      <c r="A149" t="s">
        <v>490</v>
      </c>
      <c r="B149" t="s">
        <v>491</v>
      </c>
      <c r="C149" s="40">
        <v>46104</v>
      </c>
      <c r="D149" s="61">
        <v>0.45675700000000002</v>
      </c>
      <c r="E149" s="61">
        <v>19.001091200000001</v>
      </c>
      <c r="F149" s="61">
        <v>19.001091200000001</v>
      </c>
    </row>
    <row r="150" spans="1:6">
      <c r="A150" t="s">
        <v>463</v>
      </c>
      <c r="B150" t="s">
        <v>464</v>
      </c>
      <c r="C150" s="40">
        <v>45636</v>
      </c>
      <c r="D150" s="61">
        <v>0.90186900000000003</v>
      </c>
      <c r="E150" s="61">
        <v>26.8756962</v>
      </c>
      <c r="F150" s="61">
        <v>26.8756962</v>
      </c>
    </row>
    <row r="151" spans="1:6">
      <c r="A151" t="s">
        <v>992</v>
      </c>
      <c r="B151" t="s">
        <v>993</v>
      </c>
      <c r="C151" s="40">
        <v>46140</v>
      </c>
      <c r="D151" s="61">
        <v>0.13795215</v>
      </c>
      <c r="E151" s="61">
        <v>25.27283388</v>
      </c>
      <c r="F151" s="61">
        <v>25.27283388</v>
      </c>
    </row>
    <row r="152" spans="1:6">
      <c r="A152" t="s">
        <v>733</v>
      </c>
      <c r="B152" t="s">
        <v>734</v>
      </c>
      <c r="C152" s="40">
        <v>46129</v>
      </c>
      <c r="D152" s="61">
        <v>0.65294200000000002</v>
      </c>
      <c r="E152" s="61">
        <v>26.03932696</v>
      </c>
      <c r="F152" s="61">
        <v>26.03932696</v>
      </c>
    </row>
    <row r="153" spans="1:6">
      <c r="A153" t="s">
        <v>450</v>
      </c>
      <c r="B153" t="s">
        <v>451</v>
      </c>
      <c r="C153" s="40">
        <v>45958</v>
      </c>
      <c r="D153" s="61">
        <v>0.77061999999999997</v>
      </c>
      <c r="E153" s="61">
        <v>53.080305600000003</v>
      </c>
      <c r="F153" s="61">
        <v>53.080305600000003</v>
      </c>
    </row>
    <row r="154" spans="1:6">
      <c r="A154" t="s">
        <v>430</v>
      </c>
      <c r="B154" t="s">
        <v>431</v>
      </c>
      <c r="C154" s="40">
        <v>44917</v>
      </c>
      <c r="D154" s="61">
        <v>0.379579</v>
      </c>
      <c r="E154" s="61">
        <v>9.5653907999999994</v>
      </c>
      <c r="F154" s="61">
        <v>9.5653907999999994</v>
      </c>
    </row>
    <row r="155" spans="1:6">
      <c r="A155" t="s">
        <v>270</v>
      </c>
      <c r="B155" t="s">
        <v>271</v>
      </c>
      <c r="C155" s="40">
        <v>44825</v>
      </c>
    </row>
    <row r="156" spans="1:6">
      <c r="A156" t="s">
        <v>618</v>
      </c>
      <c r="B156" t="s">
        <v>619</v>
      </c>
      <c r="C156" s="40">
        <v>45296</v>
      </c>
      <c r="D156" s="61">
        <v>0.24637500000000001</v>
      </c>
      <c r="E156" s="61">
        <v>10.594125</v>
      </c>
      <c r="F156" s="61">
        <v>10.594125</v>
      </c>
    </row>
    <row r="157" spans="1:6">
      <c r="A157" t="s">
        <v>288</v>
      </c>
      <c r="B157" t="s">
        <v>289</v>
      </c>
      <c r="C157" s="40">
        <v>45030</v>
      </c>
    </row>
    <row r="158" spans="1:6">
      <c r="A158" t="s">
        <v>699</v>
      </c>
      <c r="B158" t="s">
        <v>700</v>
      </c>
      <c r="C158" s="40">
        <v>44757</v>
      </c>
      <c r="D158" s="61">
        <v>0.13700000000000001</v>
      </c>
      <c r="E158" s="61">
        <v>3.37568</v>
      </c>
      <c r="F158" s="61">
        <v>3.37568</v>
      </c>
    </row>
    <row r="159" spans="1:6">
      <c r="A159" t="s">
        <v>455</v>
      </c>
      <c r="B159" t="s">
        <v>456</v>
      </c>
      <c r="C159" s="40">
        <v>45013</v>
      </c>
      <c r="D159" s="61">
        <v>0.136242</v>
      </c>
      <c r="E159" s="61">
        <v>6.2671320000000001</v>
      </c>
      <c r="F159" s="61">
        <v>6.2671320000000001</v>
      </c>
    </row>
    <row r="160" spans="1:6">
      <c r="A160" t="s">
        <v>335</v>
      </c>
      <c r="B160" t="s">
        <v>336</v>
      </c>
      <c r="C160" s="40">
        <v>44755</v>
      </c>
      <c r="D160" s="61">
        <v>0.41586200000000001</v>
      </c>
      <c r="E160" s="61">
        <v>5.7388956000000002</v>
      </c>
      <c r="F160" s="61">
        <v>5.7388956000000002</v>
      </c>
    </row>
    <row r="161" spans="1:6">
      <c r="A161" t="s">
        <v>729</v>
      </c>
      <c r="B161" t="s">
        <v>730</v>
      </c>
      <c r="C161" s="40">
        <v>44925</v>
      </c>
      <c r="D161" s="61">
        <v>0.106948</v>
      </c>
      <c r="E161" s="61">
        <v>2.1175704</v>
      </c>
      <c r="F161" s="61">
        <v>2.1175704</v>
      </c>
    </row>
    <row r="162" spans="1:6">
      <c r="A162" t="s">
        <v>1024</v>
      </c>
      <c r="B162" t="s">
        <v>1025</v>
      </c>
      <c r="C162" s="40">
        <v>45282</v>
      </c>
      <c r="D162" s="61">
        <v>0.24193999999999999</v>
      </c>
      <c r="E162" s="61">
        <v>2.7823099999999998</v>
      </c>
      <c r="F162" s="61">
        <v>2.7823099999999998</v>
      </c>
    </row>
    <row r="163" spans="1:6">
      <c r="A163" t="s">
        <v>527</v>
      </c>
      <c r="B163" t="s">
        <v>528</v>
      </c>
      <c r="C163" s="40">
        <v>44588</v>
      </c>
      <c r="D163" s="61">
        <v>0.44744400000000001</v>
      </c>
      <c r="E163" s="61">
        <v>11.767777199999999</v>
      </c>
      <c r="F163" s="61">
        <v>11.767777199999999</v>
      </c>
    </row>
    <row r="164" spans="1:6">
      <c r="A164" t="s">
        <v>817</v>
      </c>
      <c r="B164" t="s">
        <v>818</v>
      </c>
      <c r="C164" s="40">
        <v>45667</v>
      </c>
      <c r="D164" s="61">
        <v>2.5</v>
      </c>
      <c r="E164" s="61">
        <v>2</v>
      </c>
      <c r="F164" s="61">
        <v>2</v>
      </c>
    </row>
    <row r="165" spans="1:6">
      <c r="A165" t="s">
        <v>828</v>
      </c>
      <c r="B165" t="s">
        <v>829</v>
      </c>
      <c r="C165" s="40">
        <v>45282</v>
      </c>
      <c r="D165" s="61">
        <v>5</v>
      </c>
      <c r="E165" s="61">
        <v>2.75</v>
      </c>
      <c r="F165" s="61">
        <v>2.75</v>
      </c>
    </row>
    <row r="166" spans="1:6">
      <c r="A166" t="s">
        <v>966</v>
      </c>
      <c r="B166" t="s">
        <v>967</v>
      </c>
      <c r="C166" s="40">
        <v>44909</v>
      </c>
      <c r="D166" s="61">
        <v>1.5</v>
      </c>
      <c r="E166" s="61">
        <v>1.26</v>
      </c>
      <c r="F166" s="61">
        <v>1.26</v>
      </c>
    </row>
    <row r="167" spans="1:6">
      <c r="A167" t="s">
        <v>564</v>
      </c>
      <c r="B167" t="s">
        <v>565</v>
      </c>
      <c r="C167" s="40">
        <v>45747</v>
      </c>
      <c r="D167" s="61">
        <v>0.53561999999999999</v>
      </c>
      <c r="E167" s="61">
        <v>1.3390500000000001</v>
      </c>
      <c r="F167" s="61">
        <v>1.3390500000000001</v>
      </c>
    </row>
    <row r="168" spans="1:6">
      <c r="A168" t="s">
        <v>896</v>
      </c>
      <c r="B168" t="s">
        <v>897</v>
      </c>
      <c r="C168" s="40">
        <v>45475</v>
      </c>
      <c r="D168" s="61">
        <v>0.27</v>
      </c>
      <c r="E168" s="61">
        <v>0.65339999999999998</v>
      </c>
      <c r="F168" s="61">
        <v>0.65339999999999998</v>
      </c>
    </row>
    <row r="169" spans="1:6">
      <c r="A169" t="s">
        <v>715</v>
      </c>
      <c r="B169" t="s">
        <v>716</v>
      </c>
      <c r="C169" s="40">
        <v>44942</v>
      </c>
      <c r="D169" s="61">
        <v>0.1242</v>
      </c>
      <c r="E169" s="61">
        <v>0.80730000000000002</v>
      </c>
      <c r="F169" s="61">
        <v>0.80730000000000002</v>
      </c>
    </row>
    <row r="170" spans="1:6">
      <c r="A170" t="s">
        <v>453</v>
      </c>
      <c r="B170" t="s">
        <v>454</v>
      </c>
      <c r="C170" s="40">
        <v>46141</v>
      </c>
      <c r="D170" s="61">
        <v>0.42626799999999998</v>
      </c>
      <c r="E170" s="61">
        <v>10.59702248</v>
      </c>
      <c r="F170" s="61">
        <v>10.59702248</v>
      </c>
    </row>
    <row r="171" spans="1:6">
      <c r="A171" t="s">
        <v>755</v>
      </c>
      <c r="B171" t="s">
        <v>756</v>
      </c>
      <c r="C171" s="40">
        <v>45483</v>
      </c>
      <c r="D171" s="61">
        <v>1.25</v>
      </c>
      <c r="E171" s="61">
        <v>1.3125</v>
      </c>
      <c r="F171" s="61">
        <v>1.3125</v>
      </c>
    </row>
    <row r="172" spans="1:6">
      <c r="A172" t="s">
        <v>836</v>
      </c>
      <c r="B172" t="s">
        <v>837</v>
      </c>
      <c r="C172" s="40">
        <v>45016</v>
      </c>
      <c r="D172" s="61">
        <v>2.5</v>
      </c>
      <c r="E172" s="61">
        <v>2.625</v>
      </c>
      <c r="F172" s="61">
        <v>1.9950000000000001</v>
      </c>
    </row>
    <row r="173" spans="1:6">
      <c r="A173" t="s">
        <v>685</v>
      </c>
      <c r="B173" t="s">
        <v>686</v>
      </c>
      <c r="C173" s="40">
        <v>45008</v>
      </c>
    </row>
    <row r="174" spans="1:6">
      <c r="A174" t="s">
        <v>540</v>
      </c>
      <c r="B174" t="s">
        <v>541</v>
      </c>
      <c r="C174" s="40">
        <v>45567</v>
      </c>
      <c r="D174" s="61">
        <v>1.4934400000000001</v>
      </c>
      <c r="E174" s="61">
        <v>8.6320832000000003</v>
      </c>
      <c r="F174" s="61">
        <v>8.6320832000000003</v>
      </c>
    </row>
    <row r="175" spans="1:6">
      <c r="A175" t="s">
        <v>529</v>
      </c>
      <c r="B175" t="s">
        <v>530</v>
      </c>
      <c r="C175" s="40">
        <v>45834</v>
      </c>
      <c r="D175" s="61">
        <v>3.3340000000000001</v>
      </c>
      <c r="E175" s="61">
        <v>9.6019199999999998</v>
      </c>
      <c r="F175" s="61">
        <v>9.6019199999999998</v>
      </c>
    </row>
    <row r="176" spans="1:6">
      <c r="A176" t="s">
        <v>676</v>
      </c>
      <c r="B176" t="s">
        <v>677</v>
      </c>
      <c r="C176" s="40">
        <v>45057</v>
      </c>
      <c r="D176" s="61">
        <v>0.25</v>
      </c>
      <c r="E176" s="61">
        <v>2.65</v>
      </c>
      <c r="F176" s="61">
        <v>2.65</v>
      </c>
    </row>
    <row r="177" spans="1:6">
      <c r="A177" t="s">
        <v>444</v>
      </c>
      <c r="B177" t="s">
        <v>445</v>
      </c>
      <c r="C177" s="40">
        <v>44755</v>
      </c>
      <c r="D177" s="61">
        <v>1.15216E-2</v>
      </c>
      <c r="E177" s="61">
        <v>3.3643071999999998</v>
      </c>
      <c r="F177" s="61">
        <v>3.3643071999999998</v>
      </c>
    </row>
    <row r="178" spans="1:6">
      <c r="A178" t="s">
        <v>438</v>
      </c>
      <c r="B178" t="s">
        <v>439</v>
      </c>
      <c r="C178" s="40">
        <v>44869</v>
      </c>
      <c r="D178" s="61">
        <v>0.26</v>
      </c>
      <c r="E178" s="61">
        <v>6.3179999999999996</v>
      </c>
      <c r="F178" s="61">
        <v>6.3179999999999996</v>
      </c>
    </row>
    <row r="179" spans="1:6">
      <c r="A179" t="s">
        <v>238</v>
      </c>
      <c r="B179" t="s">
        <v>239</v>
      </c>
      <c r="C179" s="40">
        <v>44692</v>
      </c>
    </row>
    <row r="180" spans="1:6">
      <c r="A180" t="s">
        <v>607</v>
      </c>
      <c r="B180" t="s">
        <v>608</v>
      </c>
      <c r="C180" s="40">
        <v>44840</v>
      </c>
      <c r="D180" s="61">
        <v>0.110626</v>
      </c>
      <c r="E180" s="61">
        <v>1.78771616</v>
      </c>
      <c r="F180" s="61">
        <v>1.78771616</v>
      </c>
    </row>
    <row r="181" spans="1:6">
      <c r="A181" t="s">
        <v>369</v>
      </c>
      <c r="B181" t="s">
        <v>370</v>
      </c>
      <c r="C181" s="40">
        <v>45043</v>
      </c>
      <c r="D181" s="61">
        <v>4.9069979999999997</v>
      </c>
      <c r="E181" s="61">
        <v>53.093718359999997</v>
      </c>
      <c r="F181" s="61">
        <v>53.093718359999997</v>
      </c>
    </row>
    <row r="182" spans="1:6">
      <c r="A182" t="s">
        <v>643</v>
      </c>
      <c r="B182" t="s">
        <v>644</v>
      </c>
      <c r="C182" s="40">
        <v>45476</v>
      </c>
      <c r="D182" s="61">
        <v>0.16666800000000001</v>
      </c>
      <c r="E182" s="61">
        <v>1.2500100000000001</v>
      </c>
      <c r="F182" s="61">
        <v>1.2500100000000001</v>
      </c>
    </row>
    <row r="183" spans="1:6">
      <c r="A183" t="s">
        <v>919</v>
      </c>
      <c r="B183" t="s">
        <v>920</v>
      </c>
      <c r="C183" s="40">
        <v>45672</v>
      </c>
      <c r="D183" s="61">
        <v>0.33333400000000002</v>
      </c>
      <c r="E183" s="61">
        <v>4.3300086599999998</v>
      </c>
      <c r="F183" s="61">
        <v>4.3300086599999998</v>
      </c>
    </row>
    <row r="184" spans="1:6">
      <c r="A184" t="s">
        <v>937</v>
      </c>
      <c r="B184" t="s">
        <v>938</v>
      </c>
      <c r="C184" s="40">
        <v>45016</v>
      </c>
      <c r="D184" s="61">
        <v>2</v>
      </c>
      <c r="E184" s="61">
        <v>1.4</v>
      </c>
      <c r="F184" s="61">
        <v>1.4</v>
      </c>
    </row>
    <row r="185" spans="1:6">
      <c r="A185" t="s">
        <v>605</v>
      </c>
      <c r="B185" t="s">
        <v>606</v>
      </c>
      <c r="C185" s="40">
        <v>45833</v>
      </c>
      <c r="D185" s="61">
        <v>0.68220000000000003</v>
      </c>
      <c r="E185" s="61">
        <v>1.951092</v>
      </c>
      <c r="F185" s="61">
        <v>1.951092</v>
      </c>
    </row>
    <row r="186" spans="1:6">
      <c r="A186" t="s">
        <v>757</v>
      </c>
      <c r="B186" t="s">
        <v>758</v>
      </c>
      <c r="C186" s="40">
        <v>46010</v>
      </c>
      <c r="D186" s="61">
        <v>1.2195199999999999</v>
      </c>
      <c r="E186" s="61">
        <v>5.5000352000000001</v>
      </c>
      <c r="F186" s="61">
        <v>5.5000352000000001</v>
      </c>
    </row>
    <row r="187" spans="1:6">
      <c r="A187" t="s">
        <v>848</v>
      </c>
      <c r="B187" t="s">
        <v>849</v>
      </c>
      <c r="C187" s="40">
        <v>45377</v>
      </c>
      <c r="D187" s="61">
        <v>1.53847</v>
      </c>
      <c r="E187" s="61">
        <v>4.0000220000000004</v>
      </c>
      <c r="F187" s="61">
        <v>2.4000080000000001</v>
      </c>
    </row>
    <row r="188" spans="1:6">
      <c r="A188" t="s">
        <v>544</v>
      </c>
      <c r="B188" t="s">
        <v>545</v>
      </c>
      <c r="C188" s="40">
        <v>45117</v>
      </c>
      <c r="D188" s="61">
        <v>0.75600000000000001</v>
      </c>
      <c r="E188" s="61">
        <v>2.7216</v>
      </c>
      <c r="F188" s="61">
        <v>2.7216</v>
      </c>
    </row>
    <row r="189" spans="1:6">
      <c r="A189" t="s">
        <v>552</v>
      </c>
      <c r="B189" t="s">
        <v>553</v>
      </c>
      <c r="C189" s="40">
        <v>44680</v>
      </c>
      <c r="D189" s="61">
        <v>0.16990867000000001</v>
      </c>
      <c r="E189" s="61">
        <v>2.0219131730000002</v>
      </c>
      <c r="F189" s="61">
        <v>2.0219131730000002</v>
      </c>
    </row>
    <row r="190" spans="1:6">
      <c r="A190" t="s">
        <v>624</v>
      </c>
      <c r="B190" t="s">
        <v>625</v>
      </c>
      <c r="C190" s="40">
        <v>45289</v>
      </c>
      <c r="D190" s="61">
        <v>0.1157415</v>
      </c>
      <c r="E190" s="61">
        <v>10.416734999999999</v>
      </c>
      <c r="F190" s="61">
        <v>10.416734999999999</v>
      </c>
    </row>
    <row r="191" spans="1:6">
      <c r="A191" t="s">
        <v>941</v>
      </c>
      <c r="B191" t="s">
        <v>942</v>
      </c>
      <c r="C191" s="40">
        <v>46112</v>
      </c>
      <c r="D191" s="61">
        <v>0.12</v>
      </c>
      <c r="E191" s="61">
        <v>4.8</v>
      </c>
      <c r="F191" s="61">
        <v>4.8</v>
      </c>
    </row>
    <row r="192" spans="1:6">
      <c r="A192" t="s">
        <v>352</v>
      </c>
      <c r="B192" t="s">
        <v>353</v>
      </c>
      <c r="C192" s="40">
        <v>45595</v>
      </c>
      <c r="D192" s="61">
        <v>1</v>
      </c>
      <c r="E192" s="61">
        <v>5.5</v>
      </c>
      <c r="F192" s="61">
        <v>5.5</v>
      </c>
    </row>
    <row r="193" spans="1:6">
      <c r="A193" t="s">
        <v>876</v>
      </c>
      <c r="B193" t="s">
        <v>877</v>
      </c>
      <c r="C193" s="40">
        <v>45649</v>
      </c>
      <c r="D193" s="61">
        <v>0.44195400000000001</v>
      </c>
      <c r="E193" s="61">
        <v>8.3087351999999992</v>
      </c>
      <c r="F193" s="61">
        <v>8.3087351999999992</v>
      </c>
    </row>
    <row r="194" spans="1:6">
      <c r="A194" t="s">
        <v>655</v>
      </c>
      <c r="B194" t="s">
        <v>656</v>
      </c>
      <c r="C194" s="40">
        <v>44938</v>
      </c>
      <c r="D194" s="61">
        <v>0.18298449999999999</v>
      </c>
      <c r="E194" s="61">
        <v>10.97907</v>
      </c>
      <c r="F194" s="61">
        <v>10.97907</v>
      </c>
    </row>
    <row r="195" spans="1:6">
      <c r="A195" t="s">
        <v>751</v>
      </c>
      <c r="B195" t="s">
        <v>752</v>
      </c>
      <c r="C195" s="40">
        <v>46105</v>
      </c>
      <c r="D195" s="61">
        <v>0.36797999999999997</v>
      </c>
      <c r="E195" s="61">
        <v>6.1305468000000003</v>
      </c>
      <c r="F195" s="61">
        <v>6.1305468000000003</v>
      </c>
    </row>
    <row r="196" spans="1:6">
      <c r="A196" t="s">
        <v>397</v>
      </c>
      <c r="B196" t="s">
        <v>398</v>
      </c>
      <c r="C196" s="40">
        <v>44994</v>
      </c>
      <c r="D196" s="61">
        <v>0.43210999999999999</v>
      </c>
      <c r="E196" s="61">
        <v>1.2531190000000001</v>
      </c>
      <c r="F196" s="61">
        <v>1.2531190000000001</v>
      </c>
    </row>
    <row r="197" spans="1:6">
      <c r="A197" t="s">
        <v>523</v>
      </c>
      <c r="B197" t="s">
        <v>524</v>
      </c>
      <c r="C197" s="40">
        <v>44889</v>
      </c>
      <c r="D197" s="61">
        <v>0.53259000000000001</v>
      </c>
      <c r="E197" s="61">
        <v>4.0476840000000003</v>
      </c>
      <c r="F197" s="61">
        <v>4.0476840000000003</v>
      </c>
    </row>
    <row r="198" spans="1:6">
      <c r="A198" t="s">
        <v>1032</v>
      </c>
      <c r="B198" t="s">
        <v>1033</v>
      </c>
      <c r="C198" s="40">
        <v>44788</v>
      </c>
      <c r="D198" s="61">
        <v>1.0004999999999999</v>
      </c>
      <c r="E198" s="61">
        <v>10.005000000000001</v>
      </c>
      <c r="F198" s="61">
        <v>10.005000000000001</v>
      </c>
    </row>
    <row r="199" spans="1:6">
      <c r="A199" t="s">
        <v>566</v>
      </c>
      <c r="B199" t="s">
        <v>567</v>
      </c>
      <c r="C199" s="40">
        <v>45240</v>
      </c>
      <c r="D199" s="61">
        <v>0.12136</v>
      </c>
      <c r="E199" s="61">
        <v>1.7330208</v>
      </c>
      <c r="F199" s="61">
        <v>1.7330208</v>
      </c>
    </row>
    <row r="200" spans="1:6">
      <c r="A200" t="s">
        <v>807</v>
      </c>
      <c r="B200" t="s">
        <v>808</v>
      </c>
      <c r="C200" s="40">
        <v>45847</v>
      </c>
      <c r="D200" s="61">
        <v>0.10861800000000001</v>
      </c>
      <c r="E200" s="61">
        <v>2.1723599999999998</v>
      </c>
      <c r="F200" s="61">
        <v>2.1723599999999998</v>
      </c>
    </row>
    <row r="201" spans="1:6">
      <c r="A201" t="s">
        <v>631</v>
      </c>
      <c r="B201" t="s">
        <v>632</v>
      </c>
      <c r="C201" s="40">
        <v>45439</v>
      </c>
      <c r="D201" s="61">
        <v>0.19703999999999999</v>
      </c>
      <c r="E201" s="61">
        <v>4.9260000000000002</v>
      </c>
      <c r="F201" s="61">
        <v>4.9260000000000002</v>
      </c>
    </row>
    <row r="202" spans="1:6">
      <c r="A202" t="s">
        <v>683</v>
      </c>
      <c r="B202" t="s">
        <v>684</v>
      </c>
      <c r="C202" s="40">
        <v>45482</v>
      </c>
      <c r="D202" s="61">
        <v>9.2619999999999994E-2</v>
      </c>
      <c r="E202" s="61">
        <v>3.33432</v>
      </c>
      <c r="F202" s="61">
        <v>3.33432</v>
      </c>
    </row>
    <row r="203" spans="1:6">
      <c r="A203" t="s">
        <v>649</v>
      </c>
      <c r="B203" t="s">
        <v>650</v>
      </c>
      <c r="C203" s="40">
        <v>45471</v>
      </c>
      <c r="D203" s="61">
        <v>0.39090999999999998</v>
      </c>
      <c r="E203" s="61">
        <v>2.3454600000000001</v>
      </c>
      <c r="F203" s="61">
        <v>2.3454600000000001</v>
      </c>
    </row>
    <row r="204" spans="1:6">
      <c r="A204" t="s">
        <v>769</v>
      </c>
      <c r="B204" t="s">
        <v>770</v>
      </c>
      <c r="C204" s="40">
        <v>45611</v>
      </c>
      <c r="D204" s="61">
        <v>0.06</v>
      </c>
      <c r="E204" s="61">
        <v>3.9</v>
      </c>
      <c r="F204" s="61">
        <v>3.9</v>
      </c>
    </row>
    <row r="205" spans="1:6">
      <c r="A205" t="s">
        <v>753</v>
      </c>
      <c r="B205" t="s">
        <v>754</v>
      </c>
      <c r="C205" s="40">
        <v>46105</v>
      </c>
      <c r="D205" s="61">
        <v>0.16226499999999999</v>
      </c>
      <c r="E205" s="61">
        <v>7.1721130000000004</v>
      </c>
      <c r="F205" s="61">
        <v>7.1721130000000004</v>
      </c>
    </row>
    <row r="206" spans="1:6">
      <c r="A206" t="s">
        <v>888</v>
      </c>
      <c r="B206" t="s">
        <v>889</v>
      </c>
      <c r="C206" s="40">
        <v>45240</v>
      </c>
      <c r="D206" s="61">
        <v>1.25</v>
      </c>
      <c r="E206" s="61">
        <v>1.3</v>
      </c>
      <c r="F206" s="61">
        <v>1.3</v>
      </c>
    </row>
    <row r="207" spans="1:6">
      <c r="A207" t="s">
        <v>990</v>
      </c>
      <c r="B207" t="s">
        <v>991</v>
      </c>
      <c r="C207" s="40">
        <v>44925</v>
      </c>
      <c r="D207" s="61">
        <v>0.1111</v>
      </c>
      <c r="E207" s="61">
        <v>2.09979</v>
      </c>
      <c r="F207" s="61">
        <v>2.09979</v>
      </c>
    </row>
    <row r="208" spans="1:6">
      <c r="A208" t="s">
        <v>481</v>
      </c>
      <c r="B208" t="s">
        <v>482</v>
      </c>
      <c r="C208" s="40">
        <v>45482</v>
      </c>
      <c r="D208" s="61">
        <v>0.23799999999999999</v>
      </c>
      <c r="E208" s="61">
        <v>1.9468399999999999</v>
      </c>
      <c r="F208" s="61">
        <v>1.9468399999999999</v>
      </c>
    </row>
    <row r="209" spans="1:6">
      <c r="A209" t="s">
        <v>320</v>
      </c>
      <c r="B209" t="s">
        <v>321</v>
      </c>
      <c r="C209" s="40">
        <v>44894</v>
      </c>
      <c r="D209" s="61">
        <v>6.3700000000000007E-2</v>
      </c>
      <c r="E209" s="61">
        <v>3.1869109999999998</v>
      </c>
      <c r="F209" s="61">
        <v>3.1869109999999998</v>
      </c>
    </row>
    <row r="210" spans="1:6">
      <c r="A210" t="s">
        <v>457</v>
      </c>
      <c r="B210" t="s">
        <v>458</v>
      </c>
      <c r="C210" s="40">
        <v>44935</v>
      </c>
      <c r="D210" s="61">
        <v>0.2</v>
      </c>
      <c r="E210" s="61">
        <v>1.98</v>
      </c>
      <c r="F210" s="61">
        <v>1.98</v>
      </c>
    </row>
    <row r="211" spans="1:6">
      <c r="A211" t="s">
        <v>878</v>
      </c>
      <c r="B211" t="s">
        <v>879</v>
      </c>
      <c r="C211" s="40">
        <v>45210</v>
      </c>
      <c r="D211" s="61">
        <v>1.25</v>
      </c>
      <c r="E211" s="61">
        <v>1.4750000000000001</v>
      </c>
      <c r="F211" s="61">
        <v>1.4750000000000001</v>
      </c>
    </row>
    <row r="212" spans="1:6">
      <c r="A212" t="s">
        <v>573</v>
      </c>
      <c r="B212" t="s">
        <v>574</v>
      </c>
      <c r="C212" s="40">
        <v>45239</v>
      </c>
      <c r="D212" s="61">
        <v>1.03125</v>
      </c>
      <c r="E212" s="61">
        <v>1.1343749999999999</v>
      </c>
      <c r="F212" s="61">
        <v>1.1343749999999999</v>
      </c>
    </row>
    <row r="213" spans="1:6">
      <c r="A213" t="s">
        <v>988</v>
      </c>
      <c r="B213" t="s">
        <v>989</v>
      </c>
      <c r="C213" s="40">
        <v>45541</v>
      </c>
      <c r="D213" s="61">
        <v>0.10179000000000001</v>
      </c>
      <c r="E213" s="61">
        <v>1.0077210000000001</v>
      </c>
      <c r="F213" s="61">
        <v>1.0077210000000001</v>
      </c>
    </row>
    <row r="214" spans="1:6">
      <c r="A214" t="s">
        <v>723</v>
      </c>
      <c r="B214" t="s">
        <v>724</v>
      </c>
      <c r="C214" s="40">
        <v>45359</v>
      </c>
      <c r="D214" s="61">
        <v>1.25</v>
      </c>
      <c r="E214" s="61">
        <v>1.375</v>
      </c>
      <c r="F214" s="61">
        <v>1.375</v>
      </c>
    </row>
    <row r="215" spans="1:6">
      <c r="A215" t="s">
        <v>678</v>
      </c>
      <c r="B215" t="s">
        <v>679</v>
      </c>
      <c r="C215" s="40">
        <v>45670</v>
      </c>
      <c r="D215" s="61">
        <v>2.4</v>
      </c>
      <c r="E215" s="61">
        <v>3.048</v>
      </c>
      <c r="F215" s="61">
        <v>3.048</v>
      </c>
    </row>
    <row r="216" spans="1:6">
      <c r="A216" t="s">
        <v>964</v>
      </c>
      <c r="B216" t="s">
        <v>965</v>
      </c>
      <c r="C216" s="40">
        <v>44750</v>
      </c>
      <c r="D216" s="61">
        <v>0.23799000000000001</v>
      </c>
      <c r="E216" s="61">
        <v>1.4850576</v>
      </c>
      <c r="F216" s="61">
        <v>1.4850576</v>
      </c>
    </row>
    <row r="217" spans="1:6">
      <c r="A217" t="s">
        <v>355</v>
      </c>
      <c r="B217" t="s">
        <v>356</v>
      </c>
      <c r="C217" s="40">
        <v>45604</v>
      </c>
      <c r="D217" s="61">
        <v>0.29894700000000002</v>
      </c>
      <c r="E217" s="61">
        <v>4.6635732000000001</v>
      </c>
      <c r="F217" s="61">
        <v>4.6635732000000001</v>
      </c>
    </row>
    <row r="218" spans="1:6">
      <c r="A218" t="s">
        <v>687</v>
      </c>
      <c r="B218" t="s">
        <v>688</v>
      </c>
      <c r="C218" s="40">
        <v>45265</v>
      </c>
      <c r="D218" s="61">
        <v>0.79520000000000002</v>
      </c>
      <c r="E218" s="61">
        <v>15.633632</v>
      </c>
      <c r="F218" s="61">
        <v>15.633632</v>
      </c>
    </row>
    <row r="219" spans="1:6">
      <c r="A219" t="s">
        <v>978</v>
      </c>
      <c r="B219" t="s">
        <v>979</v>
      </c>
      <c r="C219" s="40">
        <v>46111</v>
      </c>
      <c r="D219" s="61">
        <v>7.9991999999999994E-2</v>
      </c>
      <c r="E219" s="61">
        <v>7.9192080000000002</v>
      </c>
      <c r="F219" s="61">
        <v>7.9192080000000002</v>
      </c>
    </row>
    <row r="220" spans="1:6">
      <c r="A220" t="s">
        <v>422</v>
      </c>
      <c r="B220" t="s">
        <v>423</v>
      </c>
      <c r="C220" s="40">
        <v>45646</v>
      </c>
      <c r="D220" s="61">
        <v>1.011808</v>
      </c>
      <c r="E220" s="61">
        <v>8.6003679999999996</v>
      </c>
      <c r="F220" s="61">
        <v>8.6003679999999996</v>
      </c>
    </row>
    <row r="221" spans="1:6">
      <c r="A221" t="s">
        <v>459</v>
      </c>
      <c r="B221" t="s">
        <v>460</v>
      </c>
      <c r="C221" s="40">
        <v>44876</v>
      </c>
      <c r="D221" s="61">
        <v>0.29249999999999998</v>
      </c>
      <c r="E221" s="61">
        <v>2.2990499999999998</v>
      </c>
      <c r="F221" s="61">
        <v>2.2990499999999998</v>
      </c>
    </row>
    <row r="222" spans="1:6">
      <c r="A222" t="s">
        <v>505</v>
      </c>
      <c r="B222" t="s">
        <v>506</v>
      </c>
      <c r="C222" s="40">
        <v>45958</v>
      </c>
      <c r="D222" s="61">
        <v>0.09</v>
      </c>
      <c r="E222" s="61">
        <v>4.5</v>
      </c>
      <c r="F222" s="61">
        <v>4.5</v>
      </c>
    </row>
    <row r="223" spans="1:6">
      <c r="A223" t="s">
        <v>862</v>
      </c>
      <c r="B223" t="s">
        <v>863</v>
      </c>
      <c r="C223" s="40">
        <v>45950</v>
      </c>
      <c r="D223" s="61">
        <v>0.115</v>
      </c>
      <c r="E223" s="61">
        <v>9.9359999999999999</v>
      </c>
      <c r="F223" s="61">
        <v>9.9359999999999999</v>
      </c>
    </row>
    <row r="224" spans="1:6">
      <c r="A224" t="s">
        <v>301</v>
      </c>
      <c r="B224" t="s">
        <v>302</v>
      </c>
      <c r="C224" s="40">
        <v>45785</v>
      </c>
      <c r="D224" s="61">
        <v>0.63432299999999997</v>
      </c>
      <c r="E224" s="61">
        <v>14.050254450000001</v>
      </c>
      <c r="F224" s="61">
        <v>14.050254450000001</v>
      </c>
    </row>
    <row r="225" spans="1:6">
      <c r="A225" t="s">
        <v>236</v>
      </c>
      <c r="B225" t="s">
        <v>237</v>
      </c>
      <c r="C225" s="40">
        <v>44904</v>
      </c>
      <c r="D225" s="61">
        <v>11.501525000000001</v>
      </c>
      <c r="E225" s="61">
        <v>67.053890749999994</v>
      </c>
      <c r="F225" s="61">
        <v>67.053890749999994</v>
      </c>
    </row>
    <row r="226" spans="1:6">
      <c r="A226" t="s">
        <v>1016</v>
      </c>
      <c r="B226" t="s">
        <v>1017</v>
      </c>
      <c r="C226" s="40">
        <v>46013</v>
      </c>
      <c r="D226" s="61">
        <v>0.17648800000000001</v>
      </c>
      <c r="E226" s="61">
        <v>6.7418415999999999</v>
      </c>
      <c r="F226" s="61">
        <v>6.7418415999999999</v>
      </c>
    </row>
    <row r="227" spans="1:6">
      <c r="A227" t="s">
        <v>548</v>
      </c>
      <c r="B227" t="s">
        <v>549</v>
      </c>
      <c r="C227" s="40">
        <v>45300</v>
      </c>
      <c r="D227" s="61">
        <v>1.2869999999999999</v>
      </c>
      <c r="E227" s="61">
        <v>1.2869999999999999</v>
      </c>
      <c r="F227" s="61">
        <v>1.2869999999999999</v>
      </c>
    </row>
    <row r="228" spans="1:6">
      <c r="A228" t="s">
        <v>743</v>
      </c>
      <c r="B228" t="s">
        <v>744</v>
      </c>
      <c r="C228" s="40">
        <v>45488</v>
      </c>
      <c r="D228" s="61">
        <v>0.63600000000000001</v>
      </c>
      <c r="E228" s="61">
        <v>2.9891999999999999</v>
      </c>
      <c r="F228" s="61">
        <v>2.9891999999999999</v>
      </c>
    </row>
    <row r="229" spans="1:6">
      <c r="A229" t="s">
        <v>588</v>
      </c>
      <c r="B229" t="s">
        <v>589</v>
      </c>
      <c r="C229" s="40">
        <v>45656</v>
      </c>
      <c r="D229" s="61">
        <v>0.25</v>
      </c>
      <c r="E229" s="61">
        <v>1.95</v>
      </c>
      <c r="F229" s="61">
        <v>1.95</v>
      </c>
    </row>
    <row r="230" spans="1:6">
      <c r="A230" t="s">
        <v>581</v>
      </c>
      <c r="B230" t="s">
        <v>582</v>
      </c>
      <c r="C230" s="40">
        <v>45670</v>
      </c>
      <c r="D230" s="61">
        <v>6.8840000000000003</v>
      </c>
      <c r="E230" s="61">
        <v>17.829560000000001</v>
      </c>
      <c r="F230" s="61">
        <v>17.829560000000001</v>
      </c>
    </row>
    <row r="231" spans="1:6">
      <c r="A231" t="s">
        <v>1010</v>
      </c>
      <c r="B231" t="s">
        <v>1011</v>
      </c>
      <c r="C231" s="40">
        <v>45841</v>
      </c>
      <c r="D231" s="61">
        <v>0.60582000000000003</v>
      </c>
      <c r="E231" s="61">
        <v>6.1187820000000004</v>
      </c>
      <c r="F231" s="61">
        <v>6.1187820000000004</v>
      </c>
    </row>
    <row r="232" spans="1:6">
      <c r="A232" t="s">
        <v>905</v>
      </c>
      <c r="B232" t="s">
        <v>906</v>
      </c>
      <c r="C232" s="40">
        <v>46035</v>
      </c>
      <c r="D232" s="61">
        <v>0.23263</v>
      </c>
      <c r="E232" s="61">
        <v>2.8520438000000001</v>
      </c>
      <c r="F232" s="61">
        <v>2.8520438000000001</v>
      </c>
    </row>
    <row r="233" spans="1:6">
      <c r="A233" t="s">
        <v>674</v>
      </c>
      <c r="B233" t="s">
        <v>675</v>
      </c>
      <c r="C233" s="40">
        <v>44797</v>
      </c>
      <c r="D233" s="61">
        <v>0.26046999999999998</v>
      </c>
      <c r="E233" s="61">
        <v>2.2400419999999999</v>
      </c>
      <c r="F233" s="61">
        <v>2.2400419999999999</v>
      </c>
    </row>
    <row r="234" spans="1:6">
      <c r="A234" t="s">
        <v>472</v>
      </c>
      <c r="B234" t="s">
        <v>473</v>
      </c>
      <c r="C234" s="40">
        <v>45461</v>
      </c>
      <c r="D234" s="61">
        <v>0.183</v>
      </c>
      <c r="E234" s="61">
        <v>1.0065</v>
      </c>
      <c r="F234" s="61">
        <v>1.0065</v>
      </c>
    </row>
    <row r="235" spans="1:6">
      <c r="A235" t="s">
        <v>568</v>
      </c>
      <c r="B235" t="s">
        <v>569</v>
      </c>
      <c r="C235" s="40">
        <v>45581</v>
      </c>
      <c r="D235" s="61">
        <v>1.5974999999999999</v>
      </c>
      <c r="E235" s="61">
        <v>4.3931250000000004</v>
      </c>
      <c r="F235" s="61">
        <v>4.3931250000000004</v>
      </c>
    </row>
    <row r="236" spans="1:6">
      <c r="A236" t="s">
        <v>787</v>
      </c>
      <c r="B236" t="s">
        <v>788</v>
      </c>
      <c r="C236" s="40">
        <v>44844</v>
      </c>
      <c r="D236" s="61">
        <v>2.5</v>
      </c>
      <c r="E236" s="61">
        <v>1.25</v>
      </c>
      <c r="F236" s="61">
        <v>1.25</v>
      </c>
    </row>
    <row r="237" spans="1:6">
      <c r="A237" t="s">
        <v>913</v>
      </c>
      <c r="B237" t="s">
        <v>914</v>
      </c>
      <c r="C237" s="40">
        <v>44742</v>
      </c>
      <c r="D237" s="61">
        <v>2</v>
      </c>
      <c r="E237" s="61">
        <v>1.26</v>
      </c>
      <c r="F237" s="61">
        <v>1.26</v>
      </c>
    </row>
    <row r="238" spans="1:6">
      <c r="A238" t="s">
        <v>852</v>
      </c>
      <c r="B238" t="s">
        <v>853</v>
      </c>
      <c r="C238" s="40">
        <v>45359</v>
      </c>
      <c r="D238" s="61">
        <v>5</v>
      </c>
      <c r="E238" s="61">
        <v>1.25</v>
      </c>
      <c r="F238" s="61">
        <v>1.25</v>
      </c>
    </row>
    <row r="239" spans="1:6">
      <c r="A239" t="s">
        <v>868</v>
      </c>
      <c r="B239" t="s">
        <v>869</v>
      </c>
      <c r="C239" s="40">
        <v>45055</v>
      </c>
      <c r="D239" s="61">
        <v>1.02</v>
      </c>
      <c r="E239" s="61">
        <v>1.3056000000000001</v>
      </c>
      <c r="F239" s="61">
        <v>1.3056000000000001</v>
      </c>
    </row>
    <row r="240" spans="1:6">
      <c r="A240" t="s">
        <v>933</v>
      </c>
      <c r="B240" t="s">
        <v>934</v>
      </c>
      <c r="C240" s="40">
        <v>45379</v>
      </c>
      <c r="D240" s="61">
        <v>1</v>
      </c>
      <c r="E240" s="61">
        <v>1.08</v>
      </c>
      <c r="F240" s="61">
        <v>1.08</v>
      </c>
    </row>
    <row r="241" spans="1:6">
      <c r="A241" t="s">
        <v>513</v>
      </c>
      <c r="B241" t="s">
        <v>514</v>
      </c>
      <c r="C241" s="40">
        <v>45015</v>
      </c>
      <c r="D241" s="61">
        <v>1.2</v>
      </c>
      <c r="E241" s="61">
        <v>1.4159999999999999</v>
      </c>
      <c r="F241" s="61">
        <v>1.4159999999999999</v>
      </c>
    </row>
    <row r="242" spans="1:6">
      <c r="A242" t="s">
        <v>882</v>
      </c>
      <c r="B242" t="s">
        <v>883</v>
      </c>
      <c r="C242" s="40">
        <v>45303</v>
      </c>
      <c r="D242" s="61">
        <v>1.25</v>
      </c>
      <c r="E242" s="61">
        <v>1.25</v>
      </c>
      <c r="F242" s="61">
        <v>1.25</v>
      </c>
    </row>
    <row r="243" spans="1:6">
      <c r="A243" t="s">
        <v>903</v>
      </c>
      <c r="B243" t="s">
        <v>904</v>
      </c>
      <c r="C243" s="40">
        <v>44760</v>
      </c>
      <c r="D243" s="61">
        <v>4</v>
      </c>
      <c r="E243" s="61">
        <v>1.3</v>
      </c>
      <c r="F243" s="61">
        <v>1.3</v>
      </c>
    </row>
    <row r="244" spans="1:6">
      <c r="A244" t="s">
        <v>962</v>
      </c>
      <c r="B244" t="s">
        <v>963</v>
      </c>
      <c r="C244" s="40">
        <v>46035</v>
      </c>
      <c r="D244" s="61">
        <v>1.25</v>
      </c>
      <c r="E244" s="61">
        <v>0.75</v>
      </c>
      <c r="F244" s="61">
        <v>0.75</v>
      </c>
    </row>
    <row r="245" spans="1:6">
      <c r="A245" t="s">
        <v>884</v>
      </c>
      <c r="B245" t="s">
        <v>885</v>
      </c>
      <c r="C245" s="40">
        <v>44572</v>
      </c>
      <c r="D245" s="61">
        <v>1.17642</v>
      </c>
      <c r="E245" s="61">
        <v>1.4352324000000001</v>
      </c>
      <c r="F245" s="61">
        <v>1.4352324000000001</v>
      </c>
    </row>
    <row r="246" spans="1:6">
      <c r="A246" t="s">
        <v>911</v>
      </c>
      <c r="B246" t="s">
        <v>912</v>
      </c>
      <c r="C246" s="40">
        <v>44851</v>
      </c>
      <c r="D246" s="61">
        <v>2.5</v>
      </c>
      <c r="E246" s="61">
        <v>1.6</v>
      </c>
      <c r="F246" s="61">
        <v>1.6</v>
      </c>
    </row>
    <row r="247" spans="1:6">
      <c r="A247" t="s">
        <v>670</v>
      </c>
      <c r="B247" t="s">
        <v>671</v>
      </c>
      <c r="C247" s="40">
        <v>44722</v>
      </c>
      <c r="D247" s="61">
        <v>0.55000000000000004</v>
      </c>
      <c r="E247" s="61">
        <v>1.155</v>
      </c>
      <c r="F247" s="61">
        <v>1.155</v>
      </c>
    </row>
    <row r="248" spans="1:6">
      <c r="A248" t="s">
        <v>813</v>
      </c>
      <c r="B248" t="s">
        <v>814</v>
      </c>
      <c r="C248" s="40">
        <v>45120</v>
      </c>
      <c r="D248" s="61">
        <v>1.2852749999999999</v>
      </c>
      <c r="E248" s="61">
        <v>5.4624187500000003</v>
      </c>
      <c r="F248" s="61">
        <v>3.4224187499999998</v>
      </c>
    </row>
    <row r="249" spans="1:6">
      <c r="A249" t="s">
        <v>799</v>
      </c>
      <c r="B249" t="s">
        <v>800</v>
      </c>
      <c r="C249" s="40">
        <v>45818</v>
      </c>
      <c r="D249" s="61">
        <v>0.105854</v>
      </c>
      <c r="E249" s="61">
        <v>2.0006406000000001</v>
      </c>
      <c r="F249" s="61">
        <v>2.0006406000000001</v>
      </c>
    </row>
    <row r="250" spans="1:6">
      <c r="A250" t="s">
        <v>337</v>
      </c>
      <c r="B250" t="s">
        <v>338</v>
      </c>
      <c r="C250" s="40">
        <v>44942</v>
      </c>
      <c r="D250" s="61">
        <v>0.88544</v>
      </c>
      <c r="E250" s="61">
        <v>4.9584640000000002</v>
      </c>
      <c r="F250" s="61">
        <v>4.9584640000000002</v>
      </c>
    </row>
    <row r="251" spans="1:6">
      <c r="A251" t="s">
        <v>299</v>
      </c>
      <c r="B251" t="s">
        <v>300</v>
      </c>
      <c r="C251" s="40">
        <v>45845</v>
      </c>
      <c r="D251" s="61">
        <v>0.96343500000000004</v>
      </c>
      <c r="E251" s="61">
        <v>36.610529999999997</v>
      </c>
      <c r="F251" s="61">
        <v>36.610529999999997</v>
      </c>
    </row>
    <row r="252" spans="1:6">
      <c r="A252" t="s">
        <v>385</v>
      </c>
      <c r="B252" t="s">
        <v>386</v>
      </c>
      <c r="C252" s="40">
        <v>44917</v>
      </c>
    </row>
    <row r="253" spans="1:6">
      <c r="A253" t="s">
        <v>415</v>
      </c>
      <c r="B253" t="s">
        <v>416</v>
      </c>
      <c r="C253" s="40">
        <v>44918</v>
      </c>
      <c r="D253" s="61">
        <v>9.9194000000000004E-2</v>
      </c>
      <c r="E253" s="61">
        <v>1.8450084</v>
      </c>
      <c r="F253" s="61">
        <v>1.8450084</v>
      </c>
    </row>
    <row r="254" spans="1:6">
      <c r="A254" t="s">
        <v>403</v>
      </c>
      <c r="B254" t="s">
        <v>404</v>
      </c>
      <c r="C254" s="40">
        <v>44925</v>
      </c>
    </row>
    <row r="255" spans="1:6">
      <c r="A255" t="s">
        <v>251</v>
      </c>
      <c r="B255" t="s">
        <v>252</v>
      </c>
      <c r="C255" s="40">
        <v>44630</v>
      </c>
    </row>
    <row r="256" spans="1:6">
      <c r="A256" t="s">
        <v>739</v>
      </c>
      <c r="B256" t="s">
        <v>740</v>
      </c>
      <c r="C256" s="40">
        <v>45573</v>
      </c>
      <c r="D256" s="61">
        <v>0.25779000000000002</v>
      </c>
      <c r="E256" s="61">
        <v>3.35127</v>
      </c>
      <c r="F256" s="61">
        <v>3.35127</v>
      </c>
    </row>
    <row r="257" spans="1:6">
      <c r="A257" t="s">
        <v>594</v>
      </c>
      <c r="B257" t="s">
        <v>595</v>
      </c>
      <c r="C257" s="40">
        <v>44783</v>
      </c>
      <c r="D257" s="61">
        <v>0.151393</v>
      </c>
      <c r="E257" s="61">
        <v>4.2011557499999999</v>
      </c>
      <c r="F257" s="61">
        <v>4.2011557499999999</v>
      </c>
    </row>
    <row r="258" spans="1:6">
      <c r="A258" t="s">
        <v>668</v>
      </c>
      <c r="B258" t="s">
        <v>669</v>
      </c>
      <c r="C258" s="40">
        <v>45029</v>
      </c>
      <c r="D258" s="61">
        <v>8.0439999999999998E-2</v>
      </c>
      <c r="E258" s="61">
        <v>2.389068</v>
      </c>
      <c r="F258" s="61">
        <v>2.389068</v>
      </c>
    </row>
    <row r="259" spans="1:6">
      <c r="A259" t="s">
        <v>405</v>
      </c>
      <c r="B259" t="s">
        <v>406</v>
      </c>
      <c r="C259" s="40">
        <v>44910</v>
      </c>
      <c r="D259" s="61">
        <v>0.96396999999999999</v>
      </c>
      <c r="E259" s="61">
        <v>10.1795232</v>
      </c>
      <c r="F259" s="61">
        <v>10.1795232</v>
      </c>
    </row>
    <row r="260" spans="1:6">
      <c r="A260" t="s">
        <v>407</v>
      </c>
      <c r="B260" t="s">
        <v>408</v>
      </c>
      <c r="C260" s="40">
        <v>45211</v>
      </c>
      <c r="D260" s="61">
        <v>0.53407499999999997</v>
      </c>
      <c r="E260" s="61">
        <v>8.2033919999999991</v>
      </c>
      <c r="F260" s="61">
        <v>8.2033919999999991</v>
      </c>
    </row>
    <row r="261" spans="1:6">
      <c r="A261" t="s">
        <v>327</v>
      </c>
      <c r="B261" t="s">
        <v>328</v>
      </c>
      <c r="C261" s="40">
        <v>45278</v>
      </c>
      <c r="D261" s="61">
        <v>1.1607019999999999</v>
      </c>
      <c r="E261" s="61">
        <v>21.240846600000001</v>
      </c>
      <c r="F261" s="61">
        <v>21.240846600000001</v>
      </c>
    </row>
    <row r="262" spans="1:6">
      <c r="A262" t="s">
        <v>892</v>
      </c>
      <c r="B262" t="s">
        <v>893</v>
      </c>
      <c r="C262" s="40">
        <v>45645</v>
      </c>
      <c r="D262" s="61">
        <v>0.33333600000000002</v>
      </c>
      <c r="E262" s="61">
        <v>1.2500100000000001</v>
      </c>
      <c r="F262" s="61">
        <v>1.2500100000000001</v>
      </c>
    </row>
    <row r="263" spans="1:6">
      <c r="A263" t="s">
        <v>725</v>
      </c>
      <c r="B263" t="s">
        <v>726</v>
      </c>
      <c r="C263" s="40">
        <v>44750</v>
      </c>
      <c r="D263" s="61">
        <v>0.33339999999999997</v>
      </c>
      <c r="E263" s="61">
        <v>1.9737279999999999</v>
      </c>
      <c r="F263" s="61">
        <v>1.9737279999999999</v>
      </c>
    </row>
    <row r="264" spans="1:6">
      <c r="A264" t="s">
        <v>797</v>
      </c>
      <c r="B264" t="s">
        <v>798</v>
      </c>
      <c r="C264" s="40">
        <v>44651</v>
      </c>
      <c r="D264" s="61">
        <v>0.5</v>
      </c>
      <c r="E264" s="61">
        <v>2.0499999999999998</v>
      </c>
      <c r="F264" s="61">
        <v>2.0499999999999998</v>
      </c>
    </row>
    <row r="265" spans="1:6">
      <c r="A265" t="s">
        <v>707</v>
      </c>
      <c r="B265" t="s">
        <v>708</v>
      </c>
      <c r="C265" s="40">
        <v>45999</v>
      </c>
      <c r="D265" s="61">
        <v>6.6667000000000004E-2</v>
      </c>
      <c r="E265" s="61">
        <v>4.5000225</v>
      </c>
      <c r="F265" s="61">
        <v>4.5000225</v>
      </c>
    </row>
    <row r="266" spans="1:6">
      <c r="A266" t="s">
        <v>590</v>
      </c>
      <c r="B266" t="s">
        <v>591</v>
      </c>
      <c r="C266" s="40">
        <v>45194</v>
      </c>
      <c r="D266" s="61">
        <v>0.30725999999999998</v>
      </c>
      <c r="E266" s="61">
        <v>1.5762438000000001</v>
      </c>
      <c r="F266" s="61">
        <v>1.5762438000000001</v>
      </c>
    </row>
    <row r="267" spans="1:6">
      <c r="A267" t="s">
        <v>691</v>
      </c>
      <c r="B267" t="s">
        <v>692</v>
      </c>
      <c r="C267" s="40">
        <v>45457</v>
      </c>
      <c r="D267" s="61">
        <v>1.1499999999999999</v>
      </c>
      <c r="E267" s="61">
        <v>5.29</v>
      </c>
      <c r="F267" s="61">
        <v>5.29</v>
      </c>
    </row>
    <row r="268" spans="1:6">
      <c r="A268" t="s">
        <v>645</v>
      </c>
      <c r="B268" t="s">
        <v>646</v>
      </c>
      <c r="C268" s="40">
        <v>46001</v>
      </c>
      <c r="D268" s="61">
        <v>0.37081637000000001</v>
      </c>
      <c r="E268" s="61">
        <v>3.7081637000000001</v>
      </c>
      <c r="F268" s="61">
        <v>3.7081637000000001</v>
      </c>
    </row>
    <row r="269" spans="1:6">
      <c r="A269" t="s">
        <v>705</v>
      </c>
      <c r="B269" t="s">
        <v>706</v>
      </c>
      <c r="C269" s="40">
        <v>45743</v>
      </c>
      <c r="D269" s="61">
        <v>2.5</v>
      </c>
      <c r="E269" s="61">
        <v>1.2749999999999999</v>
      </c>
      <c r="F269" s="61">
        <v>1.2749999999999999</v>
      </c>
    </row>
    <row r="270" spans="1:6">
      <c r="A270" t="s">
        <v>428</v>
      </c>
      <c r="B270" t="s">
        <v>429</v>
      </c>
      <c r="C270" s="40">
        <v>44673</v>
      </c>
      <c r="D270" s="61">
        <v>0.26</v>
      </c>
      <c r="E270" s="61">
        <v>8.3355999999999995</v>
      </c>
      <c r="F270" s="61">
        <v>8.3355999999999995</v>
      </c>
    </row>
    <row r="271" spans="1:6">
      <c r="A271" t="s">
        <v>342</v>
      </c>
      <c r="B271" t="s">
        <v>343</v>
      </c>
      <c r="C271" s="40">
        <v>45252</v>
      </c>
      <c r="D271" s="61">
        <v>3.7348599999999998</v>
      </c>
      <c r="E271" s="61">
        <v>8.1419948000000009</v>
      </c>
      <c r="F271" s="61">
        <v>8.1419948000000009</v>
      </c>
    </row>
    <row r="272" spans="1:6">
      <c r="A272" t="s">
        <v>265</v>
      </c>
      <c r="B272" t="s">
        <v>266</v>
      </c>
      <c r="C272" s="40">
        <v>44648</v>
      </c>
    </row>
    <row r="273" spans="1:6">
      <c r="A273" t="s">
        <v>721</v>
      </c>
      <c r="B273" t="s">
        <v>722</v>
      </c>
      <c r="C273" s="40">
        <v>45917</v>
      </c>
      <c r="D273" s="61">
        <v>0.336455</v>
      </c>
      <c r="E273" s="61">
        <v>4.0004499500000001</v>
      </c>
      <c r="F273" s="61">
        <v>4.0004499500000001</v>
      </c>
    </row>
    <row r="274" spans="1:6">
      <c r="A274" t="s">
        <v>697</v>
      </c>
      <c r="B274" t="s">
        <v>698</v>
      </c>
      <c r="C274" s="40">
        <v>45940</v>
      </c>
      <c r="D274" s="61">
        <v>5.9789000000000002E-2</v>
      </c>
      <c r="E274" s="61">
        <v>4.0010798799999998</v>
      </c>
      <c r="F274" s="61">
        <v>4.0010798799999998</v>
      </c>
    </row>
    <row r="275" spans="1:6">
      <c r="A275" t="s">
        <v>860</v>
      </c>
      <c r="B275" t="s">
        <v>861</v>
      </c>
      <c r="C275" s="40">
        <v>45574</v>
      </c>
      <c r="D275" s="61">
        <v>2.5</v>
      </c>
      <c r="E275" s="61">
        <v>1.825</v>
      </c>
      <c r="F275" s="61">
        <v>1.825</v>
      </c>
    </row>
    <row r="276" spans="1:6">
      <c r="A276" t="s">
        <v>1040</v>
      </c>
      <c r="B276" t="s">
        <v>1041</v>
      </c>
      <c r="C276" s="40">
        <v>45940</v>
      </c>
      <c r="D276" s="61">
        <v>1</v>
      </c>
      <c r="E276" s="61">
        <v>0.5</v>
      </c>
      <c r="F276" s="61">
        <v>0.5</v>
      </c>
    </row>
    <row r="277" spans="1:6">
      <c r="A277" t="s">
        <v>771</v>
      </c>
      <c r="B277" t="s">
        <v>772</v>
      </c>
      <c r="C277" s="40">
        <v>44943</v>
      </c>
      <c r="D277" s="61">
        <v>1.724</v>
      </c>
      <c r="E277" s="61">
        <v>2.7584</v>
      </c>
      <c r="F277" s="61">
        <v>2.7584</v>
      </c>
    </row>
    <row r="278" spans="1:6">
      <c r="A278" t="s">
        <v>935</v>
      </c>
      <c r="B278" t="s">
        <v>936</v>
      </c>
      <c r="C278" s="40">
        <v>44924</v>
      </c>
      <c r="D278" s="61">
        <v>1.9285000000000001</v>
      </c>
      <c r="E278" s="61">
        <v>1.022105</v>
      </c>
      <c r="F278" s="61">
        <v>1.022105</v>
      </c>
    </row>
    <row r="279" spans="1:6">
      <c r="A279" t="s">
        <v>717</v>
      </c>
      <c r="B279" t="s">
        <v>718</v>
      </c>
      <c r="C279" s="40">
        <v>45265</v>
      </c>
      <c r="D279" s="61">
        <v>4.1437499999999998</v>
      </c>
      <c r="E279" s="61">
        <v>1.3260000000000001</v>
      </c>
      <c r="F279" s="61">
        <v>1.196</v>
      </c>
    </row>
    <row r="280" spans="1:6">
      <c r="A280" t="s">
        <v>635</v>
      </c>
      <c r="B280" t="s">
        <v>636</v>
      </c>
      <c r="C280" s="40">
        <v>45847</v>
      </c>
      <c r="D280" s="61">
        <v>0.3044</v>
      </c>
      <c r="E280" s="61">
        <v>4.1246200000000002</v>
      </c>
      <c r="F280" s="61">
        <v>4.1246200000000002</v>
      </c>
    </row>
    <row r="281" spans="1:6">
      <c r="A281" t="s">
        <v>417</v>
      </c>
      <c r="B281" t="s">
        <v>418</v>
      </c>
      <c r="C281" s="40">
        <v>44925</v>
      </c>
      <c r="D281" s="61">
        <v>0.31246000000000002</v>
      </c>
      <c r="E281" s="61">
        <v>1.999744</v>
      </c>
      <c r="F281" s="61">
        <v>1.999744</v>
      </c>
    </row>
    <row r="282" spans="1:6">
      <c r="A282" t="s">
        <v>899</v>
      </c>
      <c r="B282" t="s">
        <v>900</v>
      </c>
      <c r="C282" s="40">
        <v>45265</v>
      </c>
      <c r="D282" s="61">
        <v>1.25</v>
      </c>
      <c r="E282" s="61">
        <v>2.25</v>
      </c>
      <c r="F282" s="61">
        <v>2.25</v>
      </c>
    </row>
    <row r="283" spans="1:6">
      <c r="A283" t="s">
        <v>822</v>
      </c>
      <c r="B283" t="s">
        <v>823</v>
      </c>
      <c r="C283" s="40">
        <v>44881</v>
      </c>
      <c r="D283" s="61">
        <v>1.1000000000000001</v>
      </c>
      <c r="E283" s="61">
        <v>1.5620000000000001</v>
      </c>
      <c r="F283" s="61">
        <v>1.5620000000000001</v>
      </c>
    </row>
    <row r="284" spans="1:6">
      <c r="A284" t="s">
        <v>945</v>
      </c>
      <c r="B284" t="s">
        <v>946</v>
      </c>
      <c r="C284" s="40">
        <v>46013</v>
      </c>
      <c r="D284" s="61">
        <v>0.36099999999999999</v>
      </c>
      <c r="E284" s="61">
        <v>1.2996000000000001</v>
      </c>
      <c r="F284" s="61">
        <v>1.2996000000000001</v>
      </c>
    </row>
    <row r="285" spans="1:6">
      <c r="A285" t="s">
        <v>907</v>
      </c>
      <c r="B285" t="s">
        <v>908</v>
      </c>
      <c r="C285" s="40">
        <v>45124</v>
      </c>
      <c r="D285" s="61">
        <v>1.5</v>
      </c>
      <c r="E285" s="61">
        <v>1.38</v>
      </c>
      <c r="F285" s="61">
        <v>1.3662000000000001</v>
      </c>
    </row>
    <row r="286" spans="1:6">
      <c r="A286" t="s">
        <v>929</v>
      </c>
      <c r="B286" t="s">
        <v>930</v>
      </c>
      <c r="C286" s="40">
        <v>45446</v>
      </c>
      <c r="D286" s="61">
        <v>1.375</v>
      </c>
      <c r="E286" s="61">
        <v>0.6875</v>
      </c>
      <c r="F286" s="61">
        <v>0.6875</v>
      </c>
    </row>
    <row r="287" spans="1:6">
      <c r="A287" t="s">
        <v>842</v>
      </c>
      <c r="B287" t="s">
        <v>843</v>
      </c>
      <c r="C287" s="40">
        <v>45125</v>
      </c>
      <c r="D287" s="61">
        <v>1.3741399999999999</v>
      </c>
      <c r="E287" s="61">
        <v>1.6214852</v>
      </c>
      <c r="F287" s="61">
        <v>1.6214852</v>
      </c>
    </row>
    <row r="288" spans="1:6">
      <c r="A288" t="s">
        <v>598</v>
      </c>
      <c r="B288" t="s">
        <v>599</v>
      </c>
      <c r="C288" s="40">
        <v>45440</v>
      </c>
      <c r="D288" s="61">
        <v>0.97624999999999995</v>
      </c>
      <c r="E288" s="61">
        <v>2.2258499999999999</v>
      </c>
      <c r="F288" s="61">
        <v>2.2258499999999999</v>
      </c>
    </row>
    <row r="289" spans="1:6">
      <c r="A289" t="s">
        <v>622</v>
      </c>
      <c r="B289" t="s">
        <v>623</v>
      </c>
      <c r="C289" s="40">
        <v>45831</v>
      </c>
      <c r="D289" s="61">
        <v>1.3310580000000001</v>
      </c>
      <c r="E289" s="61">
        <v>5.6170647599999999</v>
      </c>
      <c r="F289" s="61">
        <v>5.6170647599999999</v>
      </c>
    </row>
    <row r="290" spans="1:6">
      <c r="A290" t="s">
        <v>577</v>
      </c>
      <c r="B290" t="s">
        <v>578</v>
      </c>
      <c r="C290" s="40">
        <v>44750</v>
      </c>
      <c r="D290" s="61">
        <v>0.34390500000000002</v>
      </c>
      <c r="E290" s="61">
        <v>2.1459671999999999</v>
      </c>
      <c r="F290" s="61">
        <v>2.1459671999999999</v>
      </c>
    </row>
    <row r="291" spans="1:6">
      <c r="A291" t="s">
        <v>779</v>
      </c>
      <c r="B291" t="s">
        <v>780</v>
      </c>
      <c r="C291" s="40">
        <v>46112</v>
      </c>
      <c r="D291" s="61">
        <v>7.4067999999999995E-2</v>
      </c>
      <c r="E291" s="61">
        <v>4.4440799999999996</v>
      </c>
      <c r="F291" s="61">
        <v>4.4440799999999996</v>
      </c>
    </row>
    <row r="292" spans="1:6">
      <c r="A292" t="s">
        <v>614</v>
      </c>
      <c r="B292" t="s">
        <v>615</v>
      </c>
      <c r="C292" s="40">
        <v>45726</v>
      </c>
      <c r="D292" s="61">
        <v>1.5585E-2</v>
      </c>
      <c r="E292" s="61">
        <v>0.15584999999999999</v>
      </c>
      <c r="F292" s="61">
        <v>0.15584999999999999</v>
      </c>
    </row>
    <row r="293" spans="1:6">
      <c r="A293" t="s">
        <v>538</v>
      </c>
      <c r="B293" t="s">
        <v>539</v>
      </c>
      <c r="C293" s="40">
        <v>45632</v>
      </c>
      <c r="D293" s="61">
        <v>0.25774000000000002</v>
      </c>
      <c r="E293" s="61">
        <v>7.7863254</v>
      </c>
      <c r="F293" s="61">
        <v>7.7863254</v>
      </c>
    </row>
    <row r="294" spans="1:6">
      <c r="A294" t="s">
        <v>639</v>
      </c>
      <c r="B294" t="s">
        <v>640</v>
      </c>
      <c r="C294" s="40">
        <v>44699</v>
      </c>
      <c r="D294" s="61">
        <v>1.4625049999999999</v>
      </c>
      <c r="E294" s="61">
        <v>11.539164449999999</v>
      </c>
      <c r="F294" s="61">
        <v>9.5667039000000003</v>
      </c>
    </row>
    <row r="295" spans="1:6">
      <c r="A295" t="s">
        <v>872</v>
      </c>
      <c r="B295" t="s">
        <v>873</v>
      </c>
      <c r="C295" s="40">
        <v>44946</v>
      </c>
      <c r="D295" s="61">
        <v>0.66</v>
      </c>
      <c r="E295" s="61">
        <v>1.2605999999999999</v>
      </c>
      <c r="F295" s="61">
        <v>1.2605999999999999</v>
      </c>
    </row>
    <row r="296" spans="1:6">
      <c r="A296" t="s">
        <v>917</v>
      </c>
      <c r="B296" t="s">
        <v>918</v>
      </c>
      <c r="C296" s="40">
        <v>44610</v>
      </c>
      <c r="D296" s="61">
        <v>1.36</v>
      </c>
      <c r="E296" s="61">
        <v>2.1760000000000002</v>
      </c>
      <c r="F296" s="61">
        <v>2</v>
      </c>
    </row>
    <row r="297" spans="1:6">
      <c r="A297" t="s">
        <v>858</v>
      </c>
      <c r="B297" t="s">
        <v>859</v>
      </c>
      <c r="C297" s="40">
        <v>45405</v>
      </c>
      <c r="D297" s="61">
        <v>0.53949999999999998</v>
      </c>
      <c r="E297" s="61">
        <v>1.3487499999999999</v>
      </c>
      <c r="F297" s="61">
        <v>1.3487499999999999</v>
      </c>
    </row>
    <row r="298" spans="1:6">
      <c r="A298" t="s">
        <v>960</v>
      </c>
      <c r="B298" t="s">
        <v>961</v>
      </c>
      <c r="C298" s="40">
        <v>44578</v>
      </c>
      <c r="D298" s="61">
        <v>1.2</v>
      </c>
      <c r="E298" s="61">
        <v>2.46</v>
      </c>
      <c r="F298" s="61">
        <v>2.46</v>
      </c>
    </row>
    <row r="299" spans="1:6">
      <c r="A299" t="s">
        <v>864</v>
      </c>
      <c r="B299" t="s">
        <v>865</v>
      </c>
      <c r="C299" s="40">
        <v>46007</v>
      </c>
      <c r="D299" s="61">
        <v>0.44770399999999999</v>
      </c>
      <c r="E299" s="61">
        <v>8.9988504000000002</v>
      </c>
      <c r="F299" s="61">
        <v>8.9988504000000002</v>
      </c>
    </row>
    <row r="300" spans="1:6">
      <c r="A300" t="s">
        <v>761</v>
      </c>
      <c r="B300" t="s">
        <v>762</v>
      </c>
      <c r="C300" s="40">
        <v>45197</v>
      </c>
      <c r="D300" s="61">
        <v>1.338055</v>
      </c>
      <c r="E300" s="61">
        <v>6.3691418000000004</v>
      </c>
      <c r="F300" s="61">
        <v>6.3691418000000004</v>
      </c>
    </row>
    <row r="301" spans="1:6">
      <c r="A301" t="s">
        <v>333</v>
      </c>
      <c r="B301" t="s">
        <v>334</v>
      </c>
      <c r="C301" s="40">
        <v>46100</v>
      </c>
    </row>
    <row r="302" spans="1:6">
      <c r="A302" t="s">
        <v>923</v>
      </c>
      <c r="B302" t="s">
        <v>924</v>
      </c>
      <c r="C302" s="40">
        <v>45818</v>
      </c>
      <c r="D302" s="61">
        <v>0.24856</v>
      </c>
      <c r="E302" s="61">
        <v>2.4234599999999999</v>
      </c>
      <c r="F302" s="61">
        <v>2.4234599999999999</v>
      </c>
    </row>
    <row r="303" spans="1:6">
      <c r="A303" t="s">
        <v>579</v>
      </c>
      <c r="B303" t="s">
        <v>580</v>
      </c>
      <c r="C303" s="40">
        <v>45071</v>
      </c>
      <c r="D303" s="61">
        <v>0.58574999999999999</v>
      </c>
      <c r="E303" s="61">
        <v>5.9687925000000002</v>
      </c>
      <c r="F303" s="61">
        <v>5.9687925000000002</v>
      </c>
    </row>
    <row r="304" spans="1:6">
      <c r="A304" t="s">
        <v>801</v>
      </c>
      <c r="B304" t="s">
        <v>802</v>
      </c>
      <c r="C304" s="40">
        <v>44742</v>
      </c>
      <c r="D304" s="61">
        <v>0.43530400000000002</v>
      </c>
      <c r="E304" s="61">
        <v>5.5936564000000004</v>
      </c>
      <c r="F304" s="61">
        <v>3.0840513999999999</v>
      </c>
    </row>
    <row r="305" spans="1:6">
      <c r="A305" t="s">
        <v>854</v>
      </c>
      <c r="B305" t="s">
        <v>855</v>
      </c>
      <c r="C305" s="40">
        <v>45989</v>
      </c>
      <c r="D305" s="61">
        <v>0.37214599999999998</v>
      </c>
      <c r="E305" s="61">
        <v>5.3142448800000004</v>
      </c>
      <c r="F305" s="61">
        <v>5.3142448800000004</v>
      </c>
    </row>
    <row r="306" spans="1:6">
      <c r="A306" t="s">
        <v>1002</v>
      </c>
      <c r="B306" t="s">
        <v>1003</v>
      </c>
      <c r="C306" s="40">
        <v>45804</v>
      </c>
      <c r="D306" s="61">
        <v>0.19283500000000001</v>
      </c>
      <c r="E306" s="61">
        <v>3.0082260000000001</v>
      </c>
      <c r="F306" s="61">
        <v>3.0082260000000001</v>
      </c>
    </row>
    <row r="307" spans="1:6">
      <c r="A307" t="s">
        <v>1020</v>
      </c>
      <c r="B307" t="s">
        <v>1021</v>
      </c>
      <c r="C307" s="40">
        <v>45436</v>
      </c>
      <c r="D307" s="61">
        <v>0.34151799999999999</v>
      </c>
      <c r="E307" s="61">
        <v>4.610493</v>
      </c>
      <c r="F307" s="61">
        <v>4.610493</v>
      </c>
    </row>
    <row r="308" spans="1:6">
      <c r="A308" t="s">
        <v>220</v>
      </c>
      <c r="B308" t="s">
        <v>393</v>
      </c>
      <c r="C308" s="40">
        <v>45405</v>
      </c>
      <c r="D308" s="61">
        <v>1.4776339999999999</v>
      </c>
      <c r="E308" s="61">
        <v>25.858595000000001</v>
      </c>
      <c r="F308" s="61">
        <v>25.858595000000001</v>
      </c>
    </row>
    <row r="309" spans="1:6">
      <c r="A309" t="s">
        <v>947</v>
      </c>
      <c r="B309" t="s">
        <v>948</v>
      </c>
      <c r="C309" s="40">
        <v>45089</v>
      </c>
      <c r="D309" s="61">
        <v>0.21281800000000001</v>
      </c>
      <c r="E309" s="61">
        <v>4.6500732999999999</v>
      </c>
      <c r="F309" s="61">
        <v>4.6500732999999999</v>
      </c>
    </row>
    <row r="310" spans="1:6">
      <c r="A310" t="s">
        <v>309</v>
      </c>
      <c r="B310" t="s">
        <v>310</v>
      </c>
      <c r="C310" s="40">
        <v>45105</v>
      </c>
      <c r="D310" s="61">
        <v>0.17235400000000001</v>
      </c>
      <c r="E310" s="61">
        <v>3.4470800000000001</v>
      </c>
      <c r="F310" s="61">
        <v>3.4470800000000001</v>
      </c>
    </row>
    <row r="311" spans="1:6">
      <c r="A311" t="s">
        <v>789</v>
      </c>
      <c r="B311" t="s">
        <v>790</v>
      </c>
      <c r="C311" s="40">
        <v>45288</v>
      </c>
      <c r="D311" s="61">
        <v>0.15</v>
      </c>
      <c r="E311" s="61">
        <v>4.1204999999999998</v>
      </c>
      <c r="F311" s="61">
        <v>4.1204999999999998</v>
      </c>
    </row>
    <row r="312" spans="1:6">
      <c r="A312" t="s">
        <v>994</v>
      </c>
      <c r="B312" t="s">
        <v>995</v>
      </c>
      <c r="C312" s="40">
        <v>45371</v>
      </c>
      <c r="D312" s="61">
        <v>0.120464</v>
      </c>
      <c r="E312" s="61">
        <v>2.3851871999999998</v>
      </c>
      <c r="F312" s="61">
        <v>2.3851871999999998</v>
      </c>
    </row>
    <row r="313" spans="1:6">
      <c r="A313" t="s">
        <v>793</v>
      </c>
      <c r="B313" t="s">
        <v>794</v>
      </c>
      <c r="C313" s="40">
        <v>46063</v>
      </c>
      <c r="D313" s="61">
        <v>0.28205000000000002</v>
      </c>
      <c r="E313" s="61">
        <v>3.4551124999999998</v>
      </c>
      <c r="F313" s="61">
        <v>3.4551124999999998</v>
      </c>
    </row>
    <row r="314" spans="1:6">
      <c r="A314" t="s">
        <v>856</v>
      </c>
      <c r="B314" t="s">
        <v>857</v>
      </c>
      <c r="C314" s="40">
        <v>44873</v>
      </c>
      <c r="D314" s="61">
        <v>0.22455</v>
      </c>
      <c r="E314" s="61">
        <v>6.5456325</v>
      </c>
      <c r="F314" s="61">
        <v>6.5456325</v>
      </c>
    </row>
    <row r="315" spans="1:6">
      <c r="A315" t="s">
        <v>1026</v>
      </c>
      <c r="B315" t="s">
        <v>1027</v>
      </c>
      <c r="C315" s="40">
        <v>45945</v>
      </c>
      <c r="D315" s="61">
        <v>0.67333500000000002</v>
      </c>
      <c r="E315" s="61">
        <v>7.8106859999999996</v>
      </c>
      <c r="F315" s="61">
        <v>7.8106859999999996</v>
      </c>
    </row>
    <row r="316" spans="1:6">
      <c r="A316" t="s">
        <v>1012</v>
      </c>
      <c r="B316" t="s">
        <v>1013</v>
      </c>
      <c r="C316" s="40">
        <v>45054</v>
      </c>
      <c r="D316" s="61">
        <v>0.10385999999999999</v>
      </c>
      <c r="E316" s="61">
        <v>3.4066079999999999</v>
      </c>
      <c r="F316" s="61">
        <v>3.4066079999999999</v>
      </c>
    </row>
    <row r="317" spans="1:6">
      <c r="A317" t="s">
        <v>501</v>
      </c>
      <c r="B317" t="s">
        <v>502</v>
      </c>
      <c r="C317" s="40">
        <v>45119</v>
      </c>
      <c r="D317" s="61">
        <v>0.108386</v>
      </c>
      <c r="E317" s="61">
        <v>3.1345231199999999</v>
      </c>
      <c r="F317" s="61">
        <v>3.1345231199999999</v>
      </c>
    </row>
    <row r="318" spans="1:6">
      <c r="A318" t="s">
        <v>379</v>
      </c>
      <c r="B318" t="s">
        <v>380</v>
      </c>
      <c r="C318" s="40">
        <v>45876</v>
      </c>
    </row>
    <row r="319" spans="1:6">
      <c r="A319" t="s">
        <v>426</v>
      </c>
      <c r="B319" t="s">
        <v>427</v>
      </c>
      <c r="C319" s="40">
        <v>45197</v>
      </c>
      <c r="D319" s="61">
        <v>0.20194200000000001</v>
      </c>
      <c r="E319" s="61">
        <v>11.227975199999999</v>
      </c>
      <c r="F319" s="61">
        <v>11.227975199999999</v>
      </c>
    </row>
    <row r="320" spans="1:6">
      <c r="A320" t="s">
        <v>616</v>
      </c>
      <c r="B320" t="s">
        <v>617</v>
      </c>
      <c r="C320" s="40">
        <v>46111</v>
      </c>
      <c r="D320" s="61">
        <v>0.21492049999999999</v>
      </c>
      <c r="E320" s="61">
        <v>16.389837329999999</v>
      </c>
      <c r="F320" s="61">
        <v>16.389837329999999</v>
      </c>
    </row>
    <row r="321" spans="1:6">
      <c r="A321" t="s">
        <v>651</v>
      </c>
      <c r="B321" t="s">
        <v>652</v>
      </c>
      <c r="C321" s="40">
        <v>45483</v>
      </c>
      <c r="D321" s="61">
        <v>4.4649800000000003E-2</v>
      </c>
      <c r="E321" s="61">
        <v>6.7912345800000002</v>
      </c>
      <c r="F321" s="61">
        <v>6.7912345800000002</v>
      </c>
    </row>
    <row r="322" spans="1:6">
      <c r="A322" t="s">
        <v>637</v>
      </c>
      <c r="B322" t="s">
        <v>638</v>
      </c>
      <c r="C322" s="40">
        <v>45632</v>
      </c>
      <c r="D322" s="61">
        <v>4.8510999999999999E-2</v>
      </c>
      <c r="E322" s="61">
        <v>7.1311169999999997</v>
      </c>
      <c r="F322" s="61">
        <v>7.1311169999999997</v>
      </c>
    </row>
    <row r="323" spans="1:6">
      <c r="A323" t="s">
        <v>838</v>
      </c>
      <c r="B323" t="s">
        <v>839</v>
      </c>
      <c r="C323" s="40">
        <v>46014</v>
      </c>
      <c r="D323" s="61">
        <v>3.7865999999999997E-2</v>
      </c>
      <c r="E323" s="61">
        <v>3.02928</v>
      </c>
      <c r="F323" s="61">
        <v>3.02928</v>
      </c>
    </row>
    <row r="324" spans="1:6">
      <c r="A324" t="s">
        <v>515</v>
      </c>
      <c r="B324" t="s">
        <v>516</v>
      </c>
      <c r="C324" s="40">
        <v>44650</v>
      </c>
    </row>
    <row r="325" spans="1:6">
      <c r="A325" t="s">
        <v>629</v>
      </c>
      <c r="B325" t="s">
        <v>630</v>
      </c>
      <c r="C325" s="40">
        <v>45379</v>
      </c>
      <c r="D325" s="61">
        <v>0.64300000000000002</v>
      </c>
      <c r="E325" s="61">
        <v>6.5714600000000001</v>
      </c>
      <c r="F325" s="61">
        <v>6.5714600000000001</v>
      </c>
    </row>
    <row r="326" spans="1:6">
      <c r="A326" t="s">
        <v>367</v>
      </c>
      <c r="B326" t="s">
        <v>368</v>
      </c>
      <c r="C326" s="40">
        <v>44925</v>
      </c>
    </row>
    <row r="327" spans="1:6">
      <c r="A327" t="s">
        <v>536</v>
      </c>
      <c r="B327" t="s">
        <v>537</v>
      </c>
      <c r="C327" s="40">
        <v>44747</v>
      </c>
      <c r="D327" s="61">
        <v>7.2999999999999995E-2</v>
      </c>
      <c r="E327" s="61">
        <v>1.4089</v>
      </c>
      <c r="F327" s="61">
        <v>1.4089</v>
      </c>
    </row>
    <row r="328" spans="1:6">
      <c r="A328" t="s">
        <v>666</v>
      </c>
      <c r="B328" t="s">
        <v>667</v>
      </c>
      <c r="C328" s="40">
        <v>44736</v>
      </c>
      <c r="D328" s="61">
        <v>0.312</v>
      </c>
      <c r="E328" s="61">
        <v>6.7080000000000002</v>
      </c>
      <c r="F328" s="61">
        <v>6.7080000000000002</v>
      </c>
    </row>
    <row r="329" spans="1:6">
      <c r="A329" t="s">
        <v>550</v>
      </c>
      <c r="B329" t="s">
        <v>551</v>
      </c>
      <c r="C329" s="40">
        <v>45930</v>
      </c>
      <c r="D329" s="61">
        <v>0.104369</v>
      </c>
      <c r="E329" s="61">
        <v>10.669642870000001</v>
      </c>
      <c r="F329" s="61">
        <v>10.669642870000001</v>
      </c>
    </row>
    <row r="330" spans="1:6">
      <c r="A330" t="s">
        <v>759</v>
      </c>
      <c r="B330" t="s">
        <v>760</v>
      </c>
      <c r="C330" s="40">
        <v>45300</v>
      </c>
      <c r="D330" s="61">
        <v>0.394202</v>
      </c>
      <c r="E330" s="61">
        <v>5.6292045599999998</v>
      </c>
      <c r="F330" s="61">
        <v>5.6292045599999998</v>
      </c>
    </row>
    <row r="331" spans="1:6">
      <c r="A331" t="s">
        <v>672</v>
      </c>
      <c r="B331" t="s">
        <v>673</v>
      </c>
      <c r="C331" s="40">
        <v>45838</v>
      </c>
      <c r="D331" s="61">
        <v>1.79512E-2</v>
      </c>
      <c r="E331" s="61">
        <v>3.679996</v>
      </c>
      <c r="F331" s="61">
        <v>3.679996</v>
      </c>
    </row>
    <row r="332" spans="1:6">
      <c r="A332" t="s">
        <v>470</v>
      </c>
      <c r="B332" t="s">
        <v>471</v>
      </c>
      <c r="C332" s="40">
        <v>46013</v>
      </c>
      <c r="D332" s="61">
        <v>0.67</v>
      </c>
      <c r="E332" s="61">
        <v>6.2577999999999996</v>
      </c>
      <c r="F332" s="61">
        <v>6.2577999999999996</v>
      </c>
    </row>
    <row r="333" spans="1:6">
      <c r="A333" t="s">
        <v>986</v>
      </c>
      <c r="B333" t="s">
        <v>987</v>
      </c>
      <c r="C333" s="40">
        <v>44844</v>
      </c>
      <c r="D333" s="61">
        <v>8.0764000000000002E-2</v>
      </c>
      <c r="E333" s="61">
        <v>2.2452391999999999</v>
      </c>
      <c r="F333" s="61">
        <v>2.2452391999999999</v>
      </c>
    </row>
    <row r="334" spans="1:6">
      <c r="A334" t="s">
        <v>316</v>
      </c>
      <c r="B334" t="s">
        <v>317</v>
      </c>
      <c r="C334" s="40">
        <v>45266</v>
      </c>
      <c r="D334" s="61">
        <v>0.26912000000000003</v>
      </c>
      <c r="E334" s="61">
        <v>9.9439840000000004</v>
      </c>
      <c r="F334" s="61">
        <v>9.9439840000000004</v>
      </c>
    </row>
    <row r="335" spans="1:6">
      <c r="A335" t="s">
        <v>531</v>
      </c>
      <c r="B335" t="s">
        <v>532</v>
      </c>
      <c r="C335" s="40">
        <v>45807</v>
      </c>
      <c r="D335" s="61">
        <v>0.24358399999999999</v>
      </c>
      <c r="E335" s="61">
        <v>1.9681587199999999</v>
      </c>
      <c r="F335" s="61">
        <v>1.9681587199999999</v>
      </c>
    </row>
    <row r="336" spans="1:6">
      <c r="A336" t="s">
        <v>866</v>
      </c>
      <c r="B336" t="s">
        <v>867</v>
      </c>
      <c r="C336" s="40">
        <v>45512</v>
      </c>
      <c r="D336" s="61">
        <v>0.37</v>
      </c>
      <c r="E336" s="61">
        <v>10.36</v>
      </c>
      <c r="F336" s="61">
        <v>10.36</v>
      </c>
    </row>
    <row r="337" spans="1:6">
      <c r="A337" t="s">
        <v>880</v>
      </c>
      <c r="B337" t="s">
        <v>881</v>
      </c>
      <c r="C337" s="40">
        <v>46021</v>
      </c>
      <c r="D337" s="61">
        <v>0.23975199999999999</v>
      </c>
      <c r="E337" s="61">
        <v>7.3124359999999999</v>
      </c>
      <c r="F337" s="61">
        <v>7.3124359999999999</v>
      </c>
    </row>
    <row r="338" spans="1:6">
      <c r="A338" t="s">
        <v>620</v>
      </c>
      <c r="B338" t="s">
        <v>621</v>
      </c>
      <c r="C338" s="40">
        <v>44918</v>
      </c>
      <c r="D338" s="61">
        <v>0.54632999999999998</v>
      </c>
      <c r="E338" s="61">
        <v>4.8077040000000002</v>
      </c>
      <c r="F338" s="61">
        <v>4.8077040000000002</v>
      </c>
    </row>
    <row r="339" spans="1:6">
      <c r="A339" t="s">
        <v>931</v>
      </c>
      <c r="B339" t="s">
        <v>932</v>
      </c>
      <c r="C339" s="40">
        <v>45800</v>
      </c>
      <c r="D339" s="61">
        <v>0.4662</v>
      </c>
      <c r="E339" s="61">
        <v>10.86246</v>
      </c>
      <c r="F339" s="61">
        <v>10.86246</v>
      </c>
    </row>
    <row r="340" spans="1:6">
      <c r="A340" t="s">
        <v>592</v>
      </c>
      <c r="B340" t="s">
        <v>593</v>
      </c>
      <c r="C340" s="40">
        <v>45428</v>
      </c>
      <c r="D340" s="61">
        <v>5.9497000000000001E-2</v>
      </c>
      <c r="E340" s="61">
        <v>2.5940691999999999</v>
      </c>
      <c r="F340" s="61">
        <v>2.5940691999999999</v>
      </c>
    </row>
    <row r="341" spans="1:6">
      <c r="A341" t="s">
        <v>424</v>
      </c>
      <c r="B341" t="s">
        <v>425</v>
      </c>
      <c r="C341" s="40">
        <v>45895</v>
      </c>
      <c r="D341" s="61">
        <v>0.67340500000000003</v>
      </c>
      <c r="E341" s="61">
        <v>9.7711065500000007</v>
      </c>
      <c r="F341" s="61">
        <v>9.7711065500000007</v>
      </c>
    </row>
    <row r="342" spans="1:6">
      <c r="A342" t="s">
        <v>894</v>
      </c>
      <c r="B342" t="s">
        <v>895</v>
      </c>
      <c r="C342" s="40">
        <v>44615</v>
      </c>
      <c r="D342" s="61">
        <v>1.2777499999999999</v>
      </c>
      <c r="E342" s="61">
        <v>9.1103574999999992</v>
      </c>
      <c r="F342" s="61">
        <v>9.1103574999999992</v>
      </c>
    </row>
    <row r="343" spans="1:6">
      <c r="A343" t="s">
        <v>824</v>
      </c>
      <c r="B343" t="s">
        <v>825</v>
      </c>
      <c r="C343" s="40">
        <v>45967</v>
      </c>
      <c r="D343" s="61">
        <v>0.88249999999999995</v>
      </c>
      <c r="E343" s="61">
        <v>23.915749999999999</v>
      </c>
      <c r="F343" s="61">
        <v>23.915749999999999</v>
      </c>
    </row>
    <row r="344" spans="1:6">
      <c r="A344" t="s">
        <v>783</v>
      </c>
      <c r="B344" t="s">
        <v>784</v>
      </c>
      <c r="C344" s="40">
        <v>46014</v>
      </c>
      <c r="D344" s="61">
        <v>0.26540000000000002</v>
      </c>
      <c r="E344" s="61">
        <v>6.019272</v>
      </c>
      <c r="F344" s="61">
        <v>6.019272</v>
      </c>
    </row>
    <row r="345" spans="1:6">
      <c r="A345" t="s">
        <v>777</v>
      </c>
      <c r="B345" t="s">
        <v>778</v>
      </c>
      <c r="C345" s="40">
        <v>45406</v>
      </c>
      <c r="D345" s="61">
        <v>0.94994999999999996</v>
      </c>
      <c r="E345" s="61">
        <v>3.60981</v>
      </c>
      <c r="F345" s="61">
        <v>3.60981</v>
      </c>
    </row>
    <row r="346" spans="1:6">
      <c r="A346" t="s">
        <v>432</v>
      </c>
      <c r="B346" t="s">
        <v>433</v>
      </c>
      <c r="C346" s="40">
        <v>45761</v>
      </c>
      <c r="D346" s="61">
        <v>1.2152369999999999</v>
      </c>
      <c r="E346" s="61">
        <v>10.05000999</v>
      </c>
      <c r="F346" s="61">
        <v>10.05000999</v>
      </c>
    </row>
    <row r="347" spans="1:6">
      <c r="A347" t="s">
        <v>409</v>
      </c>
      <c r="B347" t="s">
        <v>410</v>
      </c>
      <c r="C347" s="40">
        <v>44818</v>
      </c>
      <c r="D347" s="61">
        <v>0.33537</v>
      </c>
      <c r="E347" s="61">
        <v>4.0244400000000002</v>
      </c>
      <c r="F347" s="61">
        <v>4.0244400000000002</v>
      </c>
    </row>
    <row r="348" spans="1:6">
      <c r="A348" t="s">
        <v>371</v>
      </c>
      <c r="B348" t="s">
        <v>372</v>
      </c>
      <c r="C348" s="40">
        <v>45804</v>
      </c>
      <c r="D348" s="61">
        <v>0.67910000000000004</v>
      </c>
      <c r="E348" s="61">
        <v>5.2154879999999997</v>
      </c>
      <c r="F348" s="61">
        <v>5.2154879999999997</v>
      </c>
    </row>
    <row r="349" spans="1:6">
      <c r="A349" t="s">
        <v>791</v>
      </c>
      <c r="B349" t="s">
        <v>792</v>
      </c>
      <c r="C349" s="40">
        <v>45784</v>
      </c>
      <c r="D349" s="61">
        <v>0.13</v>
      </c>
      <c r="E349" s="61">
        <v>2.34</v>
      </c>
      <c r="F349" s="61">
        <v>2.34</v>
      </c>
    </row>
    <row r="350" spans="1:6">
      <c r="A350" t="s">
        <v>815</v>
      </c>
      <c r="B350" t="s">
        <v>816</v>
      </c>
      <c r="C350" s="40">
        <v>44924</v>
      </c>
      <c r="D350" s="61">
        <v>0.15138399999999999</v>
      </c>
      <c r="E350" s="61">
        <v>4.0116759999999996</v>
      </c>
      <c r="F350" s="61">
        <v>4.0116759999999996</v>
      </c>
    </row>
    <row r="351" spans="1:6">
      <c r="A351" t="s">
        <v>765</v>
      </c>
      <c r="B351" t="s">
        <v>766</v>
      </c>
      <c r="C351" s="40">
        <v>45988</v>
      </c>
      <c r="D351" s="61">
        <v>0.150975</v>
      </c>
      <c r="E351" s="61">
        <v>1.479555</v>
      </c>
      <c r="F351" s="61">
        <v>1.479555</v>
      </c>
    </row>
    <row r="352" spans="1:6">
      <c r="A352" t="s">
        <v>811</v>
      </c>
      <c r="B352" t="s">
        <v>812</v>
      </c>
      <c r="C352" s="40">
        <v>44907</v>
      </c>
      <c r="D352" s="61">
        <v>0.36</v>
      </c>
      <c r="E352" s="61">
        <v>0.98280000000000001</v>
      </c>
      <c r="F352" s="61">
        <v>0.98280000000000001</v>
      </c>
    </row>
    <row r="353" spans="1:6">
      <c r="A353" t="s">
        <v>803</v>
      </c>
      <c r="B353" t="s">
        <v>804</v>
      </c>
      <c r="C353" s="40">
        <v>45930</v>
      </c>
      <c r="D353" s="61">
        <v>0.106</v>
      </c>
      <c r="E353" s="61">
        <v>3.1375999999999999</v>
      </c>
      <c r="F353" s="61">
        <v>3.1375999999999999</v>
      </c>
    </row>
    <row r="354" spans="1:6">
      <c r="A354" t="s">
        <v>711</v>
      </c>
      <c r="B354" t="s">
        <v>712</v>
      </c>
      <c r="C354" s="40">
        <v>44757</v>
      </c>
      <c r="D354" s="61">
        <v>1.25</v>
      </c>
      <c r="E354" s="61">
        <v>1.35</v>
      </c>
      <c r="F354" s="61">
        <v>1.35</v>
      </c>
    </row>
    <row r="355" spans="1:6">
      <c r="A355" t="s">
        <v>834</v>
      </c>
      <c r="B355" t="s">
        <v>835</v>
      </c>
      <c r="C355" s="40">
        <v>44910</v>
      </c>
      <c r="D355" s="61">
        <v>2.5</v>
      </c>
      <c r="E355" s="61">
        <v>1.25</v>
      </c>
      <c r="F355" s="61">
        <v>1.25</v>
      </c>
    </row>
    <row r="356" spans="1:6">
      <c r="A356" t="s">
        <v>731</v>
      </c>
      <c r="B356" t="s">
        <v>732</v>
      </c>
      <c r="C356" s="40">
        <v>45476</v>
      </c>
      <c r="D356" s="61">
        <v>1.6</v>
      </c>
      <c r="E356" s="61">
        <v>2</v>
      </c>
      <c r="F356" s="61">
        <v>2</v>
      </c>
    </row>
    <row r="357" spans="1:6">
      <c r="A357" t="s">
        <v>521</v>
      </c>
      <c r="B357" t="s">
        <v>522</v>
      </c>
      <c r="C357" s="40">
        <v>45014</v>
      </c>
      <c r="D357" s="61">
        <v>1.25</v>
      </c>
      <c r="E357" s="61">
        <v>4.0875000000000004</v>
      </c>
      <c r="F357" s="61">
        <v>4.0875000000000004</v>
      </c>
    </row>
    <row r="358" spans="1:6">
      <c r="A358" t="s">
        <v>603</v>
      </c>
      <c r="B358" t="s">
        <v>604</v>
      </c>
      <c r="C358" s="40">
        <v>44874</v>
      </c>
      <c r="D358" s="61">
        <v>1.6</v>
      </c>
      <c r="E358" s="61">
        <v>3.1360000000000001</v>
      </c>
      <c r="F358" s="61">
        <v>3.1360000000000001</v>
      </c>
    </row>
    <row r="359" spans="1:6">
      <c r="A359" t="s">
        <v>662</v>
      </c>
      <c r="B359" t="s">
        <v>663</v>
      </c>
      <c r="C359" s="40">
        <v>44943</v>
      </c>
      <c r="D359" s="61">
        <v>0.75</v>
      </c>
      <c r="E359" s="61">
        <v>1.2749999999999999</v>
      </c>
      <c r="F359" s="61">
        <v>1.2749999999999999</v>
      </c>
    </row>
    <row r="360" spans="1:6">
      <c r="A360" t="s">
        <v>448</v>
      </c>
      <c r="B360" t="s">
        <v>449</v>
      </c>
      <c r="C360" s="40">
        <v>44757</v>
      </c>
      <c r="D360" s="61">
        <v>6.0704250000000002</v>
      </c>
      <c r="E360" s="61">
        <v>10.926765</v>
      </c>
      <c r="F360" s="61">
        <v>10.926765</v>
      </c>
    </row>
    <row r="361" spans="1:6">
      <c r="A361" t="s">
        <v>660</v>
      </c>
      <c r="B361" t="s">
        <v>661</v>
      </c>
      <c r="C361" s="40">
        <v>46090</v>
      </c>
      <c r="D361" s="61">
        <v>0.20336000000000001</v>
      </c>
      <c r="E361" s="61">
        <v>2.2369599999999998</v>
      </c>
      <c r="F361" s="61">
        <v>2.2369599999999998</v>
      </c>
    </row>
    <row r="362" spans="1:6">
      <c r="A362" t="s">
        <v>1028</v>
      </c>
      <c r="B362" t="s">
        <v>1029</v>
      </c>
      <c r="C362" s="40">
        <v>45194</v>
      </c>
      <c r="D362" s="61">
        <v>0.118492</v>
      </c>
      <c r="E362" s="61">
        <v>1.895872</v>
      </c>
      <c r="F362" s="61">
        <v>1.895872</v>
      </c>
    </row>
    <row r="363" spans="1:6">
      <c r="A363" t="s">
        <v>939</v>
      </c>
      <c r="B363" t="s">
        <v>940</v>
      </c>
      <c r="C363" s="40">
        <v>44734</v>
      </c>
      <c r="D363" s="61">
        <v>0.119618</v>
      </c>
      <c r="E363" s="61">
        <v>2.153124</v>
      </c>
      <c r="F363" s="61">
        <v>2.153124</v>
      </c>
    </row>
    <row r="364" spans="1:6">
      <c r="A364" t="s">
        <v>446</v>
      </c>
      <c r="B364" t="s">
        <v>447</v>
      </c>
      <c r="C364" s="40">
        <v>45471</v>
      </c>
      <c r="D364" s="61">
        <v>0.25724200000000003</v>
      </c>
      <c r="E364" s="61">
        <v>10.418301</v>
      </c>
      <c r="F364" s="61">
        <v>10.418301</v>
      </c>
    </row>
    <row r="365" spans="1:6">
      <c r="A365" t="s">
        <v>737</v>
      </c>
      <c r="B365" t="s">
        <v>738</v>
      </c>
      <c r="C365" s="40">
        <v>45994</v>
      </c>
      <c r="D365" s="61">
        <v>5.5556000000000001E-2</v>
      </c>
      <c r="E365" s="61">
        <v>2.2222400000000002</v>
      </c>
      <c r="F365" s="61">
        <v>2.2222400000000002</v>
      </c>
    </row>
    <row r="366" spans="1:6">
      <c r="A366" t="s">
        <v>850</v>
      </c>
      <c r="B366" t="s">
        <v>851</v>
      </c>
      <c r="C366" s="40">
        <v>45838</v>
      </c>
      <c r="D366" s="61">
        <v>0.16800000000000001</v>
      </c>
      <c r="E366" s="61">
        <v>5.1407999999999996</v>
      </c>
      <c r="F366" s="61">
        <v>5.1407999999999996</v>
      </c>
    </row>
    <row r="367" spans="1:6">
      <c r="A367" t="s">
        <v>1034</v>
      </c>
      <c r="B367" t="s">
        <v>1035</v>
      </c>
      <c r="C367" s="40">
        <v>45524</v>
      </c>
      <c r="D367" s="61">
        <v>0.4788</v>
      </c>
      <c r="E367" s="61">
        <v>5.7934799999999997</v>
      </c>
      <c r="F367" s="61">
        <v>5.7934799999999997</v>
      </c>
    </row>
    <row r="368" spans="1:6">
      <c r="A368" t="s">
        <v>519</v>
      </c>
      <c r="B368" t="s">
        <v>520</v>
      </c>
      <c r="C368" s="40">
        <v>45604</v>
      </c>
      <c r="D368" s="61">
        <v>0.38640000000000002</v>
      </c>
      <c r="E368" s="61">
        <v>1.3949039999999999</v>
      </c>
      <c r="F368" s="61">
        <v>1.3949039999999999</v>
      </c>
    </row>
    <row r="369" spans="1:6">
      <c r="A369" t="s">
        <v>713</v>
      </c>
      <c r="B369" t="s">
        <v>714</v>
      </c>
      <c r="C369" s="40">
        <v>45300</v>
      </c>
      <c r="D369" s="61">
        <v>0.50539999999999996</v>
      </c>
      <c r="E369" s="61">
        <v>3.0071300000000001</v>
      </c>
      <c r="F369" s="61">
        <v>3.0071300000000001</v>
      </c>
    </row>
    <row r="370" spans="1:6">
      <c r="A370" t="s">
        <v>781</v>
      </c>
      <c r="B370" t="s">
        <v>782</v>
      </c>
      <c r="C370" s="40">
        <v>45443</v>
      </c>
      <c r="D370" s="61">
        <v>0.15</v>
      </c>
      <c r="E370" s="61">
        <v>1.53</v>
      </c>
      <c r="F370" s="61">
        <v>1.53</v>
      </c>
    </row>
    <row r="371" spans="1:6">
      <c r="A371" t="s">
        <v>647</v>
      </c>
      <c r="B371" t="s">
        <v>648</v>
      </c>
      <c r="C371" s="40">
        <v>45923</v>
      </c>
      <c r="D371" s="61">
        <v>0.109809</v>
      </c>
      <c r="E371" s="61">
        <v>7.8184008</v>
      </c>
      <c r="F371" s="61">
        <v>7.8184008</v>
      </c>
    </row>
    <row r="372" spans="1:6">
      <c r="A372" t="s">
        <v>440</v>
      </c>
      <c r="B372" t="s">
        <v>441</v>
      </c>
      <c r="C372" s="40">
        <v>45785</v>
      </c>
      <c r="D372" s="61">
        <v>2.77302E-2</v>
      </c>
      <c r="E372" s="61">
        <v>3.1368402240000002</v>
      </c>
      <c r="F372" s="61">
        <v>3.1368402240000002</v>
      </c>
    </row>
    <row r="373" spans="1:6">
      <c r="A373" t="s">
        <v>1006</v>
      </c>
      <c r="B373" t="s">
        <v>1007</v>
      </c>
      <c r="C373" s="40">
        <v>46001</v>
      </c>
      <c r="D373" s="61">
        <v>0.37911699999999998</v>
      </c>
      <c r="E373" s="61">
        <v>10.001106460000001</v>
      </c>
      <c r="F373" s="61">
        <v>10.001106460000001</v>
      </c>
    </row>
    <row r="374" spans="1:6">
      <c r="A374" t="s">
        <v>886</v>
      </c>
      <c r="B374" t="s">
        <v>887</v>
      </c>
      <c r="C374" s="40">
        <v>46147</v>
      </c>
      <c r="D374" s="61">
        <v>8.4218500000000002E-2</v>
      </c>
      <c r="E374" s="61">
        <v>8.2955222499999994</v>
      </c>
      <c r="F374" s="61">
        <v>8.2955222499999994</v>
      </c>
    </row>
    <row r="375" spans="1:6">
      <c r="A375" t="s">
        <v>943</v>
      </c>
      <c r="B375" t="s">
        <v>944</v>
      </c>
      <c r="C375" s="40">
        <v>45946</v>
      </c>
      <c r="D375" s="61">
        <v>7.9350000000000004E-2</v>
      </c>
      <c r="E375" s="61">
        <v>7.5858600000000003</v>
      </c>
      <c r="F375" s="61">
        <v>7.5858600000000003</v>
      </c>
    </row>
    <row r="376" spans="1:6">
      <c r="A376" t="s">
        <v>951</v>
      </c>
      <c r="B376" t="s">
        <v>952</v>
      </c>
      <c r="C376" s="40">
        <v>45958</v>
      </c>
      <c r="D376" s="61">
        <v>0.26632</v>
      </c>
      <c r="E376" s="61">
        <v>7.1000911999999996</v>
      </c>
      <c r="F376" s="61">
        <v>7.1000911999999996</v>
      </c>
    </row>
    <row r="377" spans="1:6">
      <c r="A377" t="s">
        <v>980</v>
      </c>
      <c r="B377" t="s">
        <v>981</v>
      </c>
      <c r="C377" s="40">
        <v>45880</v>
      </c>
      <c r="D377" s="61">
        <v>0.334426</v>
      </c>
      <c r="E377" s="61">
        <v>4.3140954000000002</v>
      </c>
      <c r="F377" s="61">
        <v>4.3140954000000002</v>
      </c>
    </row>
    <row r="378" spans="1:6">
      <c r="A378" t="s">
        <v>747</v>
      </c>
      <c r="B378" t="s">
        <v>748</v>
      </c>
      <c r="C378" s="40">
        <v>45938</v>
      </c>
      <c r="D378" s="61">
        <v>0.41198000000000001</v>
      </c>
      <c r="E378" s="61">
        <v>6.0767049999999996</v>
      </c>
      <c r="F378" s="61">
        <v>6.0767049999999996</v>
      </c>
    </row>
    <row r="379" spans="1:6">
      <c r="A379" t="s">
        <v>785</v>
      </c>
      <c r="B379" t="s">
        <v>786</v>
      </c>
      <c r="C379" s="40">
        <v>45653</v>
      </c>
      <c r="D379" s="61">
        <v>0.39946399999999999</v>
      </c>
      <c r="E379" s="61">
        <v>6.7908879999999998</v>
      </c>
      <c r="F379" s="61">
        <v>6.7908879999999998</v>
      </c>
    </row>
    <row r="380" spans="1:6">
      <c r="A380" t="s">
        <v>927</v>
      </c>
      <c r="B380" t="s">
        <v>928</v>
      </c>
      <c r="C380" s="40">
        <v>45510</v>
      </c>
      <c r="D380" s="61">
        <v>0.35299999999999998</v>
      </c>
      <c r="E380" s="61">
        <v>2.4710000000000001</v>
      </c>
      <c r="F380" s="61">
        <v>2.4710000000000001</v>
      </c>
    </row>
    <row r="381" spans="1:6">
      <c r="A381" t="s">
        <v>773</v>
      </c>
      <c r="B381" t="s">
        <v>774</v>
      </c>
      <c r="C381" s="40">
        <v>45666</v>
      </c>
      <c r="D381" s="61">
        <v>0.1</v>
      </c>
      <c r="E381" s="61">
        <v>3.18</v>
      </c>
      <c r="F381" s="61">
        <v>3.18</v>
      </c>
    </row>
    <row r="382" spans="1:6">
      <c r="A382" t="s">
        <v>609</v>
      </c>
      <c r="B382" t="s">
        <v>610</v>
      </c>
      <c r="C382" s="40">
        <v>46013</v>
      </c>
      <c r="D382" s="61">
        <v>1.0765899999999999</v>
      </c>
      <c r="E382" s="61">
        <v>12.919079999999999</v>
      </c>
      <c r="F382" s="61">
        <v>12.919079999999999</v>
      </c>
    </row>
    <row r="383" spans="1:6">
      <c r="A383" t="s">
        <v>364</v>
      </c>
      <c r="B383" t="s">
        <v>365</v>
      </c>
      <c r="C383" s="40">
        <v>45726</v>
      </c>
      <c r="D383" s="61">
        <v>2.3649979999999999</v>
      </c>
      <c r="E383" s="61">
        <v>32.447772559999997</v>
      </c>
      <c r="F383" s="61">
        <v>32.447772559999997</v>
      </c>
    </row>
    <row r="384" spans="1:6">
      <c r="A384" t="s">
        <v>633</v>
      </c>
      <c r="B384" t="s">
        <v>634</v>
      </c>
      <c r="C384" s="40">
        <v>45450</v>
      </c>
      <c r="D384" s="61">
        <v>0.17816000000000001</v>
      </c>
      <c r="E384" s="61">
        <v>2.6688367999999998</v>
      </c>
      <c r="F384" s="61">
        <v>2.6688367999999998</v>
      </c>
    </row>
    <row r="385" spans="1:6">
      <c r="A385" t="s">
        <v>612</v>
      </c>
      <c r="B385" t="s">
        <v>613</v>
      </c>
      <c r="C385" s="40">
        <v>45996</v>
      </c>
      <c r="D385" s="61">
        <v>0.300705</v>
      </c>
      <c r="E385" s="61">
        <v>17.44089</v>
      </c>
      <c r="F385" s="61">
        <v>17.44089</v>
      </c>
    </row>
    <row r="386" spans="1:6">
      <c r="A386" t="s">
        <v>909</v>
      </c>
      <c r="B386" t="s">
        <v>910</v>
      </c>
      <c r="C386" s="40">
        <v>45967</v>
      </c>
      <c r="D386" s="61">
        <v>0.175978</v>
      </c>
      <c r="E386" s="61">
        <v>5.8723858599999996</v>
      </c>
      <c r="F386" s="61">
        <v>5.8723858599999996</v>
      </c>
    </row>
    <row r="387" spans="1:6">
      <c r="A387" t="s">
        <v>956</v>
      </c>
      <c r="B387" t="s">
        <v>957</v>
      </c>
      <c r="C387" s="40">
        <v>46111</v>
      </c>
      <c r="D387" s="61">
        <v>0.12479999999999999</v>
      </c>
      <c r="E387" s="61">
        <v>4.992</v>
      </c>
      <c r="F387" s="61">
        <v>4.992</v>
      </c>
    </row>
    <row r="388" spans="1:6">
      <c r="A388" t="s">
        <v>805</v>
      </c>
      <c r="B388" t="s">
        <v>806</v>
      </c>
      <c r="C388" s="40">
        <v>44939</v>
      </c>
      <c r="D388" s="61">
        <v>2</v>
      </c>
      <c r="E388" s="61">
        <v>1.36</v>
      </c>
      <c r="F388" s="61">
        <v>1.36</v>
      </c>
    </row>
    <row r="389" spans="1:6">
      <c r="A389" t="s">
        <v>507</v>
      </c>
      <c r="B389" t="s">
        <v>508</v>
      </c>
      <c r="C389" s="40">
        <v>45282</v>
      </c>
      <c r="D389" s="61">
        <v>1.4</v>
      </c>
      <c r="E389" s="61">
        <v>1.26</v>
      </c>
      <c r="F389" s="61">
        <v>1.26</v>
      </c>
    </row>
    <row r="390" spans="1:6">
      <c r="A390" t="s">
        <v>741</v>
      </c>
      <c r="B390" t="s">
        <v>742</v>
      </c>
      <c r="C390" s="40">
        <v>45450</v>
      </c>
      <c r="D390" s="61">
        <v>0.14802499999999999</v>
      </c>
      <c r="E390" s="61">
        <v>0.858545</v>
      </c>
      <c r="F390" s="61">
        <v>0.858545</v>
      </c>
    </row>
    <row r="392" spans="1:6">
      <c r="A392" t="s">
        <v>1042</v>
      </c>
    </row>
  </sheetData>
  <phoneticPr fontId="2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306F0-1083-4DEC-A089-93A8D0186D1A}">
  <dimension ref="A1:S380"/>
  <sheetViews>
    <sheetView topLeftCell="A10" workbookViewId="0">
      <selection activeCell="F1" sqref="F1"/>
    </sheetView>
  </sheetViews>
  <sheetFormatPr defaultRowHeight="14.25"/>
  <cols>
    <col min="3" max="3" width="14" style="40" bestFit="1" customWidth="1"/>
    <col min="4" max="15" width="9.06640625" style="65"/>
    <col min="16" max="16" width="9.06640625" style="61"/>
    <col min="17" max="17" width="9.06640625" style="58"/>
  </cols>
  <sheetData>
    <row r="1" spans="1:19">
      <c r="A1" s="55" t="s">
        <v>27</v>
      </c>
      <c r="B1" s="55" t="s">
        <v>2190</v>
      </c>
      <c r="C1" s="56" t="s">
        <v>3482</v>
      </c>
      <c r="D1" s="66" t="s">
        <v>3483</v>
      </c>
      <c r="E1" s="66" t="s">
        <v>3484</v>
      </c>
      <c r="F1" s="66" t="s">
        <v>3485</v>
      </c>
      <c r="G1" s="66" t="s">
        <v>3486</v>
      </c>
      <c r="H1" s="66" t="s">
        <v>3487</v>
      </c>
      <c r="I1" s="66" t="s">
        <v>3488</v>
      </c>
      <c r="J1" s="66" t="s">
        <v>3489</v>
      </c>
      <c r="K1" s="66" t="s">
        <v>3490</v>
      </c>
      <c r="L1" s="66" t="s">
        <v>3491</v>
      </c>
      <c r="M1" s="66" t="s">
        <v>3492</v>
      </c>
      <c r="N1" s="66" t="s">
        <v>3493</v>
      </c>
      <c r="O1" s="66" t="s">
        <v>3494</v>
      </c>
      <c r="P1" s="60" t="s">
        <v>3495</v>
      </c>
      <c r="Q1" s="57" t="s">
        <v>3496</v>
      </c>
      <c r="R1" s="55" t="s">
        <v>3469</v>
      </c>
      <c r="S1" s="55" t="s">
        <v>3468</v>
      </c>
    </row>
    <row r="2" spans="1:19">
      <c r="A2" t="s">
        <v>465</v>
      </c>
      <c r="B2" t="s">
        <v>466</v>
      </c>
      <c r="C2" s="40">
        <v>46147</v>
      </c>
      <c r="D2" s="65">
        <v>105939</v>
      </c>
      <c r="E2" s="65">
        <v>104431</v>
      </c>
      <c r="F2" s="65">
        <v>1508</v>
      </c>
      <c r="G2" s="65">
        <v>107750.68</v>
      </c>
      <c r="H2" s="65">
        <v>44170.68</v>
      </c>
      <c r="I2" s="65">
        <v>63580</v>
      </c>
      <c r="J2" s="65">
        <v>15008</v>
      </c>
      <c r="K2" s="65">
        <v>13500</v>
      </c>
      <c r="L2" s="65">
        <v>1508</v>
      </c>
      <c r="M2" s="65">
        <v>270</v>
      </c>
      <c r="N2" s="65">
        <v>135</v>
      </c>
      <c r="O2" s="65">
        <v>135</v>
      </c>
      <c r="P2" s="61">
        <v>399.07659999999998</v>
      </c>
      <c r="Q2" s="58">
        <v>0.25059999999999999</v>
      </c>
      <c r="R2" t="s">
        <v>2326</v>
      </c>
      <c r="S2" t="s">
        <v>2292</v>
      </c>
    </row>
    <row r="3" spans="1:19">
      <c r="A3" t="s">
        <v>886</v>
      </c>
      <c r="B3" t="s">
        <v>887</v>
      </c>
      <c r="C3" s="40">
        <v>46146</v>
      </c>
      <c r="D3" s="65">
        <v>300735</v>
      </c>
      <c r="E3" s="65">
        <v>264904</v>
      </c>
      <c r="F3" s="65">
        <v>35831</v>
      </c>
      <c r="G3" s="65">
        <v>658864.05000000005</v>
      </c>
      <c r="H3" s="65">
        <v>144276.1</v>
      </c>
      <c r="I3" s="65">
        <v>514587.95</v>
      </c>
      <c r="J3" s="65">
        <v>16844</v>
      </c>
      <c r="K3" s="65">
        <v>8422</v>
      </c>
      <c r="L3" s="65">
        <v>8422</v>
      </c>
      <c r="M3" s="65">
        <v>84.22</v>
      </c>
      <c r="N3" s="65">
        <v>42.11</v>
      </c>
      <c r="O3" s="65">
        <v>42.11</v>
      </c>
      <c r="P3" s="61">
        <v>7823.1305000000002</v>
      </c>
      <c r="Q3" s="58">
        <v>1.2800000000000001E-2</v>
      </c>
      <c r="R3" t="s">
        <v>2326</v>
      </c>
      <c r="S3" t="s">
        <v>2292</v>
      </c>
    </row>
    <row r="4" spans="1:19">
      <c r="A4" t="s">
        <v>453</v>
      </c>
      <c r="B4" t="s">
        <v>454</v>
      </c>
      <c r="C4" s="40">
        <v>46140</v>
      </c>
      <c r="D4" s="65">
        <v>204939</v>
      </c>
      <c r="E4" s="65">
        <v>193590</v>
      </c>
      <c r="F4" s="65">
        <v>11349</v>
      </c>
      <c r="G4" s="65">
        <v>853887.93</v>
      </c>
      <c r="H4" s="65">
        <v>216257.18</v>
      </c>
      <c r="I4" s="65">
        <v>637630.75</v>
      </c>
      <c r="J4" s="65">
        <v>32542</v>
      </c>
      <c r="K4" s="65">
        <v>21193</v>
      </c>
      <c r="L4" s="65">
        <v>11349</v>
      </c>
      <c r="M4" s="65">
        <v>426.27</v>
      </c>
      <c r="N4" s="65">
        <v>213.14</v>
      </c>
      <c r="O4" s="65">
        <v>213.13</v>
      </c>
      <c r="P4" s="61">
        <v>2003.1622</v>
      </c>
      <c r="Q4" s="58">
        <v>4.99E-2</v>
      </c>
      <c r="R4" t="s">
        <v>2327</v>
      </c>
      <c r="S4" t="s">
        <v>2294</v>
      </c>
    </row>
    <row r="5" spans="1:19">
      <c r="A5" t="s">
        <v>953</v>
      </c>
      <c r="B5" t="s">
        <v>954</v>
      </c>
      <c r="C5" s="40">
        <v>46139</v>
      </c>
      <c r="D5" s="65">
        <v>126378</v>
      </c>
      <c r="E5" s="65">
        <v>122556</v>
      </c>
      <c r="F5" s="65">
        <v>3822</v>
      </c>
      <c r="G5" s="65">
        <v>227039.76</v>
      </c>
      <c r="H5" s="65">
        <v>66236.98</v>
      </c>
      <c r="I5" s="65">
        <v>160802.78</v>
      </c>
      <c r="J5" s="65">
        <v>14808</v>
      </c>
      <c r="K5" s="65">
        <v>10986</v>
      </c>
      <c r="L5" s="65">
        <v>3822</v>
      </c>
      <c r="M5" s="65">
        <v>471.32</v>
      </c>
      <c r="N5" s="65">
        <v>235.66</v>
      </c>
      <c r="O5" s="65">
        <v>235.66</v>
      </c>
      <c r="P5" s="61">
        <v>481.71039999999999</v>
      </c>
      <c r="Q5" s="58">
        <v>0.20760000000000001</v>
      </c>
      <c r="R5" t="s">
        <v>2328</v>
      </c>
      <c r="S5" t="s">
        <v>2296</v>
      </c>
    </row>
    <row r="6" spans="1:19">
      <c r="A6" t="s">
        <v>992</v>
      </c>
      <c r="B6" t="s">
        <v>993</v>
      </c>
      <c r="C6" s="40">
        <v>46139</v>
      </c>
      <c r="D6" s="65">
        <v>378085</v>
      </c>
      <c r="E6" s="65">
        <v>335445</v>
      </c>
      <c r="F6" s="65">
        <v>42640</v>
      </c>
      <c r="G6" s="65">
        <v>399014.44050000003</v>
      </c>
      <c r="H6" s="65">
        <v>71354.620500000005</v>
      </c>
      <c r="I6" s="65">
        <v>327659.82</v>
      </c>
      <c r="J6" s="65">
        <v>134609</v>
      </c>
      <c r="K6" s="65">
        <v>91969</v>
      </c>
      <c r="L6" s="65">
        <v>42640</v>
      </c>
      <c r="M6" s="65">
        <v>275.90550000000002</v>
      </c>
      <c r="N6" s="65">
        <v>137.95349999999999</v>
      </c>
      <c r="O6" s="65">
        <v>137.952</v>
      </c>
      <c r="P6" s="61">
        <v>1446.1996999999999</v>
      </c>
      <c r="Q6" s="58">
        <v>6.9099999999999995E-2</v>
      </c>
      <c r="R6" t="s">
        <v>2329</v>
      </c>
      <c r="S6" t="s">
        <v>2295</v>
      </c>
    </row>
    <row r="7" spans="1:19">
      <c r="A7" t="s">
        <v>219</v>
      </c>
      <c r="B7" t="s">
        <v>81</v>
      </c>
      <c r="C7" s="40">
        <v>46134</v>
      </c>
      <c r="D7" s="65">
        <v>140150</v>
      </c>
      <c r="E7" s="65">
        <v>126765</v>
      </c>
      <c r="F7" s="65">
        <v>13385</v>
      </c>
      <c r="G7" s="65">
        <v>311091.26</v>
      </c>
      <c r="H7" s="65">
        <v>65892.02</v>
      </c>
      <c r="I7" s="65">
        <v>245199.24</v>
      </c>
      <c r="J7" s="65">
        <v>42660</v>
      </c>
      <c r="K7" s="65">
        <v>29275</v>
      </c>
      <c r="L7" s="65">
        <v>13385</v>
      </c>
      <c r="M7" s="65">
        <v>585.49</v>
      </c>
      <c r="N7" s="65">
        <v>292.75</v>
      </c>
      <c r="O7" s="65">
        <v>292.74</v>
      </c>
      <c r="P7" s="61">
        <v>531.33489999999995</v>
      </c>
      <c r="Q7" s="58">
        <v>0.18820000000000001</v>
      </c>
      <c r="R7" t="s">
        <v>2329</v>
      </c>
      <c r="S7" t="s">
        <v>2294</v>
      </c>
    </row>
    <row r="8" spans="1:19">
      <c r="A8" t="s">
        <v>357</v>
      </c>
      <c r="B8" t="s">
        <v>358</v>
      </c>
      <c r="C8" s="40">
        <v>46132</v>
      </c>
      <c r="D8" s="65">
        <v>250606</v>
      </c>
      <c r="E8" s="65">
        <v>219446</v>
      </c>
      <c r="F8" s="65">
        <v>31160</v>
      </c>
      <c r="G8" s="65">
        <v>323422.03000000003</v>
      </c>
      <c r="H8" s="65">
        <v>55043.23</v>
      </c>
      <c r="I8" s="65">
        <v>268378.8</v>
      </c>
      <c r="J8" s="65">
        <v>57137</v>
      </c>
      <c r="K8" s="65">
        <v>35035</v>
      </c>
      <c r="L8" s="65">
        <v>22102</v>
      </c>
      <c r="M8" s="65">
        <v>785.28</v>
      </c>
      <c r="N8" s="65">
        <v>392.64</v>
      </c>
      <c r="O8" s="65">
        <v>392.64</v>
      </c>
      <c r="P8" s="61">
        <v>411.85570000000001</v>
      </c>
      <c r="Q8" s="58">
        <v>0.24279999999999999</v>
      </c>
      <c r="R8" t="s">
        <v>2329</v>
      </c>
      <c r="S8" t="s">
        <v>2297</v>
      </c>
    </row>
    <row r="9" spans="1:19">
      <c r="A9" t="s">
        <v>701</v>
      </c>
      <c r="B9" t="s">
        <v>702</v>
      </c>
      <c r="C9" s="40">
        <v>46128</v>
      </c>
      <c r="D9" s="65">
        <v>240700</v>
      </c>
      <c r="E9" s="65">
        <v>227540</v>
      </c>
      <c r="F9" s="65">
        <v>13160</v>
      </c>
      <c r="G9" s="65">
        <v>2554763.9500000002</v>
      </c>
      <c r="H9" s="65">
        <v>628371.55000000005</v>
      </c>
      <c r="I9" s="65">
        <v>1926392.4</v>
      </c>
      <c r="J9" s="65">
        <v>28487</v>
      </c>
      <c r="K9" s="65">
        <v>16062</v>
      </c>
      <c r="L9" s="65">
        <v>12425</v>
      </c>
      <c r="M9" s="65">
        <v>1606.2</v>
      </c>
      <c r="N9" s="65">
        <v>803.1</v>
      </c>
      <c r="O9" s="65">
        <v>803.1</v>
      </c>
      <c r="P9" s="61">
        <v>1590.5640000000001</v>
      </c>
      <c r="Q9" s="58">
        <v>6.2899999999999998E-2</v>
      </c>
      <c r="R9" t="s">
        <v>2327</v>
      </c>
      <c r="S9" t="s">
        <v>2298</v>
      </c>
    </row>
    <row r="10" spans="1:19">
      <c r="A10" t="s">
        <v>733</v>
      </c>
      <c r="B10" t="s">
        <v>734</v>
      </c>
      <c r="C10" s="40">
        <v>46128</v>
      </c>
      <c r="D10" s="65">
        <v>266501</v>
      </c>
      <c r="E10" s="65">
        <v>253633</v>
      </c>
      <c r="F10" s="65">
        <v>12868</v>
      </c>
      <c r="G10" s="65">
        <v>743194.38</v>
      </c>
      <c r="H10" s="65">
        <v>238429.23</v>
      </c>
      <c r="I10" s="65">
        <v>504765.15</v>
      </c>
      <c r="J10" s="65">
        <v>45516</v>
      </c>
      <c r="K10" s="65">
        <v>32648</v>
      </c>
      <c r="L10" s="65">
        <v>12868</v>
      </c>
      <c r="M10" s="65">
        <v>652.95000000000005</v>
      </c>
      <c r="N10" s="65">
        <v>326.48</v>
      </c>
      <c r="O10" s="65">
        <v>326.47000000000003</v>
      </c>
      <c r="P10" s="61">
        <v>1138.2102</v>
      </c>
      <c r="Q10" s="58">
        <v>8.7900000000000006E-2</v>
      </c>
      <c r="R10" t="s">
        <v>2329</v>
      </c>
      <c r="S10" t="s">
        <v>2297</v>
      </c>
    </row>
    <row r="11" spans="1:19">
      <c r="A11" t="s">
        <v>976</v>
      </c>
      <c r="B11" t="s">
        <v>977</v>
      </c>
      <c r="C11" s="40">
        <v>46127</v>
      </c>
      <c r="D11" s="65">
        <v>202730</v>
      </c>
      <c r="E11" s="65">
        <v>179452</v>
      </c>
      <c r="F11" s="65">
        <v>23278</v>
      </c>
      <c r="G11" s="65">
        <v>149592.04999999999</v>
      </c>
      <c r="H11" s="65">
        <v>27410.09</v>
      </c>
      <c r="I11" s="65">
        <v>122181.96</v>
      </c>
      <c r="J11" s="65">
        <v>13517</v>
      </c>
      <c r="K11" s="65">
        <v>6787</v>
      </c>
      <c r="L11" s="65">
        <v>6730</v>
      </c>
      <c r="M11" s="65">
        <v>135.69</v>
      </c>
      <c r="N11" s="65">
        <v>67.87</v>
      </c>
      <c r="O11" s="65">
        <v>67.819999999999993</v>
      </c>
      <c r="P11" s="61">
        <v>1102.4545000000001</v>
      </c>
      <c r="Q11" s="58">
        <v>9.0700000000000003E-2</v>
      </c>
      <c r="R11" t="s">
        <v>2329</v>
      </c>
      <c r="S11" t="s">
        <v>2297</v>
      </c>
    </row>
    <row r="12" spans="1:19">
      <c r="A12" t="s">
        <v>779</v>
      </c>
      <c r="B12" t="s">
        <v>780</v>
      </c>
      <c r="C12" s="40">
        <v>46111</v>
      </c>
      <c r="D12" s="65">
        <v>26280</v>
      </c>
      <c r="E12" s="65">
        <v>26134</v>
      </c>
      <c r="F12" s="65">
        <v>146</v>
      </c>
      <c r="G12" s="65">
        <v>4411.1400000000003</v>
      </c>
      <c r="H12" s="65">
        <v>2419.7199999999998</v>
      </c>
      <c r="I12" s="65">
        <v>1991.42</v>
      </c>
      <c r="J12" s="65">
        <v>3004</v>
      </c>
      <c r="K12" s="65">
        <v>2858</v>
      </c>
      <c r="L12" s="65">
        <v>146</v>
      </c>
      <c r="M12" s="65">
        <v>111.1</v>
      </c>
      <c r="N12" s="65">
        <v>55.55</v>
      </c>
      <c r="O12" s="65">
        <v>55.55</v>
      </c>
      <c r="P12" s="61">
        <v>39.7042</v>
      </c>
      <c r="Q12" s="58">
        <v>2.5186000000000002</v>
      </c>
      <c r="R12" t="s">
        <v>2330</v>
      </c>
      <c r="S12" t="s">
        <v>2299</v>
      </c>
    </row>
    <row r="13" spans="1:19">
      <c r="A13" t="s">
        <v>941</v>
      </c>
      <c r="B13" t="s">
        <v>942</v>
      </c>
      <c r="C13" s="40">
        <v>46111</v>
      </c>
      <c r="D13" s="65">
        <v>118537</v>
      </c>
      <c r="E13" s="65">
        <v>111790</v>
      </c>
      <c r="F13" s="65">
        <v>6747</v>
      </c>
      <c r="G13" s="65">
        <v>187105.73</v>
      </c>
      <c r="H13" s="65">
        <v>52673.23</v>
      </c>
      <c r="I13" s="65">
        <v>134432.5</v>
      </c>
      <c r="J13" s="65">
        <v>18405</v>
      </c>
      <c r="K13" s="65">
        <v>11658</v>
      </c>
      <c r="L13" s="65">
        <v>6747</v>
      </c>
      <c r="M13" s="65">
        <v>240</v>
      </c>
      <c r="N13" s="65">
        <v>120</v>
      </c>
      <c r="O13" s="65">
        <v>120</v>
      </c>
      <c r="P13" s="61">
        <v>779.60720000000003</v>
      </c>
      <c r="Q13" s="58">
        <v>0.1283</v>
      </c>
      <c r="R13" t="s">
        <v>2331</v>
      </c>
      <c r="S13" t="s">
        <v>2295</v>
      </c>
    </row>
    <row r="14" spans="1:19">
      <c r="A14" t="s">
        <v>956</v>
      </c>
      <c r="B14" t="s">
        <v>957</v>
      </c>
      <c r="C14" s="40">
        <v>46108</v>
      </c>
      <c r="D14" s="65">
        <v>159089</v>
      </c>
      <c r="E14" s="65">
        <v>150118</v>
      </c>
      <c r="F14" s="65">
        <v>8971</v>
      </c>
      <c r="G14" s="65">
        <v>286501.33500000002</v>
      </c>
      <c r="H14" s="65">
        <v>97828.134999999995</v>
      </c>
      <c r="I14" s="65">
        <v>188673.2</v>
      </c>
      <c r="J14" s="65">
        <v>33931</v>
      </c>
      <c r="K14" s="65">
        <v>24960</v>
      </c>
      <c r="L14" s="65">
        <v>8971</v>
      </c>
      <c r="M14" s="65">
        <v>249.6</v>
      </c>
      <c r="N14" s="65">
        <v>124.8</v>
      </c>
      <c r="O14" s="65">
        <v>124.8</v>
      </c>
      <c r="P14" s="61">
        <v>1147.8418999999999</v>
      </c>
      <c r="Q14" s="58">
        <v>8.7099999999999997E-2</v>
      </c>
      <c r="R14" t="s">
        <v>2327</v>
      </c>
      <c r="S14" t="s">
        <v>2298</v>
      </c>
    </row>
    <row r="15" spans="1:19">
      <c r="A15" t="s">
        <v>978</v>
      </c>
      <c r="B15" t="s">
        <v>979</v>
      </c>
      <c r="C15" s="40">
        <v>46108</v>
      </c>
      <c r="D15" s="65">
        <v>115017</v>
      </c>
      <c r="E15" s="65">
        <v>108097</v>
      </c>
      <c r="F15" s="65">
        <v>6920</v>
      </c>
      <c r="G15" s="65">
        <v>85864.335000000006</v>
      </c>
      <c r="H15" s="65">
        <v>20313.134999999998</v>
      </c>
      <c r="I15" s="65">
        <v>65551.199999999997</v>
      </c>
      <c r="J15" s="65">
        <v>14278</v>
      </c>
      <c r="K15" s="65">
        <v>8000</v>
      </c>
      <c r="L15" s="65">
        <v>6278</v>
      </c>
      <c r="M15" s="65">
        <v>79.995000000000005</v>
      </c>
      <c r="N15" s="65">
        <v>40</v>
      </c>
      <c r="O15" s="65">
        <v>39.994999999999997</v>
      </c>
      <c r="P15" s="61">
        <v>1073.3713</v>
      </c>
      <c r="Q15" s="58">
        <v>9.3200000000000005E-2</v>
      </c>
      <c r="R15" t="s">
        <v>2328</v>
      </c>
      <c r="S15" t="s">
        <v>2292</v>
      </c>
    </row>
    <row r="16" spans="1:19">
      <c r="A16" t="s">
        <v>616</v>
      </c>
      <c r="B16" t="s">
        <v>617</v>
      </c>
      <c r="C16" s="40">
        <v>46108</v>
      </c>
      <c r="D16" s="65">
        <v>45084</v>
      </c>
      <c r="E16" s="65">
        <v>44757</v>
      </c>
      <c r="F16" s="65">
        <v>327</v>
      </c>
      <c r="G16" s="65">
        <v>10888.275</v>
      </c>
      <c r="H16" s="65">
        <v>4201.6149999999998</v>
      </c>
      <c r="I16" s="65">
        <v>6686.66</v>
      </c>
      <c r="J16" s="65">
        <v>13260</v>
      </c>
      <c r="K16" s="65">
        <v>12933</v>
      </c>
      <c r="L16" s="65">
        <v>327</v>
      </c>
      <c r="M16" s="65">
        <v>215.10499999999999</v>
      </c>
      <c r="N16" s="65">
        <v>107.645</v>
      </c>
      <c r="O16" s="65">
        <v>107.46</v>
      </c>
      <c r="P16" s="61">
        <v>50.618400000000001</v>
      </c>
      <c r="Q16" s="58">
        <v>1.9756</v>
      </c>
      <c r="R16" t="s">
        <v>2331</v>
      </c>
      <c r="S16" t="s">
        <v>2295</v>
      </c>
    </row>
    <row r="17" spans="1:19">
      <c r="A17" t="s">
        <v>921</v>
      </c>
      <c r="B17" t="s">
        <v>922</v>
      </c>
      <c r="C17" s="40">
        <v>46108</v>
      </c>
      <c r="D17" s="65">
        <v>227070</v>
      </c>
      <c r="E17" s="65">
        <v>201193</v>
      </c>
      <c r="F17" s="65">
        <v>25877</v>
      </c>
      <c r="G17" s="65">
        <v>2043687.92</v>
      </c>
      <c r="H17" s="65">
        <v>424712.64</v>
      </c>
      <c r="I17" s="65">
        <v>1618975.28</v>
      </c>
      <c r="J17" s="65">
        <v>66270</v>
      </c>
      <c r="K17" s="65">
        <v>40393</v>
      </c>
      <c r="L17" s="65">
        <v>25877</v>
      </c>
      <c r="M17" s="65">
        <v>1615.7</v>
      </c>
      <c r="N17" s="65">
        <v>807.86</v>
      </c>
      <c r="O17" s="65">
        <v>807.84</v>
      </c>
      <c r="P17" s="61">
        <v>1264.8932</v>
      </c>
      <c r="Q17" s="58">
        <v>7.9100000000000004E-2</v>
      </c>
      <c r="R17" t="s">
        <v>2332</v>
      </c>
      <c r="S17" t="s">
        <v>2297</v>
      </c>
    </row>
    <row r="18" spans="1:19">
      <c r="A18" t="s">
        <v>753</v>
      </c>
      <c r="B18" t="s">
        <v>754</v>
      </c>
      <c r="C18" s="40">
        <v>46104</v>
      </c>
      <c r="D18" s="65">
        <v>31183</v>
      </c>
      <c r="E18" s="65">
        <v>31027</v>
      </c>
      <c r="F18" s="65">
        <v>156</v>
      </c>
      <c r="G18" s="65">
        <v>11179.014999999999</v>
      </c>
      <c r="H18" s="65">
        <v>6582.2349999999997</v>
      </c>
      <c r="I18" s="65">
        <v>4596.78</v>
      </c>
      <c r="J18" s="65">
        <v>14843</v>
      </c>
      <c r="K18" s="65">
        <v>14687</v>
      </c>
      <c r="L18" s="65">
        <v>156</v>
      </c>
      <c r="M18" s="65">
        <v>162.26499999999999</v>
      </c>
      <c r="N18" s="65">
        <v>81.135000000000005</v>
      </c>
      <c r="O18" s="65">
        <v>81.13</v>
      </c>
      <c r="P18" s="61">
        <v>68.893600000000006</v>
      </c>
      <c r="Q18" s="58">
        <v>1.4515</v>
      </c>
      <c r="R18" t="s">
        <v>2333</v>
      </c>
      <c r="S18" t="s">
        <v>2300</v>
      </c>
    </row>
    <row r="19" spans="1:19">
      <c r="A19" t="s">
        <v>751</v>
      </c>
      <c r="B19" t="s">
        <v>752</v>
      </c>
      <c r="C19" s="40">
        <v>46104</v>
      </c>
      <c r="D19" s="65">
        <v>107253</v>
      </c>
      <c r="E19" s="65">
        <v>97501</v>
      </c>
      <c r="F19" s="65">
        <v>9752</v>
      </c>
      <c r="G19" s="65">
        <v>792355.12</v>
      </c>
      <c r="H19" s="65">
        <v>210092.3</v>
      </c>
      <c r="I19" s="65">
        <v>582262.81999999995</v>
      </c>
      <c r="J19" s="65">
        <v>17382</v>
      </c>
      <c r="K19" s="65">
        <v>9200</v>
      </c>
      <c r="L19" s="65">
        <v>8182</v>
      </c>
      <c r="M19" s="65">
        <v>347.64</v>
      </c>
      <c r="N19" s="65">
        <v>184</v>
      </c>
      <c r="O19" s="65">
        <v>163.63999999999999</v>
      </c>
      <c r="P19" s="61">
        <v>2279.2404000000001</v>
      </c>
      <c r="Q19" s="58">
        <v>4.3900000000000002E-2</v>
      </c>
      <c r="R19" t="s">
        <v>2332</v>
      </c>
      <c r="S19" t="s">
        <v>2298</v>
      </c>
    </row>
    <row r="20" spans="1:19">
      <c r="A20" t="s">
        <v>626</v>
      </c>
      <c r="B20" t="s">
        <v>627</v>
      </c>
      <c r="C20" s="40">
        <v>46101</v>
      </c>
      <c r="D20" s="65">
        <v>56547</v>
      </c>
      <c r="E20" s="65">
        <v>55591</v>
      </c>
      <c r="F20" s="65">
        <v>956</v>
      </c>
      <c r="G20" s="65">
        <v>125238.76</v>
      </c>
      <c r="H20" s="65">
        <v>40028.76</v>
      </c>
      <c r="I20" s="65">
        <v>85210</v>
      </c>
      <c r="J20" s="65">
        <v>24399</v>
      </c>
      <c r="K20" s="65">
        <v>23443</v>
      </c>
      <c r="L20" s="65">
        <v>956</v>
      </c>
      <c r="M20" s="65">
        <v>950</v>
      </c>
      <c r="N20" s="65">
        <v>475</v>
      </c>
      <c r="O20" s="65">
        <v>475</v>
      </c>
      <c r="P20" s="61">
        <v>131.83029999999999</v>
      </c>
      <c r="Q20" s="58">
        <v>0.75860000000000005</v>
      </c>
      <c r="R20" t="s">
        <v>2331</v>
      </c>
      <c r="S20" t="s">
        <v>2295</v>
      </c>
    </row>
    <row r="21" spans="1:19">
      <c r="A21" t="s">
        <v>490</v>
      </c>
      <c r="B21" t="s">
        <v>491</v>
      </c>
      <c r="C21" s="40">
        <v>46101</v>
      </c>
      <c r="D21" s="65">
        <v>196756</v>
      </c>
      <c r="E21" s="65">
        <v>185264</v>
      </c>
      <c r="F21" s="65">
        <v>11492</v>
      </c>
      <c r="G21" s="65">
        <v>631882.74</v>
      </c>
      <c r="H21" s="65">
        <v>185072.74</v>
      </c>
      <c r="I21" s="65">
        <v>446810</v>
      </c>
      <c r="J21" s="65">
        <v>25575</v>
      </c>
      <c r="K21" s="65">
        <v>20000</v>
      </c>
      <c r="L21" s="65">
        <v>5575</v>
      </c>
      <c r="M21" s="65">
        <v>255.75</v>
      </c>
      <c r="N21" s="65">
        <v>200</v>
      </c>
      <c r="O21" s="65">
        <v>55.75</v>
      </c>
      <c r="P21" s="61">
        <v>2470.7048</v>
      </c>
      <c r="Q21" s="58">
        <v>4.0500000000000001E-2</v>
      </c>
      <c r="R21" t="s">
        <v>2329</v>
      </c>
      <c r="S21" t="s">
        <v>2298</v>
      </c>
    </row>
    <row r="22" spans="1:19">
      <c r="A22" t="s">
        <v>474</v>
      </c>
      <c r="B22" t="s">
        <v>475</v>
      </c>
      <c r="C22" s="40">
        <v>46100</v>
      </c>
      <c r="D22" s="65">
        <v>202417</v>
      </c>
      <c r="E22" s="65">
        <v>180250</v>
      </c>
      <c r="F22" s="65">
        <v>22167</v>
      </c>
      <c r="G22" s="65">
        <v>492533.04</v>
      </c>
      <c r="H22" s="65">
        <v>101214.04</v>
      </c>
      <c r="I22" s="65">
        <v>391319</v>
      </c>
      <c r="J22" s="65">
        <v>39425</v>
      </c>
      <c r="K22" s="65">
        <v>23000</v>
      </c>
      <c r="L22" s="65">
        <v>16425</v>
      </c>
      <c r="M22" s="65">
        <v>460</v>
      </c>
      <c r="N22" s="65">
        <v>230</v>
      </c>
      <c r="O22" s="65">
        <v>230</v>
      </c>
      <c r="P22" s="61">
        <v>1070.7239999999999</v>
      </c>
      <c r="Q22" s="58">
        <v>9.3399999999999997E-2</v>
      </c>
      <c r="R22" t="s">
        <v>2329</v>
      </c>
      <c r="S22" t="s">
        <v>2297</v>
      </c>
    </row>
    <row r="23" spans="1:19">
      <c r="A23" t="s">
        <v>494</v>
      </c>
      <c r="B23" t="s">
        <v>495</v>
      </c>
      <c r="C23" s="40">
        <v>46090</v>
      </c>
      <c r="D23" s="65">
        <v>57965</v>
      </c>
      <c r="E23" s="65">
        <v>57033</v>
      </c>
      <c r="F23" s="65">
        <v>932</v>
      </c>
      <c r="G23" s="65">
        <v>60943.65</v>
      </c>
      <c r="H23" s="65">
        <v>21723.65</v>
      </c>
      <c r="I23" s="65">
        <v>39220</v>
      </c>
      <c r="J23" s="65">
        <v>15506</v>
      </c>
      <c r="K23" s="65">
        <v>14574</v>
      </c>
      <c r="L23" s="65">
        <v>932</v>
      </c>
      <c r="M23" s="65">
        <v>350</v>
      </c>
      <c r="N23" s="65">
        <v>175</v>
      </c>
      <c r="O23" s="65">
        <v>175</v>
      </c>
      <c r="P23" s="61">
        <v>174.12469999999999</v>
      </c>
      <c r="Q23" s="58">
        <v>0.57430000000000003</v>
      </c>
      <c r="R23" t="s">
        <v>2329</v>
      </c>
      <c r="S23" t="s">
        <v>2294</v>
      </c>
    </row>
    <row r="24" spans="1:19">
      <c r="A24" t="s">
        <v>660</v>
      </c>
      <c r="B24" t="s">
        <v>661</v>
      </c>
      <c r="C24" s="40">
        <v>46087</v>
      </c>
      <c r="D24" s="65">
        <v>162571</v>
      </c>
      <c r="E24" s="65">
        <v>150874</v>
      </c>
      <c r="F24" s="65">
        <v>11697</v>
      </c>
      <c r="G24" s="65">
        <v>1077457.1499999999</v>
      </c>
      <c r="H24" s="65">
        <v>269144.65000000002</v>
      </c>
      <c r="I24" s="65">
        <v>808312.5</v>
      </c>
      <c r="J24" s="65">
        <v>4068</v>
      </c>
      <c r="K24" s="65">
        <v>2034</v>
      </c>
      <c r="L24" s="65">
        <v>2034</v>
      </c>
      <c r="M24" s="65">
        <v>203.4</v>
      </c>
      <c r="N24" s="65">
        <v>101.7</v>
      </c>
      <c r="O24" s="65">
        <v>101.7</v>
      </c>
      <c r="P24" s="61">
        <v>5297.2327999999998</v>
      </c>
      <c r="Q24" s="58">
        <v>1.89E-2</v>
      </c>
      <c r="R24" t="s">
        <v>2334</v>
      </c>
      <c r="S24" t="s">
        <v>2301</v>
      </c>
    </row>
    <row r="25" spans="1:19">
      <c r="A25" t="s">
        <v>600</v>
      </c>
      <c r="B25" t="s">
        <v>601</v>
      </c>
      <c r="C25" s="40">
        <v>46087</v>
      </c>
      <c r="D25" s="65">
        <v>180292</v>
      </c>
      <c r="E25" s="65">
        <v>160689</v>
      </c>
      <c r="F25" s="65">
        <v>19603</v>
      </c>
      <c r="G25" s="65">
        <v>411068.61</v>
      </c>
      <c r="H25" s="65">
        <v>84813.03</v>
      </c>
      <c r="I25" s="65">
        <v>326255.58</v>
      </c>
      <c r="J25" s="65">
        <v>23940</v>
      </c>
      <c r="K25" s="65">
        <v>13375</v>
      </c>
      <c r="L25" s="65">
        <v>10565</v>
      </c>
      <c r="M25" s="65">
        <v>267.49</v>
      </c>
      <c r="N25" s="65">
        <v>133.75</v>
      </c>
      <c r="O25" s="65">
        <v>133.74</v>
      </c>
      <c r="P25" s="61">
        <v>1536.7625</v>
      </c>
      <c r="Q25" s="58">
        <v>6.5100000000000005E-2</v>
      </c>
      <c r="R25" t="s">
        <v>2335</v>
      </c>
      <c r="S25" t="s">
        <v>2297</v>
      </c>
    </row>
    <row r="26" spans="1:19">
      <c r="A26" t="s">
        <v>419</v>
      </c>
      <c r="B26" t="s">
        <v>420</v>
      </c>
      <c r="C26" s="40">
        <v>46087</v>
      </c>
      <c r="D26" s="65">
        <v>27190</v>
      </c>
      <c r="E26" s="65">
        <v>27052</v>
      </c>
      <c r="F26" s="65">
        <v>138</v>
      </c>
      <c r="G26" s="65">
        <v>19036.98</v>
      </c>
      <c r="H26" s="65">
        <v>10119.18</v>
      </c>
      <c r="I26" s="65">
        <v>8917.7999999999993</v>
      </c>
      <c r="J26" s="65">
        <v>6799</v>
      </c>
      <c r="K26" s="65">
        <v>6661</v>
      </c>
      <c r="L26" s="65">
        <v>138</v>
      </c>
      <c r="M26" s="65">
        <v>967.8</v>
      </c>
      <c r="N26" s="65">
        <v>483.9</v>
      </c>
      <c r="O26" s="65">
        <v>483.9</v>
      </c>
      <c r="P26" s="61">
        <v>19.670400000000001</v>
      </c>
      <c r="Q26" s="58">
        <v>5.0838000000000001</v>
      </c>
      <c r="R26" t="s">
        <v>2332</v>
      </c>
      <c r="S26" t="s">
        <v>2297</v>
      </c>
    </row>
    <row r="27" spans="1:19">
      <c r="A27" t="s">
        <v>390</v>
      </c>
      <c r="B27" t="s">
        <v>391</v>
      </c>
      <c r="C27" s="40">
        <v>46065</v>
      </c>
      <c r="D27" s="65">
        <v>141463</v>
      </c>
      <c r="E27" s="65">
        <v>132491</v>
      </c>
      <c r="F27" s="65">
        <v>8972</v>
      </c>
      <c r="G27" s="65">
        <v>797350.3</v>
      </c>
      <c r="H27" s="65">
        <v>215756.54</v>
      </c>
      <c r="I27" s="65">
        <v>581593.76</v>
      </c>
      <c r="J27" s="65">
        <v>31654</v>
      </c>
      <c r="K27" s="65">
        <v>22682</v>
      </c>
      <c r="L27" s="65">
        <v>8972</v>
      </c>
      <c r="M27" s="65">
        <v>1399.9</v>
      </c>
      <c r="N27" s="65">
        <v>699.96</v>
      </c>
      <c r="O27" s="65">
        <v>699.94</v>
      </c>
      <c r="P27" s="61">
        <v>569.57659999999998</v>
      </c>
      <c r="Q27" s="58">
        <v>0.17560000000000001</v>
      </c>
      <c r="R27" t="s">
        <v>2335</v>
      </c>
      <c r="S27" t="s">
        <v>2297</v>
      </c>
    </row>
    <row r="28" spans="1:19">
      <c r="A28" t="s">
        <v>832</v>
      </c>
      <c r="B28" t="s">
        <v>833</v>
      </c>
      <c r="C28" s="40">
        <v>46065</v>
      </c>
      <c r="D28" s="65">
        <v>232258</v>
      </c>
      <c r="E28" s="65">
        <v>205872</v>
      </c>
      <c r="F28" s="65">
        <v>26386</v>
      </c>
      <c r="G28" s="65">
        <v>1419836.36</v>
      </c>
      <c r="H28" s="65">
        <v>235084.28</v>
      </c>
      <c r="I28" s="65">
        <v>1184752.08</v>
      </c>
      <c r="J28" s="65">
        <v>14016</v>
      </c>
      <c r="K28" s="65">
        <v>7008</v>
      </c>
      <c r="L28" s="65">
        <v>7008</v>
      </c>
      <c r="M28" s="65">
        <v>280.32</v>
      </c>
      <c r="N28" s="65">
        <v>140.16</v>
      </c>
      <c r="O28" s="65">
        <v>140.16</v>
      </c>
      <c r="P28" s="61">
        <v>5065.0555000000004</v>
      </c>
      <c r="Q28" s="58">
        <v>1.9699999999999999E-2</v>
      </c>
      <c r="R28" t="s">
        <v>2327</v>
      </c>
      <c r="S28" t="s">
        <v>2298</v>
      </c>
    </row>
    <row r="29" spans="1:19">
      <c r="A29" t="s">
        <v>313</v>
      </c>
      <c r="B29" t="s">
        <v>314</v>
      </c>
      <c r="C29" s="40">
        <v>46063</v>
      </c>
      <c r="D29" s="65">
        <v>57322</v>
      </c>
      <c r="E29" s="65">
        <v>55943</v>
      </c>
      <c r="F29" s="65">
        <v>1379</v>
      </c>
      <c r="G29" s="65">
        <v>74460.47</v>
      </c>
      <c r="H29" s="65">
        <v>30306.59</v>
      </c>
      <c r="I29" s="65">
        <v>44153.88</v>
      </c>
      <c r="J29" s="65">
        <v>28577</v>
      </c>
      <c r="K29" s="65">
        <v>27198</v>
      </c>
      <c r="L29" s="65">
        <v>1379</v>
      </c>
      <c r="M29" s="65">
        <v>936.16</v>
      </c>
      <c r="N29" s="65">
        <v>468.08</v>
      </c>
      <c r="O29" s="65">
        <v>468.08</v>
      </c>
      <c r="P29" s="61">
        <v>79.538200000000003</v>
      </c>
      <c r="Q29" s="58">
        <v>1.2573000000000001</v>
      </c>
      <c r="R29" t="s">
        <v>2332</v>
      </c>
      <c r="S29" t="s">
        <v>2297</v>
      </c>
    </row>
    <row r="30" spans="1:19">
      <c r="A30" t="s">
        <v>890</v>
      </c>
      <c r="B30" t="s">
        <v>891</v>
      </c>
      <c r="C30" s="40">
        <v>46062</v>
      </c>
      <c r="D30" s="65">
        <v>85091</v>
      </c>
      <c r="E30" s="65">
        <v>83513</v>
      </c>
      <c r="F30" s="65">
        <v>1578</v>
      </c>
      <c r="G30" s="65">
        <v>109969.8</v>
      </c>
      <c r="H30" s="65">
        <v>37387.82</v>
      </c>
      <c r="I30" s="65">
        <v>72581.98</v>
      </c>
      <c r="J30" s="65">
        <v>40330</v>
      </c>
      <c r="K30" s="65">
        <v>38752</v>
      </c>
      <c r="L30" s="65">
        <v>1578</v>
      </c>
      <c r="M30" s="65">
        <v>1049.1600000000001</v>
      </c>
      <c r="N30" s="65">
        <v>524.58000000000004</v>
      </c>
      <c r="O30" s="65">
        <v>524.58000000000004</v>
      </c>
      <c r="P30" s="61">
        <v>104.81699999999999</v>
      </c>
      <c r="Q30" s="58">
        <v>0.95399999999999996</v>
      </c>
      <c r="R30" t="s">
        <v>2331</v>
      </c>
      <c r="S30" t="s">
        <v>2295</v>
      </c>
    </row>
    <row r="31" spans="1:19">
      <c r="A31" t="s">
        <v>793</v>
      </c>
      <c r="B31" t="s">
        <v>794</v>
      </c>
      <c r="C31" s="40">
        <v>46062</v>
      </c>
      <c r="D31" s="65">
        <v>111036</v>
      </c>
      <c r="E31" s="65">
        <v>101646</v>
      </c>
      <c r="F31" s="65">
        <v>9390</v>
      </c>
      <c r="G31" s="65">
        <v>1030675.1</v>
      </c>
      <c r="H31" s="65">
        <v>246611.1</v>
      </c>
      <c r="I31" s="65">
        <v>784064</v>
      </c>
      <c r="J31" s="65">
        <v>5641</v>
      </c>
      <c r="K31" s="65">
        <v>2821</v>
      </c>
      <c r="L31" s="65">
        <v>2820</v>
      </c>
      <c r="M31" s="65">
        <v>282.05</v>
      </c>
      <c r="N31" s="65">
        <v>141.05000000000001</v>
      </c>
      <c r="O31" s="65">
        <v>141</v>
      </c>
      <c r="P31" s="61">
        <v>3654.2283000000002</v>
      </c>
      <c r="Q31" s="58">
        <v>2.7400000000000001E-2</v>
      </c>
      <c r="R31" t="s">
        <v>2330</v>
      </c>
      <c r="S31" t="s">
        <v>2299</v>
      </c>
    </row>
    <row r="32" spans="1:19">
      <c r="A32" t="s">
        <v>487</v>
      </c>
      <c r="B32" t="s">
        <v>488</v>
      </c>
      <c r="C32" s="40">
        <v>46059</v>
      </c>
      <c r="D32" s="65">
        <v>260646</v>
      </c>
      <c r="E32" s="65">
        <v>232844</v>
      </c>
      <c r="F32" s="65">
        <v>27802</v>
      </c>
      <c r="G32" s="65">
        <v>466040.95</v>
      </c>
      <c r="H32" s="65">
        <v>78332.899999999994</v>
      </c>
      <c r="I32" s="65">
        <v>387708.05</v>
      </c>
      <c r="J32" s="65">
        <v>56356</v>
      </c>
      <c r="K32" s="65">
        <v>32945</v>
      </c>
      <c r="L32" s="65">
        <v>23411</v>
      </c>
      <c r="M32" s="65">
        <v>658.9</v>
      </c>
      <c r="N32" s="65">
        <v>329.45</v>
      </c>
      <c r="O32" s="65">
        <v>329.45</v>
      </c>
      <c r="P32" s="61">
        <v>707.30150000000003</v>
      </c>
      <c r="Q32" s="58">
        <v>0.1414</v>
      </c>
      <c r="R32" t="s">
        <v>2331</v>
      </c>
      <c r="S32" t="s">
        <v>2295</v>
      </c>
    </row>
    <row r="33" spans="1:19">
      <c r="A33" t="s">
        <v>231</v>
      </c>
      <c r="B33" t="s">
        <v>232</v>
      </c>
      <c r="C33" s="40">
        <v>46058</v>
      </c>
      <c r="D33" s="65">
        <v>21268</v>
      </c>
      <c r="E33" s="65">
        <v>21187</v>
      </c>
      <c r="F33" s="65">
        <v>81</v>
      </c>
      <c r="G33" s="65">
        <v>16106.14</v>
      </c>
      <c r="H33" s="65">
        <v>3197.82</v>
      </c>
      <c r="I33" s="65">
        <v>12908.32</v>
      </c>
      <c r="J33" s="65">
        <v>21268</v>
      </c>
      <c r="K33" s="65">
        <v>21187</v>
      </c>
      <c r="L33" s="65">
        <v>81</v>
      </c>
      <c r="M33" s="65">
        <v>2739.52</v>
      </c>
      <c r="N33" s="65">
        <v>1369.76</v>
      </c>
      <c r="O33" s="65">
        <v>1369.76</v>
      </c>
      <c r="P33" s="61">
        <v>5.8792</v>
      </c>
      <c r="Q33" s="58">
        <v>17.0092</v>
      </c>
      <c r="R33" t="s">
        <v>2336</v>
      </c>
      <c r="S33" t="s">
        <v>2302</v>
      </c>
    </row>
    <row r="34" spans="1:19">
      <c r="A34" t="s">
        <v>693</v>
      </c>
      <c r="B34" t="s">
        <v>694</v>
      </c>
      <c r="C34" s="40">
        <v>46058</v>
      </c>
      <c r="D34" s="65">
        <v>147844</v>
      </c>
      <c r="E34" s="65">
        <v>140545</v>
      </c>
      <c r="F34" s="65">
        <v>7299</v>
      </c>
      <c r="G34" s="65">
        <v>129709.44500000001</v>
      </c>
      <c r="H34" s="65">
        <v>32046.695</v>
      </c>
      <c r="I34" s="65">
        <v>97662.75</v>
      </c>
      <c r="J34" s="65">
        <v>9500</v>
      </c>
      <c r="K34" s="65">
        <v>4750</v>
      </c>
      <c r="L34" s="65">
        <v>4750</v>
      </c>
      <c r="M34" s="65">
        <v>47.5</v>
      </c>
      <c r="N34" s="65">
        <v>23.75</v>
      </c>
      <c r="O34" s="65">
        <v>23.75</v>
      </c>
      <c r="P34" s="61">
        <v>2730.7251999999999</v>
      </c>
      <c r="Q34" s="58">
        <v>3.6600000000000001E-2</v>
      </c>
      <c r="R34" t="s">
        <v>2326</v>
      </c>
      <c r="S34" t="s">
        <v>2292</v>
      </c>
    </row>
    <row r="35" spans="1:19">
      <c r="A35" t="s">
        <v>533</v>
      </c>
      <c r="B35" t="s">
        <v>534</v>
      </c>
      <c r="C35" s="40">
        <v>46058</v>
      </c>
      <c r="D35" s="65">
        <v>159985</v>
      </c>
      <c r="E35" s="65">
        <v>146253</v>
      </c>
      <c r="F35" s="65">
        <v>13732</v>
      </c>
      <c r="G35" s="65">
        <v>225212.44</v>
      </c>
      <c r="H35" s="65">
        <v>53705.52</v>
      </c>
      <c r="I35" s="65">
        <v>171506.92</v>
      </c>
      <c r="J35" s="65">
        <v>38958</v>
      </c>
      <c r="K35" s="65">
        <v>25226</v>
      </c>
      <c r="L35" s="65">
        <v>13732</v>
      </c>
      <c r="M35" s="65">
        <v>504.52</v>
      </c>
      <c r="N35" s="65">
        <v>252.26</v>
      </c>
      <c r="O35" s="65">
        <v>252.26</v>
      </c>
      <c r="P35" s="61">
        <v>446.3895</v>
      </c>
      <c r="Q35" s="58">
        <v>0.224</v>
      </c>
      <c r="R35" t="s">
        <v>2329</v>
      </c>
      <c r="S35" t="s">
        <v>2297</v>
      </c>
    </row>
    <row r="36" spans="1:19">
      <c r="A36" t="s">
        <v>304</v>
      </c>
      <c r="B36" t="s">
        <v>305</v>
      </c>
      <c r="C36" s="40">
        <v>46056</v>
      </c>
      <c r="D36" s="65">
        <v>171047</v>
      </c>
      <c r="E36" s="65">
        <v>154503</v>
      </c>
      <c r="F36" s="65">
        <v>16544</v>
      </c>
      <c r="G36" s="65">
        <v>675555.38</v>
      </c>
      <c r="H36" s="65">
        <v>155645.38</v>
      </c>
      <c r="I36" s="65">
        <v>519910</v>
      </c>
      <c r="J36" s="65">
        <v>14819</v>
      </c>
      <c r="K36" s="65">
        <v>7500</v>
      </c>
      <c r="L36" s="65">
        <v>7319</v>
      </c>
      <c r="M36" s="65">
        <v>300</v>
      </c>
      <c r="N36" s="65">
        <v>150</v>
      </c>
      <c r="O36" s="65">
        <v>150</v>
      </c>
      <c r="P36" s="61">
        <v>2251.8512999999998</v>
      </c>
      <c r="Q36" s="58">
        <v>4.4400000000000002E-2</v>
      </c>
      <c r="R36" t="s">
        <v>2337</v>
      </c>
      <c r="S36" t="s">
        <v>2303</v>
      </c>
    </row>
    <row r="37" spans="1:19">
      <c r="A37" t="s">
        <v>339</v>
      </c>
      <c r="B37" t="s">
        <v>340</v>
      </c>
      <c r="C37" s="40">
        <v>46055</v>
      </c>
      <c r="D37" s="65">
        <v>66692</v>
      </c>
      <c r="E37" s="65">
        <v>64575</v>
      </c>
      <c r="F37" s="65">
        <v>2117</v>
      </c>
      <c r="G37" s="65">
        <v>23497.27</v>
      </c>
      <c r="H37" s="65">
        <v>8591.02</v>
      </c>
      <c r="I37" s="65">
        <v>14906.25</v>
      </c>
      <c r="J37" s="65">
        <v>20113</v>
      </c>
      <c r="K37" s="65">
        <v>17996</v>
      </c>
      <c r="L37" s="65">
        <v>2117</v>
      </c>
      <c r="M37" s="65">
        <v>408.9</v>
      </c>
      <c r="N37" s="65">
        <v>204.45</v>
      </c>
      <c r="O37" s="65">
        <v>204.45</v>
      </c>
      <c r="P37" s="61">
        <v>57.464599999999997</v>
      </c>
      <c r="Q37" s="58">
        <v>1.7402</v>
      </c>
      <c r="R37" t="s">
        <v>2336</v>
      </c>
      <c r="S37" t="s">
        <v>2304</v>
      </c>
    </row>
    <row r="38" spans="1:19">
      <c r="A38" t="s">
        <v>346</v>
      </c>
      <c r="B38" t="s">
        <v>347</v>
      </c>
      <c r="C38" s="40">
        <v>46049</v>
      </c>
      <c r="D38" s="65">
        <v>229245</v>
      </c>
      <c r="E38" s="65">
        <v>202454</v>
      </c>
      <c r="F38" s="65">
        <v>26791</v>
      </c>
      <c r="G38" s="65">
        <v>267866.69</v>
      </c>
      <c r="H38" s="65">
        <v>57675.32</v>
      </c>
      <c r="I38" s="65">
        <v>210191.37</v>
      </c>
      <c r="J38" s="65">
        <v>14102</v>
      </c>
      <c r="K38" s="65">
        <v>7051</v>
      </c>
      <c r="L38" s="65">
        <v>7051</v>
      </c>
      <c r="M38" s="65">
        <v>141.02000000000001</v>
      </c>
      <c r="N38" s="65">
        <v>70.510000000000005</v>
      </c>
      <c r="O38" s="65">
        <v>70.510000000000005</v>
      </c>
      <c r="P38" s="61">
        <v>1899.4943000000001</v>
      </c>
      <c r="Q38" s="58">
        <v>5.2600000000000001E-2</v>
      </c>
      <c r="R38" t="s">
        <v>2338</v>
      </c>
      <c r="S38" t="s">
        <v>2304</v>
      </c>
    </row>
    <row r="39" spans="1:19">
      <c r="A39" t="s">
        <v>272</v>
      </c>
      <c r="B39" t="s">
        <v>273</v>
      </c>
      <c r="C39" s="40">
        <v>46043</v>
      </c>
      <c r="D39" s="65">
        <v>145096</v>
      </c>
      <c r="E39" s="65">
        <v>134255</v>
      </c>
      <c r="F39" s="65">
        <v>10841</v>
      </c>
      <c r="G39" s="65">
        <v>600866.72</v>
      </c>
      <c r="H39" s="65">
        <v>128975.72</v>
      </c>
      <c r="I39" s="65">
        <v>471891</v>
      </c>
      <c r="J39" s="65">
        <v>29665</v>
      </c>
      <c r="K39" s="65">
        <v>18824</v>
      </c>
      <c r="L39" s="65">
        <v>10841</v>
      </c>
      <c r="M39" s="65">
        <v>522.6</v>
      </c>
      <c r="N39" s="65">
        <v>261.3</v>
      </c>
      <c r="O39" s="65">
        <v>261.3</v>
      </c>
      <c r="P39" s="61">
        <v>1149.7641000000001</v>
      </c>
      <c r="Q39" s="58">
        <v>8.6999999999999994E-2</v>
      </c>
      <c r="R39" t="s">
        <v>2329</v>
      </c>
      <c r="S39" t="s">
        <v>2294</v>
      </c>
    </row>
    <row r="40" spans="1:19">
      <c r="A40" t="s">
        <v>962</v>
      </c>
      <c r="B40" t="s">
        <v>963</v>
      </c>
      <c r="C40" s="40">
        <v>46034</v>
      </c>
      <c r="D40" s="65">
        <v>145089</v>
      </c>
      <c r="E40" s="65">
        <v>125986</v>
      </c>
      <c r="F40" s="65">
        <v>19103</v>
      </c>
      <c r="G40" s="65">
        <v>13431414.800000001</v>
      </c>
      <c r="H40" s="65">
        <v>618614.80000000005</v>
      </c>
      <c r="I40" s="65">
        <v>12812800</v>
      </c>
      <c r="J40" s="65">
        <v>3125</v>
      </c>
      <c r="K40" s="65">
        <v>178</v>
      </c>
      <c r="L40" s="65">
        <v>2947</v>
      </c>
      <c r="M40" s="65">
        <v>1250</v>
      </c>
      <c r="N40" s="65">
        <v>71.2</v>
      </c>
      <c r="O40" s="65">
        <v>1178.8</v>
      </c>
      <c r="P40" s="61">
        <v>10745.131799999999</v>
      </c>
      <c r="Q40" s="58">
        <v>9.2999999999999992E-3</v>
      </c>
      <c r="R40" t="s">
        <v>2339</v>
      </c>
      <c r="S40" t="s">
        <v>2305</v>
      </c>
    </row>
    <row r="41" spans="1:19">
      <c r="A41" t="s">
        <v>905</v>
      </c>
      <c r="B41" t="s">
        <v>906</v>
      </c>
      <c r="C41" s="40">
        <v>46034</v>
      </c>
      <c r="D41" s="65">
        <v>103102</v>
      </c>
      <c r="E41" s="65">
        <v>98005</v>
      </c>
      <c r="F41" s="65">
        <v>5097</v>
      </c>
      <c r="G41" s="65">
        <v>537246.9</v>
      </c>
      <c r="H41" s="65">
        <v>133690.5</v>
      </c>
      <c r="I41" s="65">
        <v>403556.4</v>
      </c>
      <c r="J41" s="65">
        <v>4653</v>
      </c>
      <c r="K41" s="65">
        <v>2327</v>
      </c>
      <c r="L41" s="65">
        <v>2326</v>
      </c>
      <c r="M41" s="65">
        <v>232.65</v>
      </c>
      <c r="N41" s="65">
        <v>116.35</v>
      </c>
      <c r="O41" s="65">
        <v>116.3</v>
      </c>
      <c r="P41" s="61">
        <v>2309.2494999999999</v>
      </c>
      <c r="Q41" s="58">
        <v>4.3299999999999998E-2</v>
      </c>
      <c r="R41" t="s">
        <v>2340</v>
      </c>
      <c r="S41" t="s">
        <v>2306</v>
      </c>
    </row>
    <row r="42" spans="1:19">
      <c r="A42" t="s">
        <v>387</v>
      </c>
      <c r="B42" t="s">
        <v>388</v>
      </c>
      <c r="C42" s="40">
        <v>46034</v>
      </c>
      <c r="D42" s="65">
        <v>148419</v>
      </c>
      <c r="E42" s="65">
        <v>135727</v>
      </c>
      <c r="F42" s="65">
        <v>12692</v>
      </c>
      <c r="G42" s="65">
        <v>156788.85999999999</v>
      </c>
      <c r="H42" s="65">
        <v>39278.300000000003</v>
      </c>
      <c r="I42" s="65">
        <v>117510.56</v>
      </c>
      <c r="J42" s="65">
        <v>25871</v>
      </c>
      <c r="K42" s="65">
        <v>14458</v>
      </c>
      <c r="L42" s="65">
        <v>11413</v>
      </c>
      <c r="M42" s="65">
        <v>289.16000000000003</v>
      </c>
      <c r="N42" s="65">
        <v>144.58000000000001</v>
      </c>
      <c r="O42" s="65">
        <v>144.58000000000001</v>
      </c>
      <c r="P42" s="61">
        <v>542.22180000000003</v>
      </c>
      <c r="Q42" s="58">
        <v>0.18440000000000001</v>
      </c>
      <c r="R42" t="s">
        <v>2331</v>
      </c>
      <c r="S42" t="s">
        <v>2295</v>
      </c>
    </row>
    <row r="43" spans="1:19">
      <c r="A43" t="s">
        <v>292</v>
      </c>
      <c r="B43" t="s">
        <v>293</v>
      </c>
      <c r="C43" s="40">
        <v>46031</v>
      </c>
      <c r="D43" s="65">
        <v>14551</v>
      </c>
      <c r="E43" s="65">
        <v>14423</v>
      </c>
      <c r="F43" s="65">
        <v>128</v>
      </c>
      <c r="G43" s="65">
        <v>4251.1099999999997</v>
      </c>
      <c r="H43" s="65">
        <v>1587.11</v>
      </c>
      <c r="I43" s="65">
        <v>2664</v>
      </c>
      <c r="J43" s="65">
        <v>14551</v>
      </c>
      <c r="K43" s="65">
        <v>14423</v>
      </c>
      <c r="L43" s="65">
        <v>128</v>
      </c>
      <c r="M43" s="65">
        <v>458</v>
      </c>
      <c r="N43" s="65">
        <v>229</v>
      </c>
      <c r="O43" s="65">
        <v>229</v>
      </c>
      <c r="P43" s="61">
        <v>9.2819000000000003</v>
      </c>
      <c r="Q43" s="58">
        <v>10.7737</v>
      </c>
      <c r="R43" t="s">
        <v>2331</v>
      </c>
      <c r="S43" t="s">
        <v>2295</v>
      </c>
    </row>
    <row r="44" spans="1:19">
      <c r="A44" t="s">
        <v>1022</v>
      </c>
      <c r="B44" t="s">
        <v>1023</v>
      </c>
      <c r="C44" s="40">
        <v>46030</v>
      </c>
      <c r="D44" s="65">
        <v>42771</v>
      </c>
      <c r="E44" s="65">
        <v>41829</v>
      </c>
      <c r="F44" s="65">
        <v>942</v>
      </c>
      <c r="G44" s="65">
        <v>27780.42</v>
      </c>
      <c r="H44" s="65">
        <v>8623.4599999999991</v>
      </c>
      <c r="I44" s="65">
        <v>19156.96</v>
      </c>
      <c r="J44" s="65">
        <v>5367</v>
      </c>
      <c r="K44" s="65">
        <v>4425</v>
      </c>
      <c r="L44" s="65">
        <v>942</v>
      </c>
      <c r="M44" s="65">
        <v>274.88</v>
      </c>
      <c r="N44" s="65">
        <v>137.44</v>
      </c>
      <c r="O44" s="65">
        <v>137.44</v>
      </c>
      <c r="P44" s="61">
        <v>101.0638</v>
      </c>
      <c r="Q44" s="58">
        <v>0.98950000000000005</v>
      </c>
      <c r="R44" t="s">
        <v>2328</v>
      </c>
      <c r="S44" t="s">
        <v>2296</v>
      </c>
    </row>
    <row r="45" spans="1:19">
      <c r="A45" t="s">
        <v>996</v>
      </c>
      <c r="B45" t="s">
        <v>997</v>
      </c>
      <c r="C45" s="40">
        <v>46030</v>
      </c>
      <c r="D45" s="65">
        <v>417646</v>
      </c>
      <c r="E45" s="65">
        <v>397689</v>
      </c>
      <c r="F45" s="65">
        <v>19957</v>
      </c>
      <c r="G45" s="65">
        <v>233225.522</v>
      </c>
      <c r="H45" s="65">
        <v>61145.256000000001</v>
      </c>
      <c r="I45" s="65">
        <v>172080.266</v>
      </c>
      <c r="J45" s="65">
        <v>104901</v>
      </c>
      <c r="K45" s="65">
        <v>84944</v>
      </c>
      <c r="L45" s="65">
        <v>19957</v>
      </c>
      <c r="M45" s="65">
        <v>507.786</v>
      </c>
      <c r="N45" s="65">
        <v>253.89400000000001</v>
      </c>
      <c r="O45" s="65">
        <v>253.892</v>
      </c>
      <c r="P45" s="61">
        <v>459.29880000000003</v>
      </c>
      <c r="Q45" s="58">
        <v>0.2177</v>
      </c>
      <c r="R45" t="s">
        <v>2327</v>
      </c>
      <c r="S45" t="s">
        <v>2298</v>
      </c>
    </row>
    <row r="46" spans="1:19">
      <c r="A46" t="s">
        <v>695</v>
      </c>
      <c r="B46" t="s">
        <v>696</v>
      </c>
      <c r="C46" s="40">
        <v>46030</v>
      </c>
      <c r="D46" s="65">
        <v>64448</v>
      </c>
      <c r="E46" s="65">
        <v>63566</v>
      </c>
      <c r="F46" s="65">
        <v>882</v>
      </c>
      <c r="G46" s="65">
        <v>52679.4</v>
      </c>
      <c r="H46" s="65">
        <v>22125.7</v>
      </c>
      <c r="I46" s="65">
        <v>30553.7</v>
      </c>
      <c r="J46" s="65">
        <v>9029</v>
      </c>
      <c r="K46" s="65">
        <v>8147</v>
      </c>
      <c r="L46" s="65">
        <v>882</v>
      </c>
      <c r="M46" s="65">
        <v>367.66</v>
      </c>
      <c r="N46" s="65">
        <v>183.84</v>
      </c>
      <c r="O46" s="65">
        <v>183.82</v>
      </c>
      <c r="P46" s="61">
        <v>143.28290000000001</v>
      </c>
      <c r="Q46" s="58">
        <v>0.69789999999999996</v>
      </c>
      <c r="R46" t="s">
        <v>2341</v>
      </c>
      <c r="S46" t="s">
        <v>2307</v>
      </c>
    </row>
    <row r="47" spans="1:19">
      <c r="A47" t="s">
        <v>874</v>
      </c>
      <c r="B47" t="s">
        <v>875</v>
      </c>
      <c r="C47" s="40">
        <v>46029</v>
      </c>
      <c r="D47" s="65">
        <v>180802</v>
      </c>
      <c r="E47" s="65">
        <v>171067</v>
      </c>
      <c r="F47" s="65">
        <v>9735</v>
      </c>
      <c r="G47" s="65">
        <v>105350.33</v>
      </c>
      <c r="H47" s="65">
        <v>26539.89</v>
      </c>
      <c r="I47" s="65">
        <v>78810.44</v>
      </c>
      <c r="J47" s="65">
        <v>22451</v>
      </c>
      <c r="K47" s="65">
        <v>12716</v>
      </c>
      <c r="L47" s="65">
        <v>9735</v>
      </c>
      <c r="M47" s="65">
        <v>254.32</v>
      </c>
      <c r="N47" s="65">
        <v>127.16</v>
      </c>
      <c r="O47" s="65">
        <v>127.16</v>
      </c>
      <c r="P47" s="61">
        <v>414.2432</v>
      </c>
      <c r="Q47" s="58">
        <v>0.2414</v>
      </c>
      <c r="R47" t="s">
        <v>2331</v>
      </c>
      <c r="S47" t="s">
        <v>2295</v>
      </c>
    </row>
    <row r="48" spans="1:19">
      <c r="A48" t="s">
        <v>958</v>
      </c>
      <c r="B48" t="s">
        <v>959</v>
      </c>
      <c r="C48" s="40">
        <v>46029</v>
      </c>
      <c r="D48" s="65">
        <v>204871</v>
      </c>
      <c r="E48" s="65">
        <v>190045</v>
      </c>
      <c r="F48" s="65">
        <v>14826</v>
      </c>
      <c r="G48" s="65">
        <v>216935.76</v>
      </c>
      <c r="H48" s="65">
        <v>52445.71</v>
      </c>
      <c r="I48" s="65">
        <v>164490.04999999999</v>
      </c>
      <c r="J48" s="65">
        <v>50907</v>
      </c>
      <c r="K48" s="65">
        <v>36081</v>
      </c>
      <c r="L48" s="65">
        <v>14826</v>
      </c>
      <c r="M48" s="65">
        <v>748.39</v>
      </c>
      <c r="N48" s="65">
        <v>374.2</v>
      </c>
      <c r="O48" s="65">
        <v>374.19</v>
      </c>
      <c r="P48" s="61">
        <v>289.86989999999997</v>
      </c>
      <c r="Q48" s="58">
        <v>0.34499999999999997</v>
      </c>
      <c r="R48" t="s">
        <v>2327</v>
      </c>
      <c r="S48" t="s">
        <v>2298</v>
      </c>
    </row>
    <row r="49" spans="1:19">
      <c r="A49" t="s">
        <v>982</v>
      </c>
      <c r="B49" t="s">
        <v>983</v>
      </c>
      <c r="C49" s="40">
        <v>46029</v>
      </c>
      <c r="D49" s="65">
        <v>196179</v>
      </c>
      <c r="E49" s="65">
        <v>189777</v>
      </c>
      <c r="F49" s="65">
        <v>6402</v>
      </c>
      <c r="G49" s="65">
        <v>302718.61</v>
      </c>
      <c r="H49" s="65">
        <v>98424.76</v>
      </c>
      <c r="I49" s="65">
        <v>204293.85</v>
      </c>
      <c r="J49" s="65">
        <v>19967</v>
      </c>
      <c r="K49" s="65">
        <v>13565</v>
      </c>
      <c r="L49" s="65">
        <v>6402</v>
      </c>
      <c r="M49" s="65">
        <v>277.23</v>
      </c>
      <c r="N49" s="65">
        <v>138.62</v>
      </c>
      <c r="O49" s="65">
        <v>138.61000000000001</v>
      </c>
      <c r="P49" s="61">
        <v>1091.9403</v>
      </c>
      <c r="Q49" s="58">
        <v>9.1600000000000001E-2</v>
      </c>
      <c r="R49" t="s">
        <v>2326</v>
      </c>
      <c r="S49" t="s">
        <v>2292</v>
      </c>
    </row>
    <row r="50" spans="1:19">
      <c r="A50" t="s">
        <v>974</v>
      </c>
      <c r="B50" t="s">
        <v>975</v>
      </c>
      <c r="C50" s="40">
        <v>46022</v>
      </c>
      <c r="D50" s="65">
        <v>471116</v>
      </c>
      <c r="E50" s="65">
        <v>441861</v>
      </c>
      <c r="F50" s="65">
        <v>29255</v>
      </c>
      <c r="G50" s="65">
        <v>2907365.98</v>
      </c>
      <c r="H50" s="65">
        <v>540416.74</v>
      </c>
      <c r="I50" s="65">
        <v>2366949.2400000002</v>
      </c>
      <c r="J50" s="65">
        <v>135569</v>
      </c>
      <c r="K50" s="65">
        <v>106314</v>
      </c>
      <c r="L50" s="65">
        <v>29255</v>
      </c>
      <c r="M50" s="65">
        <v>4953.8599999999997</v>
      </c>
      <c r="N50" s="65">
        <v>2476.94</v>
      </c>
      <c r="O50" s="65">
        <v>2476.92</v>
      </c>
      <c r="P50" s="61">
        <v>586.88900000000001</v>
      </c>
      <c r="Q50" s="58">
        <v>0.1704</v>
      </c>
      <c r="R50" t="s">
        <v>2331</v>
      </c>
      <c r="S50" t="s">
        <v>2298</v>
      </c>
    </row>
    <row r="51" spans="1:19">
      <c r="A51" t="s">
        <v>840</v>
      </c>
      <c r="B51" t="s">
        <v>841</v>
      </c>
      <c r="C51" s="40">
        <v>46020</v>
      </c>
      <c r="D51" s="65">
        <v>221926</v>
      </c>
      <c r="E51" s="65">
        <v>206081</v>
      </c>
      <c r="F51" s="65">
        <v>15845</v>
      </c>
      <c r="G51" s="65">
        <v>1351646.8</v>
      </c>
      <c r="H51" s="65">
        <v>327183.55</v>
      </c>
      <c r="I51" s="65">
        <v>1024463.25</v>
      </c>
      <c r="J51" s="65">
        <v>17658</v>
      </c>
      <c r="K51" s="65">
        <v>9470</v>
      </c>
      <c r="L51" s="65">
        <v>8188</v>
      </c>
      <c r="M51" s="65">
        <v>946.95</v>
      </c>
      <c r="N51" s="65">
        <v>473.5</v>
      </c>
      <c r="O51" s="65">
        <v>473.45</v>
      </c>
      <c r="P51" s="61">
        <v>1427.3687</v>
      </c>
      <c r="Q51" s="58">
        <v>7.0099999999999996E-2</v>
      </c>
      <c r="R51" t="s">
        <v>2328</v>
      </c>
      <c r="S51" t="s">
        <v>2296</v>
      </c>
    </row>
    <row r="52" spans="1:19">
      <c r="A52" t="s">
        <v>763</v>
      </c>
      <c r="B52" t="s">
        <v>764</v>
      </c>
      <c r="C52" s="40">
        <v>46020</v>
      </c>
      <c r="D52" s="65">
        <v>9730</v>
      </c>
      <c r="E52" s="65">
        <v>9696</v>
      </c>
      <c r="F52" s="65">
        <v>34</v>
      </c>
      <c r="G52" s="65">
        <v>1629.18</v>
      </c>
      <c r="H52" s="65">
        <v>940.18</v>
      </c>
      <c r="I52" s="65">
        <v>689</v>
      </c>
      <c r="J52" s="65">
        <v>3190</v>
      </c>
      <c r="K52" s="65">
        <v>3156</v>
      </c>
      <c r="L52" s="65">
        <v>34</v>
      </c>
      <c r="M52" s="65">
        <v>225</v>
      </c>
      <c r="N52" s="65">
        <v>112.5</v>
      </c>
      <c r="O52" s="65">
        <v>112.5</v>
      </c>
      <c r="P52" s="61">
        <v>7.2408000000000001</v>
      </c>
      <c r="Q52" s="58">
        <v>13.810600000000001</v>
      </c>
      <c r="R52" t="s">
        <v>2327</v>
      </c>
      <c r="S52" t="s">
        <v>2298</v>
      </c>
    </row>
    <row r="53" spans="1:19">
      <c r="A53" t="s">
        <v>558</v>
      </c>
      <c r="B53" t="s">
        <v>559</v>
      </c>
      <c r="C53" s="40">
        <v>46020</v>
      </c>
      <c r="D53" s="65">
        <v>53657</v>
      </c>
      <c r="E53" s="65">
        <v>53443</v>
      </c>
      <c r="F53" s="65">
        <v>214</v>
      </c>
      <c r="G53" s="65">
        <v>35978.58</v>
      </c>
      <c r="H53" s="65">
        <v>20930.580000000002</v>
      </c>
      <c r="I53" s="65">
        <v>15048</v>
      </c>
      <c r="J53" s="65">
        <v>3022</v>
      </c>
      <c r="K53" s="65">
        <v>2808</v>
      </c>
      <c r="L53" s="65">
        <v>214</v>
      </c>
      <c r="M53" s="65">
        <v>246</v>
      </c>
      <c r="N53" s="65">
        <v>123</v>
      </c>
      <c r="O53" s="65">
        <v>123</v>
      </c>
      <c r="P53" s="61">
        <v>146.2544</v>
      </c>
      <c r="Q53" s="58">
        <v>0.68369999999999997</v>
      </c>
      <c r="R53" t="s">
        <v>2339</v>
      </c>
      <c r="S53" t="s">
        <v>2305</v>
      </c>
    </row>
    <row r="54" spans="1:19">
      <c r="A54" t="s">
        <v>795</v>
      </c>
      <c r="B54" t="s">
        <v>796</v>
      </c>
      <c r="C54" s="40">
        <v>46020</v>
      </c>
      <c r="D54" s="65">
        <v>89935</v>
      </c>
      <c r="E54" s="65">
        <v>87022</v>
      </c>
      <c r="F54" s="65">
        <v>2913</v>
      </c>
      <c r="G54" s="65">
        <v>56557.32</v>
      </c>
      <c r="H54" s="65">
        <v>20822.259999999998</v>
      </c>
      <c r="I54" s="65">
        <v>35735.06</v>
      </c>
      <c r="J54" s="65">
        <v>13740</v>
      </c>
      <c r="K54" s="65">
        <v>10827</v>
      </c>
      <c r="L54" s="65">
        <v>2913</v>
      </c>
      <c r="M54" s="65">
        <v>222.23</v>
      </c>
      <c r="N54" s="65">
        <v>111.12</v>
      </c>
      <c r="O54" s="65">
        <v>111.11</v>
      </c>
      <c r="P54" s="61">
        <v>254.499</v>
      </c>
      <c r="Q54" s="58">
        <v>0.39290000000000003</v>
      </c>
      <c r="R54" t="s">
        <v>2327</v>
      </c>
      <c r="S54" t="s">
        <v>2299</v>
      </c>
    </row>
    <row r="55" spans="1:19">
      <c r="A55" t="s">
        <v>653</v>
      </c>
      <c r="B55" t="s">
        <v>654</v>
      </c>
      <c r="C55" s="40">
        <v>46020</v>
      </c>
      <c r="D55" s="65">
        <v>169712</v>
      </c>
      <c r="E55" s="65">
        <v>159642</v>
      </c>
      <c r="F55" s="65">
        <v>10070</v>
      </c>
      <c r="G55" s="65">
        <v>172599.12</v>
      </c>
      <c r="H55" s="65">
        <v>50244.56</v>
      </c>
      <c r="I55" s="65">
        <v>122354.56</v>
      </c>
      <c r="J55" s="65">
        <v>24037</v>
      </c>
      <c r="K55" s="65">
        <v>13967</v>
      </c>
      <c r="L55" s="65">
        <v>10070</v>
      </c>
      <c r="M55" s="65">
        <v>139.66499999999999</v>
      </c>
      <c r="N55" s="65">
        <v>69.834999999999994</v>
      </c>
      <c r="O55" s="65">
        <v>69.83</v>
      </c>
      <c r="P55" s="61">
        <v>1235.808</v>
      </c>
      <c r="Q55" s="58">
        <v>8.09E-2</v>
      </c>
      <c r="R55" t="s">
        <v>2342</v>
      </c>
      <c r="S55" t="s">
        <v>2292</v>
      </c>
    </row>
    <row r="56" spans="1:19">
      <c r="A56" t="s">
        <v>880</v>
      </c>
      <c r="B56" t="s">
        <v>881</v>
      </c>
      <c r="C56" s="40">
        <v>46020</v>
      </c>
      <c r="D56" s="65">
        <v>44502</v>
      </c>
      <c r="E56" s="65">
        <v>43820</v>
      </c>
      <c r="F56" s="65">
        <v>682</v>
      </c>
      <c r="G56" s="65">
        <v>30690.62</v>
      </c>
      <c r="H56" s="65">
        <v>13299.06</v>
      </c>
      <c r="I56" s="65">
        <v>17391.560000000001</v>
      </c>
      <c r="J56" s="65">
        <v>10513</v>
      </c>
      <c r="K56" s="65">
        <v>9831</v>
      </c>
      <c r="L56" s="65">
        <v>682</v>
      </c>
      <c r="M56" s="65">
        <v>479.52</v>
      </c>
      <c r="N56" s="65">
        <v>239.76</v>
      </c>
      <c r="O56" s="65">
        <v>239.76</v>
      </c>
      <c r="P56" s="61">
        <v>64.002799999999993</v>
      </c>
      <c r="Q56" s="58">
        <v>1.5624</v>
      </c>
      <c r="R56" t="s">
        <v>2327</v>
      </c>
      <c r="S56" t="s">
        <v>2298</v>
      </c>
    </row>
    <row r="57" spans="1:19">
      <c r="A57" t="s">
        <v>838</v>
      </c>
      <c r="B57" t="s">
        <v>839</v>
      </c>
      <c r="C57" s="40">
        <v>46013</v>
      </c>
      <c r="D57" s="65">
        <v>33051</v>
      </c>
      <c r="E57" s="65">
        <v>32605</v>
      </c>
      <c r="F57" s="65">
        <v>446</v>
      </c>
      <c r="G57" s="65">
        <v>7147.3950000000004</v>
      </c>
      <c r="H57" s="65">
        <v>3615.97</v>
      </c>
      <c r="I57" s="65">
        <v>3531.4250000000002</v>
      </c>
      <c r="J57" s="65">
        <v>3852</v>
      </c>
      <c r="K57" s="65">
        <v>3406</v>
      </c>
      <c r="L57" s="65">
        <v>446</v>
      </c>
      <c r="M57" s="65">
        <v>37.869999999999997</v>
      </c>
      <c r="N57" s="65">
        <v>18.934999999999999</v>
      </c>
      <c r="O57" s="65">
        <v>18.934999999999999</v>
      </c>
      <c r="P57" s="61">
        <v>188.73500000000001</v>
      </c>
      <c r="Q57" s="58">
        <v>0.52980000000000005</v>
      </c>
      <c r="R57" t="s">
        <v>2327</v>
      </c>
      <c r="S57" t="s">
        <v>2298</v>
      </c>
    </row>
    <row r="58" spans="1:19">
      <c r="A58" t="s">
        <v>1008</v>
      </c>
      <c r="B58" t="s">
        <v>1009</v>
      </c>
      <c r="C58" s="40">
        <v>46013</v>
      </c>
      <c r="D58" s="65">
        <v>139704</v>
      </c>
      <c r="E58" s="65">
        <v>128426</v>
      </c>
      <c r="F58" s="65">
        <v>11278</v>
      </c>
      <c r="G58" s="65">
        <v>563203.14</v>
      </c>
      <c r="H58" s="65">
        <v>134144.74</v>
      </c>
      <c r="I58" s="65">
        <v>429058.4</v>
      </c>
      <c r="J58" s="65">
        <v>17689</v>
      </c>
      <c r="K58" s="65">
        <v>9161</v>
      </c>
      <c r="L58" s="65">
        <v>8528</v>
      </c>
      <c r="M58" s="65">
        <v>183.21</v>
      </c>
      <c r="N58" s="65">
        <v>91.61</v>
      </c>
      <c r="O58" s="65">
        <v>91.6</v>
      </c>
      <c r="P58" s="61">
        <v>3074.0850999999998</v>
      </c>
      <c r="Q58" s="58">
        <v>3.2500000000000001E-2</v>
      </c>
      <c r="R58" t="s">
        <v>2328</v>
      </c>
      <c r="S58" t="s">
        <v>2296</v>
      </c>
    </row>
    <row r="59" spans="1:19">
      <c r="A59" t="s">
        <v>783</v>
      </c>
      <c r="B59" t="s">
        <v>784</v>
      </c>
      <c r="C59" s="40">
        <v>46013</v>
      </c>
      <c r="D59" s="65">
        <v>111894</v>
      </c>
      <c r="E59" s="65">
        <v>106191</v>
      </c>
      <c r="F59" s="65">
        <v>5703</v>
      </c>
      <c r="G59" s="65">
        <v>377257.74</v>
      </c>
      <c r="H59" s="65">
        <v>126451.94</v>
      </c>
      <c r="I59" s="65">
        <v>250805.8</v>
      </c>
      <c r="J59" s="65">
        <v>12338</v>
      </c>
      <c r="K59" s="65">
        <v>6635</v>
      </c>
      <c r="L59" s="65">
        <v>5703</v>
      </c>
      <c r="M59" s="65">
        <v>265.39999999999998</v>
      </c>
      <c r="N59" s="65">
        <v>132.69999999999999</v>
      </c>
      <c r="O59" s="65">
        <v>132.69999999999999</v>
      </c>
      <c r="P59" s="61">
        <v>1421.4684999999999</v>
      </c>
      <c r="Q59" s="58">
        <v>7.0300000000000001E-2</v>
      </c>
      <c r="R59" t="s">
        <v>2343</v>
      </c>
      <c r="S59" t="s">
        <v>2308</v>
      </c>
    </row>
    <row r="60" spans="1:19">
      <c r="A60" t="s">
        <v>470</v>
      </c>
      <c r="B60" t="s">
        <v>471</v>
      </c>
      <c r="C60" s="40">
        <v>46010</v>
      </c>
      <c r="D60" s="65">
        <v>9291</v>
      </c>
      <c r="E60" s="65">
        <v>9275</v>
      </c>
      <c r="F60" s="65">
        <v>16</v>
      </c>
      <c r="G60" s="65">
        <v>4205.95</v>
      </c>
      <c r="H60" s="65">
        <v>2660.95</v>
      </c>
      <c r="I60" s="65">
        <v>1545</v>
      </c>
      <c r="J60" s="65">
        <v>5353</v>
      </c>
      <c r="K60" s="65">
        <v>5337</v>
      </c>
      <c r="L60" s="65">
        <v>16</v>
      </c>
      <c r="M60" s="65">
        <v>670</v>
      </c>
      <c r="N60" s="65">
        <v>335</v>
      </c>
      <c r="O60" s="65">
        <v>335</v>
      </c>
      <c r="P60" s="61">
        <v>6.2774999999999999</v>
      </c>
      <c r="Q60" s="58">
        <v>15.9298</v>
      </c>
      <c r="R60" t="s">
        <v>2326</v>
      </c>
      <c r="S60" t="s">
        <v>2292</v>
      </c>
    </row>
    <row r="61" spans="1:19">
      <c r="A61" t="s">
        <v>945</v>
      </c>
      <c r="B61" t="s">
        <v>946</v>
      </c>
      <c r="C61" s="40">
        <v>46010</v>
      </c>
      <c r="D61" s="65">
        <v>114610</v>
      </c>
      <c r="E61" s="65">
        <v>109770</v>
      </c>
      <c r="F61" s="65">
        <v>4840</v>
      </c>
      <c r="G61" s="65">
        <v>1226490.7</v>
      </c>
      <c r="H61" s="65">
        <v>420586.7</v>
      </c>
      <c r="I61" s="65">
        <v>805904</v>
      </c>
      <c r="J61" s="65">
        <v>3610</v>
      </c>
      <c r="K61" s="65">
        <v>1805</v>
      </c>
      <c r="L61" s="65">
        <v>1805</v>
      </c>
      <c r="M61" s="65">
        <v>361</v>
      </c>
      <c r="N61" s="65">
        <v>180.5</v>
      </c>
      <c r="O61" s="65">
        <v>180.5</v>
      </c>
      <c r="P61" s="61">
        <v>3397.4812000000002</v>
      </c>
      <c r="Q61" s="58">
        <v>2.9399999999999999E-2</v>
      </c>
      <c r="R61" t="s">
        <v>2344</v>
      </c>
      <c r="S61" t="s">
        <v>2309</v>
      </c>
    </row>
    <row r="62" spans="1:19">
      <c r="A62" t="s">
        <v>1016</v>
      </c>
      <c r="B62" t="s">
        <v>1017</v>
      </c>
      <c r="C62" s="40">
        <v>46010</v>
      </c>
      <c r="D62" s="65">
        <v>146647</v>
      </c>
      <c r="E62" s="65">
        <v>141939</v>
      </c>
      <c r="F62" s="65">
        <v>4708</v>
      </c>
      <c r="G62" s="65">
        <v>139778.72</v>
      </c>
      <c r="H62" s="65">
        <v>36306.800000000003</v>
      </c>
      <c r="I62" s="65">
        <v>103471.92</v>
      </c>
      <c r="J62" s="65">
        <v>7978</v>
      </c>
      <c r="K62" s="65">
        <v>4413</v>
      </c>
      <c r="L62" s="65">
        <v>3565</v>
      </c>
      <c r="M62" s="65">
        <v>176.5</v>
      </c>
      <c r="N62" s="65">
        <v>88.26</v>
      </c>
      <c r="O62" s="65">
        <v>88.24</v>
      </c>
      <c r="P62" s="61">
        <v>791.94740000000002</v>
      </c>
      <c r="Q62" s="58">
        <v>0.1263</v>
      </c>
      <c r="R62" t="s">
        <v>2328</v>
      </c>
      <c r="S62" t="s">
        <v>2296</v>
      </c>
    </row>
    <row r="63" spans="1:19">
      <c r="A63" t="s">
        <v>609</v>
      </c>
      <c r="B63" t="s">
        <v>610</v>
      </c>
      <c r="C63" s="40">
        <v>46010</v>
      </c>
      <c r="D63" s="65">
        <v>7479</v>
      </c>
      <c r="E63" s="65">
        <v>7474</v>
      </c>
      <c r="F63" s="65">
        <v>5</v>
      </c>
      <c r="G63" s="65">
        <v>2059.9499999999998</v>
      </c>
      <c r="H63" s="65">
        <v>1629.95</v>
      </c>
      <c r="I63" s="65">
        <v>430</v>
      </c>
      <c r="J63" s="65">
        <v>6043</v>
      </c>
      <c r="K63" s="65">
        <v>6038</v>
      </c>
      <c r="L63" s="65">
        <v>5</v>
      </c>
      <c r="M63" s="65">
        <v>1614.85</v>
      </c>
      <c r="N63" s="65">
        <v>1184.8499999999999</v>
      </c>
      <c r="O63" s="65">
        <v>430</v>
      </c>
      <c r="P63" s="61">
        <v>1.2756000000000001</v>
      </c>
      <c r="Q63" s="58">
        <v>78.392700000000005</v>
      </c>
      <c r="R63" t="s">
        <v>2343</v>
      </c>
      <c r="S63" t="s">
        <v>2310</v>
      </c>
    </row>
    <row r="64" spans="1:19">
      <c r="A64" t="s">
        <v>949</v>
      </c>
      <c r="B64" t="s">
        <v>950</v>
      </c>
      <c r="C64" s="40">
        <v>46009</v>
      </c>
      <c r="D64" s="65">
        <v>17353</v>
      </c>
      <c r="E64" s="65">
        <v>17277</v>
      </c>
      <c r="F64" s="65">
        <v>76</v>
      </c>
      <c r="G64" s="65">
        <v>609.67499999999995</v>
      </c>
      <c r="H64" s="65">
        <v>302.07499999999999</v>
      </c>
      <c r="I64" s="65">
        <v>307.60000000000002</v>
      </c>
      <c r="J64" s="65">
        <v>12473</v>
      </c>
      <c r="K64" s="65">
        <v>12397</v>
      </c>
      <c r="L64" s="65">
        <v>76</v>
      </c>
      <c r="M64" s="65">
        <v>50.932000000000002</v>
      </c>
      <c r="N64" s="65">
        <v>23.891999999999999</v>
      </c>
      <c r="O64" s="65">
        <v>27.04</v>
      </c>
      <c r="P64" s="61">
        <v>11.9704</v>
      </c>
      <c r="Q64" s="58">
        <v>8.3539999999999992</v>
      </c>
      <c r="R64" t="s">
        <v>2327</v>
      </c>
      <c r="S64" t="s">
        <v>2297</v>
      </c>
    </row>
    <row r="65" spans="1:19">
      <c r="A65" t="s">
        <v>757</v>
      </c>
      <c r="B65" t="s">
        <v>758</v>
      </c>
      <c r="C65" s="40">
        <v>46009</v>
      </c>
      <c r="D65" s="65">
        <v>177542</v>
      </c>
      <c r="E65" s="65">
        <v>160873</v>
      </c>
      <c r="F65" s="65">
        <v>16669</v>
      </c>
      <c r="G65" s="65">
        <v>6400641.2999999998</v>
      </c>
      <c r="H65" s="65">
        <v>1666799.5</v>
      </c>
      <c r="I65" s="65">
        <v>4733841.8</v>
      </c>
      <c r="J65" s="65">
        <v>12196</v>
      </c>
      <c r="K65" s="65">
        <v>6098</v>
      </c>
      <c r="L65" s="65">
        <v>6098</v>
      </c>
      <c r="M65" s="65">
        <v>1219.5999999999999</v>
      </c>
      <c r="N65" s="65">
        <v>609.79999999999995</v>
      </c>
      <c r="O65" s="65">
        <v>609.79999999999995</v>
      </c>
      <c r="P65" s="61">
        <v>5248.1480000000001</v>
      </c>
      <c r="Q65" s="58">
        <v>1.9099999999999999E-2</v>
      </c>
      <c r="R65" t="s">
        <v>2341</v>
      </c>
      <c r="S65" t="s">
        <v>2307</v>
      </c>
    </row>
    <row r="66" spans="1:19">
      <c r="A66" t="s">
        <v>915</v>
      </c>
      <c r="B66" t="s">
        <v>916</v>
      </c>
      <c r="C66" s="40">
        <v>46007</v>
      </c>
      <c r="D66" s="65">
        <v>88592</v>
      </c>
      <c r="E66" s="65">
        <v>84984</v>
      </c>
      <c r="F66" s="65">
        <v>3608</v>
      </c>
      <c r="G66" s="65">
        <v>947159.08</v>
      </c>
      <c r="H66" s="65">
        <v>287176.32000000001</v>
      </c>
      <c r="I66" s="65">
        <v>659982.76</v>
      </c>
      <c r="J66" s="65">
        <v>29791</v>
      </c>
      <c r="K66" s="65">
        <v>26183</v>
      </c>
      <c r="L66" s="65">
        <v>3608</v>
      </c>
      <c r="M66" s="65">
        <v>2355.7892999999999</v>
      </c>
      <c r="N66" s="65">
        <v>1152.9493</v>
      </c>
      <c r="O66" s="65">
        <v>1202.8399999999999</v>
      </c>
      <c r="P66" s="61">
        <v>402.05590000000001</v>
      </c>
      <c r="Q66" s="58">
        <v>0.2487</v>
      </c>
      <c r="R66" t="s">
        <v>2327</v>
      </c>
      <c r="S66" t="s">
        <v>2310</v>
      </c>
    </row>
    <row r="67" spans="1:19">
      <c r="A67" t="s">
        <v>864</v>
      </c>
      <c r="B67" t="s">
        <v>865</v>
      </c>
      <c r="C67" s="40">
        <v>46006</v>
      </c>
      <c r="D67" s="65">
        <v>161076</v>
      </c>
      <c r="E67" s="65">
        <v>151327</v>
      </c>
      <c r="F67" s="65">
        <v>9749</v>
      </c>
      <c r="G67" s="65">
        <v>640068.18999999994</v>
      </c>
      <c r="H67" s="65">
        <v>143555.29</v>
      </c>
      <c r="I67" s="65">
        <v>496512.9</v>
      </c>
      <c r="J67" s="65">
        <v>26676</v>
      </c>
      <c r="K67" s="65">
        <v>16927</v>
      </c>
      <c r="L67" s="65">
        <v>9749</v>
      </c>
      <c r="M67" s="65">
        <v>338.53</v>
      </c>
      <c r="N67" s="65">
        <v>169.27</v>
      </c>
      <c r="O67" s="65">
        <v>169.26</v>
      </c>
      <c r="P67" s="61">
        <v>1890.7281</v>
      </c>
      <c r="Q67" s="58">
        <v>5.2900000000000003E-2</v>
      </c>
      <c r="R67" t="s">
        <v>2327</v>
      </c>
      <c r="S67" t="s">
        <v>2297</v>
      </c>
    </row>
    <row r="68" spans="1:19">
      <c r="A68" t="s">
        <v>307</v>
      </c>
      <c r="B68" t="s">
        <v>308</v>
      </c>
      <c r="C68" s="40">
        <v>46001</v>
      </c>
      <c r="D68" s="65">
        <v>72234</v>
      </c>
      <c r="E68" s="65">
        <v>71515</v>
      </c>
      <c r="F68" s="65">
        <v>719</v>
      </c>
      <c r="G68" s="65">
        <v>127822.74</v>
      </c>
      <c r="H68" s="65">
        <v>62482.54</v>
      </c>
      <c r="I68" s="65">
        <v>65340.2</v>
      </c>
      <c r="J68" s="65">
        <v>39172</v>
      </c>
      <c r="K68" s="65">
        <v>38453</v>
      </c>
      <c r="L68" s="65">
        <v>719</v>
      </c>
      <c r="M68" s="65">
        <v>2112.1</v>
      </c>
      <c r="N68" s="65">
        <v>1056.06</v>
      </c>
      <c r="O68" s="65">
        <v>1056.04</v>
      </c>
      <c r="P68" s="61">
        <v>60.519300000000001</v>
      </c>
      <c r="Q68" s="58">
        <v>1.6524000000000001</v>
      </c>
      <c r="R68" t="s">
        <v>2338</v>
      </c>
      <c r="S68" t="s">
        <v>2301</v>
      </c>
    </row>
    <row r="69" spans="1:19">
      <c r="A69" t="s">
        <v>1006</v>
      </c>
      <c r="B69" t="s">
        <v>1007</v>
      </c>
      <c r="C69" s="40">
        <v>46000</v>
      </c>
      <c r="D69" s="65">
        <v>282687</v>
      </c>
      <c r="E69" s="65">
        <v>260774</v>
      </c>
      <c r="F69" s="65">
        <v>21913</v>
      </c>
      <c r="G69" s="65">
        <v>1336905.3600000001</v>
      </c>
      <c r="H69" s="65">
        <v>239230.76</v>
      </c>
      <c r="I69" s="65">
        <v>1097674.6000000001</v>
      </c>
      <c r="J69" s="65">
        <v>37912</v>
      </c>
      <c r="K69" s="65">
        <v>18956</v>
      </c>
      <c r="L69" s="65">
        <v>18956</v>
      </c>
      <c r="M69" s="65">
        <v>379.12</v>
      </c>
      <c r="N69" s="65">
        <v>189.56</v>
      </c>
      <c r="O69" s="65">
        <v>189.56</v>
      </c>
      <c r="P69" s="61">
        <v>3526.3382999999999</v>
      </c>
      <c r="Q69" s="58">
        <v>2.8400000000000002E-2</v>
      </c>
      <c r="R69" t="s">
        <v>2328</v>
      </c>
      <c r="S69" t="s">
        <v>2296</v>
      </c>
    </row>
    <row r="70" spans="1:19">
      <c r="A70" t="s">
        <v>707</v>
      </c>
      <c r="B70" t="s">
        <v>708</v>
      </c>
      <c r="C70" s="40">
        <v>45996</v>
      </c>
      <c r="D70" s="65">
        <v>135193</v>
      </c>
      <c r="E70" s="65">
        <v>119122</v>
      </c>
      <c r="F70" s="65">
        <v>16071</v>
      </c>
      <c r="G70" s="65">
        <v>320909.24</v>
      </c>
      <c r="H70" s="65">
        <v>64441.38</v>
      </c>
      <c r="I70" s="65">
        <v>256467.86</v>
      </c>
      <c r="J70" s="65">
        <v>6667</v>
      </c>
      <c r="K70" s="65">
        <v>3334</v>
      </c>
      <c r="L70" s="65">
        <v>3333</v>
      </c>
      <c r="M70" s="65">
        <v>66.67</v>
      </c>
      <c r="N70" s="65">
        <v>33.340000000000003</v>
      </c>
      <c r="O70" s="65">
        <v>33.33</v>
      </c>
      <c r="P70" s="61">
        <v>4813.3978999999999</v>
      </c>
      <c r="Q70" s="58">
        <v>2.0799999999999999E-2</v>
      </c>
      <c r="R70" t="s">
        <v>2327</v>
      </c>
      <c r="S70" t="s">
        <v>2298</v>
      </c>
    </row>
    <row r="71" spans="1:19">
      <c r="A71" t="s">
        <v>570</v>
      </c>
      <c r="B71" t="s">
        <v>571</v>
      </c>
      <c r="C71" s="40">
        <v>45996</v>
      </c>
      <c r="D71" s="65">
        <v>21942</v>
      </c>
      <c r="E71" s="65">
        <v>21743</v>
      </c>
      <c r="F71" s="65">
        <v>199</v>
      </c>
      <c r="G71" s="65">
        <v>4830.12</v>
      </c>
      <c r="H71" s="65">
        <v>2344.12</v>
      </c>
      <c r="I71" s="65">
        <v>2486</v>
      </c>
      <c r="J71" s="65">
        <v>4823</v>
      </c>
      <c r="K71" s="65">
        <v>4624</v>
      </c>
      <c r="L71" s="65">
        <v>199</v>
      </c>
      <c r="M71" s="65">
        <v>190.69</v>
      </c>
      <c r="N71" s="65">
        <v>95.35</v>
      </c>
      <c r="O71" s="65">
        <v>95.34</v>
      </c>
      <c r="P71" s="61">
        <v>25.329699999999999</v>
      </c>
      <c r="Q71" s="58">
        <v>3.9479000000000002</v>
      </c>
      <c r="R71" t="s">
        <v>2331</v>
      </c>
      <c r="S71" t="s">
        <v>2295</v>
      </c>
    </row>
    <row r="72" spans="1:19">
      <c r="A72" t="s">
        <v>658</v>
      </c>
      <c r="B72" t="s">
        <v>659</v>
      </c>
      <c r="C72" s="40">
        <v>45995</v>
      </c>
      <c r="D72" s="65">
        <v>61057</v>
      </c>
      <c r="E72" s="65">
        <v>59309</v>
      </c>
      <c r="F72" s="65">
        <v>1748</v>
      </c>
      <c r="G72" s="65">
        <v>414749.95</v>
      </c>
      <c r="H72" s="65">
        <v>153094.35</v>
      </c>
      <c r="I72" s="65">
        <v>261655.6</v>
      </c>
      <c r="J72" s="65">
        <v>9590</v>
      </c>
      <c r="K72" s="65">
        <v>7842</v>
      </c>
      <c r="L72" s="65">
        <v>1748</v>
      </c>
      <c r="M72" s="65">
        <v>973.65</v>
      </c>
      <c r="N72" s="65">
        <v>486.85</v>
      </c>
      <c r="O72" s="65">
        <v>486.8</v>
      </c>
      <c r="P72" s="61">
        <v>425.9744</v>
      </c>
      <c r="Q72" s="58">
        <v>0.23480000000000001</v>
      </c>
      <c r="R72" t="s">
        <v>2345</v>
      </c>
      <c r="S72" t="s">
        <v>2309</v>
      </c>
    </row>
    <row r="73" spans="1:19">
      <c r="A73" t="s">
        <v>612</v>
      </c>
      <c r="B73" t="s">
        <v>613</v>
      </c>
      <c r="C73" s="40">
        <v>45995</v>
      </c>
      <c r="D73" s="65">
        <v>45511</v>
      </c>
      <c r="E73" s="65">
        <v>45019</v>
      </c>
      <c r="F73" s="65">
        <v>492</v>
      </c>
      <c r="G73" s="65">
        <v>18230.27</v>
      </c>
      <c r="H73" s="65">
        <v>7810.47</v>
      </c>
      <c r="I73" s="65">
        <v>10419.799999999999</v>
      </c>
      <c r="J73" s="65">
        <v>15389</v>
      </c>
      <c r="K73" s="65">
        <v>14897</v>
      </c>
      <c r="L73" s="65">
        <v>492</v>
      </c>
      <c r="M73" s="65">
        <v>300.70499999999998</v>
      </c>
      <c r="N73" s="65">
        <v>150.35499999999999</v>
      </c>
      <c r="O73" s="65">
        <v>150.35</v>
      </c>
      <c r="P73" s="61">
        <v>60.625100000000003</v>
      </c>
      <c r="Q73" s="58">
        <v>1.6495</v>
      </c>
      <c r="R73" t="s">
        <v>2331</v>
      </c>
      <c r="S73" t="s">
        <v>2295</v>
      </c>
    </row>
    <row r="74" spans="1:19">
      <c r="A74" t="s">
        <v>901</v>
      </c>
      <c r="B74" t="s">
        <v>902</v>
      </c>
      <c r="C74" s="40">
        <v>45993</v>
      </c>
      <c r="D74" s="65">
        <v>167039</v>
      </c>
      <c r="E74" s="65">
        <v>155713</v>
      </c>
      <c r="F74" s="65">
        <v>11326</v>
      </c>
      <c r="G74" s="65">
        <v>1670909.3</v>
      </c>
      <c r="H74" s="65">
        <v>532104.30000000005</v>
      </c>
      <c r="I74" s="65">
        <v>1138805</v>
      </c>
      <c r="J74" s="65">
        <v>4860</v>
      </c>
      <c r="K74" s="65">
        <v>2430</v>
      </c>
      <c r="L74" s="65">
        <v>2430</v>
      </c>
      <c r="M74" s="65">
        <v>243</v>
      </c>
      <c r="N74" s="65">
        <v>121.5</v>
      </c>
      <c r="O74" s="65">
        <v>121.5</v>
      </c>
      <c r="P74" s="61">
        <v>6876.17</v>
      </c>
      <c r="Q74" s="58">
        <v>1.4500000000000001E-2</v>
      </c>
      <c r="R74" t="s">
        <v>2341</v>
      </c>
      <c r="S74" t="s">
        <v>2307</v>
      </c>
    </row>
    <row r="75" spans="1:19">
      <c r="A75" t="s">
        <v>737</v>
      </c>
      <c r="B75" t="s">
        <v>738</v>
      </c>
      <c r="C75" s="40">
        <v>45993</v>
      </c>
      <c r="D75" s="65">
        <v>173139</v>
      </c>
      <c r="E75" s="65">
        <v>159958</v>
      </c>
      <c r="F75" s="65">
        <v>13181</v>
      </c>
      <c r="G75" s="65">
        <v>406937.59999999998</v>
      </c>
      <c r="H75" s="65">
        <v>127002.06</v>
      </c>
      <c r="I75" s="65">
        <v>279935.53999999998</v>
      </c>
      <c r="J75" s="65">
        <v>5556</v>
      </c>
      <c r="K75" s="65">
        <v>2778</v>
      </c>
      <c r="L75" s="65">
        <v>2778</v>
      </c>
      <c r="M75" s="65">
        <v>55.56</v>
      </c>
      <c r="N75" s="65">
        <v>27.78</v>
      </c>
      <c r="O75" s="65">
        <v>27.78</v>
      </c>
      <c r="P75" s="61">
        <v>7324.2909</v>
      </c>
      <c r="Q75" s="58">
        <v>1.37E-2</v>
      </c>
      <c r="R75" t="s">
        <v>2345</v>
      </c>
      <c r="S75" t="s">
        <v>2309</v>
      </c>
    </row>
    <row r="76" spans="1:19">
      <c r="A76" t="s">
        <v>854</v>
      </c>
      <c r="B76" t="s">
        <v>855</v>
      </c>
      <c r="C76" s="40">
        <v>45988</v>
      </c>
      <c r="D76" s="65">
        <v>165803</v>
      </c>
      <c r="E76" s="65">
        <v>151135</v>
      </c>
      <c r="F76" s="65">
        <v>14668</v>
      </c>
      <c r="G76" s="65">
        <v>1673026.32</v>
      </c>
      <c r="H76" s="65">
        <v>412182.24</v>
      </c>
      <c r="I76" s="65">
        <v>1260844.08</v>
      </c>
      <c r="J76" s="65">
        <v>17728</v>
      </c>
      <c r="K76" s="65">
        <v>8864</v>
      </c>
      <c r="L76" s="65">
        <v>8864</v>
      </c>
      <c r="M76" s="65">
        <v>354.56</v>
      </c>
      <c r="N76" s="65">
        <v>177.28</v>
      </c>
      <c r="O76" s="65">
        <v>177.28</v>
      </c>
      <c r="P76" s="61">
        <v>4718.5986000000003</v>
      </c>
      <c r="Q76" s="58">
        <v>2.12E-2</v>
      </c>
      <c r="R76" t="s">
        <v>2329</v>
      </c>
      <c r="S76" t="s">
        <v>2297</v>
      </c>
    </row>
    <row r="77" spans="1:19">
      <c r="A77" t="s">
        <v>765</v>
      </c>
      <c r="B77" t="s">
        <v>766</v>
      </c>
      <c r="C77" s="40">
        <v>45987</v>
      </c>
      <c r="D77" s="65">
        <v>159327</v>
      </c>
      <c r="E77" s="65">
        <v>146963</v>
      </c>
      <c r="F77" s="65">
        <v>12364</v>
      </c>
      <c r="G77" s="65">
        <v>1250397.75</v>
      </c>
      <c r="H77" s="65">
        <v>439707.75</v>
      </c>
      <c r="I77" s="65">
        <v>810690</v>
      </c>
      <c r="J77" s="65">
        <v>2670</v>
      </c>
      <c r="K77" s="65">
        <v>1335</v>
      </c>
      <c r="L77" s="65">
        <v>1335</v>
      </c>
      <c r="M77" s="65">
        <v>133.5</v>
      </c>
      <c r="N77" s="65">
        <v>66.75</v>
      </c>
      <c r="O77" s="65">
        <v>66.75</v>
      </c>
      <c r="P77" s="61">
        <v>9366.2752999999993</v>
      </c>
      <c r="Q77" s="58">
        <v>1.0699999999999999E-2</v>
      </c>
      <c r="R77" t="s">
        <v>2327</v>
      </c>
      <c r="S77" t="s">
        <v>2311</v>
      </c>
    </row>
    <row r="78" spans="1:19">
      <c r="A78" t="s">
        <v>325</v>
      </c>
      <c r="B78" t="s">
        <v>326</v>
      </c>
      <c r="C78" s="40">
        <v>45982</v>
      </c>
      <c r="D78" s="65">
        <v>145228</v>
      </c>
      <c r="E78" s="65">
        <v>132968</v>
      </c>
      <c r="F78" s="65">
        <v>12260</v>
      </c>
      <c r="G78" s="65">
        <v>2235978.75</v>
      </c>
      <c r="H78" s="65">
        <v>502388.75</v>
      </c>
      <c r="I78" s="65">
        <v>1733590</v>
      </c>
      <c r="J78" s="65">
        <v>51802</v>
      </c>
      <c r="K78" s="65">
        <v>39542</v>
      </c>
      <c r="L78" s="65">
        <v>12260</v>
      </c>
      <c r="M78" s="65">
        <v>5000</v>
      </c>
      <c r="N78" s="65">
        <v>2500</v>
      </c>
      <c r="O78" s="65">
        <v>2500</v>
      </c>
      <c r="P78" s="61">
        <v>447.19580000000002</v>
      </c>
      <c r="Q78" s="58">
        <v>0.22359999999999999</v>
      </c>
      <c r="R78" t="s">
        <v>2341</v>
      </c>
      <c r="S78" t="s">
        <v>2307</v>
      </c>
    </row>
    <row r="79" spans="1:19">
      <c r="A79" t="s">
        <v>262</v>
      </c>
      <c r="B79" t="s">
        <v>263</v>
      </c>
      <c r="C79" s="40">
        <v>45977</v>
      </c>
      <c r="D79" s="65">
        <v>40241</v>
      </c>
      <c r="E79" s="65">
        <v>39925</v>
      </c>
      <c r="F79" s="65">
        <v>316</v>
      </c>
      <c r="G79" s="65">
        <v>29077.94</v>
      </c>
      <c r="H79" s="65">
        <v>15006.82</v>
      </c>
      <c r="I79" s="65">
        <v>14071.12</v>
      </c>
      <c r="J79" s="65">
        <v>13792</v>
      </c>
      <c r="K79" s="65">
        <v>13476</v>
      </c>
      <c r="L79" s="65">
        <v>316</v>
      </c>
      <c r="M79" s="65">
        <v>1042.26</v>
      </c>
      <c r="N79" s="65">
        <v>521.14</v>
      </c>
      <c r="O79" s="65">
        <v>521.12</v>
      </c>
      <c r="P79" s="61">
        <v>27.898900000000001</v>
      </c>
      <c r="Q79" s="58">
        <v>3.5844</v>
      </c>
      <c r="R79" t="s">
        <v>2337</v>
      </c>
      <c r="S79" t="s">
        <v>2303</v>
      </c>
    </row>
    <row r="80" spans="1:19">
      <c r="A80" t="s">
        <v>461</v>
      </c>
      <c r="B80" t="s">
        <v>462</v>
      </c>
      <c r="C80" s="40">
        <v>45968</v>
      </c>
      <c r="D80" s="65">
        <v>294053</v>
      </c>
      <c r="E80" s="65">
        <v>270534</v>
      </c>
      <c r="F80" s="65">
        <v>23519</v>
      </c>
      <c r="G80" s="65">
        <v>1648431.22</v>
      </c>
      <c r="H80" s="65">
        <v>253244.66</v>
      </c>
      <c r="I80" s="65">
        <v>1395186.56</v>
      </c>
      <c r="J80" s="65">
        <v>41428</v>
      </c>
      <c r="K80" s="65">
        <v>22721</v>
      </c>
      <c r="L80" s="65">
        <v>18707</v>
      </c>
      <c r="M80" s="65">
        <v>908.84</v>
      </c>
      <c r="N80" s="65">
        <v>454.42</v>
      </c>
      <c r="O80" s="65">
        <v>454.42</v>
      </c>
      <c r="P80" s="61">
        <v>1813.7748999999999</v>
      </c>
      <c r="Q80" s="58">
        <v>5.5100000000000003E-2</v>
      </c>
      <c r="R80" t="s">
        <v>2338</v>
      </c>
      <c r="S80" t="s">
        <v>2312</v>
      </c>
    </row>
    <row r="81" spans="1:19">
      <c r="A81" t="s">
        <v>824</v>
      </c>
      <c r="B81" t="s">
        <v>825</v>
      </c>
      <c r="C81" s="40">
        <v>45966</v>
      </c>
      <c r="D81" s="65">
        <v>64949</v>
      </c>
      <c r="E81" s="65">
        <v>64546</v>
      </c>
      <c r="F81" s="65">
        <v>403</v>
      </c>
      <c r="G81" s="65">
        <v>32403.71</v>
      </c>
      <c r="H81" s="65">
        <v>13308.83</v>
      </c>
      <c r="I81" s="65">
        <v>19094.88</v>
      </c>
      <c r="J81" s="65">
        <v>19609</v>
      </c>
      <c r="K81" s="65">
        <v>19206</v>
      </c>
      <c r="L81" s="65">
        <v>403</v>
      </c>
      <c r="M81" s="65">
        <v>1765</v>
      </c>
      <c r="N81" s="65">
        <v>882.5</v>
      </c>
      <c r="O81" s="65">
        <v>882.5</v>
      </c>
      <c r="P81" s="61">
        <v>18.359000000000002</v>
      </c>
      <c r="Q81" s="58">
        <v>5.4469000000000003</v>
      </c>
      <c r="R81" t="s">
        <v>2327</v>
      </c>
      <c r="S81" t="s">
        <v>2298</v>
      </c>
    </row>
    <row r="82" spans="1:19">
      <c r="A82" t="s">
        <v>248</v>
      </c>
      <c r="B82" t="s">
        <v>249</v>
      </c>
      <c r="C82" s="40">
        <v>45966</v>
      </c>
      <c r="D82" s="65">
        <v>94653</v>
      </c>
      <c r="E82" s="65">
        <v>92791</v>
      </c>
      <c r="F82" s="65">
        <v>1862</v>
      </c>
      <c r="G82" s="65">
        <v>229040.35</v>
      </c>
      <c r="H82" s="65">
        <v>96118.35</v>
      </c>
      <c r="I82" s="65">
        <v>132922</v>
      </c>
      <c r="J82" s="65">
        <v>17372</v>
      </c>
      <c r="K82" s="65">
        <v>15510</v>
      </c>
      <c r="L82" s="65">
        <v>1862</v>
      </c>
      <c r="M82" s="65">
        <v>1551</v>
      </c>
      <c r="N82" s="65">
        <v>775.5</v>
      </c>
      <c r="O82" s="65">
        <v>775.5</v>
      </c>
      <c r="P82" s="61">
        <v>147.67269999999999</v>
      </c>
      <c r="Q82" s="58">
        <v>0.67720000000000002</v>
      </c>
      <c r="R82" t="s">
        <v>2333</v>
      </c>
      <c r="S82" t="s">
        <v>2300</v>
      </c>
    </row>
    <row r="83" spans="1:19">
      <c r="A83" t="s">
        <v>775</v>
      </c>
      <c r="B83" t="s">
        <v>776</v>
      </c>
      <c r="C83" s="40">
        <v>45966</v>
      </c>
      <c r="D83" s="65">
        <v>37062</v>
      </c>
      <c r="E83" s="65">
        <v>36619</v>
      </c>
      <c r="F83" s="65">
        <v>443</v>
      </c>
      <c r="G83" s="65">
        <v>6663.7</v>
      </c>
      <c r="H83" s="65">
        <v>2698.36</v>
      </c>
      <c r="I83" s="65">
        <v>3965.34</v>
      </c>
      <c r="J83" s="65">
        <v>21421</v>
      </c>
      <c r="K83" s="65">
        <v>20978</v>
      </c>
      <c r="L83" s="65">
        <v>443</v>
      </c>
      <c r="M83" s="65">
        <v>419.56</v>
      </c>
      <c r="N83" s="65">
        <v>209.78</v>
      </c>
      <c r="O83" s="65">
        <v>209.78</v>
      </c>
      <c r="P83" s="61">
        <v>15.8826</v>
      </c>
      <c r="Q83" s="58">
        <v>6.2961999999999998</v>
      </c>
      <c r="R83" t="s">
        <v>2327</v>
      </c>
      <c r="S83" t="s">
        <v>2298</v>
      </c>
    </row>
    <row r="84" spans="1:19">
      <c r="A84" t="s">
        <v>909</v>
      </c>
      <c r="B84" t="s">
        <v>910</v>
      </c>
      <c r="C84" s="40">
        <v>45966</v>
      </c>
      <c r="D84" s="65">
        <v>265188</v>
      </c>
      <c r="E84" s="65">
        <v>244283</v>
      </c>
      <c r="F84" s="65">
        <v>20905</v>
      </c>
      <c r="G84" s="65">
        <v>1097836.74</v>
      </c>
      <c r="H84" s="65">
        <v>237278.7</v>
      </c>
      <c r="I84" s="65">
        <v>860558.04</v>
      </c>
      <c r="J84" s="65">
        <v>8799</v>
      </c>
      <c r="K84" s="65">
        <v>4400</v>
      </c>
      <c r="L84" s="65">
        <v>4399</v>
      </c>
      <c r="M84" s="65">
        <v>175.98</v>
      </c>
      <c r="N84" s="65">
        <v>88</v>
      </c>
      <c r="O84" s="65">
        <v>87.98</v>
      </c>
      <c r="P84" s="61">
        <v>6238.4177</v>
      </c>
      <c r="Q84" s="58">
        <v>1.6E-2</v>
      </c>
      <c r="R84" t="s">
        <v>2328</v>
      </c>
      <c r="S84" t="s">
        <v>2296</v>
      </c>
    </row>
    <row r="85" spans="1:19">
      <c r="A85" t="s">
        <v>259</v>
      </c>
      <c r="B85" t="s">
        <v>260</v>
      </c>
      <c r="C85" s="40">
        <v>45965</v>
      </c>
      <c r="D85" s="65">
        <v>202321</v>
      </c>
      <c r="E85" s="65">
        <v>194850</v>
      </c>
      <c r="F85" s="65">
        <v>7471</v>
      </c>
      <c r="G85" s="65">
        <v>132945.47</v>
      </c>
      <c r="H85" s="65">
        <v>36405.47</v>
      </c>
      <c r="I85" s="65">
        <v>96540</v>
      </c>
      <c r="J85" s="65">
        <v>57928</v>
      </c>
      <c r="K85" s="65">
        <v>50457</v>
      </c>
      <c r="L85" s="65">
        <v>7471</v>
      </c>
      <c r="M85" s="65">
        <v>1086.19</v>
      </c>
      <c r="N85" s="65">
        <v>543.1</v>
      </c>
      <c r="O85" s="65">
        <v>543.09</v>
      </c>
      <c r="P85" s="61">
        <v>122.3961</v>
      </c>
      <c r="Q85" s="58">
        <v>0.81699999999999995</v>
      </c>
      <c r="R85" t="s">
        <v>2333</v>
      </c>
      <c r="S85" t="s">
        <v>2300</v>
      </c>
    </row>
    <row r="86" spans="1:19">
      <c r="A86" t="s">
        <v>556</v>
      </c>
      <c r="B86" t="s">
        <v>557</v>
      </c>
      <c r="C86" s="40">
        <v>45961</v>
      </c>
      <c r="D86" s="65">
        <v>283629</v>
      </c>
      <c r="E86" s="65">
        <v>259920</v>
      </c>
      <c r="F86" s="65">
        <v>23709</v>
      </c>
      <c r="G86" s="65">
        <v>321461.08799999999</v>
      </c>
      <c r="H86" s="65">
        <v>69282.967999999993</v>
      </c>
      <c r="I86" s="65">
        <v>252178.12</v>
      </c>
      <c r="J86" s="65">
        <v>18048</v>
      </c>
      <c r="K86" s="65">
        <v>9024</v>
      </c>
      <c r="L86" s="65">
        <v>9024</v>
      </c>
      <c r="M86" s="65">
        <v>72.191999999999993</v>
      </c>
      <c r="N86" s="65">
        <v>36.095999999999997</v>
      </c>
      <c r="O86" s="65">
        <v>36.095999999999997</v>
      </c>
      <c r="P86" s="61">
        <v>4452.8630000000003</v>
      </c>
      <c r="Q86" s="58">
        <v>2.2499999999999999E-2</v>
      </c>
      <c r="R86" t="s">
        <v>2327</v>
      </c>
      <c r="S86" t="s">
        <v>2298</v>
      </c>
    </row>
    <row r="87" spans="1:19">
      <c r="A87" t="s">
        <v>240</v>
      </c>
      <c r="B87" t="s">
        <v>241</v>
      </c>
      <c r="C87" s="40">
        <v>45957</v>
      </c>
      <c r="D87" s="65">
        <v>115863</v>
      </c>
      <c r="E87" s="65">
        <v>113392</v>
      </c>
      <c r="F87" s="65">
        <v>2471</v>
      </c>
      <c r="G87" s="65">
        <v>307226.76</v>
      </c>
      <c r="H87" s="65">
        <v>73779.8</v>
      </c>
      <c r="I87" s="65">
        <v>233446.96</v>
      </c>
      <c r="J87" s="65">
        <v>81769</v>
      </c>
      <c r="K87" s="65">
        <v>79298</v>
      </c>
      <c r="L87" s="65">
        <v>2471</v>
      </c>
      <c r="M87" s="65">
        <v>5804.26</v>
      </c>
      <c r="N87" s="65">
        <v>2902.14</v>
      </c>
      <c r="O87" s="65">
        <v>2902.12</v>
      </c>
      <c r="P87" s="61">
        <v>52.9313</v>
      </c>
      <c r="Q87" s="58">
        <v>1.8892</v>
      </c>
      <c r="R87" t="s">
        <v>2332</v>
      </c>
      <c r="S87" t="s">
        <v>2297</v>
      </c>
    </row>
    <row r="88" spans="1:19">
      <c r="A88" t="s">
        <v>505</v>
      </c>
      <c r="B88" t="s">
        <v>506</v>
      </c>
      <c r="C88" s="40">
        <v>45957</v>
      </c>
      <c r="D88" s="65">
        <v>168027</v>
      </c>
      <c r="E88" s="65">
        <v>162764</v>
      </c>
      <c r="F88" s="65">
        <v>5263</v>
      </c>
      <c r="G88" s="65">
        <v>241203.94</v>
      </c>
      <c r="H88" s="65">
        <v>88248.94</v>
      </c>
      <c r="I88" s="65">
        <v>152955</v>
      </c>
      <c r="J88" s="65">
        <v>8420</v>
      </c>
      <c r="K88" s="65">
        <v>4500</v>
      </c>
      <c r="L88" s="65">
        <v>3920</v>
      </c>
      <c r="M88" s="65">
        <v>90</v>
      </c>
      <c r="N88" s="65">
        <v>45</v>
      </c>
      <c r="O88" s="65">
        <v>45</v>
      </c>
      <c r="P88" s="61">
        <v>2680.0437999999999</v>
      </c>
      <c r="Q88" s="58">
        <v>3.73E-2</v>
      </c>
      <c r="R88" t="s">
        <v>2338</v>
      </c>
      <c r="S88" t="s">
        <v>2304</v>
      </c>
    </row>
    <row r="89" spans="1:19">
      <c r="A89" t="s">
        <v>450</v>
      </c>
      <c r="B89" t="s">
        <v>451</v>
      </c>
      <c r="C89" s="40">
        <v>45957</v>
      </c>
      <c r="D89" s="65">
        <v>206461</v>
      </c>
      <c r="E89" s="65">
        <v>199662</v>
      </c>
      <c r="F89" s="65">
        <v>6799</v>
      </c>
      <c r="G89" s="65">
        <v>226951.22500000001</v>
      </c>
      <c r="H89" s="65">
        <v>58000.125</v>
      </c>
      <c r="I89" s="65">
        <v>168951.1</v>
      </c>
      <c r="J89" s="65">
        <v>55148</v>
      </c>
      <c r="K89" s="65">
        <v>48349</v>
      </c>
      <c r="L89" s="65">
        <v>6799</v>
      </c>
      <c r="M89" s="65">
        <v>670.10500000000002</v>
      </c>
      <c r="N89" s="65">
        <v>335.05500000000001</v>
      </c>
      <c r="O89" s="65">
        <v>335.05</v>
      </c>
      <c r="P89" s="61">
        <v>338.68009999999998</v>
      </c>
      <c r="Q89" s="58">
        <v>0.29530000000000001</v>
      </c>
      <c r="R89" t="s">
        <v>2329</v>
      </c>
      <c r="S89" t="s">
        <v>2294</v>
      </c>
    </row>
    <row r="90" spans="1:19">
      <c r="A90" t="s">
        <v>951</v>
      </c>
      <c r="B90" t="s">
        <v>952</v>
      </c>
      <c r="C90" s="40">
        <v>45957</v>
      </c>
      <c r="D90" s="65">
        <v>236934</v>
      </c>
      <c r="E90" s="65">
        <v>219961</v>
      </c>
      <c r="F90" s="65">
        <v>16973</v>
      </c>
      <c r="G90" s="65">
        <v>1007998.72</v>
      </c>
      <c r="H90" s="65">
        <v>325462.58</v>
      </c>
      <c r="I90" s="65">
        <v>682536.14</v>
      </c>
      <c r="J90" s="65">
        <v>25192</v>
      </c>
      <c r="K90" s="65">
        <v>13316</v>
      </c>
      <c r="L90" s="65">
        <v>11876</v>
      </c>
      <c r="M90" s="65">
        <v>532.64</v>
      </c>
      <c r="N90" s="65">
        <v>266.32</v>
      </c>
      <c r="O90" s="65">
        <v>266.32</v>
      </c>
      <c r="P90" s="61">
        <v>1892.4577999999999</v>
      </c>
      <c r="Q90" s="58">
        <v>5.28E-2</v>
      </c>
      <c r="R90" t="s">
        <v>2327</v>
      </c>
      <c r="S90" t="s">
        <v>2298</v>
      </c>
    </row>
    <row r="91" spans="1:19">
      <c r="A91" t="s">
        <v>394</v>
      </c>
      <c r="B91" t="s">
        <v>395</v>
      </c>
      <c r="C91" s="40">
        <v>45951</v>
      </c>
      <c r="D91" s="65">
        <v>191156</v>
      </c>
      <c r="E91" s="65">
        <v>184378</v>
      </c>
      <c r="F91" s="65">
        <v>6778</v>
      </c>
      <c r="G91" s="65">
        <v>744284.78</v>
      </c>
      <c r="H91" s="65">
        <v>216898.18</v>
      </c>
      <c r="I91" s="65">
        <v>527386.6</v>
      </c>
      <c r="J91" s="65">
        <v>30098</v>
      </c>
      <c r="K91" s="65">
        <v>23320</v>
      </c>
      <c r="L91" s="65">
        <v>6778</v>
      </c>
      <c r="M91" s="65">
        <v>1350.82</v>
      </c>
      <c r="N91" s="65">
        <v>675.42</v>
      </c>
      <c r="O91" s="65">
        <v>675.4</v>
      </c>
      <c r="P91" s="61">
        <v>550.98739999999998</v>
      </c>
      <c r="Q91" s="58">
        <v>0.18149999999999999</v>
      </c>
      <c r="R91" t="s">
        <v>2329</v>
      </c>
      <c r="S91" t="s">
        <v>2297</v>
      </c>
    </row>
    <row r="92" spans="1:19">
      <c r="A92" t="s">
        <v>689</v>
      </c>
      <c r="B92" t="s">
        <v>690</v>
      </c>
      <c r="C92" s="40">
        <v>45950</v>
      </c>
      <c r="D92" s="65">
        <v>386815</v>
      </c>
      <c r="E92" s="65">
        <v>365172</v>
      </c>
      <c r="F92" s="65">
        <v>21643</v>
      </c>
      <c r="G92" s="65">
        <v>1331266.33</v>
      </c>
      <c r="H92" s="65">
        <v>270937.06</v>
      </c>
      <c r="I92" s="65">
        <v>1060329.27</v>
      </c>
      <c r="J92" s="65">
        <v>49338</v>
      </c>
      <c r="K92" s="65">
        <v>31295</v>
      </c>
      <c r="L92" s="65">
        <v>18043</v>
      </c>
      <c r="M92" s="65">
        <v>681.67</v>
      </c>
      <c r="N92" s="65">
        <v>340.84</v>
      </c>
      <c r="O92" s="65">
        <v>340.83</v>
      </c>
      <c r="P92" s="61">
        <v>1952.9484</v>
      </c>
      <c r="Q92" s="58">
        <v>5.1200000000000002E-2</v>
      </c>
      <c r="R92" t="s">
        <v>2327</v>
      </c>
      <c r="S92" t="s">
        <v>2298</v>
      </c>
    </row>
    <row r="93" spans="1:19">
      <c r="A93" t="s">
        <v>862</v>
      </c>
      <c r="B93" t="s">
        <v>863</v>
      </c>
      <c r="C93" s="40">
        <v>45947</v>
      </c>
      <c r="D93" s="65">
        <v>316139</v>
      </c>
      <c r="E93" s="65">
        <v>298721</v>
      </c>
      <c r="F93" s="65">
        <v>17418</v>
      </c>
      <c r="G93" s="65">
        <v>363982.03</v>
      </c>
      <c r="H93" s="65">
        <v>85881.03</v>
      </c>
      <c r="I93" s="65">
        <v>278101</v>
      </c>
      <c r="J93" s="65">
        <v>21566</v>
      </c>
      <c r="K93" s="65">
        <v>11500</v>
      </c>
      <c r="L93" s="65">
        <v>10066</v>
      </c>
      <c r="M93" s="65">
        <v>115</v>
      </c>
      <c r="N93" s="65">
        <v>57.5</v>
      </c>
      <c r="O93" s="65">
        <v>57.5</v>
      </c>
      <c r="P93" s="61">
        <v>3165.0610999999999</v>
      </c>
      <c r="Q93" s="58">
        <v>3.1600000000000003E-2</v>
      </c>
      <c r="R93" t="s">
        <v>2328</v>
      </c>
      <c r="S93" t="s">
        <v>2296</v>
      </c>
    </row>
    <row r="94" spans="1:19">
      <c r="A94" t="s">
        <v>943</v>
      </c>
      <c r="B94" t="s">
        <v>944</v>
      </c>
      <c r="C94" s="40">
        <v>45945</v>
      </c>
      <c r="D94" s="65">
        <v>260092</v>
      </c>
      <c r="E94" s="65">
        <v>248480</v>
      </c>
      <c r="F94" s="65">
        <v>11612</v>
      </c>
      <c r="G94" s="65">
        <v>195173.36</v>
      </c>
      <c r="H94" s="65">
        <v>67583.61</v>
      </c>
      <c r="I94" s="65">
        <v>127589.75</v>
      </c>
      <c r="J94" s="65">
        <v>24813</v>
      </c>
      <c r="K94" s="65">
        <v>13800</v>
      </c>
      <c r="L94" s="65">
        <v>11013</v>
      </c>
      <c r="M94" s="65">
        <v>138</v>
      </c>
      <c r="N94" s="65">
        <v>69</v>
      </c>
      <c r="O94" s="65">
        <v>69</v>
      </c>
      <c r="P94" s="61">
        <v>1414.2997</v>
      </c>
      <c r="Q94" s="58">
        <v>7.0699999999999999E-2</v>
      </c>
      <c r="R94" t="s">
        <v>2332</v>
      </c>
      <c r="S94" t="s">
        <v>2298</v>
      </c>
    </row>
    <row r="95" spans="1:19">
      <c r="A95" t="s">
        <v>1026</v>
      </c>
      <c r="B95" t="s">
        <v>1027</v>
      </c>
      <c r="C95" s="40">
        <v>45944</v>
      </c>
      <c r="D95" s="65">
        <v>376021</v>
      </c>
      <c r="E95" s="65">
        <v>356505</v>
      </c>
      <c r="F95" s="65">
        <v>19516</v>
      </c>
      <c r="G95" s="65">
        <v>3305021</v>
      </c>
      <c r="H95" s="65">
        <v>907684.6</v>
      </c>
      <c r="I95" s="65">
        <v>2397336.4</v>
      </c>
      <c r="J95" s="65">
        <v>13467</v>
      </c>
      <c r="K95" s="65">
        <v>6734</v>
      </c>
      <c r="L95" s="65">
        <v>6733</v>
      </c>
      <c r="M95" s="65">
        <v>673.35</v>
      </c>
      <c r="N95" s="65">
        <v>336.7</v>
      </c>
      <c r="O95" s="65">
        <v>336.65</v>
      </c>
      <c r="P95" s="61">
        <v>4908.3254999999999</v>
      </c>
      <c r="Q95" s="58">
        <v>2.0400000000000001E-2</v>
      </c>
      <c r="R95" t="s">
        <v>2328</v>
      </c>
      <c r="S95" t="s">
        <v>2296</v>
      </c>
    </row>
    <row r="96" spans="1:19">
      <c r="A96" t="s">
        <v>1040</v>
      </c>
      <c r="B96" t="s">
        <v>1041</v>
      </c>
      <c r="C96" s="40">
        <v>45939</v>
      </c>
      <c r="D96" s="65">
        <v>168066</v>
      </c>
      <c r="E96" s="65">
        <v>168066</v>
      </c>
      <c r="G96" s="65">
        <v>11464719</v>
      </c>
      <c r="H96" s="65">
        <v>11464719</v>
      </c>
      <c r="J96" s="65">
        <v>2000</v>
      </c>
      <c r="K96" s="65">
        <v>2000</v>
      </c>
      <c r="M96" s="65">
        <v>1000</v>
      </c>
      <c r="N96" s="65">
        <v>1000</v>
      </c>
      <c r="P96" s="61">
        <v>11464.718999999999</v>
      </c>
      <c r="Q96" s="58">
        <v>8.6999999999999994E-3</v>
      </c>
      <c r="R96" t="s">
        <v>2340</v>
      </c>
      <c r="S96" t="s">
        <v>2305</v>
      </c>
    </row>
    <row r="97" spans="1:19">
      <c r="A97" t="s">
        <v>697</v>
      </c>
      <c r="B97" t="s">
        <v>698</v>
      </c>
      <c r="C97" s="40">
        <v>45939</v>
      </c>
      <c r="D97" s="65">
        <v>201807</v>
      </c>
      <c r="E97" s="65">
        <v>184313</v>
      </c>
      <c r="F97" s="65">
        <v>17494</v>
      </c>
      <c r="G97" s="65">
        <v>325305.72499999998</v>
      </c>
      <c r="H97" s="65">
        <v>83049.074999999997</v>
      </c>
      <c r="I97" s="65">
        <v>242256.65</v>
      </c>
      <c r="J97" s="65">
        <v>11958</v>
      </c>
      <c r="K97" s="65">
        <v>5979</v>
      </c>
      <c r="L97" s="65">
        <v>5979</v>
      </c>
      <c r="M97" s="65">
        <v>59.79</v>
      </c>
      <c r="N97" s="65">
        <v>29.895</v>
      </c>
      <c r="O97" s="65">
        <v>29.895</v>
      </c>
      <c r="P97" s="61">
        <v>5440.8049000000001</v>
      </c>
      <c r="Q97" s="58">
        <v>1.84E-2</v>
      </c>
      <c r="R97" t="s">
        <v>2313</v>
      </c>
      <c r="S97" t="s">
        <v>2297</v>
      </c>
    </row>
    <row r="98" spans="1:19">
      <c r="A98" t="s">
        <v>747</v>
      </c>
      <c r="B98" t="s">
        <v>748</v>
      </c>
      <c r="C98" s="40">
        <v>45936</v>
      </c>
      <c r="D98" s="65">
        <v>264209</v>
      </c>
      <c r="E98" s="65">
        <v>242915</v>
      </c>
      <c r="F98" s="65">
        <v>21294</v>
      </c>
      <c r="G98" s="65">
        <v>2759494.5</v>
      </c>
      <c r="H98" s="65">
        <v>772640.5</v>
      </c>
      <c r="I98" s="65">
        <v>1986854</v>
      </c>
      <c r="J98" s="65">
        <v>8240</v>
      </c>
      <c r="K98" s="65">
        <v>4120</v>
      </c>
      <c r="L98" s="65">
        <v>4120</v>
      </c>
      <c r="M98" s="65">
        <v>412</v>
      </c>
      <c r="N98" s="65">
        <v>206</v>
      </c>
      <c r="O98" s="65">
        <v>206</v>
      </c>
      <c r="P98" s="61">
        <v>6697.8022000000001</v>
      </c>
      <c r="Q98" s="58">
        <v>1.49E-2</v>
      </c>
      <c r="R98" t="s">
        <v>2328</v>
      </c>
      <c r="S98" t="s">
        <v>2296</v>
      </c>
    </row>
    <row r="99" spans="1:19">
      <c r="A99" t="s">
        <v>803</v>
      </c>
      <c r="B99" t="s">
        <v>804</v>
      </c>
      <c r="C99" s="40">
        <v>45929</v>
      </c>
      <c r="D99" s="65">
        <v>160901</v>
      </c>
      <c r="E99" s="65">
        <v>156291</v>
      </c>
      <c r="F99" s="65">
        <v>4610</v>
      </c>
      <c r="G99" s="65">
        <v>265624.98</v>
      </c>
      <c r="H99" s="65">
        <v>113480.98</v>
      </c>
      <c r="I99" s="65">
        <v>152144</v>
      </c>
      <c r="J99" s="65">
        <v>9468</v>
      </c>
      <c r="K99" s="65">
        <v>5300</v>
      </c>
      <c r="L99" s="65">
        <v>4168</v>
      </c>
      <c r="M99" s="65">
        <v>106</v>
      </c>
      <c r="N99" s="65">
        <v>53</v>
      </c>
      <c r="O99" s="65">
        <v>53</v>
      </c>
      <c r="P99" s="61">
        <v>2505.8960000000002</v>
      </c>
      <c r="Q99" s="58">
        <v>3.9899999999999998E-2</v>
      </c>
      <c r="R99" t="s">
        <v>2346</v>
      </c>
      <c r="S99" t="s">
        <v>2314</v>
      </c>
    </row>
    <row r="100" spans="1:19">
      <c r="A100" t="s">
        <v>318</v>
      </c>
      <c r="B100" t="s">
        <v>319</v>
      </c>
      <c r="C100" s="40">
        <v>45929</v>
      </c>
      <c r="D100" s="65">
        <v>350775</v>
      </c>
      <c r="E100" s="65">
        <v>326642</v>
      </c>
      <c r="F100" s="65">
        <v>24133</v>
      </c>
      <c r="G100" s="65">
        <v>840164.89</v>
      </c>
      <c r="H100" s="65">
        <v>178430.54</v>
      </c>
      <c r="I100" s="65">
        <v>661734.35</v>
      </c>
      <c r="J100" s="65">
        <v>198629</v>
      </c>
      <c r="K100" s="65">
        <v>174496</v>
      </c>
      <c r="L100" s="65">
        <v>24133</v>
      </c>
      <c r="M100" s="65">
        <v>3489.91</v>
      </c>
      <c r="N100" s="65">
        <v>1744.96</v>
      </c>
      <c r="O100" s="65">
        <v>1744.95</v>
      </c>
      <c r="P100" s="61">
        <v>240.74109999999999</v>
      </c>
      <c r="Q100" s="58">
        <v>0.41539999999999999</v>
      </c>
      <c r="R100" t="s">
        <v>2341</v>
      </c>
      <c r="S100" t="s">
        <v>2315</v>
      </c>
    </row>
    <row r="101" spans="1:19">
      <c r="A101" t="s">
        <v>550</v>
      </c>
      <c r="B101" t="s">
        <v>551</v>
      </c>
      <c r="C101" s="40">
        <v>45929</v>
      </c>
      <c r="D101" s="65">
        <v>108368</v>
      </c>
      <c r="E101" s="65">
        <v>105110</v>
      </c>
      <c r="F101" s="65">
        <v>3258</v>
      </c>
      <c r="G101" s="65">
        <v>55293.874000000003</v>
      </c>
      <c r="H101" s="65">
        <v>20446.21</v>
      </c>
      <c r="I101" s="65">
        <v>34847.663999999997</v>
      </c>
      <c r="J101" s="65">
        <v>18031</v>
      </c>
      <c r="K101" s="65">
        <v>14773</v>
      </c>
      <c r="L101" s="65">
        <v>3258</v>
      </c>
      <c r="M101" s="65">
        <v>104.37</v>
      </c>
      <c r="N101" s="65">
        <v>52.186</v>
      </c>
      <c r="O101" s="65">
        <v>52.183999999999997</v>
      </c>
      <c r="P101" s="61">
        <v>529.78700000000003</v>
      </c>
      <c r="Q101" s="58">
        <v>0.1888</v>
      </c>
      <c r="R101" t="s">
        <v>2329</v>
      </c>
      <c r="S101" t="s">
        <v>2300</v>
      </c>
    </row>
    <row r="102" spans="1:19">
      <c r="A102" t="s">
        <v>229</v>
      </c>
      <c r="B102" t="s">
        <v>230</v>
      </c>
      <c r="C102" s="40">
        <v>45924</v>
      </c>
      <c r="D102" s="65">
        <v>207928</v>
      </c>
      <c r="E102" s="65">
        <v>194695</v>
      </c>
      <c r="F102" s="65">
        <v>13233</v>
      </c>
      <c r="G102" s="65">
        <v>916528.64000000001</v>
      </c>
      <c r="H102" s="65">
        <v>230691.52</v>
      </c>
      <c r="I102" s="65">
        <v>685837.12</v>
      </c>
      <c r="J102" s="65">
        <v>68717</v>
      </c>
      <c r="K102" s="65">
        <v>55484</v>
      </c>
      <c r="L102" s="65">
        <v>13233</v>
      </c>
      <c r="M102" s="65">
        <v>2973.97</v>
      </c>
      <c r="N102" s="65">
        <v>1486.99</v>
      </c>
      <c r="O102" s="65">
        <v>1486.98</v>
      </c>
      <c r="P102" s="61">
        <v>308.18360000000001</v>
      </c>
      <c r="Q102" s="58">
        <v>0.32450000000000001</v>
      </c>
      <c r="R102" t="s">
        <v>2333</v>
      </c>
      <c r="S102" t="s">
        <v>2300</v>
      </c>
    </row>
    <row r="103" spans="1:19">
      <c r="A103" t="s">
        <v>647</v>
      </c>
      <c r="B103" t="s">
        <v>648</v>
      </c>
      <c r="C103" s="40">
        <v>45922</v>
      </c>
      <c r="D103" s="65">
        <v>154400</v>
      </c>
      <c r="E103" s="65">
        <v>141789</v>
      </c>
      <c r="F103" s="65">
        <v>12611</v>
      </c>
      <c r="G103" s="65">
        <v>364290.97</v>
      </c>
      <c r="H103" s="65">
        <v>111951.47</v>
      </c>
      <c r="I103" s="65">
        <v>252339.5</v>
      </c>
      <c r="J103" s="65">
        <v>10981</v>
      </c>
      <c r="K103" s="65">
        <v>5491</v>
      </c>
      <c r="L103" s="65">
        <v>5490</v>
      </c>
      <c r="M103" s="65">
        <v>109.81</v>
      </c>
      <c r="N103" s="65">
        <v>54.91</v>
      </c>
      <c r="O103" s="65">
        <v>54.9</v>
      </c>
      <c r="P103" s="61">
        <v>3317.4663</v>
      </c>
      <c r="Q103" s="58">
        <v>3.0099999999999998E-2</v>
      </c>
      <c r="R103" t="s">
        <v>2342</v>
      </c>
      <c r="S103" t="s">
        <v>2299</v>
      </c>
    </row>
    <row r="104" spans="1:19">
      <c r="A104" t="s">
        <v>968</v>
      </c>
      <c r="B104" t="s">
        <v>969</v>
      </c>
      <c r="C104" s="40">
        <v>45918</v>
      </c>
      <c r="D104" s="65">
        <v>257876</v>
      </c>
      <c r="E104" s="65">
        <v>235959</v>
      </c>
      <c r="F104" s="65">
        <v>21917</v>
      </c>
      <c r="G104" s="65">
        <v>2066324.26</v>
      </c>
      <c r="H104" s="65">
        <v>471682.26</v>
      </c>
      <c r="I104" s="65">
        <v>1594642</v>
      </c>
      <c r="J104" s="65">
        <v>32905</v>
      </c>
      <c r="K104" s="65">
        <v>19400</v>
      </c>
      <c r="L104" s="65">
        <v>13505</v>
      </c>
      <c r="M104" s="65">
        <v>776</v>
      </c>
      <c r="N104" s="65">
        <v>388</v>
      </c>
      <c r="O104" s="65">
        <v>388</v>
      </c>
      <c r="P104" s="61">
        <v>2662.7890000000002</v>
      </c>
      <c r="Q104" s="58">
        <v>3.7600000000000001E-2</v>
      </c>
      <c r="R104" t="s">
        <v>2328</v>
      </c>
      <c r="S104" t="s">
        <v>2296</v>
      </c>
    </row>
    <row r="105" spans="1:19">
      <c r="A105" t="s">
        <v>721</v>
      </c>
      <c r="B105" t="s">
        <v>722</v>
      </c>
      <c r="C105" s="40">
        <v>45916</v>
      </c>
      <c r="D105" s="65">
        <v>69550</v>
      </c>
      <c r="E105" s="65">
        <v>67433</v>
      </c>
      <c r="F105" s="65">
        <v>2117</v>
      </c>
      <c r="G105" s="65">
        <v>252950.6</v>
      </c>
      <c r="H105" s="65">
        <v>97451.975000000006</v>
      </c>
      <c r="I105" s="65">
        <v>155498.625</v>
      </c>
      <c r="J105" s="65">
        <v>8847</v>
      </c>
      <c r="K105" s="65">
        <v>6730</v>
      </c>
      <c r="L105" s="65">
        <v>2117</v>
      </c>
      <c r="M105" s="65">
        <v>336.47500000000002</v>
      </c>
      <c r="N105" s="65">
        <v>168.25</v>
      </c>
      <c r="O105" s="65">
        <v>168.22499999999999</v>
      </c>
      <c r="P105" s="61">
        <v>751.76639999999998</v>
      </c>
      <c r="Q105" s="58">
        <v>0.13300000000000001</v>
      </c>
      <c r="R105" t="s">
        <v>2326</v>
      </c>
      <c r="S105" t="s">
        <v>2296</v>
      </c>
    </row>
    <row r="106" spans="1:19">
      <c r="A106" t="s">
        <v>517</v>
      </c>
      <c r="B106" t="s">
        <v>518</v>
      </c>
      <c r="C106" s="40">
        <v>45915</v>
      </c>
      <c r="D106" s="65">
        <v>93392</v>
      </c>
      <c r="E106" s="65">
        <v>91221</v>
      </c>
      <c r="F106" s="65">
        <v>2171</v>
      </c>
      <c r="G106" s="65">
        <v>28670.856</v>
      </c>
      <c r="H106" s="65">
        <v>9039.8559999999998</v>
      </c>
      <c r="I106" s="65">
        <v>19631</v>
      </c>
      <c r="J106" s="65">
        <v>47242</v>
      </c>
      <c r="K106" s="65">
        <v>45071</v>
      </c>
      <c r="L106" s="65">
        <v>2171</v>
      </c>
      <c r="M106" s="65">
        <v>195.5</v>
      </c>
      <c r="N106" s="65">
        <v>97.75</v>
      </c>
      <c r="O106" s="65">
        <v>97.75</v>
      </c>
      <c r="P106" s="61">
        <v>146.654</v>
      </c>
      <c r="Q106" s="58">
        <v>0.68189999999999995</v>
      </c>
      <c r="R106" t="s">
        <v>2329</v>
      </c>
      <c r="S106" t="s">
        <v>2298</v>
      </c>
    </row>
    <row r="107" spans="1:19">
      <c r="A107" t="s">
        <v>870</v>
      </c>
      <c r="B107" t="s">
        <v>871</v>
      </c>
      <c r="C107" s="40">
        <v>45908</v>
      </c>
      <c r="D107" s="65">
        <v>223909</v>
      </c>
      <c r="E107" s="65">
        <v>206523</v>
      </c>
      <c r="F107" s="65">
        <v>17386</v>
      </c>
      <c r="G107" s="65">
        <v>598625.16</v>
      </c>
      <c r="H107" s="65">
        <v>191744.16</v>
      </c>
      <c r="I107" s="65">
        <v>406881</v>
      </c>
      <c r="J107" s="65">
        <v>7920</v>
      </c>
      <c r="K107" s="65">
        <v>3960</v>
      </c>
      <c r="L107" s="65">
        <v>3960</v>
      </c>
      <c r="M107" s="65">
        <v>79.2</v>
      </c>
      <c r="N107" s="65">
        <v>39.6</v>
      </c>
      <c r="O107" s="65">
        <v>39.6</v>
      </c>
      <c r="P107" s="61">
        <v>7558.3985000000002</v>
      </c>
      <c r="Q107" s="58">
        <v>1.32E-2</v>
      </c>
      <c r="R107" t="s">
        <v>2330</v>
      </c>
      <c r="S107" t="s">
        <v>2299</v>
      </c>
    </row>
    <row r="108" spans="1:19">
      <c r="A108" t="s">
        <v>277</v>
      </c>
      <c r="B108" t="s">
        <v>278</v>
      </c>
      <c r="C108" s="40">
        <v>45901</v>
      </c>
      <c r="D108" s="65">
        <v>153533</v>
      </c>
      <c r="E108" s="65">
        <v>147381</v>
      </c>
      <c r="F108" s="65">
        <v>6152</v>
      </c>
      <c r="G108" s="65">
        <v>577184.84</v>
      </c>
      <c r="H108" s="65">
        <v>173954.84</v>
      </c>
      <c r="I108" s="65">
        <v>403230</v>
      </c>
      <c r="J108" s="65">
        <v>77936</v>
      </c>
      <c r="K108" s="65">
        <v>71784</v>
      </c>
      <c r="L108" s="65">
        <v>6152</v>
      </c>
      <c r="M108" s="65">
        <v>8338.24</v>
      </c>
      <c r="N108" s="65">
        <v>4169.12</v>
      </c>
      <c r="O108" s="65">
        <v>4169.12</v>
      </c>
      <c r="P108" s="61">
        <v>69.221400000000003</v>
      </c>
      <c r="Q108" s="58">
        <v>1.4446000000000001</v>
      </c>
      <c r="R108" t="s">
        <v>2346</v>
      </c>
      <c r="S108" t="s">
        <v>2299</v>
      </c>
    </row>
    <row r="109" spans="1:19">
      <c r="A109" t="s">
        <v>1038</v>
      </c>
      <c r="B109" t="s">
        <v>1039</v>
      </c>
      <c r="C109" s="40">
        <v>45896</v>
      </c>
      <c r="D109" s="65">
        <v>164446</v>
      </c>
      <c r="E109" s="65">
        <v>149942</v>
      </c>
      <c r="F109" s="65">
        <v>14504</v>
      </c>
      <c r="G109" s="65">
        <v>2241946.7999999998</v>
      </c>
      <c r="H109" s="65">
        <v>465816.16</v>
      </c>
      <c r="I109" s="65">
        <v>1776130.64</v>
      </c>
      <c r="J109" s="65">
        <v>24905</v>
      </c>
      <c r="K109" s="65">
        <v>13727</v>
      </c>
      <c r="L109" s="65">
        <v>11178</v>
      </c>
      <c r="M109" s="65">
        <v>1098.1199999999999</v>
      </c>
      <c r="N109" s="65">
        <v>549.08000000000004</v>
      </c>
      <c r="O109" s="65">
        <v>549.04</v>
      </c>
      <c r="P109" s="61">
        <v>2041.6228000000001</v>
      </c>
      <c r="Q109" s="58">
        <v>4.9000000000000002E-2</v>
      </c>
      <c r="R109" t="s">
        <v>2341</v>
      </c>
      <c r="S109" t="s">
        <v>2307</v>
      </c>
    </row>
    <row r="110" spans="1:19">
      <c r="A110" t="s">
        <v>424</v>
      </c>
      <c r="B110" t="s">
        <v>425</v>
      </c>
      <c r="C110" s="40">
        <v>45894</v>
      </c>
      <c r="D110" s="65">
        <v>217990</v>
      </c>
      <c r="E110" s="65">
        <v>197912</v>
      </c>
      <c r="F110" s="65">
        <v>20078</v>
      </c>
      <c r="G110" s="65">
        <v>2269931.0499999998</v>
      </c>
      <c r="H110" s="65">
        <v>505985.85</v>
      </c>
      <c r="I110" s="65">
        <v>1763945.2</v>
      </c>
      <c r="J110" s="65">
        <v>11712</v>
      </c>
      <c r="K110" s="65">
        <v>5856</v>
      </c>
      <c r="L110" s="65">
        <v>5856</v>
      </c>
      <c r="M110" s="65">
        <v>585.6</v>
      </c>
      <c r="N110" s="65">
        <v>292.8</v>
      </c>
      <c r="O110" s="65">
        <v>292.8</v>
      </c>
      <c r="P110" s="61">
        <v>3876.2483999999999</v>
      </c>
      <c r="Q110" s="58">
        <v>2.58E-2</v>
      </c>
      <c r="R110" t="s">
        <v>2335</v>
      </c>
      <c r="S110" t="s">
        <v>2297</v>
      </c>
    </row>
    <row r="111" spans="1:19">
      <c r="A111" t="s">
        <v>585</v>
      </c>
      <c r="B111" t="s">
        <v>586</v>
      </c>
      <c r="C111" s="40">
        <v>45888</v>
      </c>
      <c r="D111" s="65">
        <v>215519</v>
      </c>
      <c r="E111" s="65">
        <v>204270</v>
      </c>
      <c r="F111" s="65">
        <v>11249</v>
      </c>
      <c r="G111" s="65">
        <v>670637.61</v>
      </c>
      <c r="H111" s="65">
        <v>237606.01</v>
      </c>
      <c r="I111" s="65">
        <v>433031.6</v>
      </c>
      <c r="J111" s="65">
        <v>90802</v>
      </c>
      <c r="K111" s="65">
        <v>79553</v>
      </c>
      <c r="L111" s="65">
        <v>11249</v>
      </c>
      <c r="M111" s="65">
        <v>1671.1</v>
      </c>
      <c r="N111" s="65">
        <v>835.55</v>
      </c>
      <c r="O111" s="65">
        <v>835.55</v>
      </c>
      <c r="P111" s="61">
        <v>401.31509999999997</v>
      </c>
      <c r="Q111" s="58">
        <v>0.2492</v>
      </c>
      <c r="R111" t="s">
        <v>2331</v>
      </c>
      <c r="S111" t="s">
        <v>2295</v>
      </c>
    </row>
    <row r="112" spans="1:19">
      <c r="A112" t="s">
        <v>998</v>
      </c>
      <c r="B112" t="s">
        <v>999</v>
      </c>
      <c r="C112" s="40">
        <v>45883</v>
      </c>
      <c r="D112" s="65">
        <v>256072</v>
      </c>
      <c r="E112" s="65">
        <v>190023</v>
      </c>
      <c r="F112" s="65">
        <v>66049</v>
      </c>
      <c r="G112" s="65">
        <v>1952804.82</v>
      </c>
      <c r="H112" s="65">
        <v>61519.06</v>
      </c>
      <c r="I112" s="65">
        <v>1891285.76</v>
      </c>
      <c r="J112" s="65">
        <v>18279</v>
      </c>
      <c r="K112" s="65">
        <v>3402</v>
      </c>
      <c r="L112" s="65">
        <v>14877</v>
      </c>
      <c r="M112" s="65">
        <v>365.58</v>
      </c>
      <c r="N112" s="65">
        <v>68.040000000000006</v>
      </c>
      <c r="O112" s="65">
        <v>297.54000000000002</v>
      </c>
      <c r="P112" s="61">
        <v>5341.6620999999996</v>
      </c>
      <c r="Q112" s="58">
        <v>1.8700000000000001E-2</v>
      </c>
      <c r="R112" t="s">
        <v>2326</v>
      </c>
      <c r="S112" t="s">
        <v>2296</v>
      </c>
    </row>
    <row r="113" spans="1:19">
      <c r="A113" t="s">
        <v>980</v>
      </c>
      <c r="B113" t="s">
        <v>981</v>
      </c>
      <c r="C113" s="40">
        <v>45877</v>
      </c>
      <c r="D113" s="65">
        <v>191879</v>
      </c>
      <c r="E113" s="65">
        <v>180161</v>
      </c>
      <c r="F113" s="65">
        <v>11718</v>
      </c>
      <c r="G113" s="65">
        <v>1340314.54</v>
      </c>
      <c r="H113" s="65">
        <v>495266.12</v>
      </c>
      <c r="I113" s="65">
        <v>845048.42</v>
      </c>
      <c r="J113" s="65">
        <v>18948</v>
      </c>
      <c r="K113" s="65">
        <v>9990</v>
      </c>
      <c r="L113" s="65">
        <v>8958</v>
      </c>
      <c r="M113" s="65">
        <v>399.6</v>
      </c>
      <c r="N113" s="65">
        <v>199.8</v>
      </c>
      <c r="O113" s="65">
        <v>199.8</v>
      </c>
      <c r="P113" s="61">
        <v>3354.1405</v>
      </c>
      <c r="Q113" s="58">
        <v>2.98E-2</v>
      </c>
      <c r="R113" t="s">
        <v>2328</v>
      </c>
      <c r="S113" t="s">
        <v>2296</v>
      </c>
    </row>
    <row r="114" spans="1:19">
      <c r="A114" t="s">
        <v>1004</v>
      </c>
      <c r="B114" t="s">
        <v>1005</v>
      </c>
      <c r="C114" s="40">
        <v>45862</v>
      </c>
      <c r="D114" s="65">
        <v>323706</v>
      </c>
      <c r="E114" s="65">
        <v>303298</v>
      </c>
      <c r="F114" s="65">
        <v>20408</v>
      </c>
      <c r="G114" s="65">
        <v>1120250.48</v>
      </c>
      <c r="H114" s="65">
        <v>295992.11</v>
      </c>
      <c r="I114" s="65">
        <v>824258.37</v>
      </c>
      <c r="J114" s="65">
        <v>73406</v>
      </c>
      <c r="K114" s="65">
        <v>52998</v>
      </c>
      <c r="L114" s="65">
        <v>20408</v>
      </c>
      <c r="M114" s="65">
        <v>1602.72</v>
      </c>
      <c r="N114" s="65">
        <v>801.36</v>
      </c>
      <c r="O114" s="65">
        <v>801.36</v>
      </c>
      <c r="P114" s="61">
        <v>698.9683</v>
      </c>
      <c r="Q114" s="58">
        <v>0.1431</v>
      </c>
      <c r="R114" t="s">
        <v>2328</v>
      </c>
      <c r="S114" t="s">
        <v>2296</v>
      </c>
    </row>
    <row r="115" spans="1:19">
      <c r="A115" t="s">
        <v>635</v>
      </c>
      <c r="B115" t="s">
        <v>636</v>
      </c>
      <c r="C115" s="40">
        <v>45846</v>
      </c>
      <c r="D115" s="65">
        <v>9119</v>
      </c>
      <c r="E115" s="65">
        <v>9104</v>
      </c>
      <c r="F115" s="65">
        <v>15</v>
      </c>
      <c r="G115" s="65">
        <v>3894.45</v>
      </c>
      <c r="H115" s="65">
        <v>3114.45</v>
      </c>
      <c r="I115" s="65">
        <v>780</v>
      </c>
      <c r="J115" s="65">
        <v>2913</v>
      </c>
      <c r="K115" s="65">
        <v>2898</v>
      </c>
      <c r="L115" s="65">
        <v>15</v>
      </c>
      <c r="M115" s="65">
        <v>304.39999999999998</v>
      </c>
      <c r="N115" s="65">
        <v>152.19999999999999</v>
      </c>
      <c r="O115" s="65">
        <v>152.19999999999999</v>
      </c>
      <c r="P115" s="61">
        <v>12.793900000000001</v>
      </c>
      <c r="Q115" s="58">
        <v>7.8163</v>
      </c>
      <c r="R115" t="s">
        <v>2327</v>
      </c>
      <c r="S115" t="s">
        <v>2316</v>
      </c>
    </row>
    <row r="116" spans="1:19">
      <c r="A116" t="s">
        <v>819</v>
      </c>
      <c r="B116" t="s">
        <v>820</v>
      </c>
      <c r="C116" s="40">
        <v>45846</v>
      </c>
      <c r="D116" s="65">
        <v>66796</v>
      </c>
      <c r="E116" s="65">
        <v>65651</v>
      </c>
      <c r="F116" s="65">
        <v>1145</v>
      </c>
      <c r="G116" s="65">
        <v>22536.19</v>
      </c>
      <c r="H116" s="65">
        <v>10713.69</v>
      </c>
      <c r="I116" s="65">
        <v>11822.5</v>
      </c>
      <c r="J116" s="65">
        <v>30868</v>
      </c>
      <c r="K116" s="65">
        <v>29723</v>
      </c>
      <c r="L116" s="65">
        <v>1145</v>
      </c>
      <c r="M116" s="65">
        <v>814.98</v>
      </c>
      <c r="N116" s="65">
        <v>407.49</v>
      </c>
      <c r="O116" s="65">
        <v>407.49</v>
      </c>
      <c r="P116" s="61">
        <v>27.6524</v>
      </c>
      <c r="Q116" s="58">
        <v>3.6162999999999998</v>
      </c>
      <c r="R116" t="s">
        <v>2331</v>
      </c>
      <c r="S116" t="s">
        <v>2295</v>
      </c>
    </row>
    <row r="117" spans="1:19">
      <c r="A117" t="s">
        <v>253</v>
      </c>
      <c r="B117" t="s">
        <v>254</v>
      </c>
      <c r="C117" s="40">
        <v>45846</v>
      </c>
      <c r="D117" s="65">
        <v>229080</v>
      </c>
      <c r="E117" s="65">
        <v>221394</v>
      </c>
      <c r="F117" s="65">
        <v>7686</v>
      </c>
      <c r="G117" s="65">
        <v>1334981.78</v>
      </c>
      <c r="H117" s="65">
        <v>502331.26</v>
      </c>
      <c r="I117" s="65">
        <v>832650.52</v>
      </c>
      <c r="J117" s="65">
        <v>161996</v>
      </c>
      <c r="K117" s="65">
        <v>154310</v>
      </c>
      <c r="L117" s="65">
        <v>7686</v>
      </c>
      <c r="M117" s="65">
        <v>11801.56</v>
      </c>
      <c r="N117" s="65">
        <v>5900.78</v>
      </c>
      <c r="O117" s="65">
        <v>5900.78</v>
      </c>
      <c r="P117" s="61">
        <v>113.1191</v>
      </c>
      <c r="Q117" s="58">
        <v>0.88400000000000001</v>
      </c>
      <c r="R117" t="s">
        <v>2329</v>
      </c>
      <c r="S117" t="s">
        <v>2297</v>
      </c>
    </row>
    <row r="118" spans="1:19">
      <c r="A118" t="s">
        <v>807</v>
      </c>
      <c r="B118" t="s">
        <v>808</v>
      </c>
      <c r="C118" s="40">
        <v>45846</v>
      </c>
      <c r="D118" s="65">
        <v>35263</v>
      </c>
      <c r="E118" s="65">
        <v>35180</v>
      </c>
      <c r="F118" s="65">
        <v>83</v>
      </c>
      <c r="G118" s="65">
        <v>11757.88</v>
      </c>
      <c r="H118" s="65">
        <v>9103.4</v>
      </c>
      <c r="I118" s="65">
        <v>2654.48</v>
      </c>
      <c r="J118" s="65">
        <v>8703</v>
      </c>
      <c r="K118" s="65">
        <v>8620</v>
      </c>
      <c r="L118" s="65">
        <v>83</v>
      </c>
      <c r="M118" s="65">
        <v>194.95</v>
      </c>
      <c r="N118" s="65">
        <v>97.48</v>
      </c>
      <c r="O118" s="65">
        <v>97.47</v>
      </c>
      <c r="P118" s="61">
        <v>60.3123</v>
      </c>
      <c r="Q118" s="58">
        <v>1.6579999999999999</v>
      </c>
      <c r="R118" t="s">
        <v>2326</v>
      </c>
      <c r="S118" t="s">
        <v>2292</v>
      </c>
    </row>
    <row r="119" spans="1:19">
      <c r="A119" t="s">
        <v>499</v>
      </c>
      <c r="B119" t="s">
        <v>500</v>
      </c>
      <c r="C119" s="40">
        <v>45846</v>
      </c>
      <c r="D119" s="65">
        <v>94292</v>
      </c>
      <c r="E119" s="65">
        <v>92816</v>
      </c>
      <c r="F119" s="65">
        <v>1476</v>
      </c>
      <c r="G119" s="65">
        <v>187541.46</v>
      </c>
      <c r="H119" s="65">
        <v>82877.539999999994</v>
      </c>
      <c r="I119" s="65">
        <v>104663.92</v>
      </c>
      <c r="J119" s="65">
        <v>39481</v>
      </c>
      <c r="K119" s="65">
        <v>38005</v>
      </c>
      <c r="L119" s="65">
        <v>1476</v>
      </c>
      <c r="M119" s="65">
        <v>7017.66</v>
      </c>
      <c r="N119" s="65">
        <v>3508.84</v>
      </c>
      <c r="O119" s="65">
        <v>3508.82</v>
      </c>
      <c r="P119" s="61">
        <v>26.7242</v>
      </c>
      <c r="Q119" s="58">
        <v>3.7418999999999998</v>
      </c>
      <c r="R119" t="s">
        <v>2327</v>
      </c>
      <c r="S119" t="s">
        <v>2298</v>
      </c>
    </row>
    <row r="120" spans="1:19">
      <c r="A120" t="s">
        <v>299</v>
      </c>
      <c r="B120" t="s">
        <v>300</v>
      </c>
      <c r="C120" s="40">
        <v>45842</v>
      </c>
      <c r="D120" s="65">
        <v>61689</v>
      </c>
      <c r="E120" s="65">
        <v>61402</v>
      </c>
      <c r="F120" s="65">
        <v>287</v>
      </c>
      <c r="G120" s="65">
        <v>33916.49</v>
      </c>
      <c r="H120" s="65">
        <v>23429.78</v>
      </c>
      <c r="I120" s="65">
        <v>10486.71</v>
      </c>
      <c r="J120" s="65">
        <v>38388</v>
      </c>
      <c r="K120" s="65">
        <v>38101</v>
      </c>
      <c r="L120" s="65">
        <v>287</v>
      </c>
      <c r="M120" s="65">
        <v>2740.27</v>
      </c>
      <c r="N120" s="65">
        <v>1370.14</v>
      </c>
      <c r="O120" s="65">
        <v>1370.13</v>
      </c>
      <c r="P120" s="61">
        <v>12.3771</v>
      </c>
      <c r="Q120" s="58">
        <v>8.0794999999999995</v>
      </c>
      <c r="R120" t="s">
        <v>2343</v>
      </c>
      <c r="S120" t="s">
        <v>2317</v>
      </c>
    </row>
    <row r="121" spans="1:19">
      <c r="A121" t="s">
        <v>322</v>
      </c>
      <c r="B121" t="s">
        <v>323</v>
      </c>
      <c r="C121" s="40">
        <v>45841</v>
      </c>
      <c r="D121" s="65">
        <v>32830</v>
      </c>
      <c r="E121" s="65">
        <v>32333</v>
      </c>
      <c r="F121" s="65">
        <v>497</v>
      </c>
      <c r="G121" s="65">
        <v>17679.46</v>
      </c>
      <c r="H121" s="65">
        <v>7661.73</v>
      </c>
      <c r="I121" s="65">
        <v>10017.73</v>
      </c>
      <c r="J121" s="65">
        <v>27727</v>
      </c>
      <c r="K121" s="65">
        <v>27230</v>
      </c>
      <c r="L121" s="65">
        <v>497</v>
      </c>
      <c r="M121" s="65">
        <v>1199.8499999999999</v>
      </c>
      <c r="N121" s="65">
        <v>599.92999999999995</v>
      </c>
      <c r="O121" s="65">
        <v>599.91999999999996</v>
      </c>
      <c r="P121" s="61">
        <v>14.7347</v>
      </c>
      <c r="Q121" s="58">
        <v>6.7866999999999997</v>
      </c>
      <c r="R121" t="s">
        <v>2336</v>
      </c>
      <c r="S121" t="s">
        <v>2304</v>
      </c>
    </row>
    <row r="122" spans="1:19">
      <c r="A122" t="s">
        <v>385</v>
      </c>
      <c r="B122" t="s">
        <v>386</v>
      </c>
      <c r="C122" s="40">
        <v>45841</v>
      </c>
      <c r="D122" s="65">
        <v>11167</v>
      </c>
      <c r="E122" s="65">
        <v>11054</v>
      </c>
      <c r="F122" s="65">
        <v>113</v>
      </c>
      <c r="G122" s="65">
        <v>3611.4</v>
      </c>
      <c r="H122" s="65">
        <v>1859.4</v>
      </c>
      <c r="I122" s="65">
        <v>1752</v>
      </c>
      <c r="J122" s="65">
        <v>11167</v>
      </c>
      <c r="K122" s="65">
        <v>11054</v>
      </c>
      <c r="L122" s="65">
        <v>113</v>
      </c>
      <c r="M122" s="65">
        <v>1035</v>
      </c>
      <c r="N122" s="65">
        <v>517.5</v>
      </c>
      <c r="O122" s="65">
        <v>517.5</v>
      </c>
      <c r="P122" s="61">
        <v>3.4893000000000001</v>
      </c>
      <c r="Q122" s="58">
        <v>28.659199999999998</v>
      </c>
      <c r="R122" t="s">
        <v>2327</v>
      </c>
      <c r="S122" t="s">
        <v>2318</v>
      </c>
    </row>
    <row r="123" spans="1:19">
      <c r="A123" t="s">
        <v>1010</v>
      </c>
      <c r="B123" t="s">
        <v>1011</v>
      </c>
      <c r="C123" s="40">
        <v>45840</v>
      </c>
      <c r="D123" s="65">
        <v>29007</v>
      </c>
      <c r="E123" s="65">
        <v>28794</v>
      </c>
      <c r="F123" s="65">
        <v>213</v>
      </c>
      <c r="G123" s="65">
        <v>47729.9</v>
      </c>
      <c r="H123" s="65">
        <v>31070.9</v>
      </c>
      <c r="I123" s="65">
        <v>16659</v>
      </c>
      <c r="J123" s="65">
        <v>7404</v>
      </c>
      <c r="K123" s="65">
        <v>7191</v>
      </c>
      <c r="L123" s="65">
        <v>213</v>
      </c>
      <c r="M123" s="65">
        <v>1211.55</v>
      </c>
      <c r="N123" s="65">
        <v>605.79999999999995</v>
      </c>
      <c r="O123" s="65">
        <v>605.75</v>
      </c>
      <c r="P123" s="61">
        <v>39.395699999999998</v>
      </c>
      <c r="Q123" s="58">
        <v>2.5383</v>
      </c>
      <c r="R123" t="s">
        <v>2328</v>
      </c>
      <c r="S123" t="s">
        <v>2296</v>
      </c>
    </row>
    <row r="124" spans="1:19">
      <c r="A124" t="s">
        <v>672</v>
      </c>
      <c r="B124" t="s">
        <v>673</v>
      </c>
      <c r="C124" s="40">
        <v>45835</v>
      </c>
      <c r="D124" s="65">
        <v>25483</v>
      </c>
      <c r="E124" s="65">
        <v>25390</v>
      </c>
      <c r="F124" s="65">
        <v>93</v>
      </c>
      <c r="G124" s="65">
        <v>1430.7380000000001</v>
      </c>
      <c r="H124" s="65">
        <v>1041.6780000000001</v>
      </c>
      <c r="I124" s="65">
        <v>389.06</v>
      </c>
      <c r="J124" s="65">
        <v>8446</v>
      </c>
      <c r="K124" s="65">
        <v>8353</v>
      </c>
      <c r="L124" s="65">
        <v>93</v>
      </c>
      <c r="M124" s="65">
        <v>62.44</v>
      </c>
      <c r="N124" s="65">
        <v>31.22</v>
      </c>
      <c r="O124" s="65">
        <v>31.22</v>
      </c>
      <c r="P124" s="61">
        <v>22.913799999999998</v>
      </c>
      <c r="Q124" s="58">
        <v>4.3642000000000003</v>
      </c>
      <c r="R124" t="s">
        <v>2327</v>
      </c>
      <c r="S124" t="s">
        <v>2298</v>
      </c>
    </row>
    <row r="125" spans="1:19">
      <c r="A125" t="s">
        <v>727</v>
      </c>
      <c r="B125" t="s">
        <v>728</v>
      </c>
      <c r="C125" s="40">
        <v>45835</v>
      </c>
      <c r="D125" s="65">
        <v>236078</v>
      </c>
      <c r="E125" s="65">
        <v>215863</v>
      </c>
      <c r="F125" s="65">
        <v>20215</v>
      </c>
      <c r="G125" s="65">
        <v>1117666.18</v>
      </c>
      <c r="H125" s="65">
        <v>270476.18</v>
      </c>
      <c r="I125" s="65">
        <v>847190</v>
      </c>
      <c r="J125" s="65">
        <v>71945</v>
      </c>
      <c r="K125" s="65">
        <v>51730</v>
      </c>
      <c r="L125" s="65">
        <v>20215</v>
      </c>
      <c r="M125" s="65">
        <v>2069.1799999999998</v>
      </c>
      <c r="N125" s="65">
        <v>1034.5999999999999</v>
      </c>
      <c r="O125" s="65">
        <v>1034.58</v>
      </c>
      <c r="P125" s="61">
        <v>540.14930000000004</v>
      </c>
      <c r="Q125" s="58">
        <v>0.18509999999999999</v>
      </c>
      <c r="R125" t="s">
        <v>2336</v>
      </c>
      <c r="S125" t="s">
        <v>2304</v>
      </c>
    </row>
    <row r="126" spans="1:19">
      <c r="A126" t="s">
        <v>850</v>
      </c>
      <c r="B126" t="s">
        <v>851</v>
      </c>
      <c r="C126" s="40">
        <v>45835</v>
      </c>
      <c r="D126" s="65">
        <v>70338</v>
      </c>
      <c r="E126" s="65">
        <v>69673</v>
      </c>
      <c r="F126" s="65">
        <v>665</v>
      </c>
      <c r="G126" s="65">
        <v>50593.49</v>
      </c>
      <c r="H126" s="65">
        <v>29895.49</v>
      </c>
      <c r="I126" s="65">
        <v>20698</v>
      </c>
      <c r="J126" s="65">
        <v>38685</v>
      </c>
      <c r="K126" s="65">
        <v>38020</v>
      </c>
      <c r="L126" s="65">
        <v>665</v>
      </c>
      <c r="M126" s="65">
        <v>840</v>
      </c>
      <c r="N126" s="65">
        <v>420</v>
      </c>
      <c r="O126" s="65">
        <v>420</v>
      </c>
      <c r="P126" s="61">
        <v>60.2303</v>
      </c>
      <c r="Q126" s="58">
        <v>1.6603000000000001</v>
      </c>
      <c r="R126" t="s">
        <v>2326</v>
      </c>
      <c r="S126" t="s">
        <v>2296</v>
      </c>
    </row>
    <row r="127" spans="1:19">
      <c r="A127" t="s">
        <v>529</v>
      </c>
      <c r="B127" t="s">
        <v>530</v>
      </c>
      <c r="C127" s="40">
        <v>45834</v>
      </c>
      <c r="D127" s="65">
        <v>31796</v>
      </c>
      <c r="E127" s="65">
        <v>31678</v>
      </c>
      <c r="F127" s="65">
        <v>118</v>
      </c>
      <c r="G127" s="65">
        <v>119492.4</v>
      </c>
      <c r="H127" s="65">
        <v>85758.399999999994</v>
      </c>
      <c r="I127" s="65">
        <v>33734</v>
      </c>
      <c r="J127" s="65">
        <v>12403</v>
      </c>
      <c r="K127" s="65">
        <v>12285</v>
      </c>
      <c r="L127" s="65">
        <v>118</v>
      </c>
      <c r="M127" s="65">
        <v>10002</v>
      </c>
      <c r="N127" s="65">
        <v>5001</v>
      </c>
      <c r="O127" s="65">
        <v>5001</v>
      </c>
      <c r="P127" s="61">
        <v>11.946899999999999</v>
      </c>
      <c r="Q127" s="58">
        <v>8.3704000000000001</v>
      </c>
      <c r="R127" t="s">
        <v>2342</v>
      </c>
      <c r="S127" t="s">
        <v>2292</v>
      </c>
    </row>
    <row r="128" spans="1:19">
      <c r="A128" t="s">
        <v>399</v>
      </c>
      <c r="B128" t="s">
        <v>400</v>
      </c>
      <c r="C128" s="40">
        <v>45834</v>
      </c>
      <c r="D128" s="65">
        <v>126409</v>
      </c>
      <c r="E128" s="65">
        <v>123062</v>
      </c>
      <c r="F128" s="65">
        <v>3347</v>
      </c>
      <c r="G128" s="65">
        <v>332855.33</v>
      </c>
      <c r="H128" s="65">
        <v>144669.65</v>
      </c>
      <c r="I128" s="65">
        <v>188185.68</v>
      </c>
      <c r="J128" s="65">
        <v>39532</v>
      </c>
      <c r="K128" s="65">
        <v>36185</v>
      </c>
      <c r="L128" s="65">
        <v>3347</v>
      </c>
      <c r="M128" s="65">
        <v>2340.4</v>
      </c>
      <c r="N128" s="65">
        <v>1170.2</v>
      </c>
      <c r="O128" s="65">
        <v>1170.2</v>
      </c>
      <c r="P128" s="61">
        <v>142.2216</v>
      </c>
      <c r="Q128" s="58">
        <v>0.70309999999999995</v>
      </c>
      <c r="R128" t="s">
        <v>2338</v>
      </c>
      <c r="S128" t="s">
        <v>2311</v>
      </c>
    </row>
    <row r="129" spans="1:19">
      <c r="A129" t="s">
        <v>745</v>
      </c>
      <c r="B129" t="s">
        <v>746</v>
      </c>
      <c r="C129" s="40">
        <v>45833</v>
      </c>
      <c r="D129" s="65">
        <v>52464</v>
      </c>
      <c r="E129" s="65">
        <v>51796</v>
      </c>
      <c r="F129" s="65">
        <v>668</v>
      </c>
      <c r="G129" s="65">
        <v>184158.05</v>
      </c>
      <c r="H129" s="65">
        <v>97210.15</v>
      </c>
      <c r="I129" s="65">
        <v>86947.9</v>
      </c>
      <c r="J129" s="65">
        <v>14579</v>
      </c>
      <c r="K129" s="65">
        <v>13911</v>
      </c>
      <c r="L129" s="65">
        <v>668</v>
      </c>
      <c r="M129" s="65">
        <v>4771</v>
      </c>
      <c r="N129" s="65">
        <v>2385.5</v>
      </c>
      <c r="O129" s="65">
        <v>2385.5</v>
      </c>
      <c r="P129" s="61">
        <v>38.599499999999999</v>
      </c>
      <c r="Q129" s="58">
        <v>2.5907</v>
      </c>
      <c r="R129" t="s">
        <v>2342</v>
      </c>
      <c r="S129" t="s">
        <v>2318</v>
      </c>
    </row>
    <row r="130" spans="1:19">
      <c r="A130" t="s">
        <v>344</v>
      </c>
      <c r="B130" t="s">
        <v>345</v>
      </c>
      <c r="C130" s="40">
        <v>45832</v>
      </c>
      <c r="D130" s="65">
        <v>25263</v>
      </c>
      <c r="E130" s="65">
        <v>25174</v>
      </c>
      <c r="F130" s="65">
        <v>89</v>
      </c>
      <c r="G130" s="65">
        <v>9340.6299999999992</v>
      </c>
      <c r="H130" s="65">
        <v>6825.63</v>
      </c>
      <c r="I130" s="65">
        <v>2515</v>
      </c>
      <c r="J130" s="65">
        <v>19399</v>
      </c>
      <c r="K130" s="65">
        <v>19310</v>
      </c>
      <c r="L130" s="65">
        <v>89</v>
      </c>
      <c r="M130" s="65">
        <v>1325.36</v>
      </c>
      <c r="N130" s="65">
        <v>662.68</v>
      </c>
      <c r="O130" s="65">
        <v>662.68</v>
      </c>
      <c r="P130" s="61">
        <v>7.0476000000000001</v>
      </c>
      <c r="Q130" s="58">
        <v>14.1892</v>
      </c>
      <c r="R130" t="s">
        <v>2327</v>
      </c>
      <c r="S130" t="s">
        <v>2309</v>
      </c>
    </row>
    <row r="131" spans="1:19">
      <c r="A131" t="s">
        <v>605</v>
      </c>
      <c r="B131" t="s">
        <v>606</v>
      </c>
      <c r="C131" s="40">
        <v>45832</v>
      </c>
      <c r="D131" s="65">
        <v>48554</v>
      </c>
      <c r="E131" s="65">
        <v>46894</v>
      </c>
      <c r="F131" s="65">
        <v>1660</v>
      </c>
      <c r="G131" s="65">
        <v>581492.80000000005</v>
      </c>
      <c r="H131" s="65">
        <v>246445.8</v>
      </c>
      <c r="I131" s="65">
        <v>335047</v>
      </c>
      <c r="J131" s="65">
        <v>16245</v>
      </c>
      <c r="K131" s="65">
        <v>14585</v>
      </c>
      <c r="L131" s="65">
        <v>1660</v>
      </c>
      <c r="M131" s="65">
        <v>3411</v>
      </c>
      <c r="N131" s="65">
        <v>1705.5</v>
      </c>
      <c r="O131" s="65">
        <v>1705.5</v>
      </c>
      <c r="P131" s="61">
        <v>170.47579999999999</v>
      </c>
      <c r="Q131" s="58">
        <v>0.58660000000000001</v>
      </c>
      <c r="R131" t="s">
        <v>2346</v>
      </c>
      <c r="S131" t="s">
        <v>2299</v>
      </c>
    </row>
    <row r="132" spans="1:19">
      <c r="A132" t="s">
        <v>1014</v>
      </c>
      <c r="B132" t="s">
        <v>1015</v>
      </c>
      <c r="C132" s="40">
        <v>45828</v>
      </c>
      <c r="D132" s="65">
        <v>135427</v>
      </c>
      <c r="E132" s="65">
        <v>130077</v>
      </c>
      <c r="F132" s="65">
        <v>5350</v>
      </c>
      <c r="G132" s="65">
        <v>522726.9</v>
      </c>
      <c r="H132" s="65">
        <v>229025.9</v>
      </c>
      <c r="I132" s="65">
        <v>293701</v>
      </c>
      <c r="J132" s="65">
        <v>6114</v>
      </c>
      <c r="K132" s="65">
        <v>3057</v>
      </c>
      <c r="L132" s="65">
        <v>3057</v>
      </c>
      <c r="M132" s="65">
        <v>305.7</v>
      </c>
      <c r="N132" s="65">
        <v>152.85</v>
      </c>
      <c r="O132" s="65">
        <v>152.85</v>
      </c>
      <c r="P132" s="61">
        <v>1709.9341999999999</v>
      </c>
      <c r="Q132" s="58">
        <v>5.8500000000000003E-2</v>
      </c>
      <c r="R132" t="s">
        <v>2328</v>
      </c>
      <c r="S132" t="s">
        <v>2296</v>
      </c>
    </row>
    <row r="133" spans="1:19">
      <c r="A133" t="s">
        <v>622</v>
      </c>
      <c r="B133" t="s">
        <v>623</v>
      </c>
      <c r="C133" s="40">
        <v>45828</v>
      </c>
      <c r="D133" s="65">
        <v>24054</v>
      </c>
      <c r="E133" s="65">
        <v>23950</v>
      </c>
      <c r="F133" s="65">
        <v>104</v>
      </c>
      <c r="G133" s="65">
        <v>34497.839999999997</v>
      </c>
      <c r="H133" s="65">
        <v>17668.68</v>
      </c>
      <c r="I133" s="65">
        <v>16829.16</v>
      </c>
      <c r="J133" s="65">
        <v>9660</v>
      </c>
      <c r="K133" s="65">
        <v>9556</v>
      </c>
      <c r="L133" s="65">
        <v>104</v>
      </c>
      <c r="M133" s="65">
        <v>1623.84</v>
      </c>
      <c r="N133" s="65">
        <v>811.92</v>
      </c>
      <c r="O133" s="65">
        <v>811.92</v>
      </c>
      <c r="P133" s="61">
        <v>21.244599999999998</v>
      </c>
      <c r="Q133" s="58">
        <v>4.7070999999999996</v>
      </c>
      <c r="R133" t="s">
        <v>2326</v>
      </c>
      <c r="S133" t="s">
        <v>2292</v>
      </c>
    </row>
    <row r="134" spans="1:19">
      <c r="A134" t="s">
        <v>282</v>
      </c>
      <c r="B134" t="s">
        <v>283</v>
      </c>
      <c r="C134" s="40">
        <v>45828</v>
      </c>
      <c r="D134" s="65">
        <v>334840</v>
      </c>
      <c r="E134" s="65">
        <v>313491</v>
      </c>
      <c r="F134" s="65">
        <v>21349</v>
      </c>
      <c r="G134" s="65">
        <v>1886485.35</v>
      </c>
      <c r="H134" s="65">
        <v>370629.8</v>
      </c>
      <c r="I134" s="65">
        <v>1515855.55</v>
      </c>
      <c r="J134" s="65">
        <v>215361</v>
      </c>
      <c r="K134" s="65">
        <v>194012</v>
      </c>
      <c r="L134" s="65">
        <v>21349</v>
      </c>
      <c r="M134" s="65">
        <v>10981.06</v>
      </c>
      <c r="N134" s="65">
        <v>5490.53</v>
      </c>
      <c r="O134" s="65">
        <v>5490.53</v>
      </c>
      <c r="P134" s="61">
        <v>171.7945</v>
      </c>
      <c r="Q134" s="58">
        <v>0.58209999999999995</v>
      </c>
      <c r="R134" t="s">
        <v>2332</v>
      </c>
      <c r="S134" t="s">
        <v>2297</v>
      </c>
    </row>
    <row r="135" spans="1:19">
      <c r="A135" t="s">
        <v>279</v>
      </c>
      <c r="B135" t="s">
        <v>280</v>
      </c>
      <c r="C135" s="40">
        <v>45826</v>
      </c>
      <c r="D135" s="65">
        <v>379668</v>
      </c>
      <c r="E135" s="65">
        <v>356998</v>
      </c>
      <c r="F135" s="65">
        <v>22670</v>
      </c>
      <c r="G135" s="65">
        <v>1450155.26</v>
      </c>
      <c r="H135" s="65">
        <v>320887.75</v>
      </c>
      <c r="I135" s="65">
        <v>1129267.51</v>
      </c>
      <c r="J135" s="65">
        <v>172096</v>
      </c>
      <c r="K135" s="65">
        <v>149426</v>
      </c>
      <c r="L135" s="65">
        <v>22670</v>
      </c>
      <c r="M135" s="65">
        <v>5527.99</v>
      </c>
      <c r="N135" s="65">
        <v>2764</v>
      </c>
      <c r="O135" s="65">
        <v>2763.99</v>
      </c>
      <c r="P135" s="61">
        <v>262.32960000000003</v>
      </c>
      <c r="Q135" s="58">
        <v>0.38119999999999998</v>
      </c>
      <c r="R135" t="s">
        <v>2336</v>
      </c>
      <c r="S135" t="s">
        <v>2304</v>
      </c>
    </row>
    <row r="136" spans="1:19">
      <c r="A136" t="s">
        <v>846</v>
      </c>
      <c r="B136" t="s">
        <v>847</v>
      </c>
      <c r="C136" s="40">
        <v>45817</v>
      </c>
      <c r="D136" s="65">
        <v>26751</v>
      </c>
      <c r="E136" s="65">
        <v>26387</v>
      </c>
      <c r="F136" s="65">
        <v>364</v>
      </c>
      <c r="G136" s="65">
        <v>50776.95</v>
      </c>
      <c r="H136" s="65">
        <v>28568.95</v>
      </c>
      <c r="I136" s="65">
        <v>22208</v>
      </c>
      <c r="J136" s="65">
        <v>2793</v>
      </c>
      <c r="K136" s="65">
        <v>2429</v>
      </c>
      <c r="L136" s="65">
        <v>364</v>
      </c>
      <c r="M136" s="65">
        <v>243.05</v>
      </c>
      <c r="N136" s="65">
        <v>121.45</v>
      </c>
      <c r="O136" s="65">
        <v>121.6</v>
      </c>
      <c r="P136" s="61">
        <v>208.91569999999999</v>
      </c>
      <c r="Q136" s="58">
        <v>0.47870000000000001</v>
      </c>
      <c r="R136" t="s">
        <v>2334</v>
      </c>
      <c r="S136" t="s">
        <v>2294</v>
      </c>
    </row>
    <row r="137" spans="1:19">
      <c r="A137" t="s">
        <v>799</v>
      </c>
      <c r="B137" t="s">
        <v>800</v>
      </c>
      <c r="C137" s="40">
        <v>45817</v>
      </c>
      <c r="D137" s="65">
        <v>21482</v>
      </c>
      <c r="E137" s="65">
        <v>21319</v>
      </c>
      <c r="F137" s="65">
        <v>163</v>
      </c>
      <c r="G137" s="65">
        <v>15812.42</v>
      </c>
      <c r="H137" s="65">
        <v>9910.2199999999993</v>
      </c>
      <c r="I137" s="65">
        <v>5902.2</v>
      </c>
      <c r="J137" s="65">
        <v>4294</v>
      </c>
      <c r="K137" s="65">
        <v>4131</v>
      </c>
      <c r="L137" s="65">
        <v>163</v>
      </c>
      <c r="M137" s="65">
        <v>166.24</v>
      </c>
      <c r="N137" s="65">
        <v>83.12</v>
      </c>
      <c r="O137" s="65">
        <v>83.12</v>
      </c>
      <c r="P137" s="61">
        <v>95.117999999999995</v>
      </c>
      <c r="Q137" s="58">
        <v>1.0512999999999999</v>
      </c>
      <c r="R137" t="s">
        <v>2337</v>
      </c>
      <c r="S137" t="s">
        <v>2304</v>
      </c>
    </row>
    <row r="138" spans="1:19">
      <c r="A138" t="s">
        <v>923</v>
      </c>
      <c r="B138" t="s">
        <v>924</v>
      </c>
      <c r="C138" s="40">
        <v>45817</v>
      </c>
      <c r="D138" s="65">
        <v>32176</v>
      </c>
      <c r="E138" s="65">
        <v>31844</v>
      </c>
      <c r="F138" s="65">
        <v>332</v>
      </c>
      <c r="G138" s="65">
        <v>68214.84</v>
      </c>
      <c r="H138" s="65">
        <v>39623.96</v>
      </c>
      <c r="I138" s="65">
        <v>28590.880000000001</v>
      </c>
      <c r="J138" s="65">
        <v>15750</v>
      </c>
      <c r="K138" s="65">
        <v>15418</v>
      </c>
      <c r="L138" s="65">
        <v>332</v>
      </c>
      <c r="M138" s="65">
        <v>1242.8</v>
      </c>
      <c r="N138" s="65">
        <v>621.4</v>
      </c>
      <c r="O138" s="65">
        <v>621.4</v>
      </c>
      <c r="P138" s="61">
        <v>54.887999999999998</v>
      </c>
      <c r="Q138" s="58">
        <v>1.8219000000000001</v>
      </c>
      <c r="R138" t="s">
        <v>2340</v>
      </c>
      <c r="S138" t="s">
        <v>2308</v>
      </c>
    </row>
    <row r="139" spans="1:19">
      <c r="A139" t="s">
        <v>531</v>
      </c>
      <c r="B139" t="s">
        <v>532</v>
      </c>
      <c r="C139" s="40">
        <v>45806</v>
      </c>
      <c r="D139" s="65">
        <v>53647</v>
      </c>
      <c r="E139" s="65">
        <v>52375</v>
      </c>
      <c r="F139" s="65">
        <v>1272</v>
      </c>
      <c r="G139" s="65">
        <v>241163.56</v>
      </c>
      <c r="H139" s="65">
        <v>129494.16</v>
      </c>
      <c r="I139" s="65">
        <v>111669.4</v>
      </c>
      <c r="J139" s="65">
        <v>14172</v>
      </c>
      <c r="K139" s="65">
        <v>12900</v>
      </c>
      <c r="L139" s="65">
        <v>1272</v>
      </c>
      <c r="M139" s="65">
        <v>1217.92</v>
      </c>
      <c r="N139" s="65">
        <v>608.96</v>
      </c>
      <c r="O139" s="65">
        <v>608.96</v>
      </c>
      <c r="P139" s="61">
        <v>198.01259999999999</v>
      </c>
      <c r="Q139" s="58">
        <v>0.505</v>
      </c>
      <c r="R139" t="s">
        <v>2343</v>
      </c>
      <c r="S139" t="s">
        <v>2317</v>
      </c>
    </row>
    <row r="140" spans="1:19">
      <c r="A140" t="s">
        <v>1002</v>
      </c>
      <c r="B140" t="s">
        <v>1003</v>
      </c>
      <c r="C140" s="40">
        <v>45803</v>
      </c>
      <c r="D140" s="65">
        <v>49627</v>
      </c>
      <c r="E140" s="65">
        <v>48276</v>
      </c>
      <c r="F140" s="65">
        <v>1351</v>
      </c>
      <c r="G140" s="65">
        <v>143437.6</v>
      </c>
      <c r="H140" s="65">
        <v>73249.2</v>
      </c>
      <c r="I140" s="65">
        <v>70188.399999999994</v>
      </c>
      <c r="J140" s="65">
        <v>10396</v>
      </c>
      <c r="K140" s="65">
        <v>9045</v>
      </c>
      <c r="L140" s="65">
        <v>1351</v>
      </c>
      <c r="M140" s="65">
        <v>964.2</v>
      </c>
      <c r="N140" s="65">
        <v>482.1</v>
      </c>
      <c r="O140" s="65">
        <v>482.1</v>
      </c>
      <c r="P140" s="61">
        <v>148.76329999999999</v>
      </c>
      <c r="Q140" s="58">
        <v>0.67220000000000002</v>
      </c>
      <c r="R140" t="s">
        <v>2328</v>
      </c>
      <c r="S140" t="s">
        <v>2296</v>
      </c>
    </row>
    <row r="141" spans="1:19">
      <c r="A141" t="s">
        <v>371</v>
      </c>
      <c r="B141" t="s">
        <v>372</v>
      </c>
      <c r="C141" s="40">
        <v>45803</v>
      </c>
      <c r="D141" s="65">
        <v>18521</v>
      </c>
      <c r="E141" s="65">
        <v>18304</v>
      </c>
      <c r="F141" s="65">
        <v>217</v>
      </c>
      <c r="G141" s="65">
        <v>33539.15</v>
      </c>
      <c r="H141" s="65">
        <v>17171.400000000001</v>
      </c>
      <c r="I141" s="65">
        <v>16367.75</v>
      </c>
      <c r="J141" s="65">
        <v>11937</v>
      </c>
      <c r="K141" s="65">
        <v>11720</v>
      </c>
      <c r="L141" s="65">
        <v>217</v>
      </c>
      <c r="M141" s="65">
        <v>2037.3</v>
      </c>
      <c r="N141" s="65">
        <v>1018.65</v>
      </c>
      <c r="O141" s="65">
        <v>1018.65</v>
      </c>
      <c r="P141" s="61">
        <v>16.462499999999999</v>
      </c>
      <c r="Q141" s="58">
        <v>6.0743999999999998</v>
      </c>
      <c r="R141" t="s">
        <v>2338</v>
      </c>
      <c r="S141" t="s">
        <v>2311</v>
      </c>
    </row>
    <row r="142" spans="1:19">
      <c r="A142" t="s">
        <v>931</v>
      </c>
      <c r="B142" t="s">
        <v>932</v>
      </c>
      <c r="C142" s="40">
        <v>45799</v>
      </c>
      <c r="D142" s="65">
        <v>21541</v>
      </c>
      <c r="E142" s="65">
        <v>21436</v>
      </c>
      <c r="F142" s="65">
        <v>105</v>
      </c>
      <c r="G142" s="65">
        <v>11893.26</v>
      </c>
      <c r="H142" s="65">
        <v>6801.56</v>
      </c>
      <c r="I142" s="65">
        <v>5091.7</v>
      </c>
      <c r="J142" s="65">
        <v>21025</v>
      </c>
      <c r="K142" s="65">
        <v>20920</v>
      </c>
      <c r="L142" s="65">
        <v>105</v>
      </c>
      <c r="M142" s="65">
        <v>587.37</v>
      </c>
      <c r="N142" s="65">
        <v>293.69</v>
      </c>
      <c r="O142" s="65">
        <v>293.68</v>
      </c>
      <c r="P142" s="61">
        <v>20.2483</v>
      </c>
      <c r="Q142" s="58">
        <v>4.9386999999999999</v>
      </c>
      <c r="R142" t="s">
        <v>2328</v>
      </c>
      <c r="S142" t="s">
        <v>2296</v>
      </c>
    </row>
    <row r="143" spans="1:19">
      <c r="A143" t="s">
        <v>285</v>
      </c>
      <c r="B143" t="s">
        <v>286</v>
      </c>
      <c r="C143" s="40">
        <v>45799</v>
      </c>
      <c r="D143" s="65">
        <v>203874</v>
      </c>
      <c r="E143" s="65">
        <v>194421</v>
      </c>
      <c r="F143" s="65">
        <v>9453</v>
      </c>
      <c r="G143" s="65">
        <v>561675.92000000004</v>
      </c>
      <c r="H143" s="65">
        <v>185497.82</v>
      </c>
      <c r="I143" s="65">
        <v>376178.1</v>
      </c>
      <c r="J143" s="65">
        <v>92430</v>
      </c>
      <c r="K143" s="65">
        <v>82977</v>
      </c>
      <c r="L143" s="65">
        <v>9453</v>
      </c>
      <c r="M143" s="65">
        <v>4827.18</v>
      </c>
      <c r="N143" s="65">
        <v>2413.6</v>
      </c>
      <c r="O143" s="65">
        <v>2413.58</v>
      </c>
      <c r="P143" s="61">
        <v>116.3569</v>
      </c>
      <c r="Q143" s="58">
        <v>0.85940000000000005</v>
      </c>
      <c r="R143" t="s">
        <v>2328</v>
      </c>
      <c r="S143" t="s">
        <v>2296</v>
      </c>
    </row>
    <row r="144" spans="1:19">
      <c r="A144" t="s">
        <v>221</v>
      </c>
      <c r="B144" t="s">
        <v>1045</v>
      </c>
      <c r="C144" s="40">
        <v>45796</v>
      </c>
      <c r="D144" s="65">
        <v>310827</v>
      </c>
      <c r="E144" s="65">
        <v>291778</v>
      </c>
      <c r="F144" s="65">
        <v>19049</v>
      </c>
      <c r="G144" s="65">
        <v>133652.06</v>
      </c>
      <c r="H144" s="65">
        <v>33830.959999999999</v>
      </c>
      <c r="I144" s="65">
        <v>99821.1</v>
      </c>
      <c r="J144" s="65">
        <v>69891</v>
      </c>
      <c r="K144" s="65">
        <v>50842</v>
      </c>
      <c r="L144" s="65">
        <v>19049</v>
      </c>
      <c r="M144" s="65">
        <v>1016.84</v>
      </c>
      <c r="N144" s="65">
        <v>508.42</v>
      </c>
      <c r="O144" s="65">
        <v>508.42</v>
      </c>
      <c r="P144" s="61">
        <v>131.43860000000001</v>
      </c>
      <c r="Q144" s="58">
        <v>0.76080000000000003</v>
      </c>
      <c r="R144" t="s">
        <v>2335</v>
      </c>
      <c r="S144" t="s">
        <v>2297</v>
      </c>
    </row>
    <row r="145" spans="1:19">
      <c r="A145" t="s">
        <v>436</v>
      </c>
      <c r="B145" t="s">
        <v>437</v>
      </c>
      <c r="C145" s="40">
        <v>45792</v>
      </c>
      <c r="D145" s="65">
        <v>98482</v>
      </c>
      <c r="E145" s="65">
        <v>95708</v>
      </c>
      <c r="F145" s="65">
        <v>2774</v>
      </c>
      <c r="G145" s="65">
        <v>534625.52</v>
      </c>
      <c r="H145" s="65">
        <v>203064.72</v>
      </c>
      <c r="I145" s="65">
        <v>331560.8</v>
      </c>
      <c r="J145" s="65">
        <v>71751</v>
      </c>
      <c r="K145" s="65">
        <v>68977</v>
      </c>
      <c r="L145" s="65">
        <v>2774</v>
      </c>
      <c r="M145" s="65">
        <v>8418.2000000000007</v>
      </c>
      <c r="N145" s="65">
        <v>4209.12</v>
      </c>
      <c r="O145" s="65">
        <v>4209.08</v>
      </c>
      <c r="P145" s="61">
        <v>63.508299999999998</v>
      </c>
      <c r="Q145" s="58">
        <v>1.5746</v>
      </c>
      <c r="R145" t="s">
        <v>2345</v>
      </c>
      <c r="S145" t="s">
        <v>2309</v>
      </c>
    </row>
    <row r="146" spans="1:19">
      <c r="A146" t="s">
        <v>301</v>
      </c>
      <c r="B146" t="s">
        <v>302</v>
      </c>
      <c r="C146" s="40">
        <v>45784</v>
      </c>
      <c r="D146" s="65">
        <v>9151</v>
      </c>
      <c r="E146" s="65">
        <v>9137</v>
      </c>
      <c r="F146" s="65">
        <v>14</v>
      </c>
      <c r="G146" s="65">
        <v>2222.6999999999998</v>
      </c>
      <c r="H146" s="65">
        <v>1392.7</v>
      </c>
      <c r="I146" s="65">
        <v>830</v>
      </c>
      <c r="J146" s="65">
        <v>4988</v>
      </c>
      <c r="K146" s="65">
        <v>4974</v>
      </c>
      <c r="L146" s="65">
        <v>14</v>
      </c>
      <c r="M146" s="65">
        <v>634.33000000000004</v>
      </c>
      <c r="N146" s="65">
        <v>317.17</v>
      </c>
      <c r="O146" s="65">
        <v>317.16000000000003</v>
      </c>
      <c r="P146" s="61">
        <v>3.504</v>
      </c>
      <c r="Q146" s="58">
        <v>28.538699999999999</v>
      </c>
      <c r="R146" t="s">
        <v>2335</v>
      </c>
      <c r="S146" t="s">
        <v>2297</v>
      </c>
    </row>
    <row r="147" spans="1:19">
      <c r="A147" t="s">
        <v>440</v>
      </c>
      <c r="B147" t="s">
        <v>441</v>
      </c>
      <c r="C147" s="40">
        <v>45784</v>
      </c>
      <c r="D147" s="65">
        <v>127637</v>
      </c>
      <c r="E147" s="65">
        <v>119494</v>
      </c>
      <c r="F147" s="65">
        <v>8143</v>
      </c>
      <c r="G147" s="65">
        <v>87216.225000000006</v>
      </c>
      <c r="H147" s="65">
        <v>30952.758000000002</v>
      </c>
      <c r="I147" s="65">
        <v>56263.466999999997</v>
      </c>
      <c r="J147" s="65">
        <v>28238</v>
      </c>
      <c r="K147" s="65">
        <v>20095</v>
      </c>
      <c r="L147" s="65">
        <v>8143</v>
      </c>
      <c r="M147" s="65">
        <v>120.56699999999999</v>
      </c>
      <c r="N147" s="65">
        <v>60.284999999999997</v>
      </c>
      <c r="O147" s="65">
        <v>60.281999999999996</v>
      </c>
      <c r="P147" s="61">
        <v>723.38390000000004</v>
      </c>
      <c r="Q147" s="58">
        <v>0.13819999999999999</v>
      </c>
      <c r="R147" t="s">
        <v>2345</v>
      </c>
      <c r="S147" t="s">
        <v>2304</v>
      </c>
    </row>
    <row r="148" spans="1:19">
      <c r="A148" t="s">
        <v>791</v>
      </c>
      <c r="B148" t="s">
        <v>792</v>
      </c>
      <c r="C148" s="40">
        <v>45783</v>
      </c>
      <c r="D148" s="65">
        <v>30638</v>
      </c>
      <c r="E148" s="65">
        <v>30391</v>
      </c>
      <c r="F148" s="65">
        <v>247</v>
      </c>
      <c r="G148" s="65">
        <v>25834.04</v>
      </c>
      <c r="H148" s="65">
        <v>16199.04</v>
      </c>
      <c r="I148" s="65">
        <v>9635</v>
      </c>
      <c r="J148" s="65">
        <v>4937</v>
      </c>
      <c r="K148" s="65">
        <v>4690</v>
      </c>
      <c r="L148" s="65">
        <v>247</v>
      </c>
      <c r="M148" s="65">
        <v>260</v>
      </c>
      <c r="N148" s="65">
        <v>130</v>
      </c>
      <c r="O148" s="65">
        <v>130</v>
      </c>
      <c r="P148" s="61">
        <v>99.361699999999999</v>
      </c>
      <c r="Q148" s="58">
        <v>1.0064</v>
      </c>
      <c r="R148" t="s">
        <v>2335</v>
      </c>
      <c r="S148" t="s">
        <v>2297</v>
      </c>
    </row>
    <row r="149" spans="1:19">
      <c r="A149" t="s">
        <v>525</v>
      </c>
      <c r="B149" t="s">
        <v>526</v>
      </c>
      <c r="C149" s="40">
        <v>45761</v>
      </c>
      <c r="D149" s="65">
        <v>26857</v>
      </c>
      <c r="E149" s="65">
        <v>25720</v>
      </c>
      <c r="F149" s="65">
        <v>1137</v>
      </c>
      <c r="G149" s="65">
        <v>17354.150000000001</v>
      </c>
      <c r="H149" s="65">
        <v>7922.67</v>
      </c>
      <c r="I149" s="65">
        <v>9431.48</v>
      </c>
      <c r="J149" s="65">
        <v>24801</v>
      </c>
      <c r="K149" s="65">
        <v>23664</v>
      </c>
      <c r="L149" s="65">
        <v>1137</v>
      </c>
      <c r="M149" s="65">
        <v>753.58</v>
      </c>
      <c r="N149" s="65">
        <v>376.79</v>
      </c>
      <c r="O149" s="65">
        <v>376.79</v>
      </c>
      <c r="P149" s="61">
        <v>23.0289</v>
      </c>
      <c r="Q149" s="58">
        <v>4.3423999999999996</v>
      </c>
      <c r="R149" t="s">
        <v>2328</v>
      </c>
      <c r="S149" t="s">
        <v>2296</v>
      </c>
    </row>
    <row r="150" spans="1:19">
      <c r="A150" t="s">
        <v>432</v>
      </c>
      <c r="B150" t="s">
        <v>433</v>
      </c>
      <c r="C150" s="40">
        <v>45758</v>
      </c>
      <c r="D150" s="65">
        <v>5998</v>
      </c>
      <c r="E150" s="65">
        <v>5992</v>
      </c>
      <c r="F150" s="65">
        <v>6</v>
      </c>
      <c r="G150" s="65">
        <v>4269.6000000000004</v>
      </c>
      <c r="H150" s="65">
        <v>2011.74</v>
      </c>
      <c r="I150" s="65">
        <v>2257.86</v>
      </c>
      <c r="J150" s="65">
        <v>5998</v>
      </c>
      <c r="K150" s="65">
        <v>5992</v>
      </c>
      <c r="L150" s="65">
        <v>6</v>
      </c>
      <c r="M150" s="65">
        <v>1215.24</v>
      </c>
      <c r="N150" s="65">
        <v>607.62</v>
      </c>
      <c r="O150" s="65">
        <v>607.62</v>
      </c>
      <c r="P150" s="61">
        <v>3.5133999999999999</v>
      </c>
      <c r="Q150" s="58">
        <v>28.462599999999998</v>
      </c>
      <c r="R150" t="s">
        <v>2335</v>
      </c>
      <c r="S150" t="s">
        <v>2297</v>
      </c>
    </row>
    <row r="151" spans="1:19">
      <c r="A151" t="s">
        <v>564</v>
      </c>
      <c r="B151" t="s">
        <v>565</v>
      </c>
      <c r="C151" s="40">
        <v>45744</v>
      </c>
      <c r="D151" s="65">
        <v>9084</v>
      </c>
      <c r="E151" s="65">
        <v>9077</v>
      </c>
      <c r="F151" s="65">
        <v>7</v>
      </c>
      <c r="G151" s="65">
        <v>25155.200000000001</v>
      </c>
      <c r="H151" s="65">
        <v>23830.2</v>
      </c>
      <c r="I151" s="65">
        <v>1325</v>
      </c>
      <c r="J151" s="65">
        <v>2491</v>
      </c>
      <c r="K151" s="65">
        <v>2484</v>
      </c>
      <c r="L151" s="65">
        <v>7</v>
      </c>
      <c r="M151" s="65">
        <v>889.2</v>
      </c>
      <c r="N151" s="65">
        <v>444.6</v>
      </c>
      <c r="O151" s="65">
        <v>444.6</v>
      </c>
      <c r="P151" s="61">
        <v>28.2897</v>
      </c>
      <c r="Q151" s="58">
        <v>3.5348999999999999</v>
      </c>
      <c r="R151" t="s">
        <v>2347</v>
      </c>
      <c r="S151" t="s">
        <v>2312</v>
      </c>
    </row>
    <row r="152" spans="1:19">
      <c r="A152" t="s">
        <v>705</v>
      </c>
      <c r="B152" t="s">
        <v>706</v>
      </c>
      <c r="C152" s="40">
        <v>45742</v>
      </c>
      <c r="D152" s="65">
        <v>19843</v>
      </c>
      <c r="E152" s="65">
        <v>19731</v>
      </c>
      <c r="F152" s="65">
        <v>112</v>
      </c>
      <c r="G152" s="65">
        <v>417717</v>
      </c>
      <c r="H152" s="65">
        <v>296667</v>
      </c>
      <c r="I152" s="65">
        <v>121050</v>
      </c>
      <c r="J152" s="65">
        <v>10957</v>
      </c>
      <c r="K152" s="65">
        <v>10845</v>
      </c>
      <c r="L152" s="65">
        <v>112</v>
      </c>
      <c r="M152" s="65">
        <v>12499.5</v>
      </c>
      <c r="N152" s="65">
        <v>6249.5</v>
      </c>
      <c r="O152" s="65">
        <v>6250</v>
      </c>
      <c r="P152" s="61">
        <v>33.418700000000001</v>
      </c>
      <c r="Q152" s="58">
        <v>2.9923000000000002</v>
      </c>
      <c r="R152" t="s">
        <v>2342</v>
      </c>
      <c r="S152" t="s">
        <v>2312</v>
      </c>
    </row>
    <row r="153" spans="1:19">
      <c r="A153" t="s">
        <v>411</v>
      </c>
      <c r="B153" t="s">
        <v>412</v>
      </c>
      <c r="C153" s="40">
        <v>45740</v>
      </c>
      <c r="D153" s="65">
        <v>12791</v>
      </c>
      <c r="E153" s="65">
        <v>12760</v>
      </c>
      <c r="F153" s="65">
        <v>31</v>
      </c>
      <c r="G153" s="65">
        <v>3432.73</v>
      </c>
      <c r="H153" s="65">
        <v>2152.73</v>
      </c>
      <c r="I153" s="65">
        <v>1280</v>
      </c>
      <c r="J153" s="65">
        <v>12791</v>
      </c>
      <c r="K153" s="65">
        <v>12760</v>
      </c>
      <c r="L153" s="65">
        <v>31</v>
      </c>
      <c r="M153" s="65">
        <v>882.36</v>
      </c>
      <c r="N153" s="65">
        <v>441.18</v>
      </c>
      <c r="O153" s="65">
        <v>441.18</v>
      </c>
      <c r="P153" s="61">
        <v>3.8904000000000001</v>
      </c>
      <c r="Q153" s="58">
        <v>25.7043</v>
      </c>
      <c r="R153" t="s">
        <v>2341</v>
      </c>
      <c r="S153" t="s">
        <v>2307</v>
      </c>
    </row>
    <row r="154" spans="1:19">
      <c r="A154" t="s">
        <v>1036</v>
      </c>
      <c r="B154" t="s">
        <v>1037</v>
      </c>
      <c r="C154" s="40">
        <v>45736</v>
      </c>
      <c r="D154" s="65">
        <v>22345</v>
      </c>
      <c r="E154" s="65">
        <v>22138</v>
      </c>
      <c r="F154" s="65">
        <v>207</v>
      </c>
      <c r="G154" s="65">
        <v>7190.89</v>
      </c>
      <c r="H154" s="65">
        <v>3759.39</v>
      </c>
      <c r="I154" s="65">
        <v>3431.5</v>
      </c>
      <c r="J154" s="65">
        <v>7498</v>
      </c>
      <c r="K154" s="65">
        <v>7291</v>
      </c>
      <c r="L154" s="65">
        <v>207</v>
      </c>
      <c r="M154" s="65">
        <v>455.4</v>
      </c>
      <c r="N154" s="65">
        <v>227.7</v>
      </c>
      <c r="O154" s="65">
        <v>227.7</v>
      </c>
      <c r="P154" s="61">
        <v>15.7903</v>
      </c>
      <c r="Q154" s="58">
        <v>6.3330000000000002</v>
      </c>
      <c r="R154" t="s">
        <v>2328</v>
      </c>
      <c r="S154" t="s">
        <v>2296</v>
      </c>
    </row>
    <row r="155" spans="1:19">
      <c r="A155" t="s">
        <v>364</v>
      </c>
      <c r="B155" t="s">
        <v>365</v>
      </c>
      <c r="C155" s="40">
        <v>45723</v>
      </c>
      <c r="D155" s="65">
        <v>29964</v>
      </c>
      <c r="E155" s="65">
        <v>29872</v>
      </c>
      <c r="F155" s="65">
        <v>92</v>
      </c>
      <c r="G155" s="65">
        <v>19601.22</v>
      </c>
      <c r="H155" s="65">
        <v>13501.22</v>
      </c>
      <c r="I155" s="65">
        <v>6100</v>
      </c>
      <c r="J155" s="65">
        <v>19625</v>
      </c>
      <c r="K155" s="65">
        <v>19533</v>
      </c>
      <c r="L155" s="65">
        <v>92</v>
      </c>
      <c r="M155" s="65">
        <v>2056.52</v>
      </c>
      <c r="N155" s="65">
        <v>1028.26</v>
      </c>
      <c r="O155" s="65">
        <v>1028.26</v>
      </c>
      <c r="P155" s="61">
        <v>9.5312999999999999</v>
      </c>
      <c r="Q155" s="58">
        <v>10.4918</v>
      </c>
      <c r="R155" t="s">
        <v>2341</v>
      </c>
      <c r="S155" t="s">
        <v>2315</v>
      </c>
    </row>
    <row r="156" spans="1:19">
      <c r="A156" t="s">
        <v>295</v>
      </c>
      <c r="B156" t="s">
        <v>296</v>
      </c>
      <c r="C156" s="40">
        <v>45716</v>
      </c>
      <c r="D156" s="65">
        <v>264992</v>
      </c>
      <c r="E156" s="65">
        <v>226091</v>
      </c>
      <c r="F156" s="65">
        <v>38901</v>
      </c>
      <c r="G156" s="65">
        <v>897050.65</v>
      </c>
      <c r="H156" s="65">
        <v>76641.55</v>
      </c>
      <c r="I156" s="65">
        <v>820409.1</v>
      </c>
      <c r="J156" s="65">
        <v>70212</v>
      </c>
      <c r="K156" s="65">
        <v>42650</v>
      </c>
      <c r="L156" s="65">
        <v>27562</v>
      </c>
      <c r="M156" s="65">
        <v>853</v>
      </c>
      <c r="N156" s="65">
        <v>426.5</v>
      </c>
      <c r="O156" s="65">
        <v>426.5</v>
      </c>
      <c r="P156" s="61">
        <v>1051.6420000000001</v>
      </c>
      <c r="Q156" s="58">
        <v>9.5100000000000004E-2</v>
      </c>
      <c r="R156" t="s">
        <v>2345</v>
      </c>
      <c r="S156" t="s">
        <v>2304</v>
      </c>
    </row>
    <row r="157" spans="1:19">
      <c r="A157" t="s">
        <v>360</v>
      </c>
      <c r="B157" t="s">
        <v>361</v>
      </c>
      <c r="C157" s="40">
        <v>45699</v>
      </c>
      <c r="D157" s="65">
        <v>29086</v>
      </c>
      <c r="E157" s="65">
        <v>27448</v>
      </c>
      <c r="F157" s="65">
        <v>1638</v>
      </c>
      <c r="G157" s="65">
        <v>309079.64</v>
      </c>
      <c r="H157" s="65">
        <v>109105.88</v>
      </c>
      <c r="I157" s="65">
        <v>199973.76000000001</v>
      </c>
      <c r="J157" s="65">
        <v>29086</v>
      </c>
      <c r="K157" s="65">
        <v>27448</v>
      </c>
      <c r="L157" s="65">
        <v>1638</v>
      </c>
      <c r="M157" s="65">
        <v>7930.6</v>
      </c>
      <c r="N157" s="65">
        <v>3965.32</v>
      </c>
      <c r="O157" s="65">
        <v>3965.28</v>
      </c>
      <c r="P157" s="61">
        <v>38.972999999999999</v>
      </c>
      <c r="Q157" s="58">
        <v>2.5659000000000001</v>
      </c>
      <c r="R157" t="s">
        <v>2345</v>
      </c>
      <c r="S157" t="s">
        <v>2304</v>
      </c>
    </row>
    <row r="158" spans="1:19">
      <c r="A158" t="s">
        <v>919</v>
      </c>
      <c r="B158" t="s">
        <v>920</v>
      </c>
      <c r="C158" s="40">
        <v>45671</v>
      </c>
      <c r="D158" s="65">
        <v>4565</v>
      </c>
      <c r="E158" s="65">
        <v>4561</v>
      </c>
      <c r="F158" s="65">
        <v>4</v>
      </c>
      <c r="G158" s="65">
        <v>885.54</v>
      </c>
      <c r="H158" s="65">
        <v>760.54</v>
      </c>
      <c r="I158" s="65">
        <v>125</v>
      </c>
      <c r="J158" s="65">
        <v>4565</v>
      </c>
      <c r="K158" s="65">
        <v>4561</v>
      </c>
      <c r="L158" s="65">
        <v>4</v>
      </c>
      <c r="M158" s="65">
        <v>333.34</v>
      </c>
      <c r="N158" s="65">
        <v>208.34</v>
      </c>
      <c r="O158" s="65">
        <v>125</v>
      </c>
      <c r="P158" s="61">
        <v>2.6566000000000001</v>
      </c>
      <c r="Q158" s="58">
        <v>37.642600000000002</v>
      </c>
      <c r="R158" t="s">
        <v>2329</v>
      </c>
      <c r="S158" t="s">
        <v>2298</v>
      </c>
    </row>
    <row r="159" spans="1:19">
      <c r="A159" t="s">
        <v>581</v>
      </c>
      <c r="B159" t="s">
        <v>582</v>
      </c>
      <c r="C159" s="40">
        <v>45667</v>
      </c>
      <c r="D159" s="65">
        <v>2352</v>
      </c>
      <c r="E159" s="65">
        <v>2352</v>
      </c>
      <c r="G159" s="65">
        <v>1453.8</v>
      </c>
      <c r="H159" s="65">
        <v>1453.8</v>
      </c>
      <c r="J159" s="65">
        <v>2352</v>
      </c>
      <c r="K159" s="65">
        <v>2352</v>
      </c>
      <c r="M159" s="65">
        <v>1453.8</v>
      </c>
      <c r="N159" s="65">
        <v>1453.8</v>
      </c>
      <c r="P159" s="61">
        <v>1</v>
      </c>
      <c r="Q159" s="58">
        <v>100</v>
      </c>
      <c r="R159" t="s">
        <v>2319</v>
      </c>
      <c r="S159" t="s">
        <v>2320</v>
      </c>
    </row>
    <row r="160" spans="1:19">
      <c r="A160" t="s">
        <v>678</v>
      </c>
      <c r="B160" t="s">
        <v>679</v>
      </c>
      <c r="C160" s="40">
        <v>45667</v>
      </c>
      <c r="D160" s="65">
        <v>2336</v>
      </c>
      <c r="E160" s="65">
        <v>2333</v>
      </c>
      <c r="F160" s="65">
        <v>3</v>
      </c>
      <c r="G160" s="65">
        <v>6042.8</v>
      </c>
      <c r="H160" s="65">
        <v>4042.8</v>
      </c>
      <c r="I160" s="65">
        <v>2000</v>
      </c>
      <c r="J160" s="65">
        <v>2044</v>
      </c>
      <c r="K160" s="65">
        <v>2041</v>
      </c>
      <c r="L160" s="65">
        <v>3</v>
      </c>
      <c r="M160" s="65">
        <v>2400</v>
      </c>
      <c r="N160" s="65">
        <v>1200</v>
      </c>
      <c r="O160" s="65">
        <v>1200</v>
      </c>
      <c r="P160" s="61">
        <v>2.5177999999999998</v>
      </c>
      <c r="Q160" s="58">
        <v>39.716700000000003</v>
      </c>
      <c r="R160" t="s">
        <v>2333</v>
      </c>
      <c r="S160" t="s">
        <v>2300</v>
      </c>
    </row>
    <row r="161" spans="1:19">
      <c r="A161" t="s">
        <v>641</v>
      </c>
      <c r="B161" t="s">
        <v>642</v>
      </c>
      <c r="C161" s="40">
        <v>45666</v>
      </c>
      <c r="D161" s="65">
        <v>126841</v>
      </c>
      <c r="E161" s="65">
        <v>98721</v>
      </c>
      <c r="F161" s="65">
        <v>28120</v>
      </c>
      <c r="G161" s="65">
        <v>1447371.36</v>
      </c>
      <c r="H161" s="65">
        <v>127872.96000000001</v>
      </c>
      <c r="I161" s="65">
        <v>1319498.3999999999</v>
      </c>
      <c r="J161" s="65">
        <v>40201</v>
      </c>
      <c r="K161" s="65">
        <v>20101</v>
      </c>
      <c r="L161" s="65">
        <v>20100</v>
      </c>
      <c r="M161" s="65">
        <v>1206.03</v>
      </c>
      <c r="N161" s="65">
        <v>603.03</v>
      </c>
      <c r="O161" s="65">
        <v>603</v>
      </c>
      <c r="P161" s="61">
        <v>1200.1122</v>
      </c>
      <c r="Q161" s="58">
        <v>8.3299999999999999E-2</v>
      </c>
      <c r="R161" t="s">
        <v>2330</v>
      </c>
      <c r="S161" t="s">
        <v>2299</v>
      </c>
    </row>
    <row r="162" spans="1:19">
      <c r="A162" t="s">
        <v>817</v>
      </c>
      <c r="B162" t="s">
        <v>818</v>
      </c>
      <c r="C162" s="40">
        <v>45666</v>
      </c>
      <c r="D162" s="65">
        <v>9340</v>
      </c>
      <c r="E162" s="65">
        <v>9277</v>
      </c>
      <c r="F162" s="65">
        <v>63</v>
      </c>
      <c r="G162" s="65">
        <v>162919.20000000001</v>
      </c>
      <c r="H162" s="65">
        <v>117253.6</v>
      </c>
      <c r="I162" s="65">
        <v>45665.599999999999</v>
      </c>
      <c r="J162" s="65">
        <v>5958</v>
      </c>
      <c r="K162" s="65">
        <v>5895</v>
      </c>
      <c r="L162" s="65">
        <v>63</v>
      </c>
      <c r="M162" s="65">
        <v>10000</v>
      </c>
      <c r="N162" s="65">
        <v>5000</v>
      </c>
      <c r="O162" s="65">
        <v>5000</v>
      </c>
      <c r="P162" s="61">
        <v>16.291899999999998</v>
      </c>
      <c r="Q162" s="58">
        <v>6.1379999999999999</v>
      </c>
      <c r="R162" t="s">
        <v>2326</v>
      </c>
      <c r="S162" t="s">
        <v>2292</v>
      </c>
    </row>
    <row r="163" spans="1:19">
      <c r="A163" t="s">
        <v>483</v>
      </c>
      <c r="B163" t="s">
        <v>484</v>
      </c>
      <c r="C163" s="40">
        <v>45665</v>
      </c>
      <c r="D163" s="65">
        <v>11856</v>
      </c>
      <c r="E163" s="65">
        <v>11839</v>
      </c>
      <c r="F163" s="65">
        <v>17</v>
      </c>
      <c r="G163" s="65">
        <v>37444.699999999997</v>
      </c>
      <c r="H163" s="65">
        <v>32694.9</v>
      </c>
      <c r="I163" s="65">
        <v>4749.8</v>
      </c>
      <c r="J163" s="65">
        <v>9682</v>
      </c>
      <c r="K163" s="65">
        <v>9665</v>
      </c>
      <c r="L163" s="65">
        <v>17</v>
      </c>
      <c r="M163" s="65">
        <v>4349.3</v>
      </c>
      <c r="N163" s="65">
        <v>2174.6999999999998</v>
      </c>
      <c r="O163" s="65">
        <v>2174.6</v>
      </c>
      <c r="P163" s="61">
        <v>8.6094000000000008</v>
      </c>
      <c r="Q163" s="58">
        <v>11.6153</v>
      </c>
      <c r="R163" t="s">
        <v>2348</v>
      </c>
      <c r="S163" t="s">
        <v>2303</v>
      </c>
    </row>
    <row r="164" spans="1:19">
      <c r="A164" t="s">
        <v>773</v>
      </c>
      <c r="B164" t="s">
        <v>774</v>
      </c>
      <c r="C164" s="40">
        <v>45665</v>
      </c>
      <c r="D164" s="65">
        <v>12389</v>
      </c>
      <c r="E164" s="65">
        <v>12351</v>
      </c>
      <c r="F164" s="65">
        <v>38</v>
      </c>
      <c r="G164" s="65">
        <v>5533.23</v>
      </c>
      <c r="H164" s="65">
        <v>4563.2299999999996</v>
      </c>
      <c r="I164" s="65">
        <v>970</v>
      </c>
      <c r="J164" s="65">
        <v>7755</v>
      </c>
      <c r="K164" s="65">
        <v>7717</v>
      </c>
      <c r="L164" s="65">
        <v>38</v>
      </c>
      <c r="M164" s="65">
        <v>189.42</v>
      </c>
      <c r="N164" s="65">
        <v>94.71</v>
      </c>
      <c r="O164" s="65">
        <v>94.71</v>
      </c>
      <c r="P164" s="61">
        <v>29.211400000000001</v>
      </c>
      <c r="Q164" s="58">
        <v>3.4232999999999998</v>
      </c>
      <c r="R164" t="s">
        <v>2349</v>
      </c>
      <c r="S164" t="s">
        <v>2297</v>
      </c>
    </row>
    <row r="165" spans="1:19">
      <c r="A165" t="s">
        <v>970</v>
      </c>
      <c r="B165" t="s">
        <v>971</v>
      </c>
      <c r="C165" s="40">
        <v>45664</v>
      </c>
      <c r="D165" s="65">
        <v>10891</v>
      </c>
      <c r="E165" s="65">
        <v>10878</v>
      </c>
      <c r="F165" s="65">
        <v>13</v>
      </c>
      <c r="G165" s="65">
        <v>20638.599999999999</v>
      </c>
      <c r="H165" s="65">
        <v>17038.599999999999</v>
      </c>
      <c r="I165" s="65">
        <v>3600</v>
      </c>
      <c r="J165" s="65">
        <v>7468</v>
      </c>
      <c r="K165" s="65">
        <v>7455</v>
      </c>
      <c r="L165" s="65">
        <v>13</v>
      </c>
      <c r="M165" s="65">
        <v>1811.2</v>
      </c>
      <c r="N165" s="65">
        <v>905.6</v>
      </c>
      <c r="O165" s="65">
        <v>905.6</v>
      </c>
      <c r="P165" s="61">
        <v>11.395</v>
      </c>
      <c r="Q165" s="58">
        <v>8.7758000000000003</v>
      </c>
      <c r="R165" t="s">
        <v>2326</v>
      </c>
      <c r="S165" t="s">
        <v>2292</v>
      </c>
    </row>
    <row r="166" spans="1:19">
      <c r="A166" t="s">
        <v>749</v>
      </c>
      <c r="B166" t="s">
        <v>750</v>
      </c>
      <c r="C166" s="40">
        <v>45653</v>
      </c>
      <c r="D166" s="65">
        <v>3136</v>
      </c>
      <c r="E166" s="65">
        <v>3128</v>
      </c>
      <c r="F166" s="65">
        <v>8</v>
      </c>
      <c r="G166" s="65">
        <v>257.69499999999999</v>
      </c>
      <c r="H166" s="65">
        <v>149.51499999999999</v>
      </c>
      <c r="I166" s="65">
        <v>108.18</v>
      </c>
      <c r="J166" s="65">
        <v>2822</v>
      </c>
      <c r="K166" s="65">
        <v>2814</v>
      </c>
      <c r="L166" s="65">
        <v>8</v>
      </c>
      <c r="M166" s="65">
        <v>70.36</v>
      </c>
      <c r="N166" s="65">
        <v>35.18</v>
      </c>
      <c r="O166" s="65">
        <v>35.18</v>
      </c>
      <c r="P166" s="61">
        <v>3.6625000000000001</v>
      </c>
      <c r="Q166" s="58">
        <v>27.303599999999999</v>
      </c>
      <c r="R166" t="s">
        <v>2327</v>
      </c>
      <c r="S166" t="s">
        <v>2292</v>
      </c>
    </row>
    <row r="167" spans="1:19">
      <c r="A167" t="s">
        <v>588</v>
      </c>
      <c r="B167" t="s">
        <v>589</v>
      </c>
      <c r="C167" s="40">
        <v>45653</v>
      </c>
      <c r="D167" s="65">
        <v>4889</v>
      </c>
      <c r="E167" s="65">
        <v>4869</v>
      </c>
      <c r="F167" s="65">
        <v>20</v>
      </c>
      <c r="G167" s="65">
        <v>8604.25</v>
      </c>
      <c r="H167" s="65">
        <v>7129.25</v>
      </c>
      <c r="I167" s="65">
        <v>1475</v>
      </c>
      <c r="J167" s="65">
        <v>3225</v>
      </c>
      <c r="K167" s="65">
        <v>3205</v>
      </c>
      <c r="L167" s="65">
        <v>20</v>
      </c>
      <c r="M167" s="65">
        <v>330</v>
      </c>
      <c r="N167" s="65">
        <v>165</v>
      </c>
      <c r="O167" s="65">
        <v>165</v>
      </c>
      <c r="P167" s="61">
        <v>26.073499999999999</v>
      </c>
      <c r="Q167" s="58">
        <v>3.8353000000000002</v>
      </c>
      <c r="R167" t="s">
        <v>2326</v>
      </c>
      <c r="S167" t="s">
        <v>2292</v>
      </c>
    </row>
    <row r="168" spans="1:19">
      <c r="A168" t="s">
        <v>735</v>
      </c>
      <c r="B168" t="s">
        <v>736</v>
      </c>
      <c r="C168" s="40">
        <v>45653</v>
      </c>
      <c r="D168" s="65">
        <v>6105</v>
      </c>
      <c r="E168" s="65">
        <v>6095</v>
      </c>
      <c r="F168" s="65">
        <v>10</v>
      </c>
      <c r="G168" s="65">
        <v>1299.8900000000001</v>
      </c>
      <c r="H168" s="65">
        <v>989.89</v>
      </c>
      <c r="I168" s="65">
        <v>310</v>
      </c>
      <c r="J168" s="65">
        <v>5532</v>
      </c>
      <c r="K168" s="65">
        <v>5522</v>
      </c>
      <c r="L168" s="65">
        <v>10</v>
      </c>
      <c r="M168" s="65">
        <v>453.64</v>
      </c>
      <c r="N168" s="65">
        <v>226.82</v>
      </c>
      <c r="O168" s="65">
        <v>226.82</v>
      </c>
      <c r="P168" s="61">
        <v>2.8654999999999999</v>
      </c>
      <c r="Q168" s="58">
        <v>34.898299999999999</v>
      </c>
      <c r="R168" t="s">
        <v>2331</v>
      </c>
      <c r="S168" t="s">
        <v>2295</v>
      </c>
    </row>
    <row r="169" spans="1:19">
      <c r="A169" t="s">
        <v>785</v>
      </c>
      <c r="B169" t="s">
        <v>786</v>
      </c>
      <c r="C169" s="40">
        <v>45650</v>
      </c>
      <c r="D169" s="65">
        <v>11407</v>
      </c>
      <c r="E169" s="65">
        <v>11382</v>
      </c>
      <c r="F169" s="65">
        <v>25</v>
      </c>
      <c r="G169" s="65">
        <v>5501.92</v>
      </c>
      <c r="H169" s="65">
        <v>4361.92</v>
      </c>
      <c r="I169" s="65">
        <v>1140</v>
      </c>
      <c r="J169" s="65">
        <v>7899</v>
      </c>
      <c r="K169" s="65">
        <v>7874</v>
      </c>
      <c r="L169" s="65">
        <v>25</v>
      </c>
      <c r="M169" s="65">
        <v>391.9</v>
      </c>
      <c r="N169" s="65">
        <v>195.96</v>
      </c>
      <c r="O169" s="65">
        <v>195.94</v>
      </c>
      <c r="P169" s="61">
        <v>14.039099999999999</v>
      </c>
      <c r="Q169" s="58">
        <v>7.1230000000000002</v>
      </c>
      <c r="R169" t="s">
        <v>2327</v>
      </c>
      <c r="S169" t="s">
        <v>2298</v>
      </c>
    </row>
    <row r="170" spans="1:19">
      <c r="A170" t="s">
        <v>422</v>
      </c>
      <c r="B170" t="s">
        <v>423</v>
      </c>
      <c r="C170" s="40">
        <v>45646</v>
      </c>
      <c r="D170" s="65">
        <v>2488</v>
      </c>
      <c r="E170" s="65">
        <v>2483</v>
      </c>
      <c r="F170" s="65">
        <v>5</v>
      </c>
      <c r="G170" s="65">
        <v>1461.28</v>
      </c>
      <c r="H170" s="65">
        <v>841.28</v>
      </c>
      <c r="I170" s="65">
        <v>620</v>
      </c>
      <c r="J170" s="65">
        <v>2488</v>
      </c>
      <c r="K170" s="65">
        <v>2483</v>
      </c>
      <c r="L170" s="65">
        <v>5</v>
      </c>
      <c r="M170" s="65">
        <v>1011.84</v>
      </c>
      <c r="N170" s="65">
        <v>505.92</v>
      </c>
      <c r="O170" s="65">
        <v>505.92</v>
      </c>
      <c r="P170" s="61">
        <v>1.4441999999999999</v>
      </c>
      <c r="Q170" s="58">
        <v>69.243399999999994</v>
      </c>
      <c r="R170" t="s">
        <v>2345</v>
      </c>
      <c r="S170" t="s">
        <v>2309</v>
      </c>
    </row>
    <row r="171" spans="1:19">
      <c r="A171" t="s">
        <v>876</v>
      </c>
      <c r="B171" t="s">
        <v>877</v>
      </c>
      <c r="C171" s="40">
        <v>45646</v>
      </c>
      <c r="D171" s="65">
        <v>4243</v>
      </c>
      <c r="E171" s="65">
        <v>4224</v>
      </c>
      <c r="F171" s="65">
        <v>19</v>
      </c>
      <c r="G171" s="65">
        <v>1849.5</v>
      </c>
      <c r="H171" s="65">
        <v>1069.5</v>
      </c>
      <c r="I171" s="65">
        <v>780</v>
      </c>
      <c r="J171" s="65">
        <v>2674</v>
      </c>
      <c r="K171" s="65">
        <v>2655</v>
      </c>
      <c r="L171" s="65">
        <v>19</v>
      </c>
      <c r="M171" s="65">
        <v>200</v>
      </c>
      <c r="N171" s="65">
        <v>100</v>
      </c>
      <c r="O171" s="65">
        <v>100</v>
      </c>
      <c r="P171" s="61">
        <v>9.2475000000000005</v>
      </c>
      <c r="Q171" s="58">
        <v>10.813700000000001</v>
      </c>
      <c r="R171" t="s">
        <v>2329</v>
      </c>
      <c r="S171" t="s">
        <v>2298</v>
      </c>
    </row>
    <row r="172" spans="1:19">
      <c r="A172" t="s">
        <v>892</v>
      </c>
      <c r="B172" t="s">
        <v>893</v>
      </c>
      <c r="C172" s="40">
        <v>45644</v>
      </c>
      <c r="D172" s="65">
        <v>55863</v>
      </c>
      <c r="E172" s="65">
        <v>48647</v>
      </c>
      <c r="F172" s="65">
        <v>7216</v>
      </c>
      <c r="G172" s="65">
        <v>2028040.4</v>
      </c>
      <c r="H172" s="65">
        <v>858143.92</v>
      </c>
      <c r="I172" s="65">
        <v>1169896.48</v>
      </c>
      <c r="J172" s="65">
        <v>17076</v>
      </c>
      <c r="K172" s="65">
        <v>9860</v>
      </c>
      <c r="L172" s="65">
        <v>7216</v>
      </c>
      <c r="M172" s="65">
        <v>1666.72</v>
      </c>
      <c r="N172" s="65">
        <v>833.36</v>
      </c>
      <c r="O172" s="65">
        <v>833.36</v>
      </c>
      <c r="P172" s="61">
        <v>1216.7853</v>
      </c>
      <c r="Q172" s="58">
        <v>8.2199999999999995E-2</v>
      </c>
      <c r="R172" t="s">
        <v>2342</v>
      </c>
      <c r="S172" t="s">
        <v>2292</v>
      </c>
    </row>
    <row r="173" spans="1:19">
      <c r="A173" t="s">
        <v>463</v>
      </c>
      <c r="B173" t="s">
        <v>464</v>
      </c>
      <c r="C173" s="40">
        <v>45636</v>
      </c>
      <c r="D173" s="65">
        <v>69601</v>
      </c>
      <c r="E173" s="65">
        <v>59503</v>
      </c>
      <c r="F173" s="65">
        <v>10098</v>
      </c>
      <c r="G173" s="65">
        <v>648838.54</v>
      </c>
      <c r="H173" s="65">
        <v>74658.880000000005</v>
      </c>
      <c r="I173" s="65">
        <v>574179.66</v>
      </c>
      <c r="J173" s="65">
        <v>69601</v>
      </c>
      <c r="K173" s="65">
        <v>59503</v>
      </c>
      <c r="L173" s="65">
        <v>10098</v>
      </c>
      <c r="M173" s="65">
        <v>3921.17</v>
      </c>
      <c r="N173" s="65">
        <v>1671.6</v>
      </c>
      <c r="O173" s="65">
        <v>2249.5700000000002</v>
      </c>
      <c r="P173" s="61">
        <v>165.47059999999999</v>
      </c>
      <c r="Q173" s="58">
        <v>0.60429999999999995</v>
      </c>
      <c r="R173" t="s">
        <v>2342</v>
      </c>
      <c r="S173" t="s">
        <v>2292</v>
      </c>
    </row>
    <row r="174" spans="1:19">
      <c r="A174" t="s">
        <v>538</v>
      </c>
      <c r="B174" t="s">
        <v>539</v>
      </c>
      <c r="C174" s="40">
        <v>45632</v>
      </c>
      <c r="D174" s="65">
        <v>2988</v>
      </c>
      <c r="E174" s="65">
        <v>2984</v>
      </c>
      <c r="F174" s="65">
        <v>4</v>
      </c>
      <c r="G174" s="65">
        <v>498.8</v>
      </c>
      <c r="H174" s="65">
        <v>378.8</v>
      </c>
      <c r="I174" s="65">
        <v>120</v>
      </c>
      <c r="J174" s="65">
        <v>2988</v>
      </c>
      <c r="K174" s="65">
        <v>2984</v>
      </c>
      <c r="L174" s="65">
        <v>4</v>
      </c>
      <c r="M174" s="65">
        <v>257.74</v>
      </c>
      <c r="N174" s="65">
        <v>137.74</v>
      </c>
      <c r="O174" s="65">
        <v>120</v>
      </c>
      <c r="P174" s="61">
        <v>1.9353</v>
      </c>
      <c r="Q174" s="58">
        <v>51.671999999999997</v>
      </c>
      <c r="R174" t="s">
        <v>2327</v>
      </c>
      <c r="S174" t="s">
        <v>2298</v>
      </c>
    </row>
    <row r="175" spans="1:19">
      <c r="A175" t="s">
        <v>637</v>
      </c>
      <c r="B175" t="s">
        <v>638</v>
      </c>
      <c r="C175" s="40">
        <v>45631</v>
      </c>
      <c r="D175" s="65">
        <v>2411</v>
      </c>
      <c r="E175" s="65">
        <v>2408</v>
      </c>
      <c r="F175" s="65">
        <v>3</v>
      </c>
      <c r="G175" s="65">
        <v>74.924000000000007</v>
      </c>
      <c r="H175" s="65">
        <v>57.923999999999999</v>
      </c>
      <c r="I175" s="65">
        <v>17</v>
      </c>
      <c r="J175" s="65">
        <v>1875</v>
      </c>
      <c r="K175" s="65">
        <v>1872</v>
      </c>
      <c r="L175" s="65">
        <v>3</v>
      </c>
      <c r="M175" s="65">
        <v>48.28</v>
      </c>
      <c r="N175" s="65">
        <v>31.28</v>
      </c>
      <c r="O175" s="65">
        <v>17</v>
      </c>
      <c r="P175" s="61">
        <v>1.5519000000000001</v>
      </c>
      <c r="Q175" s="58">
        <v>64.438599999999994</v>
      </c>
      <c r="R175" t="s">
        <v>2333</v>
      </c>
      <c r="S175" t="s">
        <v>2297</v>
      </c>
    </row>
    <row r="176" spans="1:19">
      <c r="A176" t="s">
        <v>297</v>
      </c>
      <c r="B176" t="s">
        <v>298</v>
      </c>
      <c r="C176" s="40">
        <v>45624</v>
      </c>
      <c r="D176" s="65">
        <v>8591</v>
      </c>
      <c r="E176" s="65">
        <v>8553</v>
      </c>
      <c r="F176" s="65">
        <v>38</v>
      </c>
      <c r="G176" s="65">
        <v>9044.42</v>
      </c>
      <c r="H176" s="65">
        <v>6160.08</v>
      </c>
      <c r="I176" s="65">
        <v>2884.34</v>
      </c>
      <c r="J176" s="65">
        <v>3718</v>
      </c>
      <c r="K176" s="65">
        <v>3680</v>
      </c>
      <c r="L176" s="65">
        <v>38</v>
      </c>
      <c r="M176" s="65">
        <v>879.14</v>
      </c>
      <c r="N176" s="65">
        <v>439.58</v>
      </c>
      <c r="O176" s="65">
        <v>439.56</v>
      </c>
      <c r="P176" s="61">
        <v>10.287800000000001</v>
      </c>
      <c r="Q176" s="58">
        <v>9.7202000000000002</v>
      </c>
      <c r="R176" t="s">
        <v>2350</v>
      </c>
      <c r="S176" t="s">
        <v>2311</v>
      </c>
    </row>
    <row r="177" spans="1:19">
      <c r="A177" t="s">
        <v>575</v>
      </c>
      <c r="B177" t="s">
        <v>576</v>
      </c>
      <c r="C177" s="40">
        <v>45623</v>
      </c>
      <c r="D177" s="65">
        <v>30759</v>
      </c>
      <c r="E177" s="65">
        <v>28214</v>
      </c>
      <c r="F177" s="65">
        <v>2545</v>
      </c>
      <c r="G177" s="65">
        <v>306828.36</v>
      </c>
      <c r="H177" s="65">
        <v>108919.36</v>
      </c>
      <c r="I177" s="65">
        <v>197909</v>
      </c>
      <c r="J177" s="65">
        <v>21276</v>
      </c>
      <c r="K177" s="65">
        <v>18731</v>
      </c>
      <c r="L177" s="65">
        <v>2545</v>
      </c>
      <c r="M177" s="65">
        <v>2269.94</v>
      </c>
      <c r="N177" s="65">
        <v>1134.98</v>
      </c>
      <c r="O177" s="65">
        <v>1134.96</v>
      </c>
      <c r="P177" s="61">
        <v>135.1703</v>
      </c>
      <c r="Q177" s="58">
        <v>0.73980000000000001</v>
      </c>
      <c r="R177" t="s">
        <v>2328</v>
      </c>
      <c r="S177" t="s">
        <v>2296</v>
      </c>
    </row>
    <row r="178" spans="1:19">
      <c r="A178" t="s">
        <v>226</v>
      </c>
      <c r="B178" t="s">
        <v>227</v>
      </c>
      <c r="C178" s="40">
        <v>45622</v>
      </c>
      <c r="D178" s="65">
        <v>82574</v>
      </c>
      <c r="E178" s="65">
        <v>81205</v>
      </c>
      <c r="F178" s="65">
        <v>1369</v>
      </c>
      <c r="G178" s="65">
        <v>127710.58</v>
      </c>
      <c r="H178" s="65">
        <v>51505.58</v>
      </c>
      <c r="I178" s="65">
        <v>76205</v>
      </c>
      <c r="J178" s="65">
        <v>47245</v>
      </c>
      <c r="K178" s="65">
        <v>45876</v>
      </c>
      <c r="L178" s="65">
        <v>1369</v>
      </c>
      <c r="M178" s="65">
        <v>3145</v>
      </c>
      <c r="N178" s="65">
        <v>1572.5</v>
      </c>
      <c r="O178" s="65">
        <v>1572.5</v>
      </c>
      <c r="P178" s="61">
        <v>40.607500000000002</v>
      </c>
      <c r="Q178" s="58">
        <v>2.4626000000000001</v>
      </c>
      <c r="R178" t="s">
        <v>2351</v>
      </c>
      <c r="S178" t="s">
        <v>2321</v>
      </c>
    </row>
    <row r="179" spans="1:19">
      <c r="A179" t="s">
        <v>769</v>
      </c>
      <c r="B179" t="s">
        <v>770</v>
      </c>
      <c r="C179" s="40">
        <v>45610</v>
      </c>
      <c r="D179" s="65">
        <v>5904</v>
      </c>
      <c r="E179" s="65">
        <v>5868</v>
      </c>
      <c r="F179" s="65">
        <v>36</v>
      </c>
      <c r="G179" s="65">
        <v>1264.45</v>
      </c>
      <c r="H179" s="65">
        <v>865.45</v>
      </c>
      <c r="I179" s="65">
        <v>399</v>
      </c>
      <c r="J179" s="65">
        <v>2429</v>
      </c>
      <c r="K179" s="65">
        <v>2393</v>
      </c>
      <c r="L179" s="65">
        <v>36</v>
      </c>
      <c r="M179" s="65">
        <v>72.53</v>
      </c>
      <c r="N179" s="65">
        <v>36.270000000000003</v>
      </c>
      <c r="O179" s="65">
        <v>36.26</v>
      </c>
      <c r="P179" s="61">
        <v>17.433499999999999</v>
      </c>
      <c r="Q179" s="58">
        <v>5.7361000000000004</v>
      </c>
      <c r="R179" t="s">
        <v>2332</v>
      </c>
      <c r="S179" t="s">
        <v>2297</v>
      </c>
    </row>
    <row r="180" spans="1:19">
      <c r="A180" t="s">
        <v>355</v>
      </c>
      <c r="B180" t="s">
        <v>356</v>
      </c>
      <c r="C180" s="40">
        <v>45603</v>
      </c>
      <c r="D180" s="65">
        <v>5570</v>
      </c>
      <c r="E180" s="65">
        <v>5546</v>
      </c>
      <c r="F180" s="65">
        <v>24</v>
      </c>
      <c r="G180" s="65">
        <v>5303.61</v>
      </c>
      <c r="H180" s="65">
        <v>3759.69</v>
      </c>
      <c r="I180" s="65">
        <v>1543.92</v>
      </c>
      <c r="J180" s="65">
        <v>4896</v>
      </c>
      <c r="K180" s="65">
        <v>4872</v>
      </c>
      <c r="L180" s="65">
        <v>24</v>
      </c>
      <c r="M180" s="65">
        <v>896.85</v>
      </c>
      <c r="N180" s="65">
        <v>448.44</v>
      </c>
      <c r="O180" s="65">
        <v>448.41</v>
      </c>
      <c r="P180" s="61">
        <v>5.9135999999999997</v>
      </c>
      <c r="Q180" s="58">
        <v>16.9102</v>
      </c>
      <c r="R180" t="s">
        <v>2338</v>
      </c>
      <c r="S180" t="s">
        <v>2311</v>
      </c>
    </row>
    <row r="181" spans="1:19">
      <c r="A181" t="s">
        <v>519</v>
      </c>
      <c r="B181" t="s">
        <v>520</v>
      </c>
      <c r="C181" s="40">
        <v>45603</v>
      </c>
      <c r="D181" s="65">
        <v>61975</v>
      </c>
      <c r="E181" s="65">
        <v>54157</v>
      </c>
      <c r="F181" s="65">
        <v>7818</v>
      </c>
      <c r="G181" s="65">
        <v>1907751.9</v>
      </c>
      <c r="H181" s="65">
        <v>618359.9</v>
      </c>
      <c r="I181" s="65">
        <v>1289392</v>
      </c>
      <c r="J181" s="65">
        <v>15151</v>
      </c>
      <c r="K181" s="65">
        <v>7333</v>
      </c>
      <c r="L181" s="65">
        <v>7818</v>
      </c>
      <c r="M181" s="65">
        <v>1932</v>
      </c>
      <c r="N181" s="65">
        <v>966</v>
      </c>
      <c r="O181" s="65">
        <v>966</v>
      </c>
      <c r="P181" s="61">
        <v>987.44920000000002</v>
      </c>
      <c r="Q181" s="58">
        <v>0.1013</v>
      </c>
      <c r="R181" t="s">
        <v>2331</v>
      </c>
      <c r="S181" t="s">
        <v>2297</v>
      </c>
    </row>
    <row r="182" spans="1:19">
      <c r="A182" t="s">
        <v>381</v>
      </c>
      <c r="B182" t="s">
        <v>382</v>
      </c>
      <c r="C182" s="40">
        <v>45596</v>
      </c>
      <c r="D182" s="65">
        <v>6861</v>
      </c>
      <c r="E182" s="65">
        <v>6846</v>
      </c>
      <c r="F182" s="65">
        <v>15</v>
      </c>
      <c r="G182" s="65">
        <v>30330.400000000001</v>
      </c>
      <c r="H182" s="65">
        <v>23830.400000000001</v>
      </c>
      <c r="I182" s="65">
        <v>6500</v>
      </c>
      <c r="J182" s="65">
        <v>3024</v>
      </c>
      <c r="K182" s="65">
        <v>3009</v>
      </c>
      <c r="L182" s="65">
        <v>15</v>
      </c>
      <c r="M182" s="65">
        <v>2509.4</v>
      </c>
      <c r="N182" s="65">
        <v>1254.7</v>
      </c>
      <c r="O182" s="65">
        <v>1254.7</v>
      </c>
      <c r="P182" s="61">
        <v>12.0867</v>
      </c>
      <c r="Q182" s="58">
        <v>8.2735000000000003</v>
      </c>
      <c r="R182" t="s">
        <v>2351</v>
      </c>
      <c r="S182" t="s">
        <v>2321</v>
      </c>
    </row>
    <row r="183" spans="1:19">
      <c r="A183" t="s">
        <v>972</v>
      </c>
      <c r="B183" t="s">
        <v>973</v>
      </c>
      <c r="C183" s="40">
        <v>45595</v>
      </c>
      <c r="D183" s="65">
        <v>7175</v>
      </c>
      <c r="E183" s="65">
        <v>7149</v>
      </c>
      <c r="F183" s="65">
        <v>26</v>
      </c>
      <c r="G183" s="65">
        <v>3129.76</v>
      </c>
      <c r="H183" s="65">
        <v>2294.7600000000002</v>
      </c>
      <c r="I183" s="65">
        <v>835</v>
      </c>
      <c r="J183" s="65">
        <v>1971</v>
      </c>
      <c r="K183" s="65">
        <v>1945</v>
      </c>
      <c r="L183" s="65">
        <v>26</v>
      </c>
      <c r="M183" s="65">
        <v>175.06</v>
      </c>
      <c r="N183" s="65">
        <v>87.54</v>
      </c>
      <c r="O183" s="65">
        <v>87.52</v>
      </c>
      <c r="P183" s="61">
        <v>17.8782</v>
      </c>
      <c r="Q183" s="58">
        <v>5.5933999999999999</v>
      </c>
      <c r="R183" t="s">
        <v>2328</v>
      </c>
      <c r="S183" t="s">
        <v>2296</v>
      </c>
    </row>
    <row r="184" spans="1:19">
      <c r="A184" t="s">
        <v>352</v>
      </c>
      <c r="B184" t="s">
        <v>353</v>
      </c>
      <c r="C184" s="40">
        <v>45594</v>
      </c>
      <c r="D184" s="65">
        <v>6292</v>
      </c>
      <c r="E184" s="65">
        <v>6282</v>
      </c>
      <c r="F184" s="65">
        <v>10</v>
      </c>
      <c r="G184" s="65">
        <v>3990.2</v>
      </c>
      <c r="H184" s="65">
        <v>2870.2</v>
      </c>
      <c r="I184" s="65">
        <v>1120</v>
      </c>
      <c r="J184" s="65">
        <v>5378</v>
      </c>
      <c r="K184" s="65">
        <v>5368</v>
      </c>
      <c r="L184" s="65">
        <v>10</v>
      </c>
      <c r="M184" s="65">
        <v>1000</v>
      </c>
      <c r="N184" s="65">
        <v>500</v>
      </c>
      <c r="O184" s="65">
        <v>500</v>
      </c>
      <c r="P184" s="61">
        <v>3.9902000000000002</v>
      </c>
      <c r="Q184" s="58">
        <v>25.061399999999999</v>
      </c>
      <c r="R184" t="s">
        <v>2337</v>
      </c>
      <c r="S184" t="s">
        <v>2297</v>
      </c>
    </row>
    <row r="185" spans="1:19">
      <c r="A185" t="s">
        <v>542</v>
      </c>
      <c r="B185" t="s">
        <v>543</v>
      </c>
      <c r="C185" s="40">
        <v>45588</v>
      </c>
      <c r="D185" s="65">
        <v>28115</v>
      </c>
      <c r="E185" s="65">
        <v>27095</v>
      </c>
      <c r="F185" s="65">
        <v>1020</v>
      </c>
      <c r="G185" s="65">
        <v>458431.92</v>
      </c>
      <c r="H185" s="65">
        <v>190215.24</v>
      </c>
      <c r="I185" s="65">
        <v>268216.68</v>
      </c>
      <c r="J185" s="65">
        <v>28115</v>
      </c>
      <c r="K185" s="65">
        <v>27095</v>
      </c>
      <c r="L185" s="65">
        <v>1020</v>
      </c>
      <c r="M185" s="65">
        <v>20326.62</v>
      </c>
      <c r="N185" s="65">
        <v>10163.34</v>
      </c>
      <c r="O185" s="65">
        <v>10163.280000000001</v>
      </c>
      <c r="P185" s="61">
        <v>22.5533</v>
      </c>
      <c r="Q185" s="58">
        <v>4.4339000000000004</v>
      </c>
      <c r="R185" t="s">
        <v>2329</v>
      </c>
      <c r="S185" t="s">
        <v>2298</v>
      </c>
    </row>
    <row r="186" spans="1:19">
      <c r="A186" t="s">
        <v>331</v>
      </c>
      <c r="B186" t="s">
        <v>332</v>
      </c>
      <c r="C186" s="40">
        <v>45587</v>
      </c>
      <c r="D186" s="65">
        <v>61885</v>
      </c>
      <c r="E186" s="65">
        <v>56146</v>
      </c>
      <c r="F186" s="65">
        <v>5739</v>
      </c>
      <c r="G186" s="65">
        <v>897196.64</v>
      </c>
      <c r="H186" s="65">
        <v>168232.08</v>
      </c>
      <c r="I186" s="65">
        <v>728964.56</v>
      </c>
      <c r="J186" s="65">
        <v>51047</v>
      </c>
      <c r="K186" s="65">
        <v>45308</v>
      </c>
      <c r="L186" s="65">
        <v>5739</v>
      </c>
      <c r="M186" s="65">
        <v>13913.06</v>
      </c>
      <c r="N186" s="65">
        <v>6956.54</v>
      </c>
      <c r="O186" s="65">
        <v>6956.52</v>
      </c>
      <c r="P186" s="61">
        <v>64.485900000000001</v>
      </c>
      <c r="Q186" s="58">
        <v>1.5507</v>
      </c>
      <c r="R186" t="s">
        <v>2336</v>
      </c>
      <c r="S186" t="s">
        <v>2304</v>
      </c>
    </row>
    <row r="187" spans="1:19">
      <c r="A187" t="s">
        <v>568</v>
      </c>
      <c r="B187" t="s">
        <v>569</v>
      </c>
      <c r="C187" s="40">
        <v>45580</v>
      </c>
      <c r="D187" s="65">
        <v>15747</v>
      </c>
      <c r="E187" s="65">
        <v>15719</v>
      </c>
      <c r="F187" s="65">
        <v>28</v>
      </c>
      <c r="G187" s="65">
        <v>31646.799999999999</v>
      </c>
      <c r="H187" s="65">
        <v>22250.7</v>
      </c>
      <c r="I187" s="65">
        <v>9396.1</v>
      </c>
      <c r="J187" s="65">
        <v>14402</v>
      </c>
      <c r="K187" s="65">
        <v>14374</v>
      </c>
      <c r="L187" s="65">
        <v>28</v>
      </c>
      <c r="M187" s="65">
        <v>4792.5</v>
      </c>
      <c r="N187" s="65">
        <v>2396.3000000000002</v>
      </c>
      <c r="O187" s="65">
        <v>2396.1999999999998</v>
      </c>
      <c r="P187" s="61">
        <v>6.6033999999999997</v>
      </c>
      <c r="Q187" s="58">
        <v>15.143700000000001</v>
      </c>
      <c r="R187" t="s">
        <v>2340</v>
      </c>
      <c r="S187" t="s">
        <v>2298</v>
      </c>
    </row>
    <row r="188" spans="1:19">
      <c r="A188" t="s">
        <v>860</v>
      </c>
      <c r="B188" t="s">
        <v>861</v>
      </c>
      <c r="C188" s="40">
        <v>45573</v>
      </c>
      <c r="D188" s="65">
        <v>14898</v>
      </c>
      <c r="E188" s="65">
        <v>14821</v>
      </c>
      <c r="F188" s="65">
        <v>77</v>
      </c>
      <c r="G188" s="65">
        <v>301414.5</v>
      </c>
      <c r="H188" s="65">
        <v>239214.5</v>
      </c>
      <c r="I188" s="65">
        <v>62200</v>
      </c>
      <c r="J188" s="65">
        <v>7913</v>
      </c>
      <c r="K188" s="65">
        <v>7836</v>
      </c>
      <c r="L188" s="65">
        <v>77</v>
      </c>
      <c r="M188" s="65">
        <v>12500</v>
      </c>
      <c r="N188" s="65">
        <v>6250</v>
      </c>
      <c r="O188" s="65">
        <v>6250</v>
      </c>
      <c r="P188" s="61">
        <v>24.113199999999999</v>
      </c>
      <c r="Q188" s="58">
        <v>4.1471</v>
      </c>
      <c r="R188" t="s">
        <v>2339</v>
      </c>
      <c r="S188" t="s">
        <v>2305</v>
      </c>
    </row>
    <row r="189" spans="1:19">
      <c r="A189" t="s">
        <v>739</v>
      </c>
      <c r="B189" t="s">
        <v>740</v>
      </c>
      <c r="C189" s="40">
        <v>45572</v>
      </c>
      <c r="D189" s="65">
        <v>25455</v>
      </c>
      <c r="E189" s="65">
        <v>25269</v>
      </c>
      <c r="F189" s="65">
        <v>186</v>
      </c>
      <c r="G189" s="65">
        <v>35045.879999999997</v>
      </c>
      <c r="H189" s="65">
        <v>25875.08</v>
      </c>
      <c r="I189" s="65">
        <v>9170.7999999999993</v>
      </c>
      <c r="J189" s="65">
        <v>7799</v>
      </c>
      <c r="K189" s="65">
        <v>7613</v>
      </c>
      <c r="L189" s="65">
        <v>186</v>
      </c>
      <c r="M189" s="65">
        <v>1288.96</v>
      </c>
      <c r="N189" s="65">
        <v>644.48</v>
      </c>
      <c r="O189" s="65">
        <v>644.48</v>
      </c>
      <c r="P189" s="61">
        <v>27.189299999999999</v>
      </c>
      <c r="Q189" s="58">
        <v>3.6779000000000002</v>
      </c>
      <c r="R189" t="s">
        <v>2328</v>
      </c>
      <c r="S189" t="s">
        <v>2298</v>
      </c>
    </row>
    <row r="190" spans="1:19">
      <c r="A190" t="s">
        <v>540</v>
      </c>
      <c r="B190" t="s">
        <v>541</v>
      </c>
      <c r="C190" s="40">
        <v>45565</v>
      </c>
      <c r="D190" s="65">
        <v>56802</v>
      </c>
      <c r="E190" s="65">
        <v>50883</v>
      </c>
      <c r="F190" s="65">
        <v>5919</v>
      </c>
      <c r="G190" s="65">
        <v>1749626.25</v>
      </c>
      <c r="H190" s="65">
        <v>422236.75</v>
      </c>
      <c r="I190" s="65">
        <v>1327389.5</v>
      </c>
      <c r="J190" s="65">
        <v>34851</v>
      </c>
      <c r="K190" s="65">
        <v>28932</v>
      </c>
      <c r="L190" s="65">
        <v>5919</v>
      </c>
      <c r="M190" s="65">
        <v>6493.25</v>
      </c>
      <c r="N190" s="65">
        <v>3246.65</v>
      </c>
      <c r="O190" s="65">
        <v>3246.6</v>
      </c>
      <c r="P190" s="61">
        <v>269.45310000000001</v>
      </c>
      <c r="Q190" s="58">
        <v>0.37109999999999999</v>
      </c>
      <c r="R190" t="s">
        <v>2342</v>
      </c>
      <c r="S190" t="s">
        <v>2299</v>
      </c>
    </row>
    <row r="191" spans="1:19">
      <c r="A191" t="s">
        <v>222</v>
      </c>
      <c r="B191" t="s">
        <v>223</v>
      </c>
      <c r="C191" s="40">
        <v>45551</v>
      </c>
      <c r="D191" s="65">
        <v>13717</v>
      </c>
      <c r="E191" s="65">
        <v>13539</v>
      </c>
      <c r="F191" s="65">
        <v>178</v>
      </c>
      <c r="G191" s="65">
        <v>13072.71</v>
      </c>
      <c r="H191" s="65">
        <v>3531.69</v>
      </c>
      <c r="I191" s="65">
        <v>9541.02</v>
      </c>
      <c r="J191" s="65">
        <v>13717</v>
      </c>
      <c r="K191" s="65">
        <v>13539</v>
      </c>
      <c r="L191" s="65">
        <v>178</v>
      </c>
      <c r="M191" s="65">
        <v>2829.78</v>
      </c>
      <c r="N191" s="65">
        <v>1414.89</v>
      </c>
      <c r="O191" s="65">
        <v>1414.89</v>
      </c>
      <c r="P191" s="61">
        <v>4.6196999999999999</v>
      </c>
      <c r="Q191" s="58">
        <v>21.6465</v>
      </c>
      <c r="R191" t="s">
        <v>2346</v>
      </c>
      <c r="S191" t="s">
        <v>2299</v>
      </c>
    </row>
    <row r="192" spans="1:19">
      <c r="A192" t="s">
        <v>988</v>
      </c>
      <c r="B192" t="s">
        <v>989</v>
      </c>
      <c r="C192" s="40">
        <v>45540</v>
      </c>
      <c r="D192" s="65">
        <v>2480</v>
      </c>
      <c r="E192" s="65">
        <v>2476</v>
      </c>
      <c r="F192" s="65">
        <v>4</v>
      </c>
      <c r="G192" s="65">
        <v>1459</v>
      </c>
      <c r="H192" s="65">
        <v>1255.4000000000001</v>
      </c>
      <c r="I192" s="65">
        <v>203.6</v>
      </c>
      <c r="J192" s="65">
        <v>844</v>
      </c>
      <c r="K192" s="65">
        <v>840</v>
      </c>
      <c r="L192" s="65">
        <v>4</v>
      </c>
      <c r="M192" s="65">
        <v>101.8</v>
      </c>
      <c r="N192" s="65">
        <v>50.9</v>
      </c>
      <c r="O192" s="65">
        <v>50.9</v>
      </c>
      <c r="P192" s="61">
        <v>14.332000000000001</v>
      </c>
      <c r="Q192" s="58">
        <v>6.9774000000000003</v>
      </c>
      <c r="R192" t="s">
        <v>2339</v>
      </c>
      <c r="S192" t="s">
        <v>2305</v>
      </c>
    </row>
    <row r="193" spans="1:19">
      <c r="A193" t="s">
        <v>1034</v>
      </c>
      <c r="B193" t="s">
        <v>1035</v>
      </c>
      <c r="C193" s="40">
        <v>45523</v>
      </c>
      <c r="D193" s="65">
        <v>974</v>
      </c>
      <c r="E193" s="65">
        <v>970</v>
      </c>
      <c r="F193" s="65">
        <v>4</v>
      </c>
      <c r="G193" s="65">
        <v>1098.4000000000001</v>
      </c>
      <c r="H193" s="65">
        <v>598.4</v>
      </c>
      <c r="I193" s="65">
        <v>500</v>
      </c>
      <c r="J193" s="65">
        <v>649</v>
      </c>
      <c r="K193" s="65">
        <v>645</v>
      </c>
      <c r="L193" s="65">
        <v>4</v>
      </c>
      <c r="M193" s="65">
        <v>478.8</v>
      </c>
      <c r="N193" s="65">
        <v>239.4</v>
      </c>
      <c r="O193" s="65">
        <v>239.4</v>
      </c>
      <c r="P193" s="61">
        <v>2.2940999999999998</v>
      </c>
      <c r="Q193" s="58">
        <v>43.590699999999998</v>
      </c>
      <c r="R193" t="s">
        <v>2328</v>
      </c>
      <c r="S193" t="s">
        <v>2296</v>
      </c>
    </row>
    <row r="194" spans="1:19">
      <c r="A194" t="s">
        <v>866</v>
      </c>
      <c r="B194" t="s">
        <v>867</v>
      </c>
      <c r="C194" s="40">
        <v>45511</v>
      </c>
      <c r="D194" s="65">
        <v>3296</v>
      </c>
      <c r="E194" s="65">
        <v>3295</v>
      </c>
      <c r="F194" s="65">
        <v>1</v>
      </c>
      <c r="G194" s="65">
        <v>466.56</v>
      </c>
      <c r="H194" s="65">
        <v>446.56</v>
      </c>
      <c r="I194" s="65">
        <v>20</v>
      </c>
      <c r="J194" s="65">
        <v>3296</v>
      </c>
      <c r="K194" s="65">
        <v>3295</v>
      </c>
      <c r="L194" s="65">
        <v>1</v>
      </c>
      <c r="M194" s="65">
        <v>185</v>
      </c>
      <c r="N194" s="65">
        <v>165</v>
      </c>
      <c r="O194" s="65">
        <v>20</v>
      </c>
      <c r="P194" s="61">
        <v>2.5219</v>
      </c>
      <c r="Q194" s="58">
        <v>39.651899999999998</v>
      </c>
      <c r="R194" t="s">
        <v>2327</v>
      </c>
      <c r="S194" t="s">
        <v>2298</v>
      </c>
    </row>
    <row r="195" spans="1:19">
      <c r="A195" t="s">
        <v>927</v>
      </c>
      <c r="B195" t="s">
        <v>928</v>
      </c>
      <c r="C195" s="40">
        <v>45509</v>
      </c>
      <c r="D195" s="65">
        <v>4678</v>
      </c>
      <c r="E195" s="65">
        <v>4554</v>
      </c>
      <c r="F195" s="65">
        <v>124</v>
      </c>
      <c r="G195" s="65">
        <v>5673.65</v>
      </c>
      <c r="H195" s="65">
        <v>2784.65</v>
      </c>
      <c r="I195" s="65">
        <v>2889</v>
      </c>
      <c r="J195" s="65">
        <v>3570</v>
      </c>
      <c r="K195" s="65">
        <v>3446</v>
      </c>
      <c r="L195" s="65">
        <v>124</v>
      </c>
      <c r="M195" s="65">
        <v>435.7</v>
      </c>
      <c r="N195" s="65">
        <v>199.2</v>
      </c>
      <c r="O195" s="65">
        <v>236.5</v>
      </c>
      <c r="P195" s="61">
        <v>13.0219</v>
      </c>
      <c r="Q195" s="58">
        <v>7.6794000000000002</v>
      </c>
      <c r="R195" t="s">
        <v>2343</v>
      </c>
      <c r="S195" t="s">
        <v>2317</v>
      </c>
    </row>
    <row r="196" spans="1:19">
      <c r="A196" t="s">
        <v>743</v>
      </c>
      <c r="B196" t="s">
        <v>744</v>
      </c>
      <c r="C196" s="40">
        <v>45485</v>
      </c>
      <c r="D196" s="65">
        <v>2613</v>
      </c>
      <c r="E196" s="65">
        <v>2611</v>
      </c>
      <c r="F196" s="65">
        <v>2</v>
      </c>
      <c r="G196" s="65">
        <v>1581</v>
      </c>
      <c r="H196" s="65">
        <v>1381</v>
      </c>
      <c r="I196" s="65">
        <v>200</v>
      </c>
      <c r="J196" s="65">
        <v>2613</v>
      </c>
      <c r="K196" s="65">
        <v>2611</v>
      </c>
      <c r="L196" s="65">
        <v>2</v>
      </c>
      <c r="M196" s="65">
        <v>636</v>
      </c>
      <c r="N196" s="65">
        <v>436</v>
      </c>
      <c r="O196" s="65">
        <v>200</v>
      </c>
      <c r="P196" s="61">
        <v>2.4857999999999998</v>
      </c>
      <c r="Q196" s="58">
        <v>40.227699999999999</v>
      </c>
      <c r="R196" t="s">
        <v>2327</v>
      </c>
      <c r="S196" t="s">
        <v>2298</v>
      </c>
    </row>
    <row r="197" spans="1:19">
      <c r="A197" t="s">
        <v>362</v>
      </c>
      <c r="B197" t="s">
        <v>363</v>
      </c>
      <c r="C197" s="40">
        <v>45484</v>
      </c>
      <c r="D197" s="65">
        <v>4795</v>
      </c>
      <c r="E197" s="65">
        <v>4789</v>
      </c>
      <c r="F197" s="65">
        <v>6</v>
      </c>
      <c r="G197" s="65">
        <v>854.22</v>
      </c>
      <c r="H197" s="65">
        <v>634.22</v>
      </c>
      <c r="I197" s="65">
        <v>220</v>
      </c>
      <c r="J197" s="65">
        <v>4795</v>
      </c>
      <c r="K197" s="65">
        <v>4789</v>
      </c>
      <c r="L197" s="65">
        <v>6</v>
      </c>
      <c r="M197" s="65">
        <v>548.76</v>
      </c>
      <c r="N197" s="65">
        <v>328.76</v>
      </c>
      <c r="O197" s="65">
        <v>220</v>
      </c>
      <c r="P197" s="61">
        <v>1.5566</v>
      </c>
      <c r="Q197" s="58">
        <v>64.241100000000003</v>
      </c>
      <c r="R197" t="s">
        <v>2352</v>
      </c>
      <c r="S197" t="s">
        <v>2297</v>
      </c>
    </row>
    <row r="198" spans="1:19">
      <c r="A198" t="s">
        <v>492</v>
      </c>
      <c r="B198" t="s">
        <v>493</v>
      </c>
      <c r="C198" s="40">
        <v>45482</v>
      </c>
      <c r="D198" s="65">
        <v>1467</v>
      </c>
      <c r="E198" s="65">
        <v>1465</v>
      </c>
      <c r="F198" s="65">
        <v>2</v>
      </c>
      <c r="G198" s="65">
        <v>180.43</v>
      </c>
      <c r="H198" s="65">
        <v>140.43</v>
      </c>
      <c r="I198" s="65">
        <v>40</v>
      </c>
      <c r="J198" s="65">
        <v>1467</v>
      </c>
      <c r="K198" s="65">
        <v>1465</v>
      </c>
      <c r="L198" s="65">
        <v>2</v>
      </c>
      <c r="M198" s="65">
        <v>180.43</v>
      </c>
      <c r="N198" s="65">
        <v>140.43</v>
      </c>
      <c r="O198" s="65">
        <v>40</v>
      </c>
      <c r="P198" s="61">
        <v>1</v>
      </c>
      <c r="Q198" s="58">
        <v>100</v>
      </c>
      <c r="R198" t="s">
        <v>2351</v>
      </c>
      <c r="S198" t="s">
        <v>2309</v>
      </c>
    </row>
    <row r="199" spans="1:19">
      <c r="A199" t="s">
        <v>755</v>
      </c>
      <c r="B199" t="s">
        <v>756</v>
      </c>
      <c r="C199" s="40">
        <v>45482</v>
      </c>
      <c r="D199" s="65">
        <v>5537</v>
      </c>
      <c r="E199" s="65">
        <v>5531</v>
      </c>
      <c r="F199" s="65">
        <v>6</v>
      </c>
      <c r="G199" s="65">
        <v>24044.5</v>
      </c>
      <c r="H199" s="65">
        <v>21294.5</v>
      </c>
      <c r="I199" s="65">
        <v>2750</v>
      </c>
      <c r="J199" s="65">
        <v>2317</v>
      </c>
      <c r="K199" s="65">
        <v>2311</v>
      </c>
      <c r="L199" s="65">
        <v>6</v>
      </c>
      <c r="M199" s="65">
        <v>1567.5</v>
      </c>
      <c r="N199" s="65">
        <v>783.75</v>
      </c>
      <c r="O199" s="65">
        <v>783.75</v>
      </c>
      <c r="P199" s="61">
        <v>15.339399999999999</v>
      </c>
      <c r="Q199" s="58">
        <v>6.5191999999999997</v>
      </c>
      <c r="R199" t="s">
        <v>2353</v>
      </c>
      <c r="S199" t="s">
        <v>2323</v>
      </c>
    </row>
    <row r="200" spans="1:19">
      <c r="A200" t="s">
        <v>651</v>
      </c>
      <c r="B200" t="s">
        <v>652</v>
      </c>
      <c r="C200" s="40">
        <v>45482</v>
      </c>
      <c r="D200" s="65">
        <v>2734</v>
      </c>
      <c r="E200" s="65">
        <v>2723</v>
      </c>
      <c r="F200" s="65">
        <v>11</v>
      </c>
      <c r="G200" s="65">
        <v>153.13999999999999</v>
      </c>
      <c r="H200" s="65">
        <v>70.483999999999995</v>
      </c>
      <c r="I200" s="65">
        <v>82.656000000000006</v>
      </c>
      <c r="J200" s="65">
        <v>1693</v>
      </c>
      <c r="K200" s="65">
        <v>1682</v>
      </c>
      <c r="L200" s="65">
        <v>11</v>
      </c>
      <c r="M200" s="65">
        <v>43.658000000000001</v>
      </c>
      <c r="N200" s="65">
        <v>21.83</v>
      </c>
      <c r="O200" s="65">
        <v>21.827999999999999</v>
      </c>
      <c r="P200" s="61">
        <v>3.5076999999999998</v>
      </c>
      <c r="Q200" s="58">
        <v>28.508600000000001</v>
      </c>
      <c r="R200" t="s">
        <v>2327</v>
      </c>
      <c r="S200" t="s">
        <v>2298</v>
      </c>
    </row>
    <row r="201" spans="1:19">
      <c r="A201" t="s">
        <v>481</v>
      </c>
      <c r="B201" t="s">
        <v>482</v>
      </c>
      <c r="C201" s="40">
        <v>45481</v>
      </c>
      <c r="D201" s="65">
        <v>4371</v>
      </c>
      <c r="E201" s="65">
        <v>4368</v>
      </c>
      <c r="F201" s="65">
        <v>3</v>
      </c>
      <c r="G201" s="65">
        <v>3956.85</v>
      </c>
      <c r="H201" s="65">
        <v>3648.85</v>
      </c>
      <c r="I201" s="65">
        <v>308</v>
      </c>
      <c r="J201" s="65">
        <v>2789</v>
      </c>
      <c r="K201" s="65">
        <v>2786</v>
      </c>
      <c r="L201" s="65">
        <v>3</v>
      </c>
      <c r="M201" s="65">
        <v>714</v>
      </c>
      <c r="N201" s="65">
        <v>513.70000000000005</v>
      </c>
      <c r="O201" s="65">
        <v>200.3</v>
      </c>
      <c r="P201" s="61">
        <v>5.5418000000000003</v>
      </c>
      <c r="Q201" s="58">
        <v>18.044699999999999</v>
      </c>
      <c r="R201" t="s">
        <v>2347</v>
      </c>
      <c r="S201" t="s">
        <v>2296</v>
      </c>
    </row>
    <row r="202" spans="1:19">
      <c r="A202" t="s">
        <v>683</v>
      </c>
      <c r="B202" t="s">
        <v>684</v>
      </c>
      <c r="C202" s="40">
        <v>45481</v>
      </c>
      <c r="D202" s="65">
        <v>3809</v>
      </c>
      <c r="E202" s="65">
        <v>3804</v>
      </c>
      <c r="F202" s="65">
        <v>5</v>
      </c>
      <c r="G202" s="65">
        <v>609.44000000000005</v>
      </c>
      <c r="H202" s="65">
        <v>524.44000000000005</v>
      </c>
      <c r="I202" s="65">
        <v>85</v>
      </c>
      <c r="J202" s="65">
        <v>2338</v>
      </c>
      <c r="K202" s="65">
        <v>2333</v>
      </c>
      <c r="L202" s="65">
        <v>5</v>
      </c>
      <c r="M202" s="65">
        <v>92.62</v>
      </c>
      <c r="N202" s="65">
        <v>46.31</v>
      </c>
      <c r="O202" s="65">
        <v>46.31</v>
      </c>
      <c r="P202" s="61">
        <v>6.58</v>
      </c>
      <c r="Q202" s="58">
        <v>15.1976</v>
      </c>
      <c r="R202" t="s">
        <v>2340</v>
      </c>
      <c r="S202" t="s">
        <v>2298</v>
      </c>
    </row>
    <row r="203" spans="1:19">
      <c r="A203" t="s">
        <v>731</v>
      </c>
      <c r="B203" t="s">
        <v>732</v>
      </c>
      <c r="C203" s="40">
        <v>45475</v>
      </c>
      <c r="D203" s="65">
        <v>14245</v>
      </c>
      <c r="E203" s="65">
        <v>14115</v>
      </c>
      <c r="F203" s="65">
        <v>130</v>
      </c>
      <c r="G203" s="65">
        <v>313582.40000000002</v>
      </c>
      <c r="H203" s="65">
        <v>240222.4</v>
      </c>
      <c r="I203" s="65">
        <v>73360</v>
      </c>
      <c r="J203" s="65">
        <v>12665</v>
      </c>
      <c r="K203" s="65">
        <v>12535</v>
      </c>
      <c r="L203" s="65">
        <v>130</v>
      </c>
      <c r="M203" s="65">
        <v>8000</v>
      </c>
      <c r="N203" s="65">
        <v>4000</v>
      </c>
      <c r="O203" s="65">
        <v>4000</v>
      </c>
      <c r="P203" s="61">
        <v>39.197800000000001</v>
      </c>
      <c r="Q203" s="58">
        <v>2.5512000000000001</v>
      </c>
      <c r="R203" t="s">
        <v>2354</v>
      </c>
      <c r="S203" t="s">
        <v>2316</v>
      </c>
    </row>
    <row r="204" spans="1:19">
      <c r="A204" t="s">
        <v>643</v>
      </c>
      <c r="B204" t="s">
        <v>644</v>
      </c>
      <c r="C204" s="40">
        <v>45475</v>
      </c>
      <c r="D204" s="65">
        <v>7071</v>
      </c>
      <c r="E204" s="65">
        <v>6991</v>
      </c>
      <c r="F204" s="65">
        <v>80</v>
      </c>
      <c r="G204" s="65">
        <v>19812.900000000001</v>
      </c>
      <c r="H204" s="65">
        <v>13179.06</v>
      </c>
      <c r="I204" s="65">
        <v>6633.84</v>
      </c>
      <c r="J204" s="65">
        <v>2053</v>
      </c>
      <c r="K204" s="65">
        <v>1973</v>
      </c>
      <c r="L204" s="65">
        <v>80</v>
      </c>
      <c r="M204" s="65">
        <v>300.20999999999998</v>
      </c>
      <c r="N204" s="65">
        <v>210.3</v>
      </c>
      <c r="O204" s="65">
        <v>89.91</v>
      </c>
      <c r="P204" s="61">
        <v>65.996799999999993</v>
      </c>
      <c r="Q204" s="58">
        <v>1.5152000000000001</v>
      </c>
      <c r="R204" t="s">
        <v>2324</v>
      </c>
      <c r="S204" t="s">
        <v>2306</v>
      </c>
    </row>
    <row r="205" spans="1:19">
      <c r="A205" t="s">
        <v>896</v>
      </c>
      <c r="B205" t="s">
        <v>897</v>
      </c>
      <c r="C205" s="40">
        <v>45471</v>
      </c>
      <c r="D205" s="65">
        <v>30573</v>
      </c>
      <c r="E205" s="65">
        <v>29234</v>
      </c>
      <c r="F205" s="65">
        <v>1339</v>
      </c>
      <c r="G205" s="65">
        <v>667564.1</v>
      </c>
      <c r="H205" s="65">
        <v>310774.09999999998</v>
      </c>
      <c r="I205" s="65">
        <v>356790</v>
      </c>
      <c r="J205" s="65">
        <v>6365</v>
      </c>
      <c r="K205" s="65">
        <v>5058</v>
      </c>
      <c r="L205" s="65">
        <v>1307</v>
      </c>
      <c r="M205" s="65">
        <v>1350</v>
      </c>
      <c r="N205" s="65">
        <v>814.9</v>
      </c>
      <c r="O205" s="65">
        <v>535.1</v>
      </c>
      <c r="P205" s="61">
        <v>494.49189999999999</v>
      </c>
      <c r="Q205" s="58">
        <v>0.20219999999999999</v>
      </c>
      <c r="R205" t="s">
        <v>2332</v>
      </c>
      <c r="S205" t="s">
        <v>2295</v>
      </c>
    </row>
    <row r="206" spans="1:19">
      <c r="A206" t="s">
        <v>446</v>
      </c>
      <c r="B206" t="s">
        <v>447</v>
      </c>
      <c r="C206" s="40">
        <v>45471</v>
      </c>
      <c r="D206" s="65">
        <v>42474</v>
      </c>
      <c r="E206" s="65">
        <v>39087</v>
      </c>
      <c r="F206" s="65">
        <v>3387</v>
      </c>
      <c r="G206" s="65">
        <v>113239.44</v>
      </c>
      <c r="H206" s="65">
        <v>22919.64</v>
      </c>
      <c r="I206" s="65">
        <v>90319.8</v>
      </c>
      <c r="J206" s="65">
        <v>20289</v>
      </c>
      <c r="K206" s="65">
        <v>16902</v>
      </c>
      <c r="L206" s="65">
        <v>3387</v>
      </c>
      <c r="M206" s="65">
        <v>1118.45</v>
      </c>
      <c r="N206" s="65">
        <v>559.23</v>
      </c>
      <c r="O206" s="65">
        <v>559.22</v>
      </c>
      <c r="P206" s="61">
        <v>101.24679999999999</v>
      </c>
      <c r="Q206" s="58">
        <v>0.98770000000000002</v>
      </c>
      <c r="R206" t="s">
        <v>2350</v>
      </c>
      <c r="S206" t="s">
        <v>2314</v>
      </c>
    </row>
    <row r="207" spans="1:19">
      <c r="A207" t="s">
        <v>649</v>
      </c>
      <c r="B207" t="s">
        <v>650</v>
      </c>
      <c r="C207" s="40">
        <v>45470</v>
      </c>
      <c r="D207" s="65">
        <v>19815</v>
      </c>
      <c r="E207" s="65">
        <v>19628</v>
      </c>
      <c r="F207" s="65">
        <v>187</v>
      </c>
      <c r="G207" s="65">
        <v>44139.55</v>
      </c>
      <c r="H207" s="65">
        <v>25989.65</v>
      </c>
      <c r="I207" s="65">
        <v>18149.900000000001</v>
      </c>
      <c r="J207" s="65">
        <v>7924</v>
      </c>
      <c r="K207" s="65">
        <v>7737</v>
      </c>
      <c r="L207" s="65">
        <v>187</v>
      </c>
      <c r="M207" s="65">
        <v>1954.55</v>
      </c>
      <c r="N207" s="65">
        <v>977.3</v>
      </c>
      <c r="O207" s="65">
        <v>977.25</v>
      </c>
      <c r="P207" s="61">
        <v>22.582999999999998</v>
      </c>
      <c r="Q207" s="58">
        <v>4.4280999999999997</v>
      </c>
      <c r="R207" t="s">
        <v>2351</v>
      </c>
      <c r="S207" t="s">
        <v>2309</v>
      </c>
    </row>
    <row r="208" spans="1:19">
      <c r="A208" t="s">
        <v>809</v>
      </c>
      <c r="B208" t="s">
        <v>810</v>
      </c>
      <c r="C208" s="40">
        <v>45470</v>
      </c>
      <c r="D208" s="65">
        <v>36119</v>
      </c>
      <c r="E208" s="65">
        <v>34064</v>
      </c>
      <c r="F208" s="65">
        <v>2055</v>
      </c>
      <c r="G208" s="65">
        <v>29049.11</v>
      </c>
      <c r="H208" s="65">
        <v>7969.04</v>
      </c>
      <c r="I208" s="65">
        <v>21080.07</v>
      </c>
      <c r="J208" s="65">
        <v>9423</v>
      </c>
      <c r="K208" s="65">
        <v>7368</v>
      </c>
      <c r="L208" s="65">
        <v>2055</v>
      </c>
      <c r="M208" s="65">
        <v>87.65</v>
      </c>
      <c r="N208" s="65">
        <v>44.344999999999999</v>
      </c>
      <c r="O208" s="65">
        <v>43.305</v>
      </c>
      <c r="P208" s="61">
        <v>331.42169999999999</v>
      </c>
      <c r="Q208" s="58">
        <v>0.30170000000000002</v>
      </c>
      <c r="R208" t="s">
        <v>2327</v>
      </c>
      <c r="S208" t="s">
        <v>2298</v>
      </c>
    </row>
    <row r="209" spans="1:19">
      <c r="A209" t="s">
        <v>472</v>
      </c>
      <c r="B209" t="s">
        <v>473</v>
      </c>
      <c r="C209" s="40">
        <v>45460</v>
      </c>
      <c r="D209" s="65">
        <v>13111</v>
      </c>
      <c r="E209" s="65">
        <v>12610</v>
      </c>
      <c r="F209" s="65">
        <v>501</v>
      </c>
      <c r="G209" s="65">
        <v>61774.65</v>
      </c>
      <c r="H209" s="65">
        <v>28398.15</v>
      </c>
      <c r="I209" s="65">
        <v>33376.5</v>
      </c>
      <c r="J209" s="65">
        <v>3421</v>
      </c>
      <c r="K209" s="65">
        <v>2920</v>
      </c>
      <c r="L209" s="65">
        <v>501</v>
      </c>
      <c r="M209" s="65">
        <v>325.3</v>
      </c>
      <c r="N209" s="65">
        <v>162.65</v>
      </c>
      <c r="O209" s="65">
        <v>162.65</v>
      </c>
      <c r="P209" s="61">
        <v>189.9006</v>
      </c>
      <c r="Q209" s="58">
        <v>0.52659999999999996</v>
      </c>
      <c r="R209" t="s">
        <v>2337</v>
      </c>
      <c r="S209" t="s">
        <v>2303</v>
      </c>
    </row>
    <row r="210" spans="1:19">
      <c r="A210" t="s">
        <v>691</v>
      </c>
      <c r="B210" t="s">
        <v>692</v>
      </c>
      <c r="C210" s="40">
        <v>45456</v>
      </c>
      <c r="D210" s="65">
        <v>8846</v>
      </c>
      <c r="E210" s="65">
        <v>8810</v>
      </c>
      <c r="F210" s="65">
        <v>36</v>
      </c>
      <c r="G210" s="65">
        <v>29653</v>
      </c>
      <c r="H210" s="65">
        <v>24303</v>
      </c>
      <c r="I210" s="65">
        <v>5350</v>
      </c>
      <c r="J210" s="65">
        <v>8846</v>
      </c>
      <c r="K210" s="65">
        <v>8810</v>
      </c>
      <c r="L210" s="65">
        <v>36</v>
      </c>
      <c r="M210" s="65">
        <v>3450</v>
      </c>
      <c r="N210" s="65">
        <v>1725</v>
      </c>
      <c r="O210" s="65">
        <v>1725</v>
      </c>
      <c r="P210" s="61">
        <v>8.5951000000000004</v>
      </c>
      <c r="Q210" s="58">
        <v>11.634600000000001</v>
      </c>
      <c r="R210" t="s">
        <v>2340</v>
      </c>
      <c r="S210" t="s">
        <v>2298</v>
      </c>
    </row>
    <row r="211" spans="1:19">
      <c r="A211" t="s">
        <v>925</v>
      </c>
      <c r="B211" t="s">
        <v>926</v>
      </c>
      <c r="C211" s="40">
        <v>45455</v>
      </c>
      <c r="D211" s="65">
        <v>19602</v>
      </c>
      <c r="E211" s="65">
        <v>19303</v>
      </c>
      <c r="F211" s="65">
        <v>299</v>
      </c>
      <c r="G211" s="65">
        <v>96825.8</v>
      </c>
      <c r="H211" s="65">
        <v>53799</v>
      </c>
      <c r="I211" s="65">
        <v>43026.8</v>
      </c>
      <c r="J211" s="65">
        <v>10448</v>
      </c>
      <c r="K211" s="65">
        <v>10149</v>
      </c>
      <c r="L211" s="65">
        <v>299</v>
      </c>
      <c r="M211" s="65">
        <v>3747.5</v>
      </c>
      <c r="N211" s="65">
        <v>1873.8</v>
      </c>
      <c r="O211" s="65">
        <v>1873.7</v>
      </c>
      <c r="P211" s="61">
        <v>25.837399999999999</v>
      </c>
      <c r="Q211" s="58">
        <v>3.8704000000000001</v>
      </c>
      <c r="R211" t="s">
        <v>2327</v>
      </c>
      <c r="S211" t="s">
        <v>2296</v>
      </c>
    </row>
    <row r="212" spans="1:19">
      <c r="A212" t="s">
        <v>741</v>
      </c>
      <c r="B212" t="s">
        <v>742</v>
      </c>
      <c r="C212" s="40">
        <v>45449</v>
      </c>
      <c r="D212" s="65">
        <v>9239</v>
      </c>
      <c r="E212" s="65">
        <v>9189</v>
      </c>
      <c r="F212" s="65">
        <v>50</v>
      </c>
      <c r="G212" s="65">
        <v>16965.75</v>
      </c>
      <c r="H212" s="65">
        <v>13349.75</v>
      </c>
      <c r="I212" s="65">
        <v>3616</v>
      </c>
      <c r="J212" s="65">
        <v>1830</v>
      </c>
      <c r="K212" s="65">
        <v>1780</v>
      </c>
      <c r="L212" s="65">
        <v>50</v>
      </c>
      <c r="M212" s="65">
        <v>195</v>
      </c>
      <c r="N212" s="65">
        <v>97.5</v>
      </c>
      <c r="O212" s="65">
        <v>97.5</v>
      </c>
      <c r="P212" s="61">
        <v>87.003799999999998</v>
      </c>
      <c r="Q212" s="58">
        <v>1.1494</v>
      </c>
      <c r="R212" t="s">
        <v>2344</v>
      </c>
      <c r="S212" t="s">
        <v>2308</v>
      </c>
    </row>
    <row r="213" spans="1:19">
      <c r="A213" t="s">
        <v>633</v>
      </c>
      <c r="B213" t="s">
        <v>634</v>
      </c>
      <c r="C213" s="40">
        <v>45449</v>
      </c>
      <c r="D213" s="65">
        <v>17855</v>
      </c>
      <c r="E213" s="65">
        <v>17155</v>
      </c>
      <c r="F213" s="65">
        <v>700</v>
      </c>
      <c r="G213" s="65">
        <v>59934.400000000001</v>
      </c>
      <c r="H213" s="65">
        <v>27969</v>
      </c>
      <c r="I213" s="65">
        <v>31965.4</v>
      </c>
      <c r="J213" s="65">
        <v>5418</v>
      </c>
      <c r="K213" s="65">
        <v>4718</v>
      </c>
      <c r="L213" s="65">
        <v>700</v>
      </c>
      <c r="M213" s="65">
        <v>890.8</v>
      </c>
      <c r="N213" s="65">
        <v>445.4</v>
      </c>
      <c r="O213" s="65">
        <v>445.4</v>
      </c>
      <c r="P213" s="61">
        <v>67.281499999999994</v>
      </c>
      <c r="Q213" s="58">
        <v>1.4863</v>
      </c>
      <c r="R213" t="s">
        <v>2326</v>
      </c>
      <c r="S213" t="s">
        <v>2292</v>
      </c>
    </row>
    <row r="214" spans="1:19">
      <c r="A214" t="s">
        <v>929</v>
      </c>
      <c r="B214" t="s">
        <v>930</v>
      </c>
      <c r="C214" s="40">
        <v>45443</v>
      </c>
      <c r="D214" s="65">
        <v>38849</v>
      </c>
      <c r="E214" s="65">
        <v>37670</v>
      </c>
      <c r="F214" s="65">
        <v>1179</v>
      </c>
      <c r="G214" s="65">
        <v>3128790</v>
      </c>
      <c r="H214" s="65">
        <v>1660290</v>
      </c>
      <c r="I214" s="65">
        <v>1468500</v>
      </c>
      <c r="J214" s="65">
        <v>5114</v>
      </c>
      <c r="K214" s="65">
        <v>3935</v>
      </c>
      <c r="L214" s="65">
        <v>1179</v>
      </c>
      <c r="M214" s="65">
        <v>6250</v>
      </c>
      <c r="N214" s="65">
        <v>3313</v>
      </c>
      <c r="O214" s="65">
        <v>2937</v>
      </c>
      <c r="P214" s="61">
        <v>500.60640000000001</v>
      </c>
      <c r="Q214" s="58">
        <v>0.19980000000000001</v>
      </c>
      <c r="R214" t="s">
        <v>2331</v>
      </c>
      <c r="S214" t="s">
        <v>2295</v>
      </c>
    </row>
    <row r="215" spans="1:19">
      <c r="A215" t="s">
        <v>781</v>
      </c>
      <c r="B215" t="s">
        <v>782</v>
      </c>
      <c r="C215" s="40">
        <v>45442</v>
      </c>
      <c r="D215" s="65">
        <v>19474</v>
      </c>
      <c r="E215" s="65">
        <v>18876</v>
      </c>
      <c r="F215" s="65">
        <v>598</v>
      </c>
      <c r="G215" s="65">
        <v>65001.04</v>
      </c>
      <c r="H215" s="65">
        <v>30446.04</v>
      </c>
      <c r="I215" s="65">
        <v>34555</v>
      </c>
      <c r="J215" s="65">
        <v>6618</v>
      </c>
      <c r="K215" s="65">
        <v>6020</v>
      </c>
      <c r="L215" s="65">
        <v>598</v>
      </c>
      <c r="M215" s="65">
        <v>300</v>
      </c>
      <c r="N215" s="65">
        <v>150</v>
      </c>
      <c r="O215" s="65">
        <v>150</v>
      </c>
      <c r="P215" s="61">
        <v>216.67009999999999</v>
      </c>
      <c r="Q215" s="58">
        <v>0.46150000000000002</v>
      </c>
      <c r="R215" t="s">
        <v>2338</v>
      </c>
      <c r="S215" t="s">
        <v>2318</v>
      </c>
    </row>
    <row r="216" spans="1:19">
      <c r="A216" t="s">
        <v>598</v>
      </c>
      <c r="B216" t="s">
        <v>599</v>
      </c>
      <c r="C216" s="40">
        <v>45439</v>
      </c>
      <c r="D216" s="65">
        <v>9929</v>
      </c>
      <c r="E216" s="65">
        <v>9722</v>
      </c>
      <c r="F216" s="65">
        <v>207</v>
      </c>
      <c r="G216" s="65">
        <v>100988.4</v>
      </c>
      <c r="H216" s="65">
        <v>51038.3</v>
      </c>
      <c r="I216" s="65">
        <v>49950.1</v>
      </c>
      <c r="J216" s="65">
        <v>4128</v>
      </c>
      <c r="K216" s="65">
        <v>3921</v>
      </c>
      <c r="L216" s="65">
        <v>207</v>
      </c>
      <c r="M216" s="65">
        <v>1484.3</v>
      </c>
      <c r="N216" s="65">
        <v>742.2</v>
      </c>
      <c r="O216" s="65">
        <v>742.1</v>
      </c>
      <c r="P216" s="61">
        <v>68.037700000000001</v>
      </c>
      <c r="Q216" s="58">
        <v>1.4698</v>
      </c>
      <c r="R216" t="s">
        <v>2351</v>
      </c>
      <c r="S216" t="s">
        <v>2301</v>
      </c>
    </row>
    <row r="217" spans="1:19">
      <c r="A217" t="s">
        <v>631</v>
      </c>
      <c r="B217" t="s">
        <v>632</v>
      </c>
      <c r="C217" s="40">
        <v>45436</v>
      </c>
      <c r="D217" s="65">
        <v>5765</v>
      </c>
      <c r="E217" s="65">
        <v>5711</v>
      </c>
      <c r="F217" s="65">
        <v>54</v>
      </c>
      <c r="G217" s="65">
        <v>2374.8200000000002</v>
      </c>
      <c r="H217" s="65">
        <v>1318.82</v>
      </c>
      <c r="I217" s="65">
        <v>1056</v>
      </c>
      <c r="J217" s="65">
        <v>4206</v>
      </c>
      <c r="K217" s="65">
        <v>4152</v>
      </c>
      <c r="L217" s="65">
        <v>54</v>
      </c>
      <c r="M217" s="65">
        <v>197.04</v>
      </c>
      <c r="N217" s="65">
        <v>98.52</v>
      </c>
      <c r="O217" s="65">
        <v>98.52</v>
      </c>
      <c r="P217" s="61">
        <v>12.0525</v>
      </c>
      <c r="Q217" s="58">
        <v>8.2970000000000006</v>
      </c>
      <c r="R217" t="s">
        <v>2344</v>
      </c>
      <c r="S217" t="s">
        <v>2308</v>
      </c>
    </row>
    <row r="218" spans="1:19">
      <c r="A218" t="s">
        <v>1020</v>
      </c>
      <c r="B218" t="s">
        <v>1021</v>
      </c>
      <c r="C218" s="40">
        <v>45435</v>
      </c>
      <c r="D218" s="65">
        <v>7451</v>
      </c>
      <c r="E218" s="65">
        <v>7430</v>
      </c>
      <c r="F218" s="65">
        <v>21</v>
      </c>
      <c r="G218" s="65">
        <v>3443.84</v>
      </c>
      <c r="H218" s="65">
        <v>2573.84</v>
      </c>
      <c r="I218" s="65">
        <v>870</v>
      </c>
      <c r="J218" s="65">
        <v>2922</v>
      </c>
      <c r="K218" s="65">
        <v>2901</v>
      </c>
      <c r="L218" s="65">
        <v>21</v>
      </c>
      <c r="M218" s="65">
        <v>341.52</v>
      </c>
      <c r="N218" s="65">
        <v>170.76</v>
      </c>
      <c r="O218" s="65">
        <v>170.76</v>
      </c>
      <c r="P218" s="61">
        <v>10.0839</v>
      </c>
      <c r="Q218" s="58">
        <v>9.9168000000000003</v>
      </c>
      <c r="R218" t="s">
        <v>2328</v>
      </c>
      <c r="S218" t="s">
        <v>2296</v>
      </c>
    </row>
    <row r="219" spans="1:19">
      <c r="A219" t="s">
        <v>709</v>
      </c>
      <c r="B219" t="s">
        <v>710</v>
      </c>
      <c r="C219" s="40">
        <v>45428</v>
      </c>
      <c r="D219" s="65">
        <v>5727</v>
      </c>
      <c r="E219" s="65">
        <v>5714</v>
      </c>
      <c r="F219" s="65">
        <v>13</v>
      </c>
      <c r="G219" s="65">
        <v>19036.599999999999</v>
      </c>
      <c r="H219" s="65">
        <v>16916.599999999999</v>
      </c>
      <c r="I219" s="65">
        <v>2120</v>
      </c>
      <c r="J219" s="65">
        <v>4745</v>
      </c>
      <c r="K219" s="65">
        <v>4732</v>
      </c>
      <c r="L219" s="65">
        <v>13</v>
      </c>
      <c r="M219" s="65">
        <v>1200</v>
      </c>
      <c r="N219" s="65">
        <v>600</v>
      </c>
      <c r="O219" s="65">
        <v>600</v>
      </c>
      <c r="P219" s="61">
        <v>15.863799999999999</v>
      </c>
      <c r="Q219" s="58">
        <v>6.3036000000000003</v>
      </c>
      <c r="R219" t="s">
        <v>2324</v>
      </c>
      <c r="S219" t="s">
        <v>2306</v>
      </c>
    </row>
    <row r="220" spans="1:19">
      <c r="A220" t="s">
        <v>592</v>
      </c>
      <c r="B220" t="s">
        <v>593</v>
      </c>
      <c r="C220" s="40">
        <v>45426</v>
      </c>
      <c r="D220" s="65">
        <v>2576</v>
      </c>
      <c r="E220" s="65">
        <v>2565</v>
      </c>
      <c r="F220" s="65">
        <v>11</v>
      </c>
      <c r="G220" s="65">
        <v>353.94</v>
      </c>
      <c r="H220" s="65">
        <v>221.94</v>
      </c>
      <c r="I220" s="65">
        <v>132</v>
      </c>
      <c r="J220" s="65">
        <v>1797</v>
      </c>
      <c r="K220" s="65">
        <v>1786</v>
      </c>
      <c r="L220" s="65">
        <v>11</v>
      </c>
      <c r="M220" s="65">
        <v>59.5</v>
      </c>
      <c r="N220" s="65">
        <v>29.75</v>
      </c>
      <c r="O220" s="65">
        <v>29.75</v>
      </c>
      <c r="P220" s="61">
        <v>5.9485999999999999</v>
      </c>
      <c r="Q220" s="58">
        <v>16.8108</v>
      </c>
      <c r="R220" t="s">
        <v>2327</v>
      </c>
      <c r="S220" t="s">
        <v>2298</v>
      </c>
    </row>
    <row r="221" spans="1:19">
      <c r="A221" t="s">
        <v>777</v>
      </c>
      <c r="B221" t="s">
        <v>778</v>
      </c>
      <c r="C221" s="40">
        <v>45405</v>
      </c>
      <c r="D221" s="65">
        <v>15352</v>
      </c>
      <c r="E221" s="65">
        <v>15140</v>
      </c>
      <c r="F221" s="65">
        <v>212</v>
      </c>
      <c r="G221" s="65">
        <v>99278.3</v>
      </c>
      <c r="H221" s="65">
        <v>61800.3</v>
      </c>
      <c r="I221" s="65">
        <v>37478</v>
      </c>
      <c r="J221" s="65">
        <v>10303</v>
      </c>
      <c r="K221" s="65">
        <v>10091</v>
      </c>
      <c r="L221" s="65">
        <v>212</v>
      </c>
      <c r="M221" s="65">
        <v>4228.3999999999996</v>
      </c>
      <c r="N221" s="65">
        <v>2114.1999999999998</v>
      </c>
      <c r="O221" s="65">
        <v>2114.1999999999998</v>
      </c>
      <c r="P221" s="61">
        <v>23.478899999999999</v>
      </c>
      <c r="Q221" s="58">
        <v>4.2591000000000001</v>
      </c>
      <c r="R221" t="s">
        <v>2327</v>
      </c>
      <c r="S221" t="s">
        <v>2298</v>
      </c>
    </row>
    <row r="222" spans="1:19">
      <c r="A222" t="s">
        <v>220</v>
      </c>
      <c r="B222" t="s">
        <v>393</v>
      </c>
      <c r="C222" s="40">
        <v>45404</v>
      </c>
      <c r="D222" s="65">
        <v>4593</v>
      </c>
      <c r="E222" s="65">
        <v>4589</v>
      </c>
      <c r="F222" s="65">
        <v>4</v>
      </c>
      <c r="G222" s="65">
        <v>733.56</v>
      </c>
      <c r="H222" s="65">
        <v>543.55999999999995</v>
      </c>
      <c r="I222" s="65">
        <v>190</v>
      </c>
      <c r="J222" s="65">
        <v>4593</v>
      </c>
      <c r="K222" s="65">
        <v>4589</v>
      </c>
      <c r="L222" s="65">
        <v>4</v>
      </c>
      <c r="M222" s="65">
        <v>733.56</v>
      </c>
      <c r="N222" s="65">
        <v>543.55999999999995</v>
      </c>
      <c r="O222" s="65">
        <v>190</v>
      </c>
      <c r="P222" s="61">
        <v>1</v>
      </c>
      <c r="Q222" s="58">
        <v>100</v>
      </c>
      <c r="R222" t="s">
        <v>2345</v>
      </c>
      <c r="S222" t="s">
        <v>2304</v>
      </c>
    </row>
    <row r="223" spans="1:19">
      <c r="A223" t="s">
        <v>858</v>
      </c>
      <c r="B223" t="s">
        <v>859</v>
      </c>
      <c r="C223" s="40">
        <v>45404</v>
      </c>
      <c r="D223" s="65">
        <v>16354</v>
      </c>
      <c r="E223" s="65">
        <v>15702</v>
      </c>
      <c r="F223" s="65">
        <v>652</v>
      </c>
      <c r="G223" s="65">
        <v>233681.4</v>
      </c>
      <c r="H223" s="65">
        <v>101498.4</v>
      </c>
      <c r="I223" s="65">
        <v>132183</v>
      </c>
      <c r="J223" s="65">
        <v>5906</v>
      </c>
      <c r="K223" s="65">
        <v>5254</v>
      </c>
      <c r="L223" s="65">
        <v>652</v>
      </c>
      <c r="M223" s="65">
        <v>2676.4</v>
      </c>
      <c r="N223" s="65">
        <v>1327.6</v>
      </c>
      <c r="O223" s="65">
        <v>1348.8</v>
      </c>
      <c r="P223" s="61">
        <v>87.311800000000005</v>
      </c>
      <c r="Q223" s="58">
        <v>1.1453</v>
      </c>
      <c r="R223" t="s">
        <v>2339</v>
      </c>
      <c r="S223" t="s">
        <v>2305</v>
      </c>
    </row>
    <row r="224" spans="1:19">
      <c r="A224" t="s">
        <v>933</v>
      </c>
      <c r="B224" t="s">
        <v>934</v>
      </c>
      <c r="C224" s="40">
        <v>45378</v>
      </c>
      <c r="D224" s="65">
        <v>12820</v>
      </c>
      <c r="E224" s="65">
        <v>12483</v>
      </c>
      <c r="F224" s="65">
        <v>337</v>
      </c>
      <c r="G224" s="65">
        <v>294126.59999999998</v>
      </c>
      <c r="H224" s="65">
        <v>144876.6</v>
      </c>
      <c r="I224" s="65">
        <v>149250</v>
      </c>
      <c r="J224" s="65">
        <v>3833</v>
      </c>
      <c r="K224" s="65">
        <v>3496</v>
      </c>
      <c r="L224" s="65">
        <v>337</v>
      </c>
      <c r="M224" s="65">
        <v>1462</v>
      </c>
      <c r="N224" s="65">
        <v>731</v>
      </c>
      <c r="O224" s="65">
        <v>731</v>
      </c>
      <c r="P224" s="61">
        <v>201.18100000000001</v>
      </c>
      <c r="Q224" s="58">
        <v>0.49709999999999999</v>
      </c>
      <c r="R224" t="s">
        <v>2336</v>
      </c>
      <c r="S224" t="s">
        <v>2302</v>
      </c>
    </row>
    <row r="225" spans="1:19">
      <c r="A225" t="s">
        <v>629</v>
      </c>
      <c r="B225" t="s">
        <v>630</v>
      </c>
      <c r="C225" s="40">
        <v>45378</v>
      </c>
      <c r="D225" s="65">
        <v>10112</v>
      </c>
      <c r="E225" s="65">
        <v>10081</v>
      </c>
      <c r="F225" s="65">
        <v>31</v>
      </c>
      <c r="G225" s="65">
        <v>9471.25</v>
      </c>
      <c r="H225" s="65">
        <v>7511.65</v>
      </c>
      <c r="I225" s="65">
        <v>1959.6</v>
      </c>
      <c r="J225" s="65">
        <v>10112</v>
      </c>
      <c r="K225" s="65">
        <v>10081</v>
      </c>
      <c r="L225" s="65">
        <v>31</v>
      </c>
      <c r="M225" s="65">
        <v>1929</v>
      </c>
      <c r="N225" s="65">
        <v>964.5</v>
      </c>
      <c r="O225" s="65">
        <v>964.5</v>
      </c>
      <c r="P225" s="61">
        <v>4.9099000000000004</v>
      </c>
      <c r="Q225" s="58">
        <v>20.366900000000001</v>
      </c>
      <c r="R225" t="s">
        <v>2327</v>
      </c>
      <c r="S225" t="s">
        <v>2310</v>
      </c>
    </row>
    <row r="226" spans="1:19">
      <c r="A226" t="s">
        <v>848</v>
      </c>
      <c r="B226" t="s">
        <v>849</v>
      </c>
      <c r="C226" s="40">
        <v>45376</v>
      </c>
      <c r="D226" s="65">
        <v>7141</v>
      </c>
      <c r="E226" s="65">
        <v>7097</v>
      </c>
      <c r="F226" s="65">
        <v>44</v>
      </c>
      <c r="G226" s="65">
        <v>22798.3</v>
      </c>
      <c r="H226" s="65">
        <v>11884</v>
      </c>
      <c r="I226" s="65">
        <v>10914.3</v>
      </c>
      <c r="J226" s="65">
        <v>7141</v>
      </c>
      <c r="K226" s="65">
        <v>7097</v>
      </c>
      <c r="L226" s="65">
        <v>44</v>
      </c>
      <c r="M226" s="65">
        <v>4285.8</v>
      </c>
      <c r="N226" s="65">
        <v>2142.9</v>
      </c>
      <c r="O226" s="65">
        <v>2142.9</v>
      </c>
      <c r="P226" s="61">
        <v>5.3194999999999997</v>
      </c>
      <c r="Q226" s="58">
        <v>18.7988</v>
      </c>
      <c r="R226" t="s">
        <v>2345</v>
      </c>
      <c r="S226" t="s">
        <v>2309</v>
      </c>
    </row>
    <row r="227" spans="1:19">
      <c r="A227" t="s">
        <v>413</v>
      </c>
      <c r="B227" t="s">
        <v>414</v>
      </c>
      <c r="C227" s="40">
        <v>45371</v>
      </c>
      <c r="D227" s="65">
        <v>7793</v>
      </c>
      <c r="E227" s="65">
        <v>7768</v>
      </c>
      <c r="F227" s="65">
        <v>25</v>
      </c>
      <c r="G227" s="65">
        <v>22023.3</v>
      </c>
      <c r="H227" s="65">
        <v>12623.3</v>
      </c>
      <c r="I227" s="65">
        <v>9400</v>
      </c>
      <c r="J227" s="65">
        <v>5352</v>
      </c>
      <c r="K227" s="65">
        <v>5327</v>
      </c>
      <c r="L227" s="65">
        <v>25</v>
      </c>
      <c r="M227" s="65">
        <v>2250</v>
      </c>
      <c r="N227" s="65">
        <v>1125</v>
      </c>
      <c r="O227" s="65">
        <v>1125</v>
      </c>
      <c r="P227" s="61">
        <v>9.7881</v>
      </c>
      <c r="Q227" s="58">
        <v>10.2165</v>
      </c>
      <c r="R227" t="s">
        <v>2337</v>
      </c>
      <c r="S227" t="s">
        <v>2303</v>
      </c>
    </row>
    <row r="228" spans="1:19">
      <c r="A228" t="s">
        <v>994</v>
      </c>
      <c r="B228" t="s">
        <v>995</v>
      </c>
      <c r="C228" s="40">
        <v>45370</v>
      </c>
      <c r="D228" s="65">
        <v>14525</v>
      </c>
      <c r="E228" s="65">
        <v>14312</v>
      </c>
      <c r="F228" s="65">
        <v>213</v>
      </c>
      <c r="G228" s="65">
        <v>19656.28</v>
      </c>
      <c r="H228" s="65">
        <v>11475.48</v>
      </c>
      <c r="I228" s="65">
        <v>8180.8</v>
      </c>
      <c r="J228" s="65">
        <v>4237</v>
      </c>
      <c r="K228" s="65">
        <v>4024</v>
      </c>
      <c r="L228" s="65">
        <v>213</v>
      </c>
      <c r="M228" s="65">
        <v>214.08</v>
      </c>
      <c r="N228" s="65">
        <v>107.04</v>
      </c>
      <c r="O228" s="65">
        <v>107.04</v>
      </c>
      <c r="P228" s="61">
        <v>91.817499999999995</v>
      </c>
      <c r="Q228" s="58">
        <v>1.0891</v>
      </c>
      <c r="R228" t="s">
        <v>2328</v>
      </c>
      <c r="S228" t="s">
        <v>2296</v>
      </c>
    </row>
    <row r="229" spans="1:19">
      <c r="A229" t="s">
        <v>723</v>
      </c>
      <c r="B229" t="s">
        <v>724</v>
      </c>
      <c r="C229" s="40">
        <v>45358</v>
      </c>
      <c r="D229" s="65">
        <v>5113</v>
      </c>
      <c r="E229" s="65">
        <v>5104</v>
      </c>
      <c r="F229" s="65">
        <v>9</v>
      </c>
      <c r="G229" s="65">
        <v>27942.25</v>
      </c>
      <c r="H229" s="65">
        <v>24542.25</v>
      </c>
      <c r="I229" s="65">
        <v>3400</v>
      </c>
      <c r="J229" s="65">
        <v>5113</v>
      </c>
      <c r="K229" s="65">
        <v>5104</v>
      </c>
      <c r="L229" s="65">
        <v>9</v>
      </c>
      <c r="M229" s="65">
        <v>3750</v>
      </c>
      <c r="N229" s="65">
        <v>1875</v>
      </c>
      <c r="O229" s="65">
        <v>1875</v>
      </c>
      <c r="P229" s="61">
        <v>7.4512999999999998</v>
      </c>
      <c r="Q229" s="58">
        <v>13.420500000000001</v>
      </c>
      <c r="R229" t="s">
        <v>2344</v>
      </c>
      <c r="S229" t="s">
        <v>2308</v>
      </c>
    </row>
    <row r="230" spans="1:19">
      <c r="A230" t="s">
        <v>852</v>
      </c>
      <c r="B230" t="s">
        <v>853</v>
      </c>
      <c r="C230" s="40">
        <v>45358</v>
      </c>
      <c r="D230" s="65">
        <v>6323</v>
      </c>
      <c r="E230" s="65">
        <v>6248</v>
      </c>
      <c r="F230" s="65">
        <v>75</v>
      </c>
      <c r="G230" s="65">
        <v>352400</v>
      </c>
      <c r="H230" s="65">
        <v>193650</v>
      </c>
      <c r="I230" s="65">
        <v>158750</v>
      </c>
      <c r="J230" s="65">
        <v>1807</v>
      </c>
      <c r="K230" s="65">
        <v>1732</v>
      </c>
      <c r="L230" s="65">
        <v>75</v>
      </c>
      <c r="M230" s="65">
        <v>10000</v>
      </c>
      <c r="N230" s="65">
        <v>5000</v>
      </c>
      <c r="O230" s="65">
        <v>5000</v>
      </c>
      <c r="P230" s="61">
        <v>35.24</v>
      </c>
      <c r="Q230" s="58">
        <v>2.8376999999999999</v>
      </c>
      <c r="R230" t="s">
        <v>2339</v>
      </c>
      <c r="S230" t="s">
        <v>2305</v>
      </c>
    </row>
    <row r="231" spans="1:19">
      <c r="A231" t="s">
        <v>882</v>
      </c>
      <c r="B231" t="s">
        <v>883</v>
      </c>
      <c r="C231" s="40">
        <v>45302</v>
      </c>
      <c r="D231" s="65">
        <v>3480</v>
      </c>
      <c r="E231" s="65">
        <v>3479</v>
      </c>
      <c r="F231" s="65">
        <v>1</v>
      </c>
      <c r="G231" s="65">
        <v>35794.400000000001</v>
      </c>
      <c r="H231" s="65">
        <v>35169.599999999999</v>
      </c>
      <c r="I231" s="65">
        <v>624.79999999999995</v>
      </c>
      <c r="J231" s="65">
        <v>1447</v>
      </c>
      <c r="K231" s="65">
        <v>1446</v>
      </c>
      <c r="L231" s="65">
        <v>1</v>
      </c>
      <c r="M231" s="65">
        <v>2500</v>
      </c>
      <c r="N231" s="65">
        <v>2416.4</v>
      </c>
      <c r="O231" s="65">
        <v>83.6</v>
      </c>
      <c r="P231" s="61">
        <v>14.3178</v>
      </c>
      <c r="Q231" s="58">
        <v>6.9843000000000002</v>
      </c>
      <c r="R231" t="s">
        <v>2327</v>
      </c>
      <c r="S231" t="s">
        <v>2316</v>
      </c>
    </row>
    <row r="232" spans="1:19">
      <c r="A232" t="s">
        <v>548</v>
      </c>
      <c r="B232" t="s">
        <v>549</v>
      </c>
      <c r="C232" s="40">
        <v>45299</v>
      </c>
      <c r="D232" s="65">
        <v>5112</v>
      </c>
      <c r="E232" s="65">
        <v>5101</v>
      </c>
      <c r="F232" s="65">
        <v>11</v>
      </c>
      <c r="G232" s="65">
        <v>75222.399999999994</v>
      </c>
      <c r="H232" s="65">
        <v>68841.600000000006</v>
      </c>
      <c r="I232" s="65">
        <v>6380.8</v>
      </c>
      <c r="J232" s="65">
        <v>5112</v>
      </c>
      <c r="K232" s="65">
        <v>5101</v>
      </c>
      <c r="L232" s="65">
        <v>11</v>
      </c>
      <c r="M232" s="65">
        <v>5148</v>
      </c>
      <c r="N232" s="65">
        <v>2574</v>
      </c>
      <c r="O232" s="65">
        <v>2574</v>
      </c>
      <c r="P232" s="61">
        <v>14.612</v>
      </c>
      <c r="Q232" s="58">
        <v>6.8437000000000001</v>
      </c>
      <c r="R232" t="s">
        <v>2339</v>
      </c>
      <c r="S232" t="s">
        <v>2305</v>
      </c>
    </row>
    <row r="233" spans="1:19">
      <c r="A233" t="s">
        <v>713</v>
      </c>
      <c r="B233" t="s">
        <v>714</v>
      </c>
      <c r="C233" s="40">
        <v>45299</v>
      </c>
      <c r="D233" s="65">
        <v>2510</v>
      </c>
      <c r="E233" s="65">
        <v>2481</v>
      </c>
      <c r="F233" s="65">
        <v>29</v>
      </c>
      <c r="G233" s="65">
        <v>5897.1</v>
      </c>
      <c r="H233" s="65">
        <v>3341.7</v>
      </c>
      <c r="I233" s="65">
        <v>2555.4</v>
      </c>
      <c r="J233" s="65">
        <v>1696</v>
      </c>
      <c r="K233" s="65">
        <v>1667</v>
      </c>
      <c r="L233" s="65">
        <v>29</v>
      </c>
      <c r="M233" s="65">
        <v>505.4</v>
      </c>
      <c r="N233" s="65">
        <v>252.7</v>
      </c>
      <c r="O233" s="65">
        <v>252.7</v>
      </c>
      <c r="P233" s="61">
        <v>11.668200000000001</v>
      </c>
      <c r="Q233" s="58">
        <v>8.5702999999999996</v>
      </c>
      <c r="R233" t="s">
        <v>2340</v>
      </c>
      <c r="S233" t="s">
        <v>2318</v>
      </c>
    </row>
    <row r="234" spans="1:19">
      <c r="A234" t="s">
        <v>759</v>
      </c>
      <c r="B234" t="s">
        <v>760</v>
      </c>
      <c r="C234" s="40">
        <v>45299</v>
      </c>
      <c r="D234" s="65">
        <v>1638</v>
      </c>
      <c r="E234" s="65">
        <v>1635</v>
      </c>
      <c r="F234" s="65">
        <v>3</v>
      </c>
      <c r="G234" s="65">
        <v>782.82</v>
      </c>
      <c r="H234" s="65">
        <v>348.62</v>
      </c>
      <c r="I234" s="65">
        <v>434.2</v>
      </c>
      <c r="J234" s="65">
        <v>1638</v>
      </c>
      <c r="K234" s="65">
        <v>1635</v>
      </c>
      <c r="L234" s="65">
        <v>3</v>
      </c>
      <c r="M234" s="65">
        <v>394.22</v>
      </c>
      <c r="N234" s="65">
        <v>197.12</v>
      </c>
      <c r="O234" s="65">
        <v>197.1</v>
      </c>
      <c r="P234" s="61">
        <v>1.9857</v>
      </c>
      <c r="Q234" s="58">
        <v>50.359000000000002</v>
      </c>
      <c r="R234" t="s">
        <v>2326</v>
      </c>
      <c r="S234" t="s">
        <v>2292</v>
      </c>
    </row>
    <row r="235" spans="1:19">
      <c r="A235" t="s">
        <v>618</v>
      </c>
      <c r="B235" t="s">
        <v>619</v>
      </c>
      <c r="C235" s="40">
        <v>45295</v>
      </c>
      <c r="D235" s="65">
        <v>1786</v>
      </c>
      <c r="E235" s="65">
        <v>1786</v>
      </c>
      <c r="G235" s="65">
        <v>133.9</v>
      </c>
      <c r="H235" s="65">
        <v>133.9</v>
      </c>
      <c r="J235" s="65">
        <v>1786</v>
      </c>
      <c r="K235" s="65">
        <v>1786</v>
      </c>
      <c r="M235" s="65">
        <v>133.9</v>
      </c>
      <c r="N235" s="65">
        <v>133.9</v>
      </c>
      <c r="P235" s="61">
        <v>1</v>
      </c>
      <c r="Q235" s="58">
        <v>100</v>
      </c>
      <c r="R235" t="s">
        <v>2329</v>
      </c>
      <c r="S235" t="s">
        <v>2298</v>
      </c>
    </row>
    <row r="236" spans="1:19">
      <c r="A236" t="s">
        <v>624</v>
      </c>
      <c r="B236" t="s">
        <v>625</v>
      </c>
      <c r="C236" s="40">
        <v>45288</v>
      </c>
      <c r="D236" s="65">
        <v>5414</v>
      </c>
      <c r="E236" s="65">
        <v>5389</v>
      </c>
      <c r="F236" s="65">
        <v>25</v>
      </c>
      <c r="G236" s="65">
        <v>582.255</v>
      </c>
      <c r="H236" s="65">
        <v>329.255</v>
      </c>
      <c r="I236" s="65">
        <v>253</v>
      </c>
      <c r="J236" s="65">
        <v>3581</v>
      </c>
      <c r="K236" s="65">
        <v>3556</v>
      </c>
      <c r="L236" s="65">
        <v>25</v>
      </c>
      <c r="M236" s="65">
        <v>112.82</v>
      </c>
      <c r="N236" s="65">
        <v>56.41</v>
      </c>
      <c r="O236" s="65">
        <v>56.41</v>
      </c>
      <c r="P236" s="61">
        <v>5.1608999999999998</v>
      </c>
      <c r="Q236" s="58">
        <v>19.3764</v>
      </c>
      <c r="R236" t="s">
        <v>2327</v>
      </c>
      <c r="S236" t="s">
        <v>2298</v>
      </c>
    </row>
    <row r="237" spans="1:19">
      <c r="A237" t="s">
        <v>789</v>
      </c>
      <c r="B237" t="s">
        <v>790</v>
      </c>
      <c r="C237" s="40">
        <v>45287</v>
      </c>
      <c r="D237" s="65">
        <v>2475</v>
      </c>
      <c r="E237" s="65">
        <v>2474</v>
      </c>
      <c r="F237" s="65">
        <v>1</v>
      </c>
      <c r="G237" s="65">
        <v>196.54</v>
      </c>
      <c r="H237" s="65">
        <v>166.54</v>
      </c>
      <c r="I237" s="65">
        <v>30</v>
      </c>
      <c r="J237" s="65">
        <v>2475</v>
      </c>
      <c r="K237" s="65">
        <v>2474</v>
      </c>
      <c r="L237" s="65">
        <v>1</v>
      </c>
      <c r="M237" s="65">
        <v>150</v>
      </c>
      <c r="N237" s="65">
        <v>120</v>
      </c>
      <c r="O237" s="65">
        <v>30</v>
      </c>
      <c r="P237" s="61">
        <v>1.3103</v>
      </c>
      <c r="Q237" s="58">
        <v>76.320300000000003</v>
      </c>
      <c r="R237" t="s">
        <v>2329</v>
      </c>
      <c r="S237" t="s">
        <v>2295</v>
      </c>
    </row>
    <row r="238" spans="1:19">
      <c r="A238" t="s">
        <v>828</v>
      </c>
      <c r="B238" t="s">
        <v>829</v>
      </c>
      <c r="C238" s="40">
        <v>45281</v>
      </c>
      <c r="D238" s="65">
        <v>6134</v>
      </c>
      <c r="E238" s="65">
        <v>6125</v>
      </c>
      <c r="F238" s="65">
        <v>9</v>
      </c>
      <c r="G238" s="65">
        <v>43775.5</v>
      </c>
      <c r="H238" s="65">
        <v>35875.5</v>
      </c>
      <c r="I238" s="65">
        <v>7900</v>
      </c>
      <c r="J238" s="65">
        <v>4640</v>
      </c>
      <c r="K238" s="65">
        <v>4631</v>
      </c>
      <c r="L238" s="65">
        <v>9</v>
      </c>
      <c r="M238" s="65">
        <v>5000</v>
      </c>
      <c r="N238" s="65">
        <v>2500</v>
      </c>
      <c r="O238" s="65">
        <v>2500</v>
      </c>
      <c r="P238" s="61">
        <v>8.7551000000000005</v>
      </c>
      <c r="Q238" s="58">
        <v>11.421900000000001</v>
      </c>
      <c r="R238" t="s">
        <v>2341</v>
      </c>
      <c r="S238" t="s">
        <v>2315</v>
      </c>
    </row>
    <row r="239" spans="1:19">
      <c r="A239" t="s">
        <v>1024</v>
      </c>
      <c r="B239" t="s">
        <v>1025</v>
      </c>
      <c r="C239" s="40">
        <v>45281</v>
      </c>
      <c r="D239" s="65">
        <v>4831</v>
      </c>
      <c r="E239" s="65">
        <v>4758</v>
      </c>
      <c r="F239" s="65">
        <v>73</v>
      </c>
      <c r="G239" s="65">
        <v>7794.85</v>
      </c>
      <c r="H239" s="65">
        <v>3330.1</v>
      </c>
      <c r="I239" s="65">
        <v>4464.75</v>
      </c>
      <c r="J239" s="65">
        <v>2133</v>
      </c>
      <c r="K239" s="65">
        <v>2060</v>
      </c>
      <c r="L239" s="65">
        <v>73</v>
      </c>
      <c r="M239" s="65">
        <v>725.85</v>
      </c>
      <c r="N239" s="65">
        <v>362.95</v>
      </c>
      <c r="O239" s="65">
        <v>362.9</v>
      </c>
      <c r="P239" s="61">
        <v>10.738899999999999</v>
      </c>
      <c r="Q239" s="58">
        <v>9.3118999999999996</v>
      </c>
      <c r="R239" t="s">
        <v>2328</v>
      </c>
      <c r="S239" t="s">
        <v>2296</v>
      </c>
    </row>
    <row r="240" spans="1:19">
      <c r="A240" t="s">
        <v>507</v>
      </c>
      <c r="B240" t="s">
        <v>508</v>
      </c>
      <c r="C240" s="40">
        <v>45281</v>
      </c>
      <c r="D240" s="65">
        <v>3747</v>
      </c>
      <c r="E240" s="65">
        <v>3732</v>
      </c>
      <c r="F240" s="65">
        <v>15</v>
      </c>
      <c r="G240" s="65">
        <v>20282.400000000001</v>
      </c>
      <c r="H240" s="65">
        <v>12982.4</v>
      </c>
      <c r="I240" s="65">
        <v>7300</v>
      </c>
      <c r="J240" s="65">
        <v>1124</v>
      </c>
      <c r="K240" s="65">
        <v>1109</v>
      </c>
      <c r="L240" s="65">
        <v>15</v>
      </c>
      <c r="M240" s="65">
        <v>1400</v>
      </c>
      <c r="N240" s="65">
        <v>700</v>
      </c>
      <c r="O240" s="65">
        <v>700</v>
      </c>
      <c r="P240" s="61">
        <v>14.487399999999999</v>
      </c>
      <c r="Q240" s="58">
        <v>6.9024999999999999</v>
      </c>
      <c r="R240" t="s">
        <v>2351</v>
      </c>
      <c r="S240" t="s">
        <v>2321</v>
      </c>
    </row>
    <row r="241" spans="1:19">
      <c r="A241" t="s">
        <v>767</v>
      </c>
      <c r="B241" t="s">
        <v>768</v>
      </c>
      <c r="C241" s="40">
        <v>45281</v>
      </c>
      <c r="D241" s="65">
        <v>5922</v>
      </c>
      <c r="E241" s="65">
        <v>5905</v>
      </c>
      <c r="F241" s="65">
        <v>17</v>
      </c>
      <c r="G241" s="65">
        <v>2777.8</v>
      </c>
      <c r="H241" s="65">
        <v>2002.8</v>
      </c>
      <c r="I241" s="65">
        <v>775</v>
      </c>
      <c r="J241" s="65">
        <v>3163</v>
      </c>
      <c r="K241" s="65">
        <v>3146</v>
      </c>
      <c r="L241" s="65">
        <v>17</v>
      </c>
      <c r="M241" s="65">
        <v>210</v>
      </c>
      <c r="N241" s="65">
        <v>105</v>
      </c>
      <c r="O241" s="65">
        <v>105</v>
      </c>
      <c r="P241" s="61">
        <v>13.227600000000001</v>
      </c>
      <c r="Q241" s="58">
        <v>7.5598999999999998</v>
      </c>
      <c r="R241" t="s">
        <v>2336</v>
      </c>
      <c r="S241" t="s">
        <v>2304</v>
      </c>
    </row>
    <row r="242" spans="1:19">
      <c r="A242" t="s">
        <v>596</v>
      </c>
      <c r="B242" t="s">
        <v>597</v>
      </c>
      <c r="C242" s="40">
        <v>45279</v>
      </c>
      <c r="D242" s="65">
        <v>5221</v>
      </c>
      <c r="E242" s="65">
        <v>5205</v>
      </c>
      <c r="F242" s="65">
        <v>16</v>
      </c>
      <c r="G242" s="65">
        <v>1429.44</v>
      </c>
      <c r="H242" s="65">
        <v>944.44</v>
      </c>
      <c r="I242" s="65">
        <v>485</v>
      </c>
      <c r="J242" s="65">
        <v>5221</v>
      </c>
      <c r="K242" s="65">
        <v>5205</v>
      </c>
      <c r="L242" s="65">
        <v>16</v>
      </c>
      <c r="M242" s="65">
        <v>221.16</v>
      </c>
      <c r="N242" s="65">
        <v>110.58</v>
      </c>
      <c r="O242" s="65">
        <v>110.58</v>
      </c>
      <c r="P242" s="61">
        <v>6.4634</v>
      </c>
      <c r="Q242" s="58">
        <v>15.4718</v>
      </c>
      <c r="R242" t="s">
        <v>2327</v>
      </c>
      <c r="S242" t="s">
        <v>2298</v>
      </c>
    </row>
    <row r="243" spans="1:19">
      <c r="A243" t="s">
        <v>485</v>
      </c>
      <c r="B243" t="s">
        <v>486</v>
      </c>
      <c r="C243" s="40">
        <v>45279</v>
      </c>
      <c r="D243" s="65">
        <v>7717</v>
      </c>
      <c r="E243" s="65">
        <v>7671</v>
      </c>
      <c r="F243" s="65">
        <v>46</v>
      </c>
      <c r="G243" s="65">
        <v>102298</v>
      </c>
      <c r="H243" s="65">
        <v>79708.800000000003</v>
      </c>
      <c r="I243" s="65">
        <v>22589.200000000001</v>
      </c>
      <c r="J243" s="65">
        <v>6506</v>
      </c>
      <c r="K243" s="65">
        <v>6460</v>
      </c>
      <c r="L243" s="65">
        <v>46</v>
      </c>
      <c r="M243" s="65">
        <v>7167.4</v>
      </c>
      <c r="N243" s="65">
        <v>3583.8</v>
      </c>
      <c r="O243" s="65">
        <v>3583.6</v>
      </c>
      <c r="P243" s="61">
        <v>14.2727</v>
      </c>
      <c r="Q243" s="58">
        <v>7.0064000000000002</v>
      </c>
      <c r="R243" t="s">
        <v>2337</v>
      </c>
      <c r="S243" t="s">
        <v>2303</v>
      </c>
    </row>
    <row r="244" spans="1:19">
      <c r="A244" t="s">
        <v>327</v>
      </c>
      <c r="B244" t="s">
        <v>328</v>
      </c>
      <c r="C244" s="40">
        <v>45275</v>
      </c>
      <c r="D244" s="65">
        <v>2054</v>
      </c>
      <c r="E244" s="65">
        <v>2050</v>
      </c>
      <c r="F244" s="65">
        <v>4</v>
      </c>
      <c r="G244" s="65">
        <v>1478.04</v>
      </c>
      <c r="H244" s="65">
        <v>217.68</v>
      </c>
      <c r="I244" s="65">
        <v>1260.3599999999999</v>
      </c>
      <c r="J244" s="65">
        <v>2054</v>
      </c>
      <c r="K244" s="65">
        <v>2050</v>
      </c>
      <c r="L244" s="65">
        <v>4</v>
      </c>
      <c r="M244" s="65">
        <v>1160.72</v>
      </c>
      <c r="N244" s="65">
        <v>217.68</v>
      </c>
      <c r="O244" s="65">
        <v>943.04</v>
      </c>
      <c r="P244" s="61">
        <v>1.2734000000000001</v>
      </c>
      <c r="Q244" s="58">
        <v>78.531000000000006</v>
      </c>
      <c r="R244" t="s">
        <v>2335</v>
      </c>
      <c r="S244" t="s">
        <v>2297</v>
      </c>
    </row>
    <row r="245" spans="1:19">
      <c r="A245" t="s">
        <v>511</v>
      </c>
      <c r="B245" t="s">
        <v>512</v>
      </c>
      <c r="C245" s="40">
        <v>45271</v>
      </c>
      <c r="D245" s="65">
        <v>11440</v>
      </c>
      <c r="E245" s="65">
        <v>11260</v>
      </c>
      <c r="F245" s="65">
        <v>180</v>
      </c>
      <c r="G245" s="65">
        <v>26761.759999999998</v>
      </c>
      <c r="H245" s="65">
        <v>14621.76</v>
      </c>
      <c r="I245" s="65">
        <v>12140</v>
      </c>
      <c r="J245" s="65">
        <v>4655</v>
      </c>
      <c r="K245" s="65">
        <v>4475</v>
      </c>
      <c r="L245" s="65">
        <v>180</v>
      </c>
      <c r="M245" s="65">
        <v>1280</v>
      </c>
      <c r="N245" s="65">
        <v>640</v>
      </c>
      <c r="O245" s="65">
        <v>640</v>
      </c>
      <c r="P245" s="61">
        <v>20.907599999999999</v>
      </c>
      <c r="Q245" s="58">
        <v>4.7828999999999997</v>
      </c>
      <c r="R245" t="s">
        <v>2347</v>
      </c>
      <c r="S245" t="s">
        <v>2304</v>
      </c>
    </row>
    <row r="246" spans="1:19">
      <c r="A246" t="s">
        <v>316</v>
      </c>
      <c r="B246" t="s">
        <v>317</v>
      </c>
      <c r="C246" s="40">
        <v>45265</v>
      </c>
      <c r="D246" s="65">
        <v>1894</v>
      </c>
      <c r="E246" s="65">
        <v>1886</v>
      </c>
      <c r="F246" s="65">
        <v>8</v>
      </c>
      <c r="G246" s="65">
        <v>505.25</v>
      </c>
      <c r="H246" s="65">
        <v>155.25</v>
      </c>
      <c r="I246" s="65">
        <v>350</v>
      </c>
      <c r="J246" s="65">
        <v>1894</v>
      </c>
      <c r="K246" s="65">
        <v>1886</v>
      </c>
      <c r="L246" s="65">
        <v>8</v>
      </c>
      <c r="M246" s="65">
        <v>269.12</v>
      </c>
      <c r="N246" s="65">
        <v>134.56</v>
      </c>
      <c r="O246" s="65">
        <v>134.56</v>
      </c>
      <c r="P246" s="61">
        <v>1.8774</v>
      </c>
      <c r="Q246" s="58">
        <v>53.264699999999998</v>
      </c>
      <c r="R246" t="s">
        <v>2336</v>
      </c>
      <c r="S246" t="s">
        <v>2302</v>
      </c>
    </row>
    <row r="247" spans="1:19">
      <c r="A247" t="s">
        <v>717</v>
      </c>
      <c r="B247" t="s">
        <v>718</v>
      </c>
      <c r="C247" s="40">
        <v>45264</v>
      </c>
      <c r="D247" s="65">
        <v>5462</v>
      </c>
      <c r="E247" s="65">
        <v>5460</v>
      </c>
      <c r="F247" s="65">
        <v>2</v>
      </c>
      <c r="G247" s="65">
        <v>137639.25</v>
      </c>
      <c r="H247" s="65">
        <v>133496.25</v>
      </c>
      <c r="I247" s="65">
        <v>4143</v>
      </c>
      <c r="J247" s="65">
        <v>5462</v>
      </c>
      <c r="K247" s="65">
        <v>5460</v>
      </c>
      <c r="L247" s="65">
        <v>2</v>
      </c>
      <c r="M247" s="65">
        <v>12431.25</v>
      </c>
      <c r="N247" s="65">
        <v>11743.5</v>
      </c>
      <c r="O247" s="65">
        <v>687.75</v>
      </c>
      <c r="P247" s="61">
        <v>11.071999999999999</v>
      </c>
      <c r="Q247" s="58">
        <v>9.0318000000000005</v>
      </c>
      <c r="R247" t="s">
        <v>2349</v>
      </c>
      <c r="S247" t="s">
        <v>2318</v>
      </c>
    </row>
    <row r="248" spans="1:19">
      <c r="A248" t="s">
        <v>687</v>
      </c>
      <c r="B248" t="s">
        <v>688</v>
      </c>
      <c r="C248" s="40">
        <v>45264</v>
      </c>
      <c r="D248" s="65">
        <v>2808</v>
      </c>
      <c r="E248" s="65">
        <v>2806</v>
      </c>
      <c r="F248" s="65">
        <v>2</v>
      </c>
      <c r="G248" s="65">
        <v>939.9</v>
      </c>
      <c r="H248" s="65">
        <v>854.9</v>
      </c>
      <c r="I248" s="65">
        <v>85</v>
      </c>
      <c r="J248" s="65">
        <v>2808</v>
      </c>
      <c r="K248" s="65">
        <v>2806</v>
      </c>
      <c r="L248" s="65">
        <v>2</v>
      </c>
      <c r="M248" s="65">
        <v>795.2</v>
      </c>
      <c r="N248" s="65">
        <v>710.2</v>
      </c>
      <c r="O248" s="65">
        <v>85</v>
      </c>
      <c r="P248" s="61">
        <v>1.1819999999999999</v>
      </c>
      <c r="Q248" s="58">
        <v>84.604699999999994</v>
      </c>
      <c r="R248" t="s">
        <v>2335</v>
      </c>
      <c r="S248" t="s">
        <v>2297</v>
      </c>
    </row>
    <row r="249" spans="1:19">
      <c r="A249" t="s">
        <v>899</v>
      </c>
      <c r="B249" t="s">
        <v>900</v>
      </c>
      <c r="C249" s="40">
        <v>45264</v>
      </c>
      <c r="D249" s="65">
        <v>3464</v>
      </c>
      <c r="E249" s="65">
        <v>3442</v>
      </c>
      <c r="F249" s="65">
        <v>22</v>
      </c>
      <c r="G249" s="65">
        <v>23123.200000000001</v>
      </c>
      <c r="H249" s="65">
        <v>15573.2</v>
      </c>
      <c r="I249" s="65">
        <v>7550</v>
      </c>
      <c r="J249" s="65">
        <v>3464</v>
      </c>
      <c r="K249" s="65">
        <v>3442</v>
      </c>
      <c r="L249" s="65">
        <v>22</v>
      </c>
      <c r="M249" s="65">
        <v>3750</v>
      </c>
      <c r="N249" s="65">
        <v>1875</v>
      </c>
      <c r="O249" s="65">
        <v>1875</v>
      </c>
      <c r="P249" s="61">
        <v>6.1661999999999999</v>
      </c>
      <c r="Q249" s="58">
        <v>16.217500000000001</v>
      </c>
      <c r="R249" t="s">
        <v>2343</v>
      </c>
      <c r="S249" t="s">
        <v>2310</v>
      </c>
    </row>
    <row r="250" spans="1:19">
      <c r="A250" t="s">
        <v>342</v>
      </c>
      <c r="B250" t="s">
        <v>343</v>
      </c>
      <c r="C250" s="40">
        <v>45251</v>
      </c>
      <c r="D250" s="65">
        <v>1508</v>
      </c>
      <c r="E250" s="65">
        <v>1507</v>
      </c>
      <c r="F250" s="65">
        <v>1</v>
      </c>
      <c r="G250" s="65">
        <v>2004.6</v>
      </c>
      <c r="H250" s="65">
        <v>1504.6</v>
      </c>
      <c r="I250" s="65">
        <v>500</v>
      </c>
      <c r="J250" s="65">
        <v>1508</v>
      </c>
      <c r="K250" s="65">
        <v>1507</v>
      </c>
      <c r="L250" s="65">
        <v>1</v>
      </c>
      <c r="M250" s="65">
        <v>2004.6</v>
      </c>
      <c r="N250" s="65">
        <v>1504.6</v>
      </c>
      <c r="O250" s="65">
        <v>500</v>
      </c>
      <c r="P250" s="61">
        <v>1</v>
      </c>
      <c r="Q250" s="58">
        <v>100</v>
      </c>
      <c r="R250" t="s">
        <v>2313</v>
      </c>
      <c r="S250" t="s">
        <v>2305</v>
      </c>
    </row>
    <row r="251" spans="1:19">
      <c r="A251" t="s">
        <v>503</v>
      </c>
      <c r="B251" t="s">
        <v>504</v>
      </c>
      <c r="C251" s="40">
        <v>45246</v>
      </c>
      <c r="D251" s="65">
        <v>30726</v>
      </c>
      <c r="E251" s="65">
        <v>29771</v>
      </c>
      <c r="F251" s="65">
        <v>955</v>
      </c>
      <c r="G251" s="65">
        <v>89159.15</v>
      </c>
      <c r="H251" s="65">
        <v>21027.9</v>
      </c>
      <c r="I251" s="65">
        <v>68131.25</v>
      </c>
      <c r="J251" s="65">
        <v>14832</v>
      </c>
      <c r="K251" s="65">
        <v>13877</v>
      </c>
      <c r="L251" s="65">
        <v>955</v>
      </c>
      <c r="M251" s="65">
        <v>5353.4</v>
      </c>
      <c r="N251" s="65">
        <v>2676.7</v>
      </c>
      <c r="O251" s="65">
        <v>2676.7</v>
      </c>
      <c r="P251" s="61">
        <v>16.654699999999998</v>
      </c>
      <c r="Q251" s="58">
        <v>6.0042999999999997</v>
      </c>
      <c r="R251" t="s">
        <v>2328</v>
      </c>
      <c r="S251" t="s">
        <v>2296</v>
      </c>
    </row>
    <row r="252" spans="1:19">
      <c r="A252" t="s">
        <v>888</v>
      </c>
      <c r="B252" t="s">
        <v>889</v>
      </c>
      <c r="C252" s="40">
        <v>45239</v>
      </c>
      <c r="D252" s="65">
        <v>5017</v>
      </c>
      <c r="E252" s="65">
        <v>5010</v>
      </c>
      <c r="F252" s="65">
        <v>7</v>
      </c>
      <c r="G252" s="65">
        <v>15775.6</v>
      </c>
      <c r="H252" s="65">
        <v>12175.6</v>
      </c>
      <c r="I252" s="65">
        <v>3600</v>
      </c>
      <c r="J252" s="65">
        <v>1331</v>
      </c>
      <c r="K252" s="65">
        <v>1324</v>
      </c>
      <c r="L252" s="65">
        <v>7</v>
      </c>
      <c r="M252" s="65">
        <v>1250</v>
      </c>
      <c r="N252" s="65">
        <v>625.20000000000005</v>
      </c>
      <c r="O252" s="65">
        <v>624.79999999999995</v>
      </c>
      <c r="P252" s="61">
        <v>12.6205</v>
      </c>
      <c r="Q252" s="58">
        <v>7.9236000000000004</v>
      </c>
      <c r="R252" t="s">
        <v>2344</v>
      </c>
      <c r="S252" t="s">
        <v>2308</v>
      </c>
    </row>
    <row r="253" spans="1:19">
      <c r="A253" t="s">
        <v>566</v>
      </c>
      <c r="B253" t="s">
        <v>567</v>
      </c>
      <c r="C253" s="40">
        <v>45239</v>
      </c>
      <c r="D253" s="65">
        <v>4939</v>
      </c>
      <c r="E253" s="65">
        <v>4934</v>
      </c>
      <c r="F253" s="65">
        <v>5</v>
      </c>
      <c r="G253" s="65">
        <v>946.46</v>
      </c>
      <c r="H253" s="65">
        <v>761.46</v>
      </c>
      <c r="I253" s="65">
        <v>185</v>
      </c>
      <c r="J253" s="65">
        <v>2199</v>
      </c>
      <c r="K253" s="65">
        <v>2194</v>
      </c>
      <c r="L253" s="65">
        <v>5</v>
      </c>
      <c r="M253" s="65">
        <v>121.36</v>
      </c>
      <c r="N253" s="65">
        <v>60.68</v>
      </c>
      <c r="O253" s="65">
        <v>60.68</v>
      </c>
      <c r="P253" s="61">
        <v>7.7988</v>
      </c>
      <c r="Q253" s="58">
        <v>12.8225</v>
      </c>
      <c r="R253" t="s">
        <v>2340</v>
      </c>
      <c r="S253" t="s">
        <v>2297</v>
      </c>
    </row>
    <row r="254" spans="1:19">
      <c r="A254" t="s">
        <v>573</v>
      </c>
      <c r="B254" t="s">
        <v>574</v>
      </c>
      <c r="C254" s="40">
        <v>45238</v>
      </c>
      <c r="D254" s="65">
        <v>6337</v>
      </c>
      <c r="E254" s="65">
        <v>6326</v>
      </c>
      <c r="F254" s="65">
        <v>11</v>
      </c>
      <c r="G254" s="65">
        <v>15173.5</v>
      </c>
      <c r="H254" s="65">
        <v>10723.5</v>
      </c>
      <c r="I254" s="65">
        <v>4450</v>
      </c>
      <c r="J254" s="65">
        <v>1316</v>
      </c>
      <c r="K254" s="65">
        <v>1305</v>
      </c>
      <c r="L254" s="65">
        <v>11</v>
      </c>
      <c r="M254" s="65">
        <v>1031.25</v>
      </c>
      <c r="N254" s="65">
        <v>515.75</v>
      </c>
      <c r="O254" s="65">
        <v>515.5</v>
      </c>
      <c r="P254" s="61">
        <v>14.713699999999999</v>
      </c>
      <c r="Q254" s="58">
        <v>6.7964000000000002</v>
      </c>
      <c r="R254" t="s">
        <v>2338</v>
      </c>
      <c r="S254" t="s">
        <v>2300</v>
      </c>
    </row>
    <row r="255" spans="1:19">
      <c r="A255" t="s">
        <v>477</v>
      </c>
      <c r="B255" t="s">
        <v>478</v>
      </c>
      <c r="C255" s="40">
        <v>45232</v>
      </c>
      <c r="D255" s="65">
        <v>5308</v>
      </c>
      <c r="E255" s="65">
        <v>5292</v>
      </c>
      <c r="F255" s="65">
        <v>16</v>
      </c>
      <c r="G255" s="65">
        <v>2548.85</v>
      </c>
      <c r="H255" s="65">
        <v>1575.95</v>
      </c>
      <c r="I255" s="65">
        <v>972.9</v>
      </c>
      <c r="J255" s="65">
        <v>1778</v>
      </c>
      <c r="K255" s="65">
        <v>1762</v>
      </c>
      <c r="L255" s="65">
        <v>16</v>
      </c>
      <c r="M255" s="65">
        <v>225.8</v>
      </c>
      <c r="N255" s="65">
        <v>112.9</v>
      </c>
      <c r="O255" s="65">
        <v>112.9</v>
      </c>
      <c r="P255" s="61">
        <v>11.2881</v>
      </c>
      <c r="Q255" s="58">
        <v>8.8589000000000002</v>
      </c>
      <c r="R255" t="s">
        <v>2347</v>
      </c>
      <c r="S255" t="s">
        <v>2304</v>
      </c>
    </row>
    <row r="256" spans="1:19">
      <c r="A256" t="s">
        <v>383</v>
      </c>
      <c r="B256" t="s">
        <v>384</v>
      </c>
      <c r="C256" s="40">
        <v>45231</v>
      </c>
      <c r="D256" s="65">
        <v>6404</v>
      </c>
      <c r="E256" s="65">
        <v>6397</v>
      </c>
      <c r="F256" s="65">
        <v>7</v>
      </c>
      <c r="G256" s="65">
        <v>2989.4</v>
      </c>
      <c r="H256" s="65">
        <v>1969.4</v>
      </c>
      <c r="I256" s="65">
        <v>1020</v>
      </c>
      <c r="J256" s="65">
        <v>2540</v>
      </c>
      <c r="K256" s="65">
        <v>2533</v>
      </c>
      <c r="L256" s="65">
        <v>7</v>
      </c>
      <c r="M256" s="65">
        <v>688.08</v>
      </c>
      <c r="N256" s="65">
        <v>344.04</v>
      </c>
      <c r="O256" s="65">
        <v>344.04</v>
      </c>
      <c r="P256" s="61">
        <v>4.3445999999999998</v>
      </c>
      <c r="Q256" s="58">
        <v>23.017299999999999</v>
      </c>
      <c r="R256" t="s">
        <v>2347</v>
      </c>
      <c r="S256" t="s">
        <v>2304</v>
      </c>
    </row>
    <row r="257" spans="1:19">
      <c r="A257" t="s">
        <v>246</v>
      </c>
      <c r="B257" t="s">
        <v>247</v>
      </c>
      <c r="C257" s="40">
        <v>45225</v>
      </c>
      <c r="D257" s="65">
        <v>10887</v>
      </c>
      <c r="E257" s="65">
        <v>10873</v>
      </c>
      <c r="F257" s="65">
        <v>14</v>
      </c>
      <c r="G257" s="65">
        <v>4435.72</v>
      </c>
      <c r="H257" s="65">
        <v>2295.7199999999998</v>
      </c>
      <c r="I257" s="65">
        <v>2140</v>
      </c>
      <c r="J257" s="65">
        <v>10887</v>
      </c>
      <c r="K257" s="65">
        <v>10873</v>
      </c>
      <c r="L257" s="65">
        <v>14</v>
      </c>
      <c r="M257" s="65">
        <v>3265.52</v>
      </c>
      <c r="N257" s="65">
        <v>1632.76</v>
      </c>
      <c r="O257" s="65">
        <v>1632.76</v>
      </c>
      <c r="P257" s="61">
        <v>1.3584000000000001</v>
      </c>
      <c r="Q257" s="58">
        <v>73.618700000000004</v>
      </c>
      <c r="R257" t="s">
        <v>2351</v>
      </c>
      <c r="S257" t="s">
        <v>2321</v>
      </c>
    </row>
    <row r="258" spans="1:19">
      <c r="A258" t="s">
        <v>407</v>
      </c>
      <c r="B258" t="s">
        <v>408</v>
      </c>
      <c r="C258" s="40">
        <v>45210</v>
      </c>
      <c r="D258" s="65">
        <v>1154</v>
      </c>
      <c r="E258" s="65">
        <v>1152</v>
      </c>
      <c r="F258" s="65">
        <v>2</v>
      </c>
      <c r="G258" s="65">
        <v>702.3</v>
      </c>
      <c r="H258" s="65">
        <v>168.18</v>
      </c>
      <c r="I258" s="65">
        <v>534.12</v>
      </c>
      <c r="J258" s="65">
        <v>1154</v>
      </c>
      <c r="K258" s="65">
        <v>1152</v>
      </c>
      <c r="L258" s="65">
        <v>2</v>
      </c>
      <c r="M258" s="65">
        <v>534.12</v>
      </c>
      <c r="N258" s="65">
        <v>168.18</v>
      </c>
      <c r="O258" s="65">
        <v>365.94</v>
      </c>
      <c r="P258" s="61">
        <v>1.3149</v>
      </c>
      <c r="Q258" s="58">
        <v>76.052999999999997</v>
      </c>
      <c r="R258" t="s">
        <v>2347</v>
      </c>
      <c r="S258" t="s">
        <v>2302</v>
      </c>
    </row>
    <row r="259" spans="1:19">
      <c r="A259" t="s">
        <v>401</v>
      </c>
      <c r="B259" t="s">
        <v>402</v>
      </c>
      <c r="C259" s="40">
        <v>45210</v>
      </c>
      <c r="D259" s="65">
        <v>5104</v>
      </c>
      <c r="E259" s="65">
        <v>5053</v>
      </c>
      <c r="F259" s="65">
        <v>51</v>
      </c>
      <c r="G259" s="65">
        <v>8176.1</v>
      </c>
      <c r="H259" s="65">
        <v>3262.75</v>
      </c>
      <c r="I259" s="65">
        <v>4913.3500000000004</v>
      </c>
      <c r="J259" s="65">
        <v>4483</v>
      </c>
      <c r="K259" s="65">
        <v>4432</v>
      </c>
      <c r="L259" s="65">
        <v>51</v>
      </c>
      <c r="M259" s="65">
        <v>1066.7</v>
      </c>
      <c r="N259" s="65">
        <v>533.35</v>
      </c>
      <c r="O259" s="65">
        <v>533.35</v>
      </c>
      <c r="P259" s="61">
        <v>7.6649000000000003</v>
      </c>
      <c r="Q259" s="58">
        <v>13.0466</v>
      </c>
      <c r="R259" t="s">
        <v>2333</v>
      </c>
      <c r="S259" t="s">
        <v>2300</v>
      </c>
    </row>
    <row r="260" spans="1:19">
      <c r="A260" t="s">
        <v>878</v>
      </c>
      <c r="B260" t="s">
        <v>879</v>
      </c>
      <c r="C260" s="40">
        <v>45209</v>
      </c>
      <c r="D260" s="65">
        <v>1511</v>
      </c>
      <c r="E260" s="65">
        <v>1509</v>
      </c>
      <c r="F260" s="65">
        <v>2</v>
      </c>
      <c r="G260" s="65">
        <v>3085.6</v>
      </c>
      <c r="H260" s="65">
        <v>2285.6</v>
      </c>
      <c r="I260" s="65">
        <v>800</v>
      </c>
      <c r="J260" s="65">
        <v>1511</v>
      </c>
      <c r="K260" s="65">
        <v>1509</v>
      </c>
      <c r="L260" s="65">
        <v>2</v>
      </c>
      <c r="M260" s="65">
        <v>1250</v>
      </c>
      <c r="N260" s="65">
        <v>625</v>
      </c>
      <c r="O260" s="65">
        <v>625</v>
      </c>
      <c r="P260" s="61">
        <v>2.4685000000000001</v>
      </c>
      <c r="Q260" s="58">
        <v>40.510800000000003</v>
      </c>
      <c r="R260" t="s">
        <v>2327</v>
      </c>
      <c r="S260" t="s">
        <v>2298</v>
      </c>
    </row>
    <row r="261" spans="1:19">
      <c r="A261" t="s">
        <v>984</v>
      </c>
      <c r="B261" t="s">
        <v>985</v>
      </c>
      <c r="C261" s="40">
        <v>45204</v>
      </c>
      <c r="D261" s="65">
        <v>1469</v>
      </c>
      <c r="E261" s="65">
        <v>1468</v>
      </c>
      <c r="F261" s="65">
        <v>1</v>
      </c>
      <c r="G261" s="65">
        <v>454.96</v>
      </c>
      <c r="H261" s="65">
        <v>254.96</v>
      </c>
      <c r="I261" s="65">
        <v>200</v>
      </c>
      <c r="J261" s="65">
        <v>1469</v>
      </c>
      <c r="K261" s="65">
        <v>1468</v>
      </c>
      <c r="L261" s="65">
        <v>1</v>
      </c>
      <c r="M261" s="65">
        <v>454.96</v>
      </c>
      <c r="N261" s="65">
        <v>254.96</v>
      </c>
      <c r="O261" s="65">
        <v>200</v>
      </c>
      <c r="P261" s="61">
        <v>1</v>
      </c>
      <c r="Q261" s="58">
        <v>100</v>
      </c>
      <c r="R261" t="s">
        <v>2343</v>
      </c>
      <c r="S261" t="s">
        <v>2310</v>
      </c>
    </row>
    <row r="262" spans="1:19">
      <c r="A262" t="s">
        <v>761</v>
      </c>
      <c r="B262" t="s">
        <v>762</v>
      </c>
      <c r="C262" s="40">
        <v>45196</v>
      </c>
      <c r="D262" s="65">
        <v>2299</v>
      </c>
      <c r="E262" s="65">
        <v>2297</v>
      </c>
      <c r="F262" s="65">
        <v>2</v>
      </c>
      <c r="G262" s="65">
        <v>1199.55</v>
      </c>
      <c r="H262" s="65">
        <v>699.55</v>
      </c>
      <c r="I262" s="65">
        <v>500</v>
      </c>
      <c r="J262" s="65">
        <v>2299</v>
      </c>
      <c r="K262" s="65">
        <v>2297</v>
      </c>
      <c r="L262" s="65">
        <v>2</v>
      </c>
      <c r="M262" s="65">
        <v>1199.55</v>
      </c>
      <c r="N262" s="65">
        <v>699.55</v>
      </c>
      <c r="O262" s="65">
        <v>500</v>
      </c>
      <c r="P262" s="61">
        <v>1</v>
      </c>
      <c r="Q262" s="58">
        <v>100</v>
      </c>
      <c r="R262" t="s">
        <v>2327</v>
      </c>
      <c r="S262" t="s">
        <v>2292</v>
      </c>
    </row>
    <row r="263" spans="1:19">
      <c r="A263" t="s">
        <v>377</v>
      </c>
      <c r="B263" t="s">
        <v>378</v>
      </c>
      <c r="C263" s="40">
        <v>45196</v>
      </c>
      <c r="D263" s="65">
        <v>17818</v>
      </c>
      <c r="E263" s="65">
        <v>17592</v>
      </c>
      <c r="F263" s="65">
        <v>226</v>
      </c>
      <c r="G263" s="65">
        <v>19734.52</v>
      </c>
      <c r="H263" s="65">
        <v>7938.84</v>
      </c>
      <c r="I263" s="65">
        <v>11795.68</v>
      </c>
      <c r="J263" s="65">
        <v>13483</v>
      </c>
      <c r="K263" s="65">
        <v>13257</v>
      </c>
      <c r="L263" s="65">
        <v>226</v>
      </c>
      <c r="M263" s="65">
        <v>948.8</v>
      </c>
      <c r="N263" s="65">
        <v>474.4</v>
      </c>
      <c r="O263" s="65">
        <v>474.4</v>
      </c>
      <c r="P263" s="61">
        <v>20.799499999999998</v>
      </c>
      <c r="Q263" s="58">
        <v>4.8078000000000003</v>
      </c>
      <c r="R263" t="s">
        <v>2344</v>
      </c>
      <c r="S263" t="s">
        <v>2298</v>
      </c>
    </row>
    <row r="264" spans="1:19">
      <c r="A264" t="s">
        <v>426</v>
      </c>
      <c r="B264" t="s">
        <v>427</v>
      </c>
      <c r="C264" s="40">
        <v>45196</v>
      </c>
      <c r="D264" s="65">
        <v>12653</v>
      </c>
      <c r="E264" s="65">
        <v>12602</v>
      </c>
      <c r="F264" s="65">
        <v>51</v>
      </c>
      <c r="G264" s="65">
        <v>2096.75</v>
      </c>
      <c r="H264" s="65">
        <v>1382.77</v>
      </c>
      <c r="I264" s="65">
        <v>713.98</v>
      </c>
      <c r="J264" s="65">
        <v>7348</v>
      </c>
      <c r="K264" s="65">
        <v>7297</v>
      </c>
      <c r="L264" s="65">
        <v>51</v>
      </c>
      <c r="M264" s="65">
        <v>183.96</v>
      </c>
      <c r="N264" s="65">
        <v>91.98</v>
      </c>
      <c r="O264" s="65">
        <v>91.98</v>
      </c>
      <c r="P264" s="61">
        <v>11.3979</v>
      </c>
      <c r="Q264" s="58">
        <v>8.7736000000000001</v>
      </c>
      <c r="R264" t="s">
        <v>2327</v>
      </c>
      <c r="S264" t="s">
        <v>2298</v>
      </c>
    </row>
    <row r="265" spans="1:19">
      <c r="A265" t="s">
        <v>329</v>
      </c>
      <c r="B265" t="s">
        <v>330</v>
      </c>
      <c r="C265" s="40">
        <v>45194</v>
      </c>
      <c r="D265" s="65">
        <v>9305</v>
      </c>
      <c r="E265" s="65">
        <v>9294</v>
      </c>
      <c r="F265" s="65">
        <v>11</v>
      </c>
      <c r="G265" s="65">
        <v>1085.44</v>
      </c>
      <c r="H265" s="65">
        <v>835.44</v>
      </c>
      <c r="I265" s="65">
        <v>250</v>
      </c>
      <c r="M265" s="65">
        <v>424.45</v>
      </c>
      <c r="N265" s="65">
        <v>212.23</v>
      </c>
      <c r="O265" s="65">
        <v>212.22</v>
      </c>
      <c r="P265" s="61">
        <v>2.5573000000000001</v>
      </c>
      <c r="Q265" s="58">
        <v>39.103999999999999</v>
      </c>
      <c r="R265" t="s">
        <v>2338</v>
      </c>
      <c r="S265" t="s">
        <v>2311</v>
      </c>
    </row>
    <row r="266" spans="1:19">
      <c r="A266" t="s">
        <v>590</v>
      </c>
      <c r="B266" t="s">
        <v>591</v>
      </c>
      <c r="C266" s="40">
        <v>45191</v>
      </c>
      <c r="D266" s="65">
        <v>2344</v>
      </c>
      <c r="E266" s="65">
        <v>2341</v>
      </c>
      <c r="F266" s="65">
        <v>3</v>
      </c>
      <c r="G266" s="65">
        <v>1353.1</v>
      </c>
      <c r="H266" s="65">
        <v>1053.0999999999999</v>
      </c>
      <c r="I266" s="65">
        <v>300</v>
      </c>
      <c r="J266" s="65">
        <v>1141</v>
      </c>
      <c r="K266" s="65">
        <v>1138</v>
      </c>
      <c r="L266" s="65">
        <v>3</v>
      </c>
      <c r="M266" s="65">
        <v>283.89999999999998</v>
      </c>
      <c r="N266" s="65">
        <v>142</v>
      </c>
      <c r="O266" s="65">
        <v>141.9</v>
      </c>
      <c r="P266" s="61">
        <v>4.7660999999999998</v>
      </c>
      <c r="Q266" s="58">
        <v>20.9815</v>
      </c>
      <c r="R266" t="s">
        <v>2351</v>
      </c>
      <c r="S266" t="s">
        <v>2321</v>
      </c>
    </row>
    <row r="267" spans="1:19">
      <c r="A267" t="s">
        <v>1028</v>
      </c>
      <c r="B267" t="s">
        <v>1029</v>
      </c>
      <c r="C267" s="40">
        <v>45191</v>
      </c>
      <c r="D267" s="65">
        <v>8990</v>
      </c>
      <c r="E267" s="65">
        <v>8978</v>
      </c>
      <c r="F267" s="65">
        <v>12</v>
      </c>
      <c r="G267" s="65">
        <v>1519.46</v>
      </c>
      <c r="H267" s="65">
        <v>1149.46</v>
      </c>
      <c r="I267" s="65">
        <v>370</v>
      </c>
      <c r="J267" s="65">
        <v>2428</v>
      </c>
      <c r="K267" s="65">
        <v>2416</v>
      </c>
      <c r="L267" s="65">
        <v>12</v>
      </c>
      <c r="M267" s="65">
        <v>110.02</v>
      </c>
      <c r="N267" s="65">
        <v>55.02</v>
      </c>
      <c r="O267" s="65">
        <v>55</v>
      </c>
      <c r="P267" s="61">
        <v>13.8108</v>
      </c>
      <c r="Q267" s="58">
        <v>7.2407000000000004</v>
      </c>
      <c r="R267" t="s">
        <v>2328</v>
      </c>
      <c r="S267" t="s">
        <v>2296</v>
      </c>
    </row>
    <row r="268" spans="1:19">
      <c r="A268" t="s">
        <v>1018</v>
      </c>
      <c r="B268" t="s">
        <v>1019</v>
      </c>
      <c r="C268" s="40">
        <v>45173</v>
      </c>
      <c r="D268" s="65">
        <v>4870</v>
      </c>
      <c r="E268" s="65">
        <v>4855</v>
      </c>
      <c r="F268" s="65">
        <v>15</v>
      </c>
      <c r="G268" s="65">
        <v>1711.5</v>
      </c>
      <c r="H268" s="65">
        <v>922.06</v>
      </c>
      <c r="I268" s="65">
        <v>789.44</v>
      </c>
      <c r="J268" s="65">
        <v>1655</v>
      </c>
      <c r="K268" s="65">
        <v>1640</v>
      </c>
      <c r="L268" s="65">
        <v>15</v>
      </c>
      <c r="M268" s="65">
        <v>171.48</v>
      </c>
      <c r="N268" s="65">
        <v>85.74</v>
      </c>
      <c r="O268" s="65">
        <v>85.74</v>
      </c>
      <c r="P268" s="61">
        <v>9.9808000000000003</v>
      </c>
      <c r="Q268" s="58">
        <v>10.019299999999999</v>
      </c>
      <c r="R268" t="s">
        <v>2328</v>
      </c>
      <c r="S268" t="s">
        <v>2296</v>
      </c>
    </row>
    <row r="269" spans="1:19">
      <c r="A269" t="s">
        <v>842</v>
      </c>
      <c r="B269" t="s">
        <v>843</v>
      </c>
      <c r="C269" s="40">
        <v>45124</v>
      </c>
      <c r="D269" s="65">
        <v>1690</v>
      </c>
      <c r="E269" s="65">
        <v>1688</v>
      </c>
      <c r="F269" s="65">
        <v>2</v>
      </c>
      <c r="G269" s="65">
        <v>2332.8000000000002</v>
      </c>
      <c r="H269" s="65">
        <v>1432.8</v>
      </c>
      <c r="I269" s="65">
        <v>900</v>
      </c>
      <c r="J269" s="65">
        <v>1141</v>
      </c>
      <c r="K269" s="65">
        <v>1139</v>
      </c>
      <c r="L269" s="65">
        <v>2</v>
      </c>
      <c r="M269" s="65">
        <v>1266.8</v>
      </c>
      <c r="N269" s="65">
        <v>633.4</v>
      </c>
      <c r="O269" s="65">
        <v>633.4</v>
      </c>
      <c r="P269" s="61">
        <v>1.8414999999999999</v>
      </c>
      <c r="Q269" s="58">
        <v>54.303800000000003</v>
      </c>
      <c r="R269" t="s">
        <v>2324</v>
      </c>
      <c r="S269" t="s">
        <v>2306</v>
      </c>
    </row>
    <row r="270" spans="1:19">
      <c r="A270" t="s">
        <v>907</v>
      </c>
      <c r="B270" t="s">
        <v>908</v>
      </c>
      <c r="C270" s="40">
        <v>45121</v>
      </c>
      <c r="D270" s="65">
        <v>11648</v>
      </c>
      <c r="E270" s="65">
        <v>11618</v>
      </c>
      <c r="F270" s="65">
        <v>30</v>
      </c>
      <c r="G270" s="65">
        <v>66053</v>
      </c>
      <c r="H270" s="65">
        <v>46928</v>
      </c>
      <c r="I270" s="65">
        <v>19125</v>
      </c>
      <c r="J270" s="65">
        <v>4308</v>
      </c>
      <c r="K270" s="65">
        <v>4278</v>
      </c>
      <c r="L270" s="65">
        <v>30</v>
      </c>
      <c r="M270" s="65">
        <v>4350</v>
      </c>
      <c r="N270" s="65">
        <v>2175</v>
      </c>
      <c r="O270" s="65">
        <v>2175</v>
      </c>
      <c r="P270" s="61">
        <v>15.1846</v>
      </c>
      <c r="Q270" s="58">
        <v>6.5856000000000003</v>
      </c>
      <c r="R270" t="s">
        <v>2344</v>
      </c>
      <c r="S270" t="s">
        <v>2308</v>
      </c>
    </row>
    <row r="271" spans="1:19">
      <c r="A271" t="s">
        <v>813</v>
      </c>
      <c r="B271" t="s">
        <v>814</v>
      </c>
      <c r="C271" s="40">
        <v>45119</v>
      </c>
      <c r="D271" s="65">
        <v>8928</v>
      </c>
      <c r="E271" s="65">
        <v>8877</v>
      </c>
      <c r="F271" s="65">
        <v>51</v>
      </c>
      <c r="G271" s="65">
        <v>16454.3</v>
      </c>
      <c r="H271" s="65">
        <v>8104.3</v>
      </c>
      <c r="I271" s="65">
        <v>8350</v>
      </c>
      <c r="J271" s="65">
        <v>5277</v>
      </c>
      <c r="K271" s="65">
        <v>5226</v>
      </c>
      <c r="L271" s="65">
        <v>51</v>
      </c>
      <c r="M271" s="65">
        <v>1266.4000000000001</v>
      </c>
      <c r="N271" s="65">
        <v>633.20000000000005</v>
      </c>
      <c r="O271" s="65">
        <v>633.20000000000005</v>
      </c>
      <c r="P271" s="61">
        <v>12.993</v>
      </c>
      <c r="Q271" s="58">
        <v>7.6965000000000003</v>
      </c>
      <c r="R271" t="s">
        <v>2338</v>
      </c>
      <c r="S271" t="s">
        <v>2304</v>
      </c>
    </row>
    <row r="272" spans="1:19">
      <c r="A272" t="s">
        <v>501</v>
      </c>
      <c r="B272" t="s">
        <v>502</v>
      </c>
      <c r="C272" s="40">
        <v>45118</v>
      </c>
      <c r="D272" s="65">
        <v>4811</v>
      </c>
      <c r="E272" s="65">
        <v>4805</v>
      </c>
      <c r="F272" s="65">
        <v>6</v>
      </c>
      <c r="G272" s="65">
        <v>334.02</v>
      </c>
      <c r="H272" s="65">
        <v>279.02</v>
      </c>
      <c r="I272" s="65">
        <v>55</v>
      </c>
      <c r="J272" s="65">
        <v>2828</v>
      </c>
      <c r="K272" s="65">
        <v>2822</v>
      </c>
      <c r="L272" s="65">
        <v>6</v>
      </c>
      <c r="M272" s="65">
        <v>108.39</v>
      </c>
      <c r="N272" s="65">
        <v>54.2</v>
      </c>
      <c r="O272" s="65">
        <v>54.19</v>
      </c>
      <c r="P272" s="61">
        <v>3.0815999999999999</v>
      </c>
      <c r="Q272" s="58">
        <v>32.450200000000002</v>
      </c>
      <c r="R272" t="s">
        <v>2327</v>
      </c>
      <c r="S272" t="s">
        <v>2309</v>
      </c>
    </row>
    <row r="273" spans="1:19">
      <c r="A273" t="s">
        <v>546</v>
      </c>
      <c r="B273" t="s">
        <v>547</v>
      </c>
      <c r="C273" s="40">
        <v>45117</v>
      </c>
      <c r="D273" s="65">
        <v>2846</v>
      </c>
      <c r="E273" s="65">
        <v>2838</v>
      </c>
      <c r="F273" s="65">
        <v>8</v>
      </c>
      <c r="G273" s="65">
        <v>284.74</v>
      </c>
      <c r="H273" s="65">
        <v>212.74</v>
      </c>
      <c r="I273" s="65">
        <v>72</v>
      </c>
      <c r="J273" s="65">
        <v>2385</v>
      </c>
      <c r="K273" s="65">
        <v>2377</v>
      </c>
      <c r="L273" s="65">
        <v>8</v>
      </c>
      <c r="M273" s="65">
        <v>224.47</v>
      </c>
      <c r="N273" s="65">
        <v>152.47</v>
      </c>
      <c r="O273" s="65">
        <v>72</v>
      </c>
      <c r="P273" s="61">
        <v>1.2685</v>
      </c>
      <c r="Q273" s="58">
        <v>78.833299999999994</v>
      </c>
      <c r="R273" t="s">
        <v>2328</v>
      </c>
      <c r="S273" t="s">
        <v>2296</v>
      </c>
    </row>
    <row r="274" spans="1:19">
      <c r="A274" t="s">
        <v>544</v>
      </c>
      <c r="B274" t="s">
        <v>545</v>
      </c>
      <c r="C274" s="40">
        <v>45114</v>
      </c>
      <c r="D274" s="65">
        <v>1373</v>
      </c>
      <c r="E274" s="65">
        <v>1370</v>
      </c>
      <c r="F274" s="65">
        <v>3</v>
      </c>
      <c r="G274" s="65">
        <v>1161.9000000000001</v>
      </c>
      <c r="H274" s="65">
        <v>661.9</v>
      </c>
      <c r="I274" s="65">
        <v>500</v>
      </c>
      <c r="J274" s="65">
        <v>1373</v>
      </c>
      <c r="K274" s="65">
        <v>1370</v>
      </c>
      <c r="L274" s="65">
        <v>3</v>
      </c>
      <c r="M274" s="65">
        <v>756</v>
      </c>
      <c r="N274" s="65">
        <v>378</v>
      </c>
      <c r="O274" s="65">
        <v>378</v>
      </c>
      <c r="P274" s="61">
        <v>1.5368999999999999</v>
      </c>
      <c r="Q274" s="58">
        <v>65.065799999999996</v>
      </c>
      <c r="R274" t="s">
        <v>2313</v>
      </c>
      <c r="S274" t="s">
        <v>2325</v>
      </c>
    </row>
    <row r="275" spans="1:19">
      <c r="A275" t="s">
        <v>442</v>
      </c>
      <c r="B275" t="s">
        <v>443</v>
      </c>
      <c r="C275" s="40">
        <v>45106</v>
      </c>
      <c r="D275" s="65">
        <v>1521</v>
      </c>
      <c r="E275" s="65">
        <v>1521</v>
      </c>
      <c r="G275" s="65">
        <v>352.45</v>
      </c>
      <c r="H275" s="65">
        <v>352.45</v>
      </c>
      <c r="J275" s="65">
        <v>1521</v>
      </c>
      <c r="K275" s="65">
        <v>1521</v>
      </c>
      <c r="M275" s="65">
        <v>332</v>
      </c>
      <c r="N275" s="65">
        <v>332</v>
      </c>
      <c r="P275" s="61">
        <v>1.0616000000000001</v>
      </c>
      <c r="Q275" s="58">
        <v>94.197800000000001</v>
      </c>
      <c r="R275" t="s">
        <v>2326</v>
      </c>
      <c r="S275" t="s">
        <v>2292</v>
      </c>
    </row>
    <row r="276" spans="1:19">
      <c r="A276" t="s">
        <v>1000</v>
      </c>
      <c r="B276" t="s">
        <v>1001</v>
      </c>
      <c r="C276" s="40">
        <v>45105</v>
      </c>
      <c r="D276" s="65">
        <v>2570</v>
      </c>
      <c r="E276" s="65">
        <v>2556</v>
      </c>
      <c r="F276" s="65">
        <v>14</v>
      </c>
      <c r="G276" s="65">
        <v>3700.9</v>
      </c>
      <c r="H276" s="65">
        <v>1844.95</v>
      </c>
      <c r="I276" s="65">
        <v>1855.95</v>
      </c>
      <c r="J276" s="65">
        <v>1150</v>
      </c>
      <c r="K276" s="65">
        <v>1136</v>
      </c>
      <c r="L276" s="65">
        <v>14</v>
      </c>
      <c r="M276" s="65">
        <v>637.29999999999995</v>
      </c>
      <c r="N276" s="65">
        <v>318.64999999999998</v>
      </c>
      <c r="O276" s="65">
        <v>318.64999999999998</v>
      </c>
      <c r="P276" s="61">
        <v>5.8071999999999999</v>
      </c>
      <c r="Q276" s="58">
        <v>17.220099999999999</v>
      </c>
      <c r="R276" t="s">
        <v>2328</v>
      </c>
      <c r="S276" t="s">
        <v>2296</v>
      </c>
    </row>
    <row r="277" spans="1:19">
      <c r="A277" t="s">
        <v>309</v>
      </c>
      <c r="B277" t="s">
        <v>310</v>
      </c>
      <c r="C277" s="40">
        <v>45104</v>
      </c>
      <c r="D277" s="65">
        <v>5155</v>
      </c>
      <c r="E277" s="65">
        <v>5149</v>
      </c>
      <c r="F277" s="65">
        <v>6</v>
      </c>
      <c r="G277" s="65">
        <v>885.06</v>
      </c>
      <c r="H277" s="65">
        <v>735.06</v>
      </c>
      <c r="I277" s="65">
        <v>150</v>
      </c>
      <c r="J277" s="65">
        <v>2621</v>
      </c>
      <c r="K277" s="65">
        <v>2615</v>
      </c>
      <c r="L277" s="65">
        <v>6</v>
      </c>
      <c r="M277" s="65">
        <v>158.12</v>
      </c>
      <c r="N277" s="65">
        <v>79.06</v>
      </c>
      <c r="O277" s="65">
        <v>79.06</v>
      </c>
      <c r="P277" s="61">
        <v>5.5974000000000004</v>
      </c>
      <c r="Q277" s="58">
        <v>17.865500000000001</v>
      </c>
      <c r="R277" t="s">
        <v>2326</v>
      </c>
      <c r="S277" t="s">
        <v>2296</v>
      </c>
    </row>
    <row r="278" spans="1:19">
      <c r="A278" t="s">
        <v>947</v>
      </c>
      <c r="B278" t="s">
        <v>948</v>
      </c>
      <c r="C278" s="40">
        <v>45086</v>
      </c>
      <c r="D278" s="65">
        <v>1406</v>
      </c>
      <c r="E278" s="65">
        <v>1404</v>
      </c>
      <c r="F278" s="65">
        <v>2</v>
      </c>
      <c r="G278" s="65">
        <v>299.95999999999998</v>
      </c>
      <c r="H278" s="65">
        <v>87.12</v>
      </c>
      <c r="I278" s="65">
        <v>212.84</v>
      </c>
      <c r="M278" s="65">
        <v>212.84</v>
      </c>
      <c r="N278" s="65">
        <v>87.12</v>
      </c>
      <c r="O278" s="65">
        <v>125.72</v>
      </c>
      <c r="P278" s="61">
        <v>1.4093</v>
      </c>
      <c r="Q278" s="58">
        <v>70.956100000000006</v>
      </c>
      <c r="R278" t="s">
        <v>2328</v>
      </c>
      <c r="S278" t="s">
        <v>2296</v>
      </c>
    </row>
    <row r="279" spans="1:19">
      <c r="A279" t="s">
        <v>348</v>
      </c>
      <c r="B279" t="s">
        <v>349</v>
      </c>
      <c r="C279" s="40">
        <v>45070</v>
      </c>
      <c r="D279" s="65">
        <v>1497</v>
      </c>
      <c r="E279" s="65">
        <v>1497</v>
      </c>
      <c r="G279" s="65">
        <v>448.6</v>
      </c>
      <c r="H279" s="65">
        <v>448.6</v>
      </c>
      <c r="J279" s="65">
        <v>1497</v>
      </c>
      <c r="K279" s="65">
        <v>1497</v>
      </c>
      <c r="M279" s="65">
        <v>448.6</v>
      </c>
      <c r="N279" s="65">
        <v>448.6</v>
      </c>
      <c r="P279" s="61">
        <v>1</v>
      </c>
      <c r="Q279" s="58">
        <v>100</v>
      </c>
      <c r="R279" t="s">
        <v>2332</v>
      </c>
      <c r="S279" t="s">
        <v>2297</v>
      </c>
    </row>
    <row r="280" spans="1:19">
      <c r="A280" t="s">
        <v>579</v>
      </c>
      <c r="B280" t="s">
        <v>580</v>
      </c>
      <c r="C280" s="40">
        <v>45070</v>
      </c>
      <c r="D280" s="65">
        <v>1381</v>
      </c>
      <c r="E280" s="65">
        <v>1381</v>
      </c>
      <c r="G280" s="65">
        <v>205.85</v>
      </c>
      <c r="H280" s="65">
        <v>205.85</v>
      </c>
      <c r="J280" s="65">
        <v>1381</v>
      </c>
      <c r="K280" s="65">
        <v>1381</v>
      </c>
      <c r="M280" s="65">
        <v>205.85</v>
      </c>
      <c r="N280" s="65">
        <v>205.85</v>
      </c>
      <c r="P280" s="61">
        <v>1</v>
      </c>
      <c r="Q280" s="58">
        <v>100</v>
      </c>
      <c r="R280" t="s">
        <v>2327</v>
      </c>
      <c r="S280" t="s">
        <v>2298</v>
      </c>
    </row>
    <row r="281" spans="1:19">
      <c r="A281" t="s">
        <v>676</v>
      </c>
      <c r="B281" t="s">
        <v>677</v>
      </c>
      <c r="C281" s="40">
        <v>45056</v>
      </c>
      <c r="D281" s="65">
        <v>2192</v>
      </c>
      <c r="E281" s="65">
        <v>2192</v>
      </c>
      <c r="G281" s="65">
        <v>550.98</v>
      </c>
      <c r="H281" s="65">
        <v>550.98</v>
      </c>
      <c r="J281" s="65">
        <v>2192</v>
      </c>
      <c r="K281" s="65">
        <v>2192</v>
      </c>
      <c r="M281" s="65">
        <v>250</v>
      </c>
      <c r="N281" s="65">
        <v>250</v>
      </c>
      <c r="P281" s="61">
        <v>2.2039</v>
      </c>
      <c r="Q281" s="58">
        <v>45.373699999999999</v>
      </c>
      <c r="R281" t="s">
        <v>2344</v>
      </c>
      <c r="S281" t="s">
        <v>2308</v>
      </c>
    </row>
    <row r="282" spans="1:19">
      <c r="A282" t="s">
        <v>868</v>
      </c>
      <c r="B282" t="s">
        <v>869</v>
      </c>
      <c r="C282" s="40">
        <v>45054</v>
      </c>
      <c r="D282" s="65">
        <v>6150</v>
      </c>
      <c r="E282" s="65">
        <v>6141</v>
      </c>
      <c r="F282" s="65">
        <v>9</v>
      </c>
      <c r="G282" s="65">
        <v>17615.400000000001</v>
      </c>
      <c r="H282" s="65">
        <v>13795.4</v>
      </c>
      <c r="I282" s="65">
        <v>3820</v>
      </c>
      <c r="J282" s="65">
        <v>2034</v>
      </c>
      <c r="K282" s="65">
        <v>2025</v>
      </c>
      <c r="L282" s="65">
        <v>9</v>
      </c>
      <c r="M282" s="65">
        <v>3060</v>
      </c>
      <c r="N282" s="65">
        <v>1530</v>
      </c>
      <c r="O282" s="65">
        <v>1530</v>
      </c>
      <c r="P282" s="61">
        <v>5.7567000000000004</v>
      </c>
      <c r="Q282" s="58">
        <v>17.371200000000002</v>
      </c>
      <c r="R282" t="s">
        <v>2339</v>
      </c>
      <c r="S282" t="s">
        <v>2305</v>
      </c>
    </row>
    <row r="283" spans="1:19">
      <c r="A283" t="s">
        <v>1012</v>
      </c>
      <c r="B283" t="s">
        <v>1013</v>
      </c>
      <c r="C283" s="40">
        <v>45051</v>
      </c>
      <c r="D283" s="65">
        <v>3286</v>
      </c>
      <c r="E283" s="65">
        <v>3283</v>
      </c>
      <c r="F283" s="65">
        <v>3</v>
      </c>
      <c r="G283" s="65">
        <v>337.72</v>
      </c>
      <c r="H283" s="65">
        <v>257.77999999999997</v>
      </c>
      <c r="I283" s="65">
        <v>79.94</v>
      </c>
      <c r="J283" s="65">
        <v>1989</v>
      </c>
      <c r="K283" s="65">
        <v>1986</v>
      </c>
      <c r="L283" s="65">
        <v>3</v>
      </c>
      <c r="M283" s="65">
        <v>103.88</v>
      </c>
      <c r="N283" s="65">
        <v>51.94</v>
      </c>
      <c r="O283" s="65">
        <v>51.94</v>
      </c>
      <c r="P283" s="61">
        <v>3.2511000000000001</v>
      </c>
      <c r="Q283" s="58">
        <v>30.7592</v>
      </c>
      <c r="R283" t="s">
        <v>2328</v>
      </c>
      <c r="S283" t="s">
        <v>2296</v>
      </c>
    </row>
    <row r="284" spans="1:19">
      <c r="A284" t="s">
        <v>369</v>
      </c>
      <c r="B284" t="s">
        <v>370</v>
      </c>
      <c r="C284" s="40">
        <v>45042</v>
      </c>
      <c r="D284" s="65">
        <v>10670</v>
      </c>
      <c r="E284" s="65">
        <v>10634</v>
      </c>
      <c r="F284" s="65">
        <v>36</v>
      </c>
      <c r="G284" s="65">
        <v>9506.18</v>
      </c>
      <c r="H284" s="65">
        <v>3566.18</v>
      </c>
      <c r="I284" s="65">
        <v>5940</v>
      </c>
      <c r="J284" s="65">
        <v>10670</v>
      </c>
      <c r="K284" s="65">
        <v>10634</v>
      </c>
      <c r="L284" s="65">
        <v>36</v>
      </c>
      <c r="M284" s="65">
        <v>4907</v>
      </c>
      <c r="N284" s="65">
        <v>2453.5</v>
      </c>
      <c r="O284" s="65">
        <v>2453.5</v>
      </c>
      <c r="P284" s="61">
        <v>1.9373</v>
      </c>
      <c r="Q284" s="58">
        <v>51.619100000000003</v>
      </c>
      <c r="R284" t="s">
        <v>2336</v>
      </c>
      <c r="S284" t="s">
        <v>2304</v>
      </c>
    </row>
    <row r="285" spans="1:19">
      <c r="A285" t="s">
        <v>844</v>
      </c>
      <c r="B285" t="s">
        <v>845</v>
      </c>
      <c r="C285" s="40">
        <v>45042</v>
      </c>
      <c r="D285" s="65">
        <v>11529</v>
      </c>
      <c r="E285" s="65">
        <v>11487</v>
      </c>
      <c r="F285" s="65">
        <v>42</v>
      </c>
      <c r="G285" s="65">
        <v>6577.9250000000002</v>
      </c>
      <c r="H285" s="65">
        <v>3977.9250000000002</v>
      </c>
      <c r="I285" s="65">
        <v>2600</v>
      </c>
      <c r="J285" s="65">
        <v>5538</v>
      </c>
      <c r="K285" s="65">
        <v>5496</v>
      </c>
      <c r="L285" s="65">
        <v>42</v>
      </c>
      <c r="M285" s="65">
        <v>667.9</v>
      </c>
      <c r="N285" s="65">
        <v>333.95</v>
      </c>
      <c r="O285" s="65">
        <v>333.95</v>
      </c>
      <c r="P285" s="61">
        <v>9.8486999999999991</v>
      </c>
      <c r="Q285" s="58">
        <v>10.153700000000001</v>
      </c>
      <c r="R285" t="s">
        <v>2326</v>
      </c>
      <c r="S285" t="s">
        <v>2292</v>
      </c>
    </row>
    <row r="286" spans="1:19">
      <c r="A286" t="s">
        <v>668</v>
      </c>
      <c r="B286" t="s">
        <v>669</v>
      </c>
      <c r="C286" s="40">
        <v>45028</v>
      </c>
      <c r="D286" s="65">
        <v>9481</v>
      </c>
      <c r="E286" s="65">
        <v>9472</v>
      </c>
      <c r="F286" s="65">
        <v>9</v>
      </c>
      <c r="G286" s="65">
        <v>1332.72</v>
      </c>
      <c r="H286" s="65">
        <v>1157.72</v>
      </c>
      <c r="I286" s="65">
        <v>175</v>
      </c>
      <c r="J286" s="65">
        <v>4599</v>
      </c>
      <c r="K286" s="65">
        <v>4590</v>
      </c>
      <c r="L286" s="65">
        <v>9</v>
      </c>
      <c r="M286" s="65">
        <v>241.32</v>
      </c>
      <c r="N286" s="65">
        <v>120.66</v>
      </c>
      <c r="O286" s="65">
        <v>120.66</v>
      </c>
      <c r="P286" s="61">
        <v>5.5225999999999997</v>
      </c>
      <c r="Q286" s="58">
        <v>18.107299999999999</v>
      </c>
      <c r="R286" t="s">
        <v>2327</v>
      </c>
      <c r="S286" t="s">
        <v>2298</v>
      </c>
    </row>
    <row r="287" spans="1:19">
      <c r="A287" t="s">
        <v>836</v>
      </c>
      <c r="B287" t="s">
        <v>837</v>
      </c>
      <c r="C287" s="40">
        <v>45015</v>
      </c>
      <c r="D287" s="65">
        <v>3810</v>
      </c>
      <c r="E287" s="65">
        <v>3802</v>
      </c>
      <c r="F287" s="65">
        <v>8</v>
      </c>
      <c r="G287" s="65">
        <v>15827.2</v>
      </c>
      <c r="H287" s="65">
        <v>12527.2</v>
      </c>
      <c r="I287" s="65">
        <v>3300</v>
      </c>
      <c r="J287" s="65">
        <v>3810</v>
      </c>
      <c r="K287" s="65">
        <v>3802</v>
      </c>
      <c r="L287" s="65">
        <v>8</v>
      </c>
      <c r="M287" s="65">
        <v>5000</v>
      </c>
      <c r="N287" s="65">
        <v>2500</v>
      </c>
      <c r="O287" s="65">
        <v>2500</v>
      </c>
      <c r="P287" s="61">
        <v>3.1654</v>
      </c>
      <c r="Q287" s="58">
        <v>31.591200000000001</v>
      </c>
      <c r="R287" t="s">
        <v>2337</v>
      </c>
      <c r="S287" t="s">
        <v>2301</v>
      </c>
    </row>
    <row r="288" spans="1:19">
      <c r="A288" t="s">
        <v>937</v>
      </c>
      <c r="B288" t="s">
        <v>938</v>
      </c>
      <c r="C288" s="40">
        <v>45015</v>
      </c>
      <c r="D288" s="65">
        <v>5392</v>
      </c>
      <c r="E288" s="65">
        <v>5381</v>
      </c>
      <c r="F288" s="65">
        <v>11</v>
      </c>
      <c r="G288" s="65">
        <v>26946.799999999999</v>
      </c>
      <c r="H288" s="65">
        <v>18446.8</v>
      </c>
      <c r="I288" s="65">
        <v>8500</v>
      </c>
      <c r="J288" s="65">
        <v>2214</v>
      </c>
      <c r="K288" s="65">
        <v>2203</v>
      </c>
      <c r="L288" s="65">
        <v>11</v>
      </c>
      <c r="M288" s="65">
        <v>2000</v>
      </c>
      <c r="N288" s="65">
        <v>1000</v>
      </c>
      <c r="O288" s="65">
        <v>1000</v>
      </c>
      <c r="P288" s="61">
        <v>13.4734</v>
      </c>
      <c r="Q288" s="58">
        <v>7.4219999999999997</v>
      </c>
      <c r="R288" t="s">
        <v>2344</v>
      </c>
      <c r="S288" t="s">
        <v>2308</v>
      </c>
    </row>
    <row r="289" spans="1:19">
      <c r="A289" t="s">
        <v>513</v>
      </c>
      <c r="B289" t="s">
        <v>514</v>
      </c>
      <c r="C289" s="40">
        <v>45014</v>
      </c>
      <c r="D289" s="65">
        <v>3174</v>
      </c>
      <c r="E289" s="65">
        <v>3161</v>
      </c>
      <c r="F289" s="65">
        <v>13</v>
      </c>
      <c r="G289" s="65">
        <v>12748.2</v>
      </c>
      <c r="H289" s="65">
        <v>7348.2</v>
      </c>
      <c r="I289" s="65">
        <v>5400</v>
      </c>
      <c r="J289" s="65">
        <v>1768</v>
      </c>
      <c r="K289" s="65">
        <v>1755</v>
      </c>
      <c r="L289" s="65">
        <v>13</v>
      </c>
      <c r="M289" s="65">
        <v>1200</v>
      </c>
      <c r="N289" s="65">
        <v>600</v>
      </c>
      <c r="O289" s="65">
        <v>600</v>
      </c>
      <c r="P289" s="61">
        <v>10.6235</v>
      </c>
      <c r="Q289" s="58">
        <v>9.4131</v>
      </c>
      <c r="R289" t="s">
        <v>2339</v>
      </c>
      <c r="S289" t="s">
        <v>2305</v>
      </c>
    </row>
    <row r="290" spans="1:19">
      <c r="A290" t="s">
        <v>521</v>
      </c>
      <c r="B290" t="s">
        <v>522</v>
      </c>
      <c r="C290" s="40">
        <v>45013</v>
      </c>
      <c r="D290" s="65">
        <v>2592</v>
      </c>
      <c r="E290" s="65">
        <v>2591</v>
      </c>
      <c r="F290" s="65">
        <v>1</v>
      </c>
      <c r="G290" s="65">
        <v>1122.5999999999999</v>
      </c>
      <c r="H290" s="65">
        <v>822.6</v>
      </c>
      <c r="I290" s="65">
        <v>300</v>
      </c>
      <c r="J290" s="65">
        <v>2592</v>
      </c>
      <c r="K290" s="65">
        <v>2591</v>
      </c>
      <c r="L290" s="65">
        <v>1</v>
      </c>
      <c r="M290" s="65">
        <v>950</v>
      </c>
      <c r="N290" s="65">
        <v>650</v>
      </c>
      <c r="O290" s="65">
        <v>300</v>
      </c>
      <c r="P290" s="61">
        <v>1.1817</v>
      </c>
      <c r="Q290" s="58">
        <v>84.625</v>
      </c>
      <c r="R290" t="s">
        <v>2351</v>
      </c>
      <c r="S290" t="s">
        <v>2321</v>
      </c>
    </row>
    <row r="291" spans="1:19">
      <c r="A291" t="s">
        <v>455</v>
      </c>
      <c r="B291" t="s">
        <v>456</v>
      </c>
      <c r="C291" s="40">
        <v>45012</v>
      </c>
      <c r="D291" s="65">
        <v>1412</v>
      </c>
      <c r="E291" s="65">
        <v>1412</v>
      </c>
      <c r="G291" s="65">
        <v>57.55</v>
      </c>
      <c r="H291" s="65">
        <v>57.55</v>
      </c>
      <c r="J291" s="65">
        <v>1412</v>
      </c>
      <c r="K291" s="65">
        <v>1412</v>
      </c>
      <c r="M291" s="65">
        <v>57.55</v>
      </c>
      <c r="N291" s="65">
        <v>57.55</v>
      </c>
      <c r="P291" s="61">
        <v>1</v>
      </c>
      <c r="Q291" s="58">
        <v>100</v>
      </c>
      <c r="R291" t="s">
        <v>2345</v>
      </c>
      <c r="S291" t="s">
        <v>2309</v>
      </c>
    </row>
    <row r="292" spans="1:19">
      <c r="A292" t="s">
        <v>509</v>
      </c>
      <c r="B292" t="s">
        <v>510</v>
      </c>
      <c r="C292" s="40">
        <v>44994</v>
      </c>
      <c r="D292" s="65">
        <v>6953</v>
      </c>
      <c r="E292" s="65">
        <v>6950</v>
      </c>
      <c r="F292" s="65">
        <v>3</v>
      </c>
      <c r="G292" s="65">
        <v>1725.35</v>
      </c>
      <c r="H292" s="65">
        <v>1615.35</v>
      </c>
      <c r="I292" s="65">
        <v>110</v>
      </c>
      <c r="J292" s="65">
        <v>6953</v>
      </c>
      <c r="K292" s="65">
        <v>6950</v>
      </c>
      <c r="L292" s="65">
        <v>3</v>
      </c>
      <c r="M292" s="65">
        <v>618.20000000000005</v>
      </c>
      <c r="N292" s="65">
        <v>508.2</v>
      </c>
      <c r="O292" s="65">
        <v>110</v>
      </c>
      <c r="P292" s="61">
        <v>2.7909000000000002</v>
      </c>
      <c r="Q292" s="58">
        <v>35.830399999999997</v>
      </c>
      <c r="R292" t="s">
        <v>2327</v>
      </c>
      <c r="S292" t="s">
        <v>2298</v>
      </c>
    </row>
    <row r="293" spans="1:19">
      <c r="A293" t="s">
        <v>397</v>
      </c>
      <c r="B293" t="s">
        <v>398</v>
      </c>
      <c r="C293" s="40">
        <v>44993</v>
      </c>
      <c r="D293" s="65">
        <v>9499</v>
      </c>
      <c r="E293" s="65">
        <v>9477</v>
      </c>
      <c r="F293" s="65">
        <v>22</v>
      </c>
      <c r="G293" s="65">
        <v>9981</v>
      </c>
      <c r="H293" s="65">
        <v>6548.8</v>
      </c>
      <c r="I293" s="65">
        <v>3432.2</v>
      </c>
      <c r="J293" s="65">
        <v>4431</v>
      </c>
      <c r="K293" s="65">
        <v>4409</v>
      </c>
      <c r="L293" s="65">
        <v>22</v>
      </c>
      <c r="M293" s="65">
        <v>1296.4000000000001</v>
      </c>
      <c r="N293" s="65">
        <v>648.20000000000005</v>
      </c>
      <c r="O293" s="65">
        <v>648.20000000000005</v>
      </c>
      <c r="P293" s="61">
        <v>7.6989999999999998</v>
      </c>
      <c r="Q293" s="58">
        <v>12.9887</v>
      </c>
      <c r="R293" t="s">
        <v>2351</v>
      </c>
      <c r="S293" t="s">
        <v>2321</v>
      </c>
    </row>
    <row r="294" spans="1:19">
      <c r="A294" t="s">
        <v>872</v>
      </c>
      <c r="B294" t="s">
        <v>873</v>
      </c>
      <c r="C294" s="40">
        <v>44945</v>
      </c>
      <c r="D294" s="65">
        <v>6137</v>
      </c>
      <c r="E294" s="65">
        <v>6128</v>
      </c>
      <c r="F294" s="65">
        <v>9</v>
      </c>
      <c r="G294" s="65">
        <v>8091</v>
      </c>
      <c r="H294" s="65">
        <v>5931</v>
      </c>
      <c r="I294" s="65">
        <v>2160</v>
      </c>
      <c r="J294" s="65">
        <v>2945</v>
      </c>
      <c r="K294" s="65">
        <v>2936</v>
      </c>
      <c r="L294" s="65">
        <v>9</v>
      </c>
      <c r="M294" s="65">
        <v>1320</v>
      </c>
      <c r="N294" s="65">
        <v>660</v>
      </c>
      <c r="O294" s="65">
        <v>660</v>
      </c>
      <c r="P294" s="61">
        <v>6.1295000000000002</v>
      </c>
      <c r="Q294" s="58">
        <v>16.314399999999999</v>
      </c>
      <c r="R294" t="s">
        <v>2348</v>
      </c>
      <c r="S294" t="s">
        <v>2305</v>
      </c>
    </row>
    <row r="295" spans="1:19">
      <c r="A295" t="s">
        <v>664</v>
      </c>
      <c r="B295" t="s">
        <v>665</v>
      </c>
      <c r="C295" s="40">
        <v>44944</v>
      </c>
      <c r="D295" s="65">
        <v>9630</v>
      </c>
      <c r="E295" s="65">
        <v>9549</v>
      </c>
      <c r="F295" s="65">
        <v>81</v>
      </c>
      <c r="G295" s="65">
        <v>34437.9</v>
      </c>
      <c r="H295" s="65">
        <v>21641.7</v>
      </c>
      <c r="I295" s="65">
        <v>12796.2</v>
      </c>
      <c r="J295" s="65">
        <v>5803</v>
      </c>
      <c r="K295" s="65">
        <v>5722</v>
      </c>
      <c r="L295" s="65">
        <v>81</v>
      </c>
      <c r="M295" s="65">
        <v>3601.8</v>
      </c>
      <c r="N295" s="65">
        <v>1800.9</v>
      </c>
      <c r="O295" s="65">
        <v>1800.9</v>
      </c>
      <c r="P295" s="61">
        <v>9.5612999999999992</v>
      </c>
      <c r="Q295" s="58">
        <v>10.4588</v>
      </c>
      <c r="R295" t="s">
        <v>2344</v>
      </c>
      <c r="S295" t="s">
        <v>2308</v>
      </c>
    </row>
    <row r="296" spans="1:19">
      <c r="A296" t="s">
        <v>771</v>
      </c>
      <c r="B296" t="s">
        <v>772</v>
      </c>
      <c r="C296" s="40">
        <v>44942</v>
      </c>
      <c r="D296" s="65">
        <v>7754</v>
      </c>
      <c r="E296" s="65">
        <v>7739</v>
      </c>
      <c r="F296" s="65">
        <v>15</v>
      </c>
      <c r="G296" s="65">
        <v>17025</v>
      </c>
      <c r="H296" s="65">
        <v>12575</v>
      </c>
      <c r="I296" s="65">
        <v>4450</v>
      </c>
      <c r="J296" s="65">
        <v>1972</v>
      </c>
      <c r="K296" s="65">
        <v>1957</v>
      </c>
      <c r="L296" s="65">
        <v>15</v>
      </c>
      <c r="M296" s="65">
        <v>1724</v>
      </c>
      <c r="N296" s="65">
        <v>862</v>
      </c>
      <c r="O296" s="65">
        <v>862</v>
      </c>
      <c r="P296" s="61">
        <v>9.8752999999999993</v>
      </c>
      <c r="Q296" s="58">
        <v>10.126300000000001</v>
      </c>
      <c r="R296" t="s">
        <v>2335</v>
      </c>
      <c r="S296" t="s">
        <v>2297</v>
      </c>
    </row>
    <row r="297" spans="1:19">
      <c r="A297" t="s">
        <v>662</v>
      </c>
      <c r="B297" t="s">
        <v>663</v>
      </c>
      <c r="C297" s="40">
        <v>44942</v>
      </c>
      <c r="D297" s="65">
        <v>5158</v>
      </c>
      <c r="E297" s="65">
        <v>5153</v>
      </c>
      <c r="F297" s="65">
        <v>5</v>
      </c>
      <c r="G297" s="65">
        <v>6557.2</v>
      </c>
      <c r="H297" s="65">
        <v>5007.2</v>
      </c>
      <c r="I297" s="65">
        <v>1550</v>
      </c>
      <c r="J297" s="65">
        <v>1559</v>
      </c>
      <c r="K297" s="65">
        <v>1554</v>
      </c>
      <c r="L297" s="65">
        <v>5</v>
      </c>
      <c r="M297" s="65">
        <v>750</v>
      </c>
      <c r="N297" s="65">
        <v>375</v>
      </c>
      <c r="O297" s="65">
        <v>375</v>
      </c>
      <c r="P297" s="61">
        <v>8.7429000000000006</v>
      </c>
      <c r="Q297" s="58">
        <v>11.437799999999999</v>
      </c>
      <c r="R297" t="s">
        <v>2324</v>
      </c>
      <c r="S297" t="s">
        <v>2306</v>
      </c>
    </row>
    <row r="298" spans="1:19">
      <c r="A298" t="s">
        <v>337</v>
      </c>
      <c r="B298" t="s">
        <v>338</v>
      </c>
      <c r="C298" s="40">
        <v>44939</v>
      </c>
      <c r="D298" s="65">
        <v>12391</v>
      </c>
      <c r="E298" s="65">
        <v>12372</v>
      </c>
      <c r="F298" s="65">
        <v>19</v>
      </c>
      <c r="G298" s="65">
        <v>9630.0499999999993</v>
      </c>
      <c r="H298" s="65">
        <v>7545.3</v>
      </c>
      <c r="I298" s="65">
        <v>2084.75</v>
      </c>
      <c r="J298" s="65">
        <v>5388</v>
      </c>
      <c r="K298" s="65">
        <v>5369</v>
      </c>
      <c r="L298" s="65">
        <v>19</v>
      </c>
      <c r="M298" s="65">
        <v>789.5</v>
      </c>
      <c r="N298" s="65">
        <v>394.75</v>
      </c>
      <c r="O298" s="65">
        <v>394.75</v>
      </c>
      <c r="P298" s="61">
        <v>12.197699999999999</v>
      </c>
      <c r="Q298" s="58">
        <v>8.1982999999999997</v>
      </c>
      <c r="R298" t="s">
        <v>2347</v>
      </c>
      <c r="S298" t="s">
        <v>2304</v>
      </c>
    </row>
    <row r="299" spans="1:19">
      <c r="A299" t="s">
        <v>715</v>
      </c>
      <c r="B299" t="s">
        <v>716</v>
      </c>
      <c r="C299" s="40">
        <v>44939</v>
      </c>
      <c r="D299" s="65">
        <v>4168</v>
      </c>
      <c r="E299" s="65">
        <v>4164</v>
      </c>
      <c r="F299" s="65">
        <v>4</v>
      </c>
      <c r="G299" s="65">
        <v>1275.1199999999999</v>
      </c>
      <c r="H299" s="65">
        <v>965.12</v>
      </c>
      <c r="I299" s="65">
        <v>310</v>
      </c>
      <c r="J299" s="65">
        <v>2760</v>
      </c>
      <c r="K299" s="65">
        <v>2756</v>
      </c>
      <c r="L299" s="65">
        <v>4</v>
      </c>
      <c r="M299" s="65">
        <v>372.6</v>
      </c>
      <c r="N299" s="65">
        <v>186.32</v>
      </c>
      <c r="O299" s="65">
        <v>186.28</v>
      </c>
      <c r="P299" s="61">
        <v>3.4222000000000001</v>
      </c>
      <c r="Q299" s="58">
        <v>29.220800000000001</v>
      </c>
      <c r="R299" t="s">
        <v>2344</v>
      </c>
      <c r="S299" t="s">
        <v>2298</v>
      </c>
    </row>
    <row r="300" spans="1:19">
      <c r="A300" t="s">
        <v>497</v>
      </c>
      <c r="B300" t="s">
        <v>498</v>
      </c>
      <c r="C300" s="40">
        <v>44939</v>
      </c>
      <c r="D300" s="65">
        <v>6671</v>
      </c>
      <c r="E300" s="65">
        <v>6541</v>
      </c>
      <c r="F300" s="65">
        <v>130</v>
      </c>
      <c r="G300" s="65">
        <v>8967</v>
      </c>
      <c r="H300" s="65">
        <v>3663.5</v>
      </c>
      <c r="I300" s="65">
        <v>5303.5</v>
      </c>
      <c r="J300" s="65">
        <v>4901</v>
      </c>
      <c r="K300" s="65">
        <v>4771</v>
      </c>
      <c r="L300" s="65">
        <v>130</v>
      </c>
      <c r="M300" s="65">
        <v>1216.0999999999999</v>
      </c>
      <c r="N300" s="65">
        <v>608.04999999999995</v>
      </c>
      <c r="O300" s="65">
        <v>608.04999999999995</v>
      </c>
      <c r="P300" s="61">
        <v>7.3735999999999997</v>
      </c>
      <c r="Q300" s="58">
        <v>13.5619</v>
      </c>
      <c r="R300" t="s">
        <v>2326</v>
      </c>
      <c r="S300" t="s">
        <v>2292</v>
      </c>
    </row>
    <row r="301" spans="1:19">
      <c r="A301" t="s">
        <v>805</v>
      </c>
      <c r="B301" t="s">
        <v>806</v>
      </c>
      <c r="C301" s="40">
        <v>44938</v>
      </c>
      <c r="D301" s="65">
        <v>6254</v>
      </c>
      <c r="E301" s="65">
        <v>6229</v>
      </c>
      <c r="F301" s="65">
        <v>25</v>
      </c>
      <c r="G301" s="65">
        <v>36569.599999999999</v>
      </c>
      <c r="H301" s="65">
        <v>19519.599999999999</v>
      </c>
      <c r="I301" s="65">
        <v>17050</v>
      </c>
      <c r="J301" s="65">
        <v>6254</v>
      </c>
      <c r="K301" s="65">
        <v>6229</v>
      </c>
      <c r="L301" s="65">
        <v>25</v>
      </c>
      <c r="M301" s="65">
        <v>6000</v>
      </c>
      <c r="N301" s="65">
        <v>3000</v>
      </c>
      <c r="O301" s="65">
        <v>3000</v>
      </c>
      <c r="P301" s="61">
        <v>6.0949</v>
      </c>
      <c r="Q301" s="58">
        <v>16.4071</v>
      </c>
      <c r="R301" t="s">
        <v>2336</v>
      </c>
      <c r="S301" t="s">
        <v>2304</v>
      </c>
    </row>
    <row r="302" spans="1:19">
      <c r="A302" t="s">
        <v>655</v>
      </c>
      <c r="B302" t="s">
        <v>656</v>
      </c>
      <c r="C302" s="40">
        <v>44937</v>
      </c>
      <c r="D302" s="65">
        <v>2124</v>
      </c>
      <c r="E302" s="65">
        <v>2106</v>
      </c>
      <c r="F302" s="65">
        <v>18</v>
      </c>
      <c r="G302" s="65">
        <v>50.835000000000001</v>
      </c>
      <c r="H302" s="65">
        <v>32.185000000000002</v>
      </c>
      <c r="I302" s="65">
        <v>18.649999999999999</v>
      </c>
      <c r="J302" s="65">
        <v>2124</v>
      </c>
      <c r="K302" s="65">
        <v>2106</v>
      </c>
      <c r="L302" s="65">
        <v>18</v>
      </c>
      <c r="M302" s="65">
        <v>50.835000000000001</v>
      </c>
      <c r="N302" s="65">
        <v>32.185000000000002</v>
      </c>
      <c r="O302" s="65">
        <v>18.649999999999999</v>
      </c>
      <c r="P302" s="61">
        <v>1</v>
      </c>
      <c r="Q302" s="58">
        <v>100</v>
      </c>
      <c r="R302" t="s">
        <v>2335</v>
      </c>
      <c r="S302" t="s">
        <v>2297</v>
      </c>
    </row>
    <row r="303" spans="1:19">
      <c r="A303" t="s">
        <v>457</v>
      </c>
      <c r="B303" t="s">
        <v>458</v>
      </c>
      <c r="C303" s="40">
        <v>44932</v>
      </c>
      <c r="D303" s="65">
        <v>9493</v>
      </c>
      <c r="E303" s="65">
        <v>9463</v>
      </c>
      <c r="F303" s="65">
        <v>30</v>
      </c>
      <c r="G303" s="65">
        <v>6775.4</v>
      </c>
      <c r="H303" s="65">
        <v>4655.3999999999996</v>
      </c>
      <c r="I303" s="65">
        <v>2120</v>
      </c>
      <c r="J303" s="65">
        <v>2569</v>
      </c>
      <c r="K303" s="65">
        <v>2539</v>
      </c>
      <c r="L303" s="65">
        <v>30</v>
      </c>
      <c r="M303" s="65">
        <v>600</v>
      </c>
      <c r="N303" s="65">
        <v>300</v>
      </c>
      <c r="O303" s="65">
        <v>300</v>
      </c>
      <c r="P303" s="61">
        <v>11.292299999999999</v>
      </c>
      <c r="Q303" s="58">
        <v>8.8556000000000008</v>
      </c>
      <c r="R303" t="s">
        <v>2345</v>
      </c>
      <c r="S303" t="s">
        <v>2318</v>
      </c>
    </row>
    <row r="304" spans="1:19">
      <c r="A304" t="s">
        <v>417</v>
      </c>
      <c r="B304" t="s">
        <v>418</v>
      </c>
      <c r="C304" s="40">
        <v>44924</v>
      </c>
      <c r="D304" s="65">
        <v>1971</v>
      </c>
      <c r="E304" s="65">
        <v>1970</v>
      </c>
      <c r="F304" s="65">
        <v>1</v>
      </c>
      <c r="G304" s="65">
        <v>636.1</v>
      </c>
      <c r="H304" s="65">
        <v>556.1</v>
      </c>
      <c r="I304" s="65">
        <v>80</v>
      </c>
      <c r="J304" s="65">
        <v>1491</v>
      </c>
      <c r="K304" s="65">
        <v>1490</v>
      </c>
      <c r="L304" s="65">
        <v>1</v>
      </c>
      <c r="M304" s="65">
        <v>306.39999999999998</v>
      </c>
      <c r="N304" s="65">
        <v>226.4</v>
      </c>
      <c r="O304" s="65">
        <v>80</v>
      </c>
      <c r="P304" s="61">
        <v>2.0760000000000001</v>
      </c>
      <c r="Q304" s="58">
        <v>48.168500000000002</v>
      </c>
      <c r="R304" t="s">
        <v>2347</v>
      </c>
      <c r="S304" t="s">
        <v>2304</v>
      </c>
    </row>
    <row r="305" spans="1:19">
      <c r="A305" t="s">
        <v>729</v>
      </c>
      <c r="B305" t="s">
        <v>730</v>
      </c>
      <c r="C305" s="40">
        <v>44924</v>
      </c>
      <c r="D305" s="65">
        <v>1869</v>
      </c>
      <c r="E305" s="65">
        <v>1868</v>
      </c>
      <c r="F305" s="65">
        <v>1</v>
      </c>
      <c r="G305" s="65">
        <v>226.4</v>
      </c>
      <c r="H305" s="65">
        <v>196.4</v>
      </c>
      <c r="I305" s="65">
        <v>30</v>
      </c>
      <c r="J305" s="65">
        <v>1129</v>
      </c>
      <c r="K305" s="65">
        <v>1128</v>
      </c>
      <c r="L305" s="65">
        <v>1</v>
      </c>
      <c r="M305" s="65">
        <v>106.96</v>
      </c>
      <c r="N305" s="65">
        <v>76.959999999999994</v>
      </c>
      <c r="O305" s="65">
        <v>30</v>
      </c>
      <c r="P305" s="61">
        <v>2.1166999999999998</v>
      </c>
      <c r="Q305" s="58">
        <v>47.2438</v>
      </c>
      <c r="R305" t="s">
        <v>2328</v>
      </c>
      <c r="S305" t="s">
        <v>2296</v>
      </c>
    </row>
    <row r="306" spans="1:19">
      <c r="A306" t="s">
        <v>990</v>
      </c>
      <c r="B306" t="s">
        <v>991</v>
      </c>
      <c r="C306" s="40">
        <v>44924</v>
      </c>
      <c r="D306" s="65">
        <v>1734</v>
      </c>
      <c r="E306" s="65">
        <v>1734</v>
      </c>
      <c r="G306" s="65">
        <v>216.68</v>
      </c>
      <c r="H306" s="65">
        <v>216.68</v>
      </c>
      <c r="J306" s="65">
        <v>1734</v>
      </c>
      <c r="K306" s="65">
        <v>1734</v>
      </c>
      <c r="M306" s="65">
        <v>111.1</v>
      </c>
      <c r="N306" s="65">
        <v>111.1</v>
      </c>
      <c r="P306" s="61">
        <v>1.9502999999999999</v>
      </c>
      <c r="Q306" s="58">
        <v>51.273800000000001</v>
      </c>
      <c r="R306" t="s">
        <v>2326</v>
      </c>
      <c r="S306" t="s">
        <v>2292</v>
      </c>
    </row>
    <row r="307" spans="1:19">
      <c r="A307" t="s">
        <v>815</v>
      </c>
      <c r="B307" t="s">
        <v>816</v>
      </c>
      <c r="C307" s="40">
        <v>44923</v>
      </c>
      <c r="D307" s="65">
        <v>1851</v>
      </c>
      <c r="E307" s="65">
        <v>1836</v>
      </c>
      <c r="F307" s="65">
        <v>15</v>
      </c>
      <c r="G307" s="65">
        <v>754.84</v>
      </c>
      <c r="H307" s="65">
        <v>381.16</v>
      </c>
      <c r="I307" s="65">
        <v>373.68</v>
      </c>
      <c r="J307" s="65">
        <v>1149</v>
      </c>
      <c r="K307" s="65">
        <v>1134</v>
      </c>
      <c r="L307" s="65">
        <v>15</v>
      </c>
      <c r="M307" s="65">
        <v>147.36000000000001</v>
      </c>
      <c r="N307" s="65">
        <v>73.680000000000007</v>
      </c>
      <c r="O307" s="65">
        <v>73.680000000000007</v>
      </c>
      <c r="P307" s="61">
        <v>5.1223999999999998</v>
      </c>
      <c r="Q307" s="58">
        <v>19.521999999999998</v>
      </c>
      <c r="R307" t="s">
        <v>2344</v>
      </c>
      <c r="S307" t="s">
        <v>2308</v>
      </c>
    </row>
    <row r="308" spans="1:19">
      <c r="A308" t="s">
        <v>935</v>
      </c>
      <c r="B308" t="s">
        <v>936</v>
      </c>
      <c r="C308" s="40">
        <v>44923</v>
      </c>
      <c r="D308" s="65">
        <v>4478</v>
      </c>
      <c r="E308" s="65">
        <v>4464</v>
      </c>
      <c r="F308" s="65">
        <v>14</v>
      </c>
      <c r="G308" s="65">
        <v>16239</v>
      </c>
      <c r="H308" s="65">
        <v>11539</v>
      </c>
      <c r="I308" s="65">
        <v>4700</v>
      </c>
      <c r="J308" s="65">
        <v>1344</v>
      </c>
      <c r="K308" s="65">
        <v>1330</v>
      </c>
      <c r="L308" s="65">
        <v>14</v>
      </c>
      <c r="M308" s="65">
        <v>964.5</v>
      </c>
      <c r="N308" s="65">
        <v>863</v>
      </c>
      <c r="O308" s="65">
        <v>101.5</v>
      </c>
      <c r="P308" s="61">
        <v>16.8367</v>
      </c>
      <c r="Q308" s="58">
        <v>5.9394</v>
      </c>
      <c r="R308" t="s">
        <v>2326</v>
      </c>
      <c r="S308" t="s">
        <v>2292</v>
      </c>
    </row>
    <row r="309" spans="1:19">
      <c r="A309" t="s">
        <v>620</v>
      </c>
      <c r="B309" t="s">
        <v>621</v>
      </c>
      <c r="C309" s="40">
        <v>44917</v>
      </c>
      <c r="D309" s="65">
        <v>3951</v>
      </c>
      <c r="E309" s="65">
        <v>3949</v>
      </c>
      <c r="F309" s="65">
        <v>2</v>
      </c>
      <c r="G309" s="65">
        <v>1099.55</v>
      </c>
      <c r="H309" s="65">
        <v>979.55</v>
      </c>
      <c r="I309" s="65">
        <v>120</v>
      </c>
      <c r="J309" s="65">
        <v>2513</v>
      </c>
      <c r="K309" s="65">
        <v>2511</v>
      </c>
      <c r="L309" s="65">
        <v>2</v>
      </c>
      <c r="M309" s="65">
        <v>546.4</v>
      </c>
      <c r="N309" s="65">
        <v>426.4</v>
      </c>
      <c r="O309" s="65">
        <v>120</v>
      </c>
      <c r="P309" s="61">
        <v>2.0124</v>
      </c>
      <c r="Q309" s="58">
        <v>49.693100000000001</v>
      </c>
      <c r="R309" t="s">
        <v>2326</v>
      </c>
      <c r="S309" t="s">
        <v>2292</v>
      </c>
    </row>
    <row r="310" spans="1:19">
      <c r="A310" t="s">
        <v>415</v>
      </c>
      <c r="B310" t="s">
        <v>416</v>
      </c>
      <c r="C310" s="40">
        <v>44917</v>
      </c>
      <c r="D310" s="65">
        <v>7588</v>
      </c>
      <c r="E310" s="65">
        <v>7586</v>
      </c>
      <c r="F310" s="65">
        <v>2</v>
      </c>
      <c r="G310" s="65">
        <v>820.32</v>
      </c>
      <c r="H310" s="65">
        <v>760.32</v>
      </c>
      <c r="I310" s="65">
        <v>60</v>
      </c>
      <c r="J310" s="65">
        <v>2100</v>
      </c>
      <c r="K310" s="65">
        <v>2098</v>
      </c>
      <c r="L310" s="65">
        <v>2</v>
      </c>
      <c r="M310" s="65">
        <v>99.2</v>
      </c>
      <c r="N310" s="65">
        <v>49.6</v>
      </c>
      <c r="O310" s="65">
        <v>49.6</v>
      </c>
      <c r="P310" s="61">
        <v>8.2693999999999992</v>
      </c>
      <c r="Q310" s="58">
        <v>12.0928</v>
      </c>
      <c r="R310" t="s">
        <v>2347</v>
      </c>
      <c r="S310" t="s">
        <v>2296</v>
      </c>
    </row>
    <row r="311" spans="1:19">
      <c r="A311" t="s">
        <v>430</v>
      </c>
      <c r="B311" t="s">
        <v>431</v>
      </c>
      <c r="C311" s="40">
        <v>44916</v>
      </c>
      <c r="D311" s="65">
        <v>3049</v>
      </c>
      <c r="E311" s="65">
        <v>3048</v>
      </c>
      <c r="F311" s="65">
        <v>1</v>
      </c>
      <c r="G311" s="65">
        <v>176.49</v>
      </c>
      <c r="H311" s="65">
        <v>156.49</v>
      </c>
      <c r="I311" s="65">
        <v>20</v>
      </c>
      <c r="J311" s="65">
        <v>3049</v>
      </c>
      <c r="K311" s="65">
        <v>3048</v>
      </c>
      <c r="L311" s="65">
        <v>1</v>
      </c>
      <c r="M311" s="65">
        <v>176.49</v>
      </c>
      <c r="N311" s="65">
        <v>156.49</v>
      </c>
      <c r="O311" s="65">
        <v>20</v>
      </c>
      <c r="P311" s="61">
        <v>1</v>
      </c>
      <c r="Q311" s="58">
        <v>100</v>
      </c>
      <c r="R311" t="s">
        <v>2342</v>
      </c>
      <c r="S311" t="s">
        <v>2292</v>
      </c>
    </row>
    <row r="312" spans="1:19">
      <c r="A312" t="s">
        <v>719</v>
      </c>
      <c r="B312" t="s">
        <v>720</v>
      </c>
      <c r="C312" s="40">
        <v>44909</v>
      </c>
      <c r="D312" s="65">
        <v>2805</v>
      </c>
      <c r="E312" s="65">
        <v>2785</v>
      </c>
      <c r="F312" s="65">
        <v>20</v>
      </c>
      <c r="G312" s="65">
        <v>976.25</v>
      </c>
      <c r="H312" s="65">
        <v>536.25</v>
      </c>
      <c r="I312" s="65">
        <v>440</v>
      </c>
      <c r="J312" s="65">
        <v>1119</v>
      </c>
      <c r="K312" s="65">
        <v>1099</v>
      </c>
      <c r="L312" s="65">
        <v>20</v>
      </c>
      <c r="M312" s="65">
        <v>163.5</v>
      </c>
      <c r="N312" s="65">
        <v>81.75</v>
      </c>
      <c r="O312" s="65">
        <v>81.75</v>
      </c>
      <c r="P312" s="61">
        <v>5.9709000000000003</v>
      </c>
      <c r="Q312" s="58">
        <v>16.747800000000002</v>
      </c>
      <c r="R312" t="s">
        <v>2328</v>
      </c>
      <c r="S312" t="s">
        <v>2296</v>
      </c>
    </row>
    <row r="313" spans="1:19">
      <c r="A313" t="s">
        <v>405</v>
      </c>
      <c r="B313" t="s">
        <v>406</v>
      </c>
      <c r="C313" s="40">
        <v>44909</v>
      </c>
      <c r="D313" s="65">
        <v>31566</v>
      </c>
      <c r="E313" s="65">
        <v>31472</v>
      </c>
      <c r="F313" s="65">
        <v>94</v>
      </c>
      <c r="G313" s="65">
        <v>14749.2</v>
      </c>
      <c r="H313" s="65">
        <v>8807.2199999999993</v>
      </c>
      <c r="I313" s="65">
        <v>5941.98</v>
      </c>
      <c r="J313" s="65">
        <v>26880</v>
      </c>
      <c r="K313" s="65">
        <v>26786</v>
      </c>
      <c r="L313" s="65">
        <v>94</v>
      </c>
      <c r="M313" s="65">
        <v>2891.92</v>
      </c>
      <c r="N313" s="65">
        <v>1445.96</v>
      </c>
      <c r="O313" s="65">
        <v>1445.96</v>
      </c>
      <c r="P313" s="61">
        <v>5.1001000000000003</v>
      </c>
      <c r="Q313" s="58">
        <v>19.607299999999999</v>
      </c>
      <c r="R313" t="s">
        <v>2336</v>
      </c>
      <c r="S313" t="s">
        <v>2304</v>
      </c>
    </row>
    <row r="314" spans="1:19">
      <c r="A314" t="s">
        <v>834</v>
      </c>
      <c r="B314" t="s">
        <v>835</v>
      </c>
      <c r="C314" s="40">
        <v>44909</v>
      </c>
      <c r="D314" s="65">
        <v>17571</v>
      </c>
      <c r="E314" s="65">
        <v>17514</v>
      </c>
      <c r="F314" s="65">
        <v>57</v>
      </c>
      <c r="G314" s="65">
        <v>128056</v>
      </c>
      <c r="H314" s="65">
        <v>73406</v>
      </c>
      <c r="I314" s="65">
        <v>54650</v>
      </c>
      <c r="J314" s="65">
        <v>6784</v>
      </c>
      <c r="K314" s="65">
        <v>6727</v>
      </c>
      <c r="L314" s="65">
        <v>57</v>
      </c>
      <c r="M314" s="65">
        <v>10000</v>
      </c>
      <c r="N314" s="65">
        <v>5000</v>
      </c>
      <c r="O314" s="65">
        <v>5000</v>
      </c>
      <c r="P314" s="61">
        <v>12.8056</v>
      </c>
      <c r="Q314" s="58">
        <v>7.8090999999999999</v>
      </c>
      <c r="R314" t="s">
        <v>2333</v>
      </c>
      <c r="S314" t="s">
        <v>2300</v>
      </c>
    </row>
    <row r="315" spans="1:19">
      <c r="A315" t="s">
        <v>966</v>
      </c>
      <c r="B315" t="s">
        <v>967</v>
      </c>
      <c r="C315" s="40">
        <v>44908</v>
      </c>
      <c r="D315" s="65">
        <v>15241</v>
      </c>
      <c r="E315" s="65">
        <v>15212</v>
      </c>
      <c r="F315" s="65">
        <v>29</v>
      </c>
      <c r="G315" s="65">
        <v>61958</v>
      </c>
      <c r="H315" s="65">
        <v>44858</v>
      </c>
      <c r="I315" s="65">
        <v>17100</v>
      </c>
      <c r="J315" s="65">
        <v>2609</v>
      </c>
      <c r="K315" s="65">
        <v>2580</v>
      </c>
      <c r="L315" s="65">
        <v>29</v>
      </c>
      <c r="M315" s="65">
        <v>4500</v>
      </c>
      <c r="N315" s="65">
        <v>2250</v>
      </c>
      <c r="O315" s="65">
        <v>2250</v>
      </c>
      <c r="P315" s="61">
        <v>13.7684</v>
      </c>
      <c r="Q315" s="58">
        <v>7.2629999999999999</v>
      </c>
      <c r="R315" t="s">
        <v>2326</v>
      </c>
      <c r="S315" t="s">
        <v>2292</v>
      </c>
    </row>
    <row r="316" spans="1:19">
      <c r="A316" t="s">
        <v>811</v>
      </c>
      <c r="B316" t="s">
        <v>812</v>
      </c>
      <c r="C316" s="40">
        <v>44904</v>
      </c>
      <c r="D316" s="65">
        <v>15947</v>
      </c>
      <c r="E316" s="65">
        <v>15849</v>
      </c>
      <c r="F316" s="65">
        <v>98</v>
      </c>
      <c r="G316" s="65">
        <v>34821.199999999997</v>
      </c>
      <c r="H316" s="65">
        <v>18541.2</v>
      </c>
      <c r="I316" s="65">
        <v>16280</v>
      </c>
      <c r="J316" s="65">
        <v>4862</v>
      </c>
      <c r="K316" s="65">
        <v>4764</v>
      </c>
      <c r="L316" s="65">
        <v>98</v>
      </c>
      <c r="M316" s="65">
        <v>1440</v>
      </c>
      <c r="N316" s="65">
        <v>720</v>
      </c>
      <c r="O316" s="65">
        <v>720</v>
      </c>
      <c r="P316" s="61">
        <v>24.1814</v>
      </c>
      <c r="Q316" s="58">
        <v>4.1353999999999997</v>
      </c>
      <c r="R316" t="s">
        <v>2340</v>
      </c>
      <c r="S316" t="s">
        <v>2298</v>
      </c>
    </row>
    <row r="317" spans="1:19">
      <c r="A317" t="s">
        <v>2355</v>
      </c>
      <c r="B317" t="s">
        <v>2356</v>
      </c>
      <c r="C317" s="40">
        <v>44904</v>
      </c>
      <c r="D317" s="65">
        <v>11708</v>
      </c>
      <c r="E317" s="65">
        <v>11694</v>
      </c>
      <c r="F317" s="65">
        <v>14</v>
      </c>
      <c r="G317" s="65">
        <v>15380.9</v>
      </c>
      <c r="H317" s="65">
        <v>12550.9</v>
      </c>
      <c r="I317" s="65">
        <v>2830</v>
      </c>
      <c r="J317" s="65">
        <v>4100</v>
      </c>
      <c r="K317" s="65">
        <v>4086</v>
      </c>
      <c r="L317" s="65">
        <v>14</v>
      </c>
      <c r="M317" s="65">
        <v>1380</v>
      </c>
      <c r="N317" s="65">
        <v>690</v>
      </c>
      <c r="O317" s="65">
        <v>690</v>
      </c>
      <c r="P317" s="61">
        <v>11.1456</v>
      </c>
      <c r="Q317" s="58">
        <v>8.9722000000000008</v>
      </c>
      <c r="R317" t="s">
        <v>2344</v>
      </c>
    </row>
    <row r="318" spans="1:19">
      <c r="A318" t="s">
        <v>562</v>
      </c>
      <c r="B318" t="s">
        <v>563</v>
      </c>
      <c r="C318" s="40">
        <v>44904</v>
      </c>
      <c r="D318" s="65">
        <v>3118</v>
      </c>
      <c r="E318" s="65">
        <v>3067</v>
      </c>
      <c r="F318" s="65">
        <v>51</v>
      </c>
      <c r="G318" s="65">
        <v>93.5</v>
      </c>
      <c r="H318" s="65">
        <v>61.25</v>
      </c>
      <c r="I318" s="65">
        <v>32.25</v>
      </c>
      <c r="J318" s="65">
        <v>3118</v>
      </c>
      <c r="K318" s="65">
        <v>3067</v>
      </c>
      <c r="L318" s="65">
        <v>51</v>
      </c>
      <c r="M318" s="65">
        <v>65.349999999999994</v>
      </c>
      <c r="N318" s="65">
        <v>50.87</v>
      </c>
      <c r="O318" s="65">
        <v>14.48</v>
      </c>
      <c r="P318" s="61">
        <v>1.4308000000000001</v>
      </c>
      <c r="Q318" s="58">
        <v>69.893000000000001</v>
      </c>
      <c r="R318" t="s">
        <v>2326</v>
      </c>
      <c r="S318" t="s">
        <v>2292</v>
      </c>
    </row>
    <row r="319" spans="1:19">
      <c r="A319" t="s">
        <v>236</v>
      </c>
      <c r="B319" t="s">
        <v>237</v>
      </c>
      <c r="C319" s="40">
        <v>44903</v>
      </c>
      <c r="D319" s="65">
        <v>1877</v>
      </c>
      <c r="E319" s="65">
        <v>1873</v>
      </c>
      <c r="F319" s="65">
        <v>4</v>
      </c>
      <c r="G319" s="65">
        <v>1450.1</v>
      </c>
      <c r="H319" s="65">
        <v>450.1</v>
      </c>
      <c r="I319" s="65">
        <v>1000</v>
      </c>
      <c r="J319" s="65">
        <v>1877</v>
      </c>
      <c r="K319" s="65">
        <v>1873</v>
      </c>
      <c r="L319" s="65">
        <v>4</v>
      </c>
      <c r="M319" s="65">
        <v>1450.1</v>
      </c>
      <c r="N319" s="65">
        <v>450.1</v>
      </c>
      <c r="O319" s="65">
        <v>1000</v>
      </c>
      <c r="P319" s="61">
        <v>1</v>
      </c>
      <c r="Q319" s="58">
        <v>100</v>
      </c>
      <c r="R319" t="s">
        <v>2343</v>
      </c>
      <c r="S319" t="s">
        <v>2317</v>
      </c>
    </row>
    <row r="320" spans="1:19">
      <c r="A320" t="s">
        <v>290</v>
      </c>
      <c r="B320" t="s">
        <v>291</v>
      </c>
      <c r="C320" s="40">
        <v>44895</v>
      </c>
      <c r="D320" s="65">
        <v>13455</v>
      </c>
      <c r="E320" s="65">
        <v>13430</v>
      </c>
      <c r="F320" s="65">
        <v>25</v>
      </c>
      <c r="G320" s="65">
        <v>3409.54</v>
      </c>
      <c r="H320" s="65">
        <v>2319.54</v>
      </c>
      <c r="I320" s="65">
        <v>1090</v>
      </c>
      <c r="J320" s="65">
        <v>12315</v>
      </c>
      <c r="K320" s="65">
        <v>12290</v>
      </c>
      <c r="L320" s="65">
        <v>25</v>
      </c>
      <c r="M320" s="65">
        <v>2325.48</v>
      </c>
      <c r="N320" s="65">
        <v>1235.48</v>
      </c>
      <c r="O320" s="65">
        <v>1090</v>
      </c>
      <c r="P320" s="61">
        <v>1.4661999999999999</v>
      </c>
      <c r="Q320" s="58">
        <v>68.205100000000002</v>
      </c>
      <c r="R320" t="s">
        <v>2341</v>
      </c>
      <c r="S320" t="s">
        <v>2307</v>
      </c>
    </row>
    <row r="321" spans="1:19">
      <c r="A321" t="s">
        <v>320</v>
      </c>
      <c r="B321" t="s">
        <v>321</v>
      </c>
      <c r="C321" s="40">
        <v>44893</v>
      </c>
      <c r="D321" s="65">
        <v>3216</v>
      </c>
      <c r="E321" s="65">
        <v>3212</v>
      </c>
      <c r="F321" s="65">
        <v>4</v>
      </c>
      <c r="G321" s="65">
        <v>137.755</v>
      </c>
      <c r="H321" s="65">
        <v>89.754999999999995</v>
      </c>
      <c r="I321" s="65">
        <v>48</v>
      </c>
      <c r="J321" s="65">
        <v>2614</v>
      </c>
      <c r="K321" s="65">
        <v>2610</v>
      </c>
      <c r="L321" s="65">
        <v>4</v>
      </c>
      <c r="M321" s="65">
        <v>56</v>
      </c>
      <c r="N321" s="65">
        <v>28</v>
      </c>
      <c r="O321" s="65">
        <v>28</v>
      </c>
      <c r="P321" s="61">
        <v>2.4599000000000002</v>
      </c>
      <c r="Q321" s="58">
        <v>40.651899999999998</v>
      </c>
      <c r="R321" t="s">
        <v>2343</v>
      </c>
      <c r="S321" t="s">
        <v>2310</v>
      </c>
    </row>
    <row r="322" spans="1:19">
      <c r="A322" t="s">
        <v>523</v>
      </c>
      <c r="B322" t="s">
        <v>524</v>
      </c>
      <c r="C322" s="40">
        <v>44888</v>
      </c>
      <c r="D322" s="65">
        <v>9672</v>
      </c>
      <c r="E322" s="65">
        <v>9663</v>
      </c>
      <c r="F322" s="65">
        <v>9</v>
      </c>
      <c r="G322" s="65">
        <v>3280.38</v>
      </c>
      <c r="H322" s="65">
        <v>2740.38</v>
      </c>
      <c r="I322" s="65">
        <v>540</v>
      </c>
      <c r="J322" s="65">
        <v>5358</v>
      </c>
      <c r="K322" s="65">
        <v>5349</v>
      </c>
      <c r="L322" s="65">
        <v>9</v>
      </c>
      <c r="M322" s="65">
        <v>532.59</v>
      </c>
      <c r="N322" s="65">
        <v>266.31</v>
      </c>
      <c r="O322" s="65">
        <v>266.27999999999997</v>
      </c>
      <c r="P322" s="61">
        <v>6.1593</v>
      </c>
      <c r="Q322" s="58">
        <v>16.235600000000002</v>
      </c>
      <c r="R322" t="s">
        <v>2327</v>
      </c>
      <c r="S322" t="s">
        <v>2294</v>
      </c>
    </row>
    <row r="323" spans="1:19">
      <c r="A323" t="s">
        <v>822</v>
      </c>
      <c r="B323" t="s">
        <v>823</v>
      </c>
      <c r="C323" s="40">
        <v>44880</v>
      </c>
      <c r="D323" s="65">
        <v>3647</v>
      </c>
      <c r="E323" s="65">
        <v>3643</v>
      </c>
      <c r="F323" s="65">
        <v>4</v>
      </c>
      <c r="G323" s="65">
        <v>7860.6</v>
      </c>
      <c r="H323" s="65">
        <v>6410.6</v>
      </c>
      <c r="I323" s="65">
        <v>1450</v>
      </c>
      <c r="J323" s="65">
        <v>1775</v>
      </c>
      <c r="K323" s="65">
        <v>1771</v>
      </c>
      <c r="L323" s="65">
        <v>4</v>
      </c>
      <c r="M323" s="65">
        <v>1100</v>
      </c>
      <c r="N323" s="65">
        <v>550</v>
      </c>
      <c r="O323" s="65">
        <v>550</v>
      </c>
      <c r="P323" s="61">
        <v>7.1459999999999999</v>
      </c>
      <c r="Q323" s="58">
        <v>13.9938</v>
      </c>
      <c r="R323" t="s">
        <v>2313</v>
      </c>
      <c r="S323" t="s">
        <v>2323</v>
      </c>
    </row>
    <row r="324" spans="1:19">
      <c r="A324" t="s">
        <v>459</v>
      </c>
      <c r="B324" t="s">
        <v>460</v>
      </c>
      <c r="C324" s="40">
        <v>44875</v>
      </c>
      <c r="D324" s="65">
        <v>2419</v>
      </c>
      <c r="E324" s="65">
        <v>2418</v>
      </c>
      <c r="F324" s="65">
        <v>1</v>
      </c>
      <c r="G324" s="65">
        <v>559.54999999999995</v>
      </c>
      <c r="H324" s="65">
        <v>499.55</v>
      </c>
      <c r="I324" s="65">
        <v>60</v>
      </c>
      <c r="J324" s="65">
        <v>1648</v>
      </c>
      <c r="K324" s="65">
        <v>1647</v>
      </c>
      <c r="L324" s="65">
        <v>1</v>
      </c>
      <c r="M324" s="65">
        <v>292.5</v>
      </c>
      <c r="N324" s="65">
        <v>232.5</v>
      </c>
      <c r="O324" s="65">
        <v>60</v>
      </c>
      <c r="P324" s="61">
        <v>1.913</v>
      </c>
      <c r="Q324" s="58">
        <v>52.274099999999997</v>
      </c>
      <c r="R324" t="s">
        <v>2338</v>
      </c>
      <c r="S324" t="s">
        <v>2311</v>
      </c>
    </row>
    <row r="325" spans="1:19">
      <c r="A325" t="s">
        <v>603</v>
      </c>
      <c r="B325" t="s">
        <v>604</v>
      </c>
      <c r="C325" s="40">
        <v>44873</v>
      </c>
      <c r="D325" s="65">
        <v>1296</v>
      </c>
      <c r="E325" s="65">
        <v>1290</v>
      </c>
      <c r="F325" s="65">
        <v>6</v>
      </c>
      <c r="G325" s="65">
        <v>4498</v>
      </c>
      <c r="H325" s="65">
        <v>1748</v>
      </c>
      <c r="I325" s="65">
        <v>2750</v>
      </c>
      <c r="J325" s="65">
        <v>882</v>
      </c>
      <c r="K325" s="65">
        <v>876</v>
      </c>
      <c r="L325" s="65">
        <v>6</v>
      </c>
      <c r="M325" s="65">
        <v>1600</v>
      </c>
      <c r="N325" s="65">
        <v>800</v>
      </c>
      <c r="O325" s="65">
        <v>800</v>
      </c>
      <c r="P325" s="61">
        <v>2.8111999999999999</v>
      </c>
      <c r="Q325" s="58">
        <v>35.571399999999997</v>
      </c>
      <c r="R325" t="s">
        <v>2344</v>
      </c>
      <c r="S325" t="s">
        <v>2308</v>
      </c>
    </row>
    <row r="326" spans="1:19">
      <c r="A326" t="s">
        <v>856</v>
      </c>
      <c r="B326" t="s">
        <v>857</v>
      </c>
      <c r="C326" s="40">
        <v>44872</v>
      </c>
      <c r="D326" s="65">
        <v>668</v>
      </c>
      <c r="E326" s="65">
        <v>660</v>
      </c>
      <c r="F326" s="65">
        <v>8</v>
      </c>
      <c r="G326" s="65">
        <v>474</v>
      </c>
      <c r="H326" s="65">
        <v>171.7</v>
      </c>
      <c r="I326" s="65">
        <v>302.3</v>
      </c>
      <c r="J326" s="65">
        <v>668</v>
      </c>
      <c r="K326" s="65">
        <v>660</v>
      </c>
      <c r="L326" s="65">
        <v>8</v>
      </c>
      <c r="M326" s="65">
        <v>224.6</v>
      </c>
      <c r="N326" s="65">
        <v>112.3</v>
      </c>
      <c r="O326" s="65">
        <v>112.3</v>
      </c>
      <c r="P326" s="61">
        <v>2.1103999999999998</v>
      </c>
      <c r="Q326" s="58">
        <v>47.384</v>
      </c>
      <c r="R326" t="s">
        <v>2326</v>
      </c>
      <c r="S326" t="s">
        <v>2292</v>
      </c>
    </row>
    <row r="327" spans="1:19">
      <c r="A327" t="s">
        <v>438</v>
      </c>
      <c r="B327" t="s">
        <v>439</v>
      </c>
      <c r="C327" s="40">
        <v>44868</v>
      </c>
      <c r="D327" s="65">
        <v>5450</v>
      </c>
      <c r="E327" s="65">
        <v>5450</v>
      </c>
      <c r="G327" s="65">
        <v>470.86</v>
      </c>
      <c r="H327" s="65">
        <v>470.86</v>
      </c>
      <c r="J327" s="65">
        <v>5450</v>
      </c>
      <c r="K327" s="65">
        <v>5450</v>
      </c>
      <c r="M327" s="65">
        <v>226.12</v>
      </c>
      <c r="N327" s="65">
        <v>226.12</v>
      </c>
      <c r="P327" s="61">
        <v>2.0823</v>
      </c>
      <c r="Q327" s="58">
        <v>48.022799999999997</v>
      </c>
      <c r="R327" t="s">
        <v>2342</v>
      </c>
      <c r="S327" t="s">
        <v>2292</v>
      </c>
    </row>
    <row r="328" spans="1:19">
      <c r="A328" t="s">
        <v>583</v>
      </c>
      <c r="B328" t="s">
        <v>584</v>
      </c>
      <c r="C328" s="40">
        <v>44851</v>
      </c>
      <c r="D328" s="65">
        <v>2875</v>
      </c>
      <c r="E328" s="65">
        <v>2873</v>
      </c>
      <c r="F328" s="65">
        <v>2</v>
      </c>
      <c r="G328" s="65">
        <v>2840.7</v>
      </c>
      <c r="H328" s="65">
        <v>2390.6999999999998</v>
      </c>
      <c r="I328" s="65">
        <v>450</v>
      </c>
      <c r="J328" s="65">
        <v>2875</v>
      </c>
      <c r="K328" s="65">
        <v>2873</v>
      </c>
      <c r="L328" s="65">
        <v>2</v>
      </c>
      <c r="M328" s="65">
        <v>2715</v>
      </c>
      <c r="N328" s="65">
        <v>2265</v>
      </c>
      <c r="O328" s="65">
        <v>450</v>
      </c>
      <c r="P328" s="61">
        <v>1.0463</v>
      </c>
      <c r="Q328" s="58">
        <v>95.575000000000003</v>
      </c>
      <c r="R328" t="s">
        <v>2327</v>
      </c>
      <c r="S328" t="s">
        <v>2298</v>
      </c>
    </row>
    <row r="329" spans="1:19">
      <c r="A329" t="s">
        <v>911</v>
      </c>
      <c r="B329" t="s">
        <v>912</v>
      </c>
      <c r="C329" s="40">
        <v>44848</v>
      </c>
      <c r="D329" s="65">
        <v>2220</v>
      </c>
      <c r="E329" s="65">
        <v>2198</v>
      </c>
      <c r="F329" s="65">
        <v>22</v>
      </c>
      <c r="G329" s="65">
        <v>35237.599999999999</v>
      </c>
      <c r="H329" s="65">
        <v>14887.6</v>
      </c>
      <c r="I329" s="65">
        <v>20350</v>
      </c>
      <c r="J329" s="65">
        <v>1557</v>
      </c>
      <c r="K329" s="65">
        <v>1535</v>
      </c>
      <c r="L329" s="65">
        <v>22</v>
      </c>
      <c r="M329" s="65">
        <v>2500</v>
      </c>
      <c r="N329" s="65">
        <v>1250</v>
      </c>
      <c r="O329" s="65">
        <v>1250</v>
      </c>
      <c r="P329" s="61">
        <v>14.095000000000001</v>
      </c>
      <c r="Q329" s="58">
        <v>7.0946999999999996</v>
      </c>
      <c r="R329" t="s">
        <v>2344</v>
      </c>
      <c r="S329" t="s">
        <v>2308</v>
      </c>
    </row>
    <row r="330" spans="1:19">
      <c r="A330" t="s">
        <v>787</v>
      </c>
      <c r="B330" t="s">
        <v>788</v>
      </c>
      <c r="C330" s="40">
        <v>44841</v>
      </c>
      <c r="D330" s="65">
        <v>3334</v>
      </c>
      <c r="E330" s="65">
        <v>3327</v>
      </c>
      <c r="F330" s="65">
        <v>7</v>
      </c>
      <c r="G330" s="65">
        <v>18937.5</v>
      </c>
      <c r="H330" s="65">
        <v>11687.5</v>
      </c>
      <c r="I330" s="65">
        <v>7250</v>
      </c>
      <c r="J330" s="65">
        <v>1983</v>
      </c>
      <c r="K330" s="65">
        <v>1976</v>
      </c>
      <c r="L330" s="65">
        <v>7</v>
      </c>
      <c r="M330" s="65">
        <v>2500</v>
      </c>
      <c r="N330" s="65">
        <v>1250</v>
      </c>
      <c r="O330" s="65">
        <v>1250</v>
      </c>
      <c r="P330" s="61">
        <v>7.5750000000000002</v>
      </c>
      <c r="Q330" s="58">
        <v>13.2013</v>
      </c>
      <c r="R330" t="s">
        <v>2348</v>
      </c>
      <c r="S330" t="s">
        <v>2305</v>
      </c>
    </row>
    <row r="331" spans="1:19">
      <c r="A331" t="s">
        <v>986</v>
      </c>
      <c r="B331" t="s">
        <v>987</v>
      </c>
      <c r="C331" s="40">
        <v>44841</v>
      </c>
      <c r="D331" s="65">
        <v>1295</v>
      </c>
      <c r="E331" s="65">
        <v>1294</v>
      </c>
      <c r="F331" s="65">
        <v>1</v>
      </c>
      <c r="G331" s="65">
        <v>123.06</v>
      </c>
      <c r="H331" s="65">
        <v>82.66</v>
      </c>
      <c r="I331" s="65">
        <v>40.4</v>
      </c>
      <c r="J331" s="65">
        <v>862</v>
      </c>
      <c r="K331" s="65">
        <v>861</v>
      </c>
      <c r="L331" s="65">
        <v>1</v>
      </c>
      <c r="M331" s="65">
        <v>80.8</v>
      </c>
      <c r="N331" s="65">
        <v>40.4</v>
      </c>
      <c r="O331" s="65">
        <v>40.4</v>
      </c>
      <c r="P331" s="61">
        <v>1.5229999999999999</v>
      </c>
      <c r="Q331" s="58">
        <v>65.659000000000006</v>
      </c>
      <c r="R331" t="s">
        <v>2326</v>
      </c>
      <c r="S331" t="s">
        <v>2292</v>
      </c>
    </row>
    <row r="332" spans="1:19">
      <c r="A332" t="s">
        <v>607</v>
      </c>
      <c r="B332" t="s">
        <v>608</v>
      </c>
      <c r="C332" s="40">
        <v>44839</v>
      </c>
      <c r="D332" s="65">
        <v>2520</v>
      </c>
      <c r="E332" s="65">
        <v>2519</v>
      </c>
      <c r="F332" s="65">
        <v>1</v>
      </c>
      <c r="G332" s="65">
        <v>306.2</v>
      </c>
      <c r="H332" s="65">
        <v>257.62</v>
      </c>
      <c r="I332" s="65">
        <v>48.58</v>
      </c>
      <c r="J332" s="65">
        <v>1694</v>
      </c>
      <c r="K332" s="65">
        <v>1693</v>
      </c>
      <c r="L332" s="65">
        <v>1</v>
      </c>
      <c r="M332" s="65">
        <v>97.16</v>
      </c>
      <c r="N332" s="65">
        <v>48.58</v>
      </c>
      <c r="O332" s="65">
        <v>48.58</v>
      </c>
      <c r="P332" s="61">
        <v>3.1515</v>
      </c>
      <c r="Q332" s="58">
        <v>31.730899999999998</v>
      </c>
      <c r="R332" t="s">
        <v>2328</v>
      </c>
      <c r="S332" t="s">
        <v>2296</v>
      </c>
    </row>
    <row r="333" spans="1:19">
      <c r="A333" t="s">
        <v>275</v>
      </c>
      <c r="B333" t="s">
        <v>276</v>
      </c>
      <c r="C333" s="40">
        <v>44839</v>
      </c>
      <c r="D333" s="65">
        <v>3245</v>
      </c>
      <c r="E333" s="65">
        <v>3242</v>
      </c>
      <c r="F333" s="65">
        <v>3</v>
      </c>
      <c r="G333" s="65">
        <v>281.92</v>
      </c>
      <c r="H333" s="65">
        <v>241.92</v>
      </c>
      <c r="I333" s="65">
        <v>40</v>
      </c>
      <c r="J333" s="65">
        <v>3245</v>
      </c>
      <c r="K333" s="65">
        <v>3242</v>
      </c>
      <c r="L333" s="65">
        <v>3</v>
      </c>
      <c r="M333" s="65">
        <v>281.92</v>
      </c>
      <c r="N333" s="65">
        <v>241.92</v>
      </c>
      <c r="O333" s="65">
        <v>40</v>
      </c>
      <c r="P333" s="61">
        <v>1</v>
      </c>
      <c r="Q333" s="58">
        <v>100</v>
      </c>
      <c r="R333" t="s">
        <v>2335</v>
      </c>
      <c r="S333" t="s">
        <v>2297</v>
      </c>
    </row>
    <row r="334" spans="1:19">
      <c r="A334" t="s">
        <v>2357</v>
      </c>
      <c r="B334" t="s">
        <v>2358</v>
      </c>
      <c r="C334" s="40">
        <v>44837</v>
      </c>
      <c r="D334" s="65">
        <v>3350</v>
      </c>
      <c r="E334" s="65">
        <v>3349</v>
      </c>
      <c r="F334" s="65">
        <v>1</v>
      </c>
      <c r="G334" s="65">
        <v>4508</v>
      </c>
      <c r="H334" s="65">
        <v>4208</v>
      </c>
      <c r="I334" s="65">
        <v>300</v>
      </c>
      <c r="J334" s="65">
        <v>3350</v>
      </c>
      <c r="K334" s="65">
        <v>3349</v>
      </c>
      <c r="L334" s="65">
        <v>1</v>
      </c>
      <c r="M334" s="65">
        <v>4508</v>
      </c>
      <c r="N334" s="65">
        <v>4208</v>
      </c>
      <c r="O334" s="65">
        <v>300</v>
      </c>
      <c r="P334" s="61">
        <v>1</v>
      </c>
      <c r="Q334" s="58">
        <v>100</v>
      </c>
      <c r="R334" t="s">
        <v>2326</v>
      </c>
    </row>
    <row r="335" spans="1:19">
      <c r="A335" t="s">
        <v>311</v>
      </c>
      <c r="B335" t="s">
        <v>312</v>
      </c>
      <c r="C335" s="40">
        <v>44832</v>
      </c>
      <c r="D335" s="65">
        <v>3151</v>
      </c>
      <c r="E335" s="65">
        <v>3150</v>
      </c>
      <c r="F335" s="65">
        <v>1</v>
      </c>
      <c r="G335" s="65">
        <v>214.64</v>
      </c>
      <c r="H335" s="65">
        <v>204.64</v>
      </c>
      <c r="I335" s="65">
        <v>10</v>
      </c>
      <c r="J335" s="65">
        <v>3151</v>
      </c>
      <c r="K335" s="65">
        <v>3150</v>
      </c>
      <c r="L335" s="65">
        <v>1</v>
      </c>
      <c r="M335" s="65">
        <v>214.64</v>
      </c>
      <c r="N335" s="65">
        <v>204.64</v>
      </c>
      <c r="O335" s="65">
        <v>10</v>
      </c>
      <c r="P335" s="61">
        <v>1</v>
      </c>
      <c r="Q335" s="58">
        <v>100</v>
      </c>
      <c r="R335" t="s">
        <v>2333</v>
      </c>
      <c r="S335" t="s">
        <v>2300</v>
      </c>
    </row>
    <row r="336" spans="1:19">
      <c r="A336" t="s">
        <v>268</v>
      </c>
      <c r="B336" t="s">
        <v>269</v>
      </c>
      <c r="C336" s="40">
        <v>44832</v>
      </c>
      <c r="D336" s="65">
        <v>4681</v>
      </c>
      <c r="E336" s="65">
        <v>4672</v>
      </c>
      <c r="F336" s="65">
        <v>9</v>
      </c>
      <c r="G336" s="65">
        <v>953.13</v>
      </c>
      <c r="H336" s="65">
        <v>293.13</v>
      </c>
      <c r="I336" s="65">
        <v>660</v>
      </c>
      <c r="J336" s="65">
        <v>4681</v>
      </c>
      <c r="K336" s="65">
        <v>4672</v>
      </c>
      <c r="L336" s="65">
        <v>9</v>
      </c>
      <c r="M336" s="65">
        <v>953.13</v>
      </c>
      <c r="N336" s="65">
        <v>293.13</v>
      </c>
      <c r="O336" s="65">
        <v>660</v>
      </c>
      <c r="P336" s="61">
        <v>1</v>
      </c>
      <c r="Q336" s="58">
        <v>100</v>
      </c>
      <c r="R336" t="s">
        <v>2324</v>
      </c>
      <c r="S336" t="s">
        <v>2306</v>
      </c>
    </row>
    <row r="337" spans="1:19">
      <c r="A337" t="s">
        <v>703</v>
      </c>
      <c r="B337" t="s">
        <v>704</v>
      </c>
      <c r="C337" s="40">
        <v>44827</v>
      </c>
      <c r="D337" s="65">
        <v>18032</v>
      </c>
      <c r="E337" s="65">
        <v>17879</v>
      </c>
      <c r="F337" s="65">
        <v>153</v>
      </c>
      <c r="G337" s="65">
        <v>236328.5</v>
      </c>
      <c r="H337" s="65">
        <v>138279.5</v>
      </c>
      <c r="I337" s="65">
        <v>98049</v>
      </c>
      <c r="J337" s="65">
        <v>7824</v>
      </c>
      <c r="K337" s="65">
        <v>7671</v>
      </c>
      <c r="L337" s="65">
        <v>153</v>
      </c>
      <c r="M337" s="65">
        <v>7812.5</v>
      </c>
      <c r="N337" s="65">
        <v>3906.5</v>
      </c>
      <c r="O337" s="65">
        <v>3906</v>
      </c>
      <c r="P337" s="61">
        <v>30.25</v>
      </c>
      <c r="Q337" s="58">
        <v>3.3058000000000001</v>
      </c>
      <c r="R337" t="s">
        <v>2327</v>
      </c>
      <c r="S337" t="s">
        <v>2298</v>
      </c>
    </row>
    <row r="338" spans="1:19">
      <c r="A338" t="s">
        <v>409</v>
      </c>
      <c r="B338" t="s">
        <v>410</v>
      </c>
      <c r="C338" s="40">
        <v>44817</v>
      </c>
      <c r="D338" s="65">
        <v>6502</v>
      </c>
      <c r="E338" s="65">
        <v>6494</v>
      </c>
      <c r="F338" s="65">
        <v>8</v>
      </c>
      <c r="G338" s="65">
        <v>2415.5500000000002</v>
      </c>
      <c r="H338" s="65">
        <v>1730.15</v>
      </c>
      <c r="I338" s="65">
        <v>685.4</v>
      </c>
      <c r="J338" s="65">
        <v>1814</v>
      </c>
      <c r="K338" s="65">
        <v>1806</v>
      </c>
      <c r="L338" s="65">
        <v>8</v>
      </c>
      <c r="M338" s="65">
        <v>335.4</v>
      </c>
      <c r="N338" s="65">
        <v>167.7</v>
      </c>
      <c r="O338" s="65">
        <v>167.7</v>
      </c>
      <c r="P338" s="61">
        <v>7.202</v>
      </c>
      <c r="Q338" s="58">
        <v>13.885</v>
      </c>
      <c r="R338" t="s">
        <v>2347</v>
      </c>
      <c r="S338" t="s">
        <v>2296</v>
      </c>
    </row>
    <row r="339" spans="1:19">
      <c r="A339" t="s">
        <v>2359</v>
      </c>
      <c r="B339" t="s">
        <v>2360</v>
      </c>
      <c r="C339" s="40">
        <v>44806</v>
      </c>
      <c r="D339" s="65">
        <v>2086</v>
      </c>
      <c r="E339" s="65">
        <v>2086</v>
      </c>
      <c r="G339" s="65">
        <v>84.6</v>
      </c>
      <c r="H339" s="65">
        <v>84.6</v>
      </c>
      <c r="J339" s="65">
        <v>2086</v>
      </c>
      <c r="K339" s="65">
        <v>2086</v>
      </c>
      <c r="M339" s="65">
        <v>84.6</v>
      </c>
      <c r="N339" s="65">
        <v>84.6</v>
      </c>
      <c r="P339" s="61">
        <v>1</v>
      </c>
      <c r="Q339" s="58">
        <v>100</v>
      </c>
      <c r="R339" t="s">
        <v>2347</v>
      </c>
    </row>
    <row r="340" spans="1:19">
      <c r="A340" t="s">
        <v>680</v>
      </c>
      <c r="B340" t="s">
        <v>681</v>
      </c>
      <c r="C340" s="40">
        <v>44804</v>
      </c>
      <c r="D340" s="65">
        <v>3524</v>
      </c>
      <c r="E340" s="65">
        <v>3508</v>
      </c>
      <c r="F340" s="65">
        <v>16</v>
      </c>
      <c r="G340" s="65">
        <v>1290.95</v>
      </c>
      <c r="H340" s="65">
        <v>752.15</v>
      </c>
      <c r="I340" s="65">
        <v>538.79999999999995</v>
      </c>
      <c r="J340" s="65">
        <v>1970</v>
      </c>
      <c r="K340" s="65">
        <v>1954</v>
      </c>
      <c r="L340" s="65">
        <v>16</v>
      </c>
      <c r="M340" s="65">
        <v>217.6</v>
      </c>
      <c r="N340" s="65">
        <v>108.8</v>
      </c>
      <c r="O340" s="65">
        <v>108.8</v>
      </c>
      <c r="P340" s="61">
        <v>5.9326999999999996</v>
      </c>
      <c r="Q340" s="58">
        <v>16.855799999999999</v>
      </c>
      <c r="R340" t="s">
        <v>2328</v>
      </c>
      <c r="S340" t="s">
        <v>2296</v>
      </c>
    </row>
    <row r="341" spans="1:19">
      <c r="A341" t="s">
        <v>243</v>
      </c>
      <c r="B341" t="s">
        <v>244</v>
      </c>
      <c r="C341" s="40">
        <v>44797</v>
      </c>
      <c r="D341" s="65">
        <v>5669</v>
      </c>
      <c r="E341" s="65">
        <v>5645</v>
      </c>
      <c r="F341" s="65">
        <v>24</v>
      </c>
      <c r="G341" s="65">
        <v>542.79999999999995</v>
      </c>
      <c r="H341" s="65">
        <v>388.8</v>
      </c>
      <c r="I341" s="65">
        <v>154</v>
      </c>
      <c r="J341" s="65">
        <v>5669</v>
      </c>
      <c r="K341" s="65">
        <v>5645</v>
      </c>
      <c r="L341" s="65">
        <v>24</v>
      </c>
      <c r="M341" s="65">
        <v>513.82000000000005</v>
      </c>
      <c r="N341" s="65">
        <v>359.82</v>
      </c>
      <c r="O341" s="65">
        <v>154</v>
      </c>
      <c r="P341" s="61">
        <v>1.0564</v>
      </c>
      <c r="Q341" s="58">
        <v>94.661000000000001</v>
      </c>
      <c r="R341" t="s">
        <v>2338</v>
      </c>
      <c r="S341" t="s">
        <v>2309</v>
      </c>
    </row>
    <row r="342" spans="1:19">
      <c r="A342" t="s">
        <v>674</v>
      </c>
      <c r="B342" t="s">
        <v>675</v>
      </c>
      <c r="C342" s="40">
        <v>44796</v>
      </c>
      <c r="D342" s="65">
        <v>1258</v>
      </c>
      <c r="E342" s="65">
        <v>1258</v>
      </c>
      <c r="G342" s="65">
        <v>176.8</v>
      </c>
      <c r="H342" s="65">
        <v>176.8</v>
      </c>
      <c r="J342" s="65">
        <v>1258</v>
      </c>
      <c r="K342" s="65">
        <v>1258</v>
      </c>
      <c r="M342" s="65">
        <v>176.8</v>
      </c>
      <c r="N342" s="65">
        <v>176.8</v>
      </c>
      <c r="P342" s="61">
        <v>1</v>
      </c>
      <c r="Q342" s="58">
        <v>100</v>
      </c>
      <c r="R342" t="s">
        <v>2324</v>
      </c>
      <c r="S342" t="s">
        <v>2306</v>
      </c>
    </row>
    <row r="343" spans="1:19">
      <c r="A343" t="s">
        <v>560</v>
      </c>
      <c r="B343" t="s">
        <v>561</v>
      </c>
      <c r="C343" s="40">
        <v>44791</v>
      </c>
      <c r="D343" s="65">
        <v>5178</v>
      </c>
      <c r="E343" s="65">
        <v>5162</v>
      </c>
      <c r="F343" s="65">
        <v>16</v>
      </c>
      <c r="G343" s="65">
        <v>46300</v>
      </c>
      <c r="H343" s="65">
        <v>31295</v>
      </c>
      <c r="I343" s="65">
        <v>15005</v>
      </c>
      <c r="J343" s="65">
        <v>5178</v>
      </c>
      <c r="K343" s="65">
        <v>5162</v>
      </c>
      <c r="L343" s="65">
        <v>16</v>
      </c>
      <c r="M343" s="65">
        <v>7230</v>
      </c>
      <c r="N343" s="65">
        <v>3615</v>
      </c>
      <c r="O343" s="65">
        <v>3615</v>
      </c>
      <c r="P343" s="61">
        <v>6.4039000000000001</v>
      </c>
      <c r="Q343" s="58">
        <v>15.615600000000001</v>
      </c>
      <c r="R343" t="s">
        <v>2347</v>
      </c>
      <c r="S343" t="s">
        <v>2304</v>
      </c>
    </row>
    <row r="344" spans="1:19">
      <c r="A344" t="s">
        <v>594</v>
      </c>
      <c r="B344" t="s">
        <v>595</v>
      </c>
      <c r="C344" s="40">
        <v>44782</v>
      </c>
      <c r="D344" s="65">
        <v>2036</v>
      </c>
      <c r="E344" s="65">
        <v>2035</v>
      </c>
      <c r="F344" s="65">
        <v>1</v>
      </c>
      <c r="G344" s="65">
        <v>122.21</v>
      </c>
      <c r="H344" s="65">
        <v>102.21</v>
      </c>
      <c r="I344" s="65">
        <v>20</v>
      </c>
      <c r="J344" s="65">
        <v>2036</v>
      </c>
      <c r="K344" s="65">
        <v>2035</v>
      </c>
      <c r="L344" s="65">
        <v>1</v>
      </c>
      <c r="M344" s="65">
        <v>122.21</v>
      </c>
      <c r="N344" s="65">
        <v>102.21</v>
      </c>
      <c r="O344" s="65">
        <v>20</v>
      </c>
      <c r="P344" s="61">
        <v>1</v>
      </c>
      <c r="Q344" s="58">
        <v>100</v>
      </c>
      <c r="R344" t="s">
        <v>2344</v>
      </c>
      <c r="S344" t="s">
        <v>2308</v>
      </c>
    </row>
    <row r="345" spans="1:19">
      <c r="A345" t="s">
        <v>903</v>
      </c>
      <c r="B345" t="s">
        <v>904</v>
      </c>
      <c r="C345" s="40">
        <v>44757</v>
      </c>
      <c r="D345" s="65">
        <v>11851</v>
      </c>
      <c r="E345" s="65">
        <v>11831</v>
      </c>
      <c r="F345" s="65">
        <v>20</v>
      </c>
      <c r="G345" s="65">
        <v>106023</v>
      </c>
      <c r="H345" s="65">
        <v>71523</v>
      </c>
      <c r="I345" s="65">
        <v>34500</v>
      </c>
      <c r="J345" s="65">
        <v>4802</v>
      </c>
      <c r="K345" s="65">
        <v>4782</v>
      </c>
      <c r="L345" s="65">
        <v>20</v>
      </c>
      <c r="M345" s="65">
        <v>12000</v>
      </c>
      <c r="N345" s="65">
        <v>6000</v>
      </c>
      <c r="O345" s="65">
        <v>6000</v>
      </c>
      <c r="P345" s="61">
        <v>8.8352000000000004</v>
      </c>
      <c r="Q345" s="58">
        <v>11.318300000000001</v>
      </c>
      <c r="R345" t="s">
        <v>2341</v>
      </c>
      <c r="S345" t="s">
        <v>2307</v>
      </c>
    </row>
    <row r="346" spans="1:19">
      <c r="A346" t="s">
        <v>448</v>
      </c>
      <c r="B346" t="s">
        <v>449</v>
      </c>
      <c r="C346" s="40">
        <v>44756</v>
      </c>
      <c r="D346" s="65">
        <v>3131</v>
      </c>
      <c r="E346" s="65">
        <v>3130</v>
      </c>
      <c r="F346" s="65">
        <v>1</v>
      </c>
      <c r="G346" s="65">
        <v>2290.0500000000002</v>
      </c>
      <c r="H346" s="65">
        <v>2050.0500000000002</v>
      </c>
      <c r="I346" s="65">
        <v>240</v>
      </c>
      <c r="J346" s="65">
        <v>3131</v>
      </c>
      <c r="K346" s="65">
        <v>3130</v>
      </c>
      <c r="L346" s="65">
        <v>1</v>
      </c>
      <c r="M346" s="65">
        <v>2290.0500000000002</v>
      </c>
      <c r="N346" s="65">
        <v>2050.0500000000002</v>
      </c>
      <c r="O346" s="65">
        <v>240</v>
      </c>
      <c r="P346" s="61">
        <v>1</v>
      </c>
      <c r="Q346" s="58">
        <v>100</v>
      </c>
      <c r="R346" t="s">
        <v>2351</v>
      </c>
      <c r="S346" t="s">
        <v>2301</v>
      </c>
    </row>
    <row r="347" spans="1:19">
      <c r="A347" t="s">
        <v>699</v>
      </c>
      <c r="B347" t="s">
        <v>700</v>
      </c>
      <c r="C347" s="40">
        <v>44756</v>
      </c>
      <c r="D347" s="65">
        <v>9320</v>
      </c>
      <c r="E347" s="65">
        <v>9285</v>
      </c>
      <c r="F347" s="65">
        <v>35</v>
      </c>
      <c r="G347" s="65">
        <v>6201.7</v>
      </c>
      <c r="H347" s="65">
        <v>4955.7</v>
      </c>
      <c r="I347" s="65">
        <v>1246</v>
      </c>
      <c r="J347" s="65">
        <v>1554</v>
      </c>
      <c r="K347" s="65">
        <v>1519</v>
      </c>
      <c r="L347" s="65">
        <v>35</v>
      </c>
      <c r="M347" s="65">
        <v>411</v>
      </c>
      <c r="N347" s="65">
        <v>205.5</v>
      </c>
      <c r="O347" s="65">
        <v>205.5</v>
      </c>
      <c r="P347" s="61">
        <v>15.0893</v>
      </c>
      <c r="Q347" s="58">
        <v>6.6272000000000002</v>
      </c>
      <c r="R347" t="s">
        <v>2326</v>
      </c>
      <c r="S347" t="s">
        <v>2292</v>
      </c>
    </row>
    <row r="348" spans="1:19">
      <c r="A348" t="s">
        <v>711</v>
      </c>
      <c r="B348" t="s">
        <v>712</v>
      </c>
      <c r="C348" s="40">
        <v>44756</v>
      </c>
      <c r="D348" s="65">
        <v>6721</v>
      </c>
      <c r="E348" s="65">
        <v>6717</v>
      </c>
      <c r="F348" s="65">
        <v>4</v>
      </c>
      <c r="G348" s="65">
        <v>13362.8</v>
      </c>
      <c r="H348" s="65">
        <v>11762.8</v>
      </c>
      <c r="I348" s="65">
        <v>1600</v>
      </c>
      <c r="J348" s="65">
        <v>2907</v>
      </c>
      <c r="K348" s="65">
        <v>2903</v>
      </c>
      <c r="L348" s="65">
        <v>4</v>
      </c>
      <c r="M348" s="65">
        <v>1250</v>
      </c>
      <c r="N348" s="65">
        <v>625</v>
      </c>
      <c r="O348" s="65">
        <v>625</v>
      </c>
      <c r="P348" s="61">
        <v>10.690200000000001</v>
      </c>
      <c r="Q348" s="58">
        <v>9.3543000000000003</v>
      </c>
      <c r="R348" t="s">
        <v>2327</v>
      </c>
      <c r="S348" t="s">
        <v>2298</v>
      </c>
    </row>
    <row r="349" spans="1:19">
      <c r="A349" t="s">
        <v>256</v>
      </c>
      <c r="B349" t="s">
        <v>257</v>
      </c>
      <c r="C349" s="40">
        <v>44754</v>
      </c>
      <c r="D349" s="65">
        <v>20100</v>
      </c>
      <c r="E349" s="65">
        <v>19670</v>
      </c>
      <c r="F349" s="65">
        <v>430</v>
      </c>
      <c r="G349" s="65">
        <v>15263.24</v>
      </c>
      <c r="H349" s="65">
        <v>4167.62</v>
      </c>
      <c r="I349" s="65">
        <v>11095.62</v>
      </c>
      <c r="J349" s="65">
        <v>20100</v>
      </c>
      <c r="K349" s="65">
        <v>19670</v>
      </c>
      <c r="L349" s="65">
        <v>430</v>
      </c>
      <c r="M349" s="65">
        <v>1641.24</v>
      </c>
      <c r="N349" s="65">
        <v>820.62</v>
      </c>
      <c r="O349" s="65">
        <v>820.62</v>
      </c>
      <c r="P349" s="61">
        <v>9.2997999999999994</v>
      </c>
      <c r="Q349" s="58">
        <v>10.7529</v>
      </c>
      <c r="R349" t="s">
        <v>2341</v>
      </c>
      <c r="S349" t="s">
        <v>2307</v>
      </c>
    </row>
    <row r="350" spans="1:19">
      <c r="A350" t="s">
        <v>444</v>
      </c>
      <c r="B350" t="s">
        <v>445</v>
      </c>
      <c r="C350" s="40">
        <v>44754</v>
      </c>
      <c r="D350" s="65">
        <v>1216</v>
      </c>
      <c r="E350" s="65">
        <v>1211</v>
      </c>
      <c r="F350" s="65">
        <v>5</v>
      </c>
      <c r="G350" s="65">
        <v>35.887999999999998</v>
      </c>
      <c r="H350" s="65">
        <v>17.888000000000002</v>
      </c>
      <c r="I350" s="65">
        <v>18</v>
      </c>
      <c r="J350" s="65">
        <v>1216</v>
      </c>
      <c r="K350" s="65">
        <v>1211</v>
      </c>
      <c r="L350" s="65">
        <v>5</v>
      </c>
      <c r="M350" s="65">
        <v>11</v>
      </c>
      <c r="N350" s="65">
        <v>5.5</v>
      </c>
      <c r="O350" s="65">
        <v>5.5</v>
      </c>
      <c r="P350" s="61">
        <v>3.2625000000000002</v>
      </c>
      <c r="Q350" s="58">
        <v>30.6509</v>
      </c>
      <c r="R350" t="s">
        <v>2343</v>
      </c>
      <c r="S350" t="s">
        <v>2310</v>
      </c>
    </row>
    <row r="351" spans="1:19">
      <c r="A351" t="s">
        <v>335</v>
      </c>
      <c r="B351" t="s">
        <v>336</v>
      </c>
      <c r="C351" s="40">
        <v>44754</v>
      </c>
      <c r="D351" s="65">
        <v>2074</v>
      </c>
      <c r="E351" s="65">
        <v>2069</v>
      </c>
      <c r="F351" s="65">
        <v>5</v>
      </c>
      <c r="G351" s="65">
        <v>577.14</v>
      </c>
      <c r="H351" s="65">
        <v>246.64</v>
      </c>
      <c r="I351" s="65">
        <v>330.5</v>
      </c>
      <c r="J351" s="65">
        <v>1916</v>
      </c>
      <c r="K351" s="65">
        <v>1911</v>
      </c>
      <c r="L351" s="65">
        <v>5</v>
      </c>
      <c r="M351" s="65">
        <v>411</v>
      </c>
      <c r="N351" s="65">
        <v>205.5</v>
      </c>
      <c r="O351" s="65">
        <v>205.5</v>
      </c>
      <c r="P351" s="61">
        <v>1.4041999999999999</v>
      </c>
      <c r="Q351" s="58">
        <v>71.213200000000001</v>
      </c>
      <c r="R351" t="s">
        <v>2338</v>
      </c>
      <c r="S351" t="s">
        <v>2311</v>
      </c>
    </row>
    <row r="352" spans="1:19">
      <c r="A352" t="s">
        <v>479</v>
      </c>
      <c r="B352" t="s">
        <v>480</v>
      </c>
      <c r="C352" s="40">
        <v>44754</v>
      </c>
      <c r="D352" s="65">
        <v>10630</v>
      </c>
      <c r="E352" s="65">
        <v>10628</v>
      </c>
      <c r="F352" s="65">
        <v>2</v>
      </c>
      <c r="G352" s="65">
        <v>4039.45</v>
      </c>
      <c r="H352" s="65">
        <v>3699.45</v>
      </c>
      <c r="I352" s="65">
        <v>340</v>
      </c>
      <c r="J352" s="65">
        <v>3194</v>
      </c>
      <c r="K352" s="65">
        <v>3192</v>
      </c>
      <c r="L352" s="65">
        <v>2</v>
      </c>
      <c r="M352" s="65">
        <v>500</v>
      </c>
      <c r="N352" s="65">
        <v>250</v>
      </c>
      <c r="O352" s="65">
        <v>250</v>
      </c>
      <c r="P352" s="61">
        <v>8.0789000000000009</v>
      </c>
      <c r="Q352" s="58">
        <v>12.3779</v>
      </c>
      <c r="R352" t="s">
        <v>2313</v>
      </c>
      <c r="S352" t="s">
        <v>2325</v>
      </c>
    </row>
    <row r="353" spans="1:19">
      <c r="A353" t="s">
        <v>830</v>
      </c>
      <c r="B353" t="s">
        <v>831</v>
      </c>
      <c r="C353" s="40">
        <v>44753</v>
      </c>
      <c r="D353" s="65">
        <v>2683</v>
      </c>
      <c r="E353" s="65">
        <v>2680</v>
      </c>
      <c r="F353" s="65">
        <v>3</v>
      </c>
      <c r="G353" s="65">
        <v>900.48</v>
      </c>
      <c r="H353" s="65">
        <v>560.48</v>
      </c>
      <c r="I353" s="65">
        <v>340</v>
      </c>
      <c r="J353" s="65">
        <v>2683</v>
      </c>
      <c r="K353" s="65">
        <v>2680</v>
      </c>
      <c r="L353" s="65">
        <v>3</v>
      </c>
      <c r="M353" s="65">
        <v>520</v>
      </c>
      <c r="N353" s="65">
        <v>260</v>
      </c>
      <c r="O353" s="65">
        <v>260</v>
      </c>
      <c r="P353" s="61">
        <v>1.7317</v>
      </c>
      <c r="Q353" s="58">
        <v>57.747</v>
      </c>
      <c r="R353" t="s">
        <v>2329</v>
      </c>
      <c r="S353" t="s">
        <v>2318</v>
      </c>
    </row>
    <row r="354" spans="1:19">
      <c r="A354" t="s">
        <v>826</v>
      </c>
      <c r="B354" t="s">
        <v>827</v>
      </c>
      <c r="C354" s="40">
        <v>44753</v>
      </c>
      <c r="D354" s="65">
        <v>4352</v>
      </c>
      <c r="E354" s="65">
        <v>4346</v>
      </c>
      <c r="F354" s="65">
        <v>6</v>
      </c>
      <c r="G354" s="65">
        <v>1660.9</v>
      </c>
      <c r="H354" s="65">
        <v>1210.9000000000001</v>
      </c>
      <c r="I354" s="65">
        <v>450</v>
      </c>
      <c r="J354" s="65">
        <v>2989</v>
      </c>
      <c r="K354" s="65">
        <v>2983</v>
      </c>
      <c r="L354" s="65">
        <v>6</v>
      </c>
      <c r="M354" s="65">
        <v>750</v>
      </c>
      <c r="N354" s="65">
        <v>375</v>
      </c>
      <c r="O354" s="65">
        <v>375</v>
      </c>
      <c r="P354" s="61">
        <v>2.2145000000000001</v>
      </c>
      <c r="Q354" s="58">
        <v>45.156199999999998</v>
      </c>
      <c r="R354" t="s">
        <v>2326</v>
      </c>
      <c r="S354" t="s">
        <v>2298</v>
      </c>
    </row>
    <row r="355" spans="1:19">
      <c r="A355" t="s">
        <v>725</v>
      </c>
      <c r="B355" t="s">
        <v>726</v>
      </c>
      <c r="C355" s="40">
        <v>44749</v>
      </c>
      <c r="D355" s="65">
        <v>8437</v>
      </c>
      <c r="E355" s="65">
        <v>8432</v>
      </c>
      <c r="F355" s="65">
        <v>5</v>
      </c>
      <c r="G355" s="65">
        <v>2462.1999999999998</v>
      </c>
      <c r="H355" s="65">
        <v>2112.1999999999998</v>
      </c>
      <c r="I355" s="65">
        <v>350</v>
      </c>
      <c r="J355" s="65">
        <v>3106</v>
      </c>
      <c r="K355" s="65">
        <v>3101</v>
      </c>
      <c r="L355" s="65">
        <v>5</v>
      </c>
      <c r="M355" s="65">
        <v>333.4</v>
      </c>
      <c r="N355" s="65">
        <v>166.7</v>
      </c>
      <c r="O355" s="65">
        <v>166.7</v>
      </c>
      <c r="P355" s="61">
        <v>7.3851000000000004</v>
      </c>
      <c r="Q355" s="58">
        <v>13.540699999999999</v>
      </c>
      <c r="R355" t="s">
        <v>2324</v>
      </c>
      <c r="S355" t="s">
        <v>2306</v>
      </c>
    </row>
    <row r="356" spans="1:19">
      <c r="A356" t="s">
        <v>577</v>
      </c>
      <c r="B356" t="s">
        <v>578</v>
      </c>
      <c r="C356" s="40">
        <v>44749</v>
      </c>
      <c r="D356" s="65">
        <v>21588</v>
      </c>
      <c r="E356" s="65">
        <v>21539</v>
      </c>
      <c r="F356" s="65">
        <v>49</v>
      </c>
      <c r="G356" s="65">
        <v>14491.05</v>
      </c>
      <c r="H356" s="65">
        <v>10277.049999999999</v>
      </c>
      <c r="I356" s="65">
        <v>4214</v>
      </c>
      <c r="J356" s="65">
        <v>5116</v>
      </c>
      <c r="K356" s="65">
        <v>5067</v>
      </c>
      <c r="L356" s="65">
        <v>49</v>
      </c>
      <c r="M356" s="65">
        <v>1031.75</v>
      </c>
      <c r="N356" s="65">
        <v>515.9</v>
      </c>
      <c r="O356" s="65">
        <v>515.85</v>
      </c>
      <c r="P356" s="61">
        <v>14.0451</v>
      </c>
      <c r="Q356" s="58">
        <v>7.1199000000000003</v>
      </c>
      <c r="R356" t="s">
        <v>2327</v>
      </c>
      <c r="S356" t="s">
        <v>2298</v>
      </c>
    </row>
    <row r="357" spans="1:19">
      <c r="A357" t="s">
        <v>964</v>
      </c>
      <c r="B357" t="s">
        <v>965</v>
      </c>
      <c r="C357" s="40">
        <v>44749</v>
      </c>
      <c r="D357" s="65">
        <v>4032</v>
      </c>
      <c r="E357" s="65">
        <v>4030</v>
      </c>
      <c r="F357" s="65">
        <v>2</v>
      </c>
      <c r="G357" s="65">
        <v>1484.5</v>
      </c>
      <c r="H357" s="65">
        <v>1304.5</v>
      </c>
      <c r="I357" s="65">
        <v>180</v>
      </c>
      <c r="J357" s="65">
        <v>1036</v>
      </c>
      <c r="K357" s="65">
        <v>1034</v>
      </c>
      <c r="L357" s="65">
        <v>2</v>
      </c>
      <c r="M357" s="65">
        <v>233.6</v>
      </c>
      <c r="N357" s="65">
        <v>116.8</v>
      </c>
      <c r="O357" s="65">
        <v>116.8</v>
      </c>
      <c r="P357" s="61">
        <v>6.3548999999999998</v>
      </c>
      <c r="Q357" s="58">
        <v>15.735900000000001</v>
      </c>
      <c r="R357" t="s">
        <v>2326</v>
      </c>
      <c r="S357" t="s">
        <v>2292</v>
      </c>
    </row>
    <row r="358" spans="1:19">
      <c r="A358" t="s">
        <v>434</v>
      </c>
      <c r="B358" t="s">
        <v>435</v>
      </c>
      <c r="C358" s="40">
        <v>44747</v>
      </c>
      <c r="D358" s="65">
        <v>8629</v>
      </c>
      <c r="E358" s="65">
        <v>8611</v>
      </c>
      <c r="F358" s="65">
        <v>18</v>
      </c>
      <c r="G358" s="65">
        <v>1498.85</v>
      </c>
      <c r="H358" s="65">
        <v>663.85</v>
      </c>
      <c r="I358" s="65">
        <v>835</v>
      </c>
      <c r="J358" s="65">
        <v>5793</v>
      </c>
      <c r="K358" s="65">
        <v>5775</v>
      </c>
      <c r="L358" s="65">
        <v>18</v>
      </c>
      <c r="M358" s="65">
        <v>190</v>
      </c>
      <c r="N358" s="65">
        <v>95</v>
      </c>
      <c r="O358" s="65">
        <v>95</v>
      </c>
      <c r="P358" s="61">
        <v>7.8887</v>
      </c>
      <c r="Q358" s="58">
        <v>12.676399999999999</v>
      </c>
      <c r="R358" t="s">
        <v>2326</v>
      </c>
      <c r="S358" t="s">
        <v>2292</v>
      </c>
    </row>
    <row r="359" spans="1:19">
      <c r="A359" t="s">
        <v>536</v>
      </c>
      <c r="B359" t="s">
        <v>537</v>
      </c>
      <c r="C359" s="40">
        <v>44746</v>
      </c>
      <c r="D359" s="65">
        <v>3981</v>
      </c>
      <c r="E359" s="65">
        <v>3974</v>
      </c>
      <c r="F359" s="65">
        <v>7</v>
      </c>
      <c r="G359" s="65">
        <v>726.22</v>
      </c>
      <c r="H359" s="65">
        <v>539.22</v>
      </c>
      <c r="I359" s="65">
        <v>187</v>
      </c>
      <c r="J359" s="65">
        <v>1351</v>
      </c>
      <c r="K359" s="65">
        <v>1344</v>
      </c>
      <c r="L359" s="65">
        <v>7</v>
      </c>
      <c r="M359" s="65">
        <v>73</v>
      </c>
      <c r="N359" s="65">
        <v>36.5</v>
      </c>
      <c r="O359" s="65">
        <v>36.5</v>
      </c>
      <c r="P359" s="61">
        <v>9.9481999999999999</v>
      </c>
      <c r="Q359" s="58">
        <v>10.052099999999999</v>
      </c>
      <c r="R359" t="s">
        <v>2327</v>
      </c>
      <c r="S359" t="s">
        <v>2298</v>
      </c>
    </row>
    <row r="360" spans="1:19">
      <c r="A360" t="s">
        <v>913</v>
      </c>
      <c r="B360" t="s">
        <v>914</v>
      </c>
      <c r="C360" s="40">
        <v>44741</v>
      </c>
      <c r="D360" s="65">
        <v>6201</v>
      </c>
      <c r="E360" s="65">
        <v>6196</v>
      </c>
      <c r="F360" s="65">
        <v>5</v>
      </c>
      <c r="G360" s="65">
        <v>22742.400000000001</v>
      </c>
      <c r="H360" s="65">
        <v>18542.400000000001</v>
      </c>
      <c r="I360" s="65">
        <v>4200</v>
      </c>
      <c r="J360" s="65">
        <v>1259</v>
      </c>
      <c r="K360" s="65">
        <v>1254</v>
      </c>
      <c r="L360" s="65">
        <v>5</v>
      </c>
      <c r="M360" s="65">
        <v>2000</v>
      </c>
      <c r="N360" s="65">
        <v>1000</v>
      </c>
      <c r="O360" s="65">
        <v>1000</v>
      </c>
      <c r="P360" s="61">
        <v>11.3712</v>
      </c>
      <c r="Q360" s="58">
        <v>8.7941000000000003</v>
      </c>
      <c r="R360" t="s">
        <v>2334</v>
      </c>
      <c r="S360" t="s">
        <v>2301</v>
      </c>
    </row>
    <row r="361" spans="1:19">
      <c r="A361" t="s">
        <v>801</v>
      </c>
      <c r="B361" t="s">
        <v>802</v>
      </c>
      <c r="C361" s="40">
        <v>44741</v>
      </c>
      <c r="D361" s="65">
        <v>4656</v>
      </c>
      <c r="E361" s="65">
        <v>4656</v>
      </c>
      <c r="G361" s="65">
        <v>510.42</v>
      </c>
      <c r="H361" s="65">
        <v>510.42</v>
      </c>
      <c r="J361" s="65">
        <v>4359</v>
      </c>
      <c r="K361" s="65">
        <v>4359</v>
      </c>
      <c r="M361" s="65">
        <v>435.32</v>
      </c>
      <c r="N361" s="65">
        <v>435.32</v>
      </c>
      <c r="P361" s="61">
        <v>1.1725000000000001</v>
      </c>
      <c r="Q361" s="58">
        <v>85.286600000000007</v>
      </c>
      <c r="R361" t="s">
        <v>2327</v>
      </c>
      <c r="S361" t="s">
        <v>2298</v>
      </c>
    </row>
    <row r="362" spans="1:19">
      <c r="A362" t="s">
        <v>666</v>
      </c>
      <c r="B362" t="s">
        <v>667</v>
      </c>
      <c r="C362" s="40">
        <v>44735</v>
      </c>
      <c r="D362" s="65">
        <v>6788</v>
      </c>
      <c r="E362" s="65">
        <v>6783</v>
      </c>
      <c r="F362" s="65">
        <v>5</v>
      </c>
      <c r="G362" s="65">
        <v>1262.92</v>
      </c>
      <c r="H362" s="65">
        <v>1032.92</v>
      </c>
      <c r="I362" s="65">
        <v>230</v>
      </c>
      <c r="J362" s="65">
        <v>6788</v>
      </c>
      <c r="K362" s="65">
        <v>6783</v>
      </c>
      <c r="L362" s="65">
        <v>5</v>
      </c>
      <c r="M362" s="65">
        <v>312</v>
      </c>
      <c r="N362" s="65">
        <v>156</v>
      </c>
      <c r="O362" s="65">
        <v>156</v>
      </c>
      <c r="P362" s="61">
        <v>4.0477999999999996</v>
      </c>
      <c r="Q362" s="58">
        <v>24.704699999999999</v>
      </c>
      <c r="R362" t="s">
        <v>2351</v>
      </c>
      <c r="S362" t="s">
        <v>2301</v>
      </c>
    </row>
    <row r="363" spans="1:19">
      <c r="A363" t="s">
        <v>939</v>
      </c>
      <c r="B363" t="s">
        <v>940</v>
      </c>
      <c r="C363" s="40">
        <v>44733</v>
      </c>
      <c r="D363" s="65">
        <v>9206</v>
      </c>
      <c r="E363" s="65">
        <v>9203</v>
      </c>
      <c r="F363" s="65">
        <v>3</v>
      </c>
      <c r="G363" s="65">
        <v>1150.3800000000001</v>
      </c>
      <c r="H363" s="65">
        <v>1060.3800000000001</v>
      </c>
      <c r="I363" s="65">
        <v>90</v>
      </c>
      <c r="J363" s="65">
        <v>2197</v>
      </c>
      <c r="K363" s="65">
        <v>2194</v>
      </c>
      <c r="L363" s="65">
        <v>3</v>
      </c>
      <c r="M363" s="65">
        <v>119.62</v>
      </c>
      <c r="N363" s="65">
        <v>59.82</v>
      </c>
      <c r="O363" s="65">
        <v>59.8</v>
      </c>
      <c r="P363" s="61">
        <v>9.6170000000000009</v>
      </c>
      <c r="Q363" s="58">
        <v>10.398300000000001</v>
      </c>
      <c r="R363" t="s">
        <v>2326</v>
      </c>
      <c r="S363" t="s">
        <v>2296</v>
      </c>
    </row>
    <row r="364" spans="1:19">
      <c r="A364" t="s">
        <v>670</v>
      </c>
      <c r="B364" t="s">
        <v>671</v>
      </c>
      <c r="C364" s="40">
        <v>44721</v>
      </c>
      <c r="D364" s="65">
        <v>4622</v>
      </c>
      <c r="E364" s="65">
        <v>4617</v>
      </c>
      <c r="F364" s="65">
        <v>5</v>
      </c>
      <c r="G364" s="65">
        <v>4602</v>
      </c>
      <c r="H364" s="65">
        <v>3602</v>
      </c>
      <c r="I364" s="65">
        <v>1000</v>
      </c>
      <c r="J364" s="65">
        <v>1243</v>
      </c>
      <c r="K364" s="65">
        <v>1238</v>
      </c>
      <c r="L364" s="65">
        <v>5</v>
      </c>
      <c r="M364" s="65">
        <v>550</v>
      </c>
      <c r="N364" s="65">
        <v>275</v>
      </c>
      <c r="O364" s="65">
        <v>275</v>
      </c>
      <c r="P364" s="61">
        <v>8.3673000000000002</v>
      </c>
      <c r="Q364" s="58">
        <v>11.9513</v>
      </c>
      <c r="R364" t="s">
        <v>2338</v>
      </c>
      <c r="S364" t="s">
        <v>2311</v>
      </c>
    </row>
    <row r="365" spans="1:19">
      <c r="A365" t="s">
        <v>639</v>
      </c>
      <c r="B365" t="s">
        <v>640</v>
      </c>
      <c r="C365" s="40">
        <v>44698</v>
      </c>
      <c r="D365" s="65">
        <v>4025</v>
      </c>
      <c r="E365" s="65">
        <v>4020</v>
      </c>
      <c r="F365" s="65">
        <v>5</v>
      </c>
      <c r="G365" s="65">
        <v>1869.4</v>
      </c>
      <c r="H365" s="65">
        <v>1329.4</v>
      </c>
      <c r="I365" s="65">
        <v>540</v>
      </c>
      <c r="J365" s="65">
        <v>4025</v>
      </c>
      <c r="K365" s="65">
        <v>4020</v>
      </c>
      <c r="L365" s="65">
        <v>5</v>
      </c>
      <c r="M365" s="65">
        <v>1381.9</v>
      </c>
      <c r="N365" s="65">
        <v>841.9</v>
      </c>
      <c r="O365" s="65">
        <v>540</v>
      </c>
      <c r="P365" s="61">
        <v>1.3528</v>
      </c>
      <c r="Q365" s="58">
        <v>73.9221</v>
      </c>
      <c r="R365" t="s">
        <v>2326</v>
      </c>
      <c r="S365" t="s">
        <v>2296</v>
      </c>
    </row>
    <row r="366" spans="1:19">
      <c r="A366" t="s">
        <v>552</v>
      </c>
      <c r="B366" t="s">
        <v>553</v>
      </c>
      <c r="C366" s="40">
        <v>44679</v>
      </c>
      <c r="D366" s="65">
        <v>4379</v>
      </c>
      <c r="E366" s="65">
        <v>4375</v>
      </c>
      <c r="F366" s="65">
        <v>4</v>
      </c>
      <c r="G366" s="65">
        <v>725.26</v>
      </c>
      <c r="H366" s="65">
        <v>570.26</v>
      </c>
      <c r="I366" s="65">
        <v>155</v>
      </c>
      <c r="J366" s="65">
        <v>1661</v>
      </c>
      <c r="K366" s="65">
        <v>1657</v>
      </c>
      <c r="L366" s="65">
        <v>4</v>
      </c>
      <c r="M366" s="65">
        <v>166.68</v>
      </c>
      <c r="N366" s="65">
        <v>83.34</v>
      </c>
      <c r="O366" s="65">
        <v>83.34</v>
      </c>
      <c r="P366" s="61">
        <v>4.3512000000000004</v>
      </c>
      <c r="Q366" s="58">
        <v>22.982099999999999</v>
      </c>
      <c r="R366" t="s">
        <v>2324</v>
      </c>
      <c r="S366" t="s">
        <v>2306</v>
      </c>
    </row>
    <row r="367" spans="1:19">
      <c r="A367" t="s">
        <v>428</v>
      </c>
      <c r="B367" t="s">
        <v>429</v>
      </c>
      <c r="C367" s="40">
        <v>44672</v>
      </c>
      <c r="D367" s="65">
        <v>4524</v>
      </c>
      <c r="E367" s="65">
        <v>4521</v>
      </c>
      <c r="F367" s="65">
        <v>3</v>
      </c>
      <c r="G367" s="65">
        <v>260.26</v>
      </c>
      <c r="H367" s="65">
        <v>230.26</v>
      </c>
      <c r="I367" s="65">
        <v>30</v>
      </c>
      <c r="J367" s="65">
        <v>4524</v>
      </c>
      <c r="K367" s="65">
        <v>4521</v>
      </c>
      <c r="L367" s="65">
        <v>3</v>
      </c>
      <c r="M367" s="65">
        <v>260</v>
      </c>
      <c r="N367" s="65">
        <v>230</v>
      </c>
      <c r="O367" s="65">
        <v>30</v>
      </c>
      <c r="P367" s="61">
        <v>1.0009999999999999</v>
      </c>
      <c r="Q367" s="58">
        <v>99.900099999999995</v>
      </c>
      <c r="R367" t="s">
        <v>2327</v>
      </c>
      <c r="S367" t="s">
        <v>2308</v>
      </c>
    </row>
    <row r="368" spans="1:19">
      <c r="A368" t="s">
        <v>797</v>
      </c>
      <c r="B368" t="s">
        <v>798</v>
      </c>
      <c r="C368" s="40">
        <v>44650</v>
      </c>
      <c r="D368" s="65">
        <v>1671</v>
      </c>
      <c r="E368" s="65">
        <v>1669</v>
      </c>
      <c r="F368" s="65">
        <v>2</v>
      </c>
      <c r="G368" s="65">
        <v>994.5</v>
      </c>
      <c r="H368" s="65">
        <v>644.5</v>
      </c>
      <c r="I368" s="65">
        <v>350</v>
      </c>
      <c r="J368" s="65">
        <v>1053</v>
      </c>
      <c r="K368" s="65">
        <v>1051</v>
      </c>
      <c r="L368" s="65">
        <v>2</v>
      </c>
      <c r="M368" s="65">
        <v>500</v>
      </c>
      <c r="N368" s="65">
        <v>250</v>
      </c>
      <c r="O368" s="65">
        <v>250</v>
      </c>
      <c r="P368" s="61">
        <v>1.9890000000000001</v>
      </c>
      <c r="Q368" s="58">
        <v>50.276499999999999</v>
      </c>
      <c r="R368" t="s">
        <v>2324</v>
      </c>
      <c r="S368" t="s">
        <v>2306</v>
      </c>
    </row>
    <row r="369" spans="1:19">
      <c r="A369" t="s">
        <v>1030</v>
      </c>
      <c r="B369" t="s">
        <v>1031</v>
      </c>
      <c r="C369" s="40">
        <v>44650</v>
      </c>
      <c r="D369" s="65">
        <v>7853</v>
      </c>
      <c r="E369" s="65">
        <v>7833</v>
      </c>
      <c r="F369" s="65">
        <v>20</v>
      </c>
      <c r="G369" s="65">
        <v>3286.6</v>
      </c>
      <c r="H369" s="65">
        <v>1879.6</v>
      </c>
      <c r="I369" s="65">
        <v>1407</v>
      </c>
      <c r="J369" s="65">
        <v>1842</v>
      </c>
      <c r="K369" s="65">
        <v>1822</v>
      </c>
      <c r="L369" s="65">
        <v>20</v>
      </c>
      <c r="M369" s="65">
        <v>308.55</v>
      </c>
      <c r="N369" s="65">
        <v>154.30000000000001</v>
      </c>
      <c r="O369" s="65">
        <v>154.25</v>
      </c>
      <c r="P369" s="61">
        <v>10.6518</v>
      </c>
      <c r="Q369" s="58">
        <v>9.3880999999999997</v>
      </c>
      <c r="R369" t="s">
        <v>2328</v>
      </c>
      <c r="S369" t="s">
        <v>2296</v>
      </c>
    </row>
    <row r="370" spans="1:19">
      <c r="A370" t="s">
        <v>350</v>
      </c>
      <c r="B370" t="s">
        <v>351</v>
      </c>
      <c r="C370" s="40">
        <v>44650</v>
      </c>
      <c r="D370" s="65">
        <v>8829</v>
      </c>
      <c r="E370" s="65">
        <v>8819</v>
      </c>
      <c r="F370" s="65">
        <v>10</v>
      </c>
      <c r="G370" s="65">
        <v>898.41</v>
      </c>
      <c r="H370" s="65">
        <v>698.41</v>
      </c>
      <c r="I370" s="65">
        <v>200</v>
      </c>
      <c r="J370" s="65">
        <v>8462</v>
      </c>
      <c r="K370" s="65">
        <v>8452</v>
      </c>
      <c r="L370" s="65">
        <v>10</v>
      </c>
      <c r="M370" s="65">
        <v>835.8</v>
      </c>
      <c r="N370" s="65">
        <v>635.79999999999995</v>
      </c>
      <c r="O370" s="65">
        <v>200</v>
      </c>
      <c r="P370" s="61">
        <v>1.0749</v>
      </c>
      <c r="Q370" s="58">
        <v>93.031000000000006</v>
      </c>
      <c r="R370" t="s">
        <v>2345</v>
      </c>
      <c r="S370" t="s">
        <v>2297</v>
      </c>
    </row>
    <row r="371" spans="1:19">
      <c r="A371" t="s">
        <v>554</v>
      </c>
      <c r="B371" t="s">
        <v>555</v>
      </c>
      <c r="C371" s="40">
        <v>44641</v>
      </c>
      <c r="D371" s="65">
        <v>3268</v>
      </c>
      <c r="E371" s="65">
        <v>3265</v>
      </c>
      <c r="F371" s="65">
        <v>3</v>
      </c>
      <c r="G371" s="65">
        <v>807.4</v>
      </c>
      <c r="H371" s="65">
        <v>657.4</v>
      </c>
      <c r="I371" s="65">
        <v>150</v>
      </c>
      <c r="J371" s="65">
        <v>2769</v>
      </c>
      <c r="K371" s="65">
        <v>2766</v>
      </c>
      <c r="L371" s="65">
        <v>3</v>
      </c>
      <c r="M371" s="65">
        <v>465.3</v>
      </c>
      <c r="N371" s="65">
        <v>315.3</v>
      </c>
      <c r="O371" s="65">
        <v>150</v>
      </c>
      <c r="P371" s="61">
        <v>1.7352000000000001</v>
      </c>
      <c r="Q371" s="58">
        <v>57.629399999999997</v>
      </c>
      <c r="R371" t="s">
        <v>2326</v>
      </c>
      <c r="S371" t="s">
        <v>2292</v>
      </c>
    </row>
    <row r="372" spans="1:19">
      <c r="A372" t="s">
        <v>468</v>
      </c>
      <c r="B372" t="s">
        <v>469</v>
      </c>
      <c r="C372" s="40">
        <v>44629</v>
      </c>
      <c r="D372" s="65">
        <v>3879</v>
      </c>
      <c r="E372" s="65">
        <v>3876</v>
      </c>
      <c r="F372" s="65">
        <v>3</v>
      </c>
      <c r="G372" s="65">
        <v>1220.0999999999999</v>
      </c>
      <c r="H372" s="65">
        <v>930.1</v>
      </c>
      <c r="I372" s="65">
        <v>290</v>
      </c>
      <c r="J372" s="65">
        <v>3358</v>
      </c>
      <c r="K372" s="65">
        <v>3355</v>
      </c>
      <c r="L372" s="65">
        <v>3</v>
      </c>
      <c r="M372" s="65">
        <v>1014.2</v>
      </c>
      <c r="N372" s="65">
        <v>724.2</v>
      </c>
      <c r="O372" s="65">
        <v>290</v>
      </c>
      <c r="P372" s="61">
        <v>1.2030000000000001</v>
      </c>
      <c r="Q372" s="58">
        <v>83.124300000000005</v>
      </c>
      <c r="R372" t="s">
        <v>2324</v>
      </c>
      <c r="S372" t="s">
        <v>2306</v>
      </c>
    </row>
    <row r="373" spans="1:19">
      <c r="A373" t="s">
        <v>894</v>
      </c>
      <c r="B373" t="s">
        <v>895</v>
      </c>
      <c r="C373" s="40">
        <v>44614</v>
      </c>
      <c r="D373" s="65">
        <v>6141</v>
      </c>
      <c r="E373" s="65">
        <v>6128</v>
      </c>
      <c r="F373" s="65">
        <v>13</v>
      </c>
      <c r="G373" s="65">
        <v>7174.6</v>
      </c>
      <c r="H373" s="65">
        <v>2971.4</v>
      </c>
      <c r="I373" s="65">
        <v>4203.2</v>
      </c>
      <c r="J373" s="65">
        <v>2362</v>
      </c>
      <c r="K373" s="65">
        <v>2349</v>
      </c>
      <c r="L373" s="65">
        <v>13</v>
      </c>
      <c r="M373" s="65">
        <v>1268.8</v>
      </c>
      <c r="N373" s="65">
        <v>634.4</v>
      </c>
      <c r="O373" s="65">
        <v>634.4</v>
      </c>
      <c r="P373" s="61">
        <v>5.6546000000000003</v>
      </c>
      <c r="Q373" s="58">
        <v>17.6846</v>
      </c>
      <c r="R373" t="s">
        <v>2328</v>
      </c>
      <c r="S373" t="s">
        <v>2296</v>
      </c>
    </row>
    <row r="374" spans="1:19">
      <c r="A374" t="s">
        <v>917</v>
      </c>
      <c r="B374" t="s">
        <v>918</v>
      </c>
      <c r="C374" s="40">
        <v>44609</v>
      </c>
      <c r="D374" s="65">
        <v>8642</v>
      </c>
      <c r="E374" s="65">
        <v>8635</v>
      </c>
      <c r="F374" s="65">
        <v>7</v>
      </c>
      <c r="G374" s="65">
        <v>8392.375</v>
      </c>
      <c r="H374" s="65">
        <v>6992.375</v>
      </c>
      <c r="I374" s="65">
        <v>1400</v>
      </c>
      <c r="J374" s="65">
        <v>4419</v>
      </c>
      <c r="K374" s="65">
        <v>4412</v>
      </c>
      <c r="L374" s="65">
        <v>7</v>
      </c>
      <c r="M374" s="65">
        <v>1360</v>
      </c>
      <c r="N374" s="65">
        <v>680</v>
      </c>
      <c r="O374" s="65">
        <v>680</v>
      </c>
      <c r="P374" s="61">
        <v>6.1708999999999996</v>
      </c>
      <c r="Q374" s="58">
        <v>16.205200000000001</v>
      </c>
      <c r="R374" t="s">
        <v>2326</v>
      </c>
      <c r="S374" t="s">
        <v>2292</v>
      </c>
    </row>
    <row r="375" spans="1:19">
      <c r="A375" t="s">
        <v>234</v>
      </c>
      <c r="B375" t="s">
        <v>235</v>
      </c>
      <c r="C375" s="40">
        <v>44609</v>
      </c>
      <c r="D375" s="65">
        <v>10896</v>
      </c>
      <c r="E375" s="65">
        <v>10890</v>
      </c>
      <c r="F375" s="65">
        <v>6</v>
      </c>
      <c r="G375" s="65">
        <v>863.92</v>
      </c>
      <c r="H375" s="65">
        <v>603.91999999999996</v>
      </c>
      <c r="I375" s="65">
        <v>260</v>
      </c>
      <c r="J375" s="65">
        <v>6964</v>
      </c>
      <c r="K375" s="65">
        <v>6958</v>
      </c>
      <c r="L375" s="65">
        <v>6</v>
      </c>
      <c r="M375" s="65">
        <v>516.07000000000005</v>
      </c>
      <c r="N375" s="65">
        <v>258.04000000000002</v>
      </c>
      <c r="O375" s="65">
        <v>258.02999999999997</v>
      </c>
      <c r="P375" s="61">
        <v>1.6739999999999999</v>
      </c>
      <c r="Q375" s="58">
        <v>59.735900000000001</v>
      </c>
      <c r="R375" t="s">
        <v>2327</v>
      </c>
      <c r="S375" t="s">
        <v>2311</v>
      </c>
    </row>
    <row r="376" spans="1:19">
      <c r="A376" t="s">
        <v>527</v>
      </c>
      <c r="B376" t="s">
        <v>528</v>
      </c>
      <c r="C376" s="40">
        <v>44587</v>
      </c>
      <c r="D376" s="65">
        <v>33123</v>
      </c>
      <c r="E376" s="65">
        <v>33070</v>
      </c>
      <c r="F376" s="65">
        <v>53</v>
      </c>
      <c r="G376" s="65">
        <v>6217.08</v>
      </c>
      <c r="H376" s="65">
        <v>4782.08</v>
      </c>
      <c r="I376" s="65">
        <v>1435</v>
      </c>
      <c r="J376" s="65">
        <v>12218</v>
      </c>
      <c r="K376" s="65">
        <v>12165</v>
      </c>
      <c r="L376" s="65">
        <v>53</v>
      </c>
      <c r="M376" s="65">
        <v>447.46</v>
      </c>
      <c r="N376" s="65">
        <v>223.73</v>
      </c>
      <c r="O376" s="65">
        <v>223.73</v>
      </c>
      <c r="P376" s="61">
        <v>13.8942</v>
      </c>
      <c r="Q376" s="58">
        <v>7.1973000000000003</v>
      </c>
      <c r="R376" t="s">
        <v>2327</v>
      </c>
      <c r="S376" t="s">
        <v>2298</v>
      </c>
    </row>
    <row r="377" spans="1:19">
      <c r="A377" t="s">
        <v>960</v>
      </c>
      <c r="B377" t="s">
        <v>961</v>
      </c>
      <c r="C377" s="40">
        <v>44575</v>
      </c>
      <c r="D377" s="65">
        <v>15442</v>
      </c>
      <c r="E377" s="65">
        <v>15438</v>
      </c>
      <c r="F377" s="65">
        <v>4</v>
      </c>
      <c r="G377" s="65">
        <v>8777.9</v>
      </c>
      <c r="H377" s="65">
        <v>8177.9</v>
      </c>
      <c r="I377" s="65">
        <v>600</v>
      </c>
      <c r="J377" s="65">
        <v>5811</v>
      </c>
      <c r="K377" s="65">
        <v>5807</v>
      </c>
      <c r="L377" s="65">
        <v>4</v>
      </c>
      <c r="M377" s="65">
        <v>1200</v>
      </c>
      <c r="N377" s="65">
        <v>600</v>
      </c>
      <c r="O377" s="65">
        <v>600</v>
      </c>
      <c r="P377" s="61">
        <v>7.3148999999999997</v>
      </c>
      <c r="Q377" s="58">
        <v>13.6707</v>
      </c>
      <c r="R377" t="s">
        <v>2340</v>
      </c>
      <c r="S377" t="s">
        <v>2308</v>
      </c>
    </row>
    <row r="378" spans="1:19">
      <c r="A378" t="s">
        <v>374</v>
      </c>
      <c r="B378" t="s">
        <v>375</v>
      </c>
      <c r="C378" s="40">
        <v>44574</v>
      </c>
      <c r="D378" s="65">
        <v>18275</v>
      </c>
      <c r="E378" s="65">
        <v>18244</v>
      </c>
      <c r="F378" s="65">
        <v>31</v>
      </c>
      <c r="G378" s="65">
        <v>2996.52</v>
      </c>
      <c r="H378" s="65">
        <v>2236.52</v>
      </c>
      <c r="I378" s="65">
        <v>760</v>
      </c>
      <c r="J378" s="65">
        <v>18275</v>
      </c>
      <c r="K378" s="65">
        <v>18244</v>
      </c>
      <c r="L378" s="65">
        <v>31</v>
      </c>
      <c r="M378" s="65">
        <v>2509.36</v>
      </c>
      <c r="N378" s="65">
        <v>1749.36</v>
      </c>
      <c r="O378" s="65">
        <v>760</v>
      </c>
      <c r="P378" s="61">
        <v>1.1940999999999999</v>
      </c>
      <c r="Q378" s="58">
        <v>83.742500000000007</v>
      </c>
      <c r="R378" t="s">
        <v>2341</v>
      </c>
      <c r="S378" t="s">
        <v>2307</v>
      </c>
    </row>
    <row r="379" spans="1:19">
      <c r="A379" t="s">
        <v>884</v>
      </c>
      <c r="B379" t="s">
        <v>885</v>
      </c>
      <c r="C379" s="40">
        <v>44571</v>
      </c>
      <c r="D379" s="65">
        <v>9220</v>
      </c>
      <c r="E379" s="65">
        <v>9210</v>
      </c>
      <c r="F379" s="65">
        <v>10</v>
      </c>
      <c r="G379" s="65">
        <v>15596.2</v>
      </c>
      <c r="H379" s="65">
        <v>11625.2</v>
      </c>
      <c r="I379" s="65">
        <v>3971</v>
      </c>
      <c r="J379" s="65">
        <v>2272</v>
      </c>
      <c r="K379" s="65">
        <v>2262</v>
      </c>
      <c r="L379" s="65">
        <v>10</v>
      </c>
      <c r="M379" s="65">
        <v>1142</v>
      </c>
      <c r="N379" s="65">
        <v>571</v>
      </c>
      <c r="O379" s="65">
        <v>571</v>
      </c>
      <c r="P379" s="61">
        <v>13.6569</v>
      </c>
      <c r="Q379" s="58">
        <v>7.3223000000000003</v>
      </c>
      <c r="R379" t="s">
        <v>2350</v>
      </c>
      <c r="S379" t="s">
        <v>2297</v>
      </c>
    </row>
    <row r="380" spans="1:19">
      <c r="A380" t="s">
        <v>1042</v>
      </c>
    </row>
  </sheetData>
  <phoneticPr fontId="2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3"/>
  <sheetViews>
    <sheetView zoomScaleNormal="100" workbookViewId="0"/>
  </sheetViews>
  <sheetFormatPr defaultColWidth="8.6640625" defaultRowHeight="14.25"/>
  <cols>
    <col min="1" max="1" width="28" customWidth="1"/>
    <col min="2" max="2" width="12" customWidth="1"/>
    <col min="3" max="3" width="90" customWidth="1"/>
  </cols>
  <sheetData>
    <row r="1" spans="1:3" ht="37.5" customHeight="1">
      <c r="A1" s="34" t="s">
        <v>145</v>
      </c>
      <c r="B1" s="34" t="s">
        <v>146</v>
      </c>
      <c r="C1" s="34" t="s">
        <v>147</v>
      </c>
    </row>
    <row r="2" spans="1:3" ht="31.5" customHeight="1">
      <c r="A2" s="35" t="s">
        <v>31</v>
      </c>
      <c r="B2" s="36" t="s">
        <v>148</v>
      </c>
      <c r="C2" s="35" t="s">
        <v>149</v>
      </c>
    </row>
    <row r="3" spans="1:3" ht="31.5" customHeight="1">
      <c r="A3" s="35" t="s">
        <v>45</v>
      </c>
      <c r="B3" s="36" t="s">
        <v>148</v>
      </c>
      <c r="C3" s="35" t="s">
        <v>150</v>
      </c>
    </row>
    <row r="4" spans="1:3" ht="31.5" customHeight="1">
      <c r="A4" s="35" t="s">
        <v>46</v>
      </c>
      <c r="B4" s="36" t="s">
        <v>148</v>
      </c>
      <c r="C4" s="35" t="s">
        <v>151</v>
      </c>
    </row>
    <row r="5" spans="1:3" ht="31.5" customHeight="1">
      <c r="A5" s="35" t="s">
        <v>93</v>
      </c>
      <c r="B5" s="36" t="s">
        <v>148</v>
      </c>
      <c r="C5" s="35" t="s">
        <v>152</v>
      </c>
    </row>
    <row r="6" spans="1:3" ht="31.5" customHeight="1">
      <c r="A6" s="35" t="s">
        <v>92</v>
      </c>
      <c r="B6" s="36" t="s">
        <v>148</v>
      </c>
      <c r="C6" s="35" t="s">
        <v>153</v>
      </c>
    </row>
    <row r="7" spans="1:3" ht="31.5" customHeight="1">
      <c r="A7" s="35" t="s">
        <v>39</v>
      </c>
      <c r="B7" s="36" t="s">
        <v>154</v>
      </c>
      <c r="C7" s="36" t="s">
        <v>155</v>
      </c>
    </row>
    <row r="8" spans="1:3" ht="31.5" customHeight="1">
      <c r="A8" s="35" t="s">
        <v>40</v>
      </c>
      <c r="B8" s="36" t="s">
        <v>154</v>
      </c>
      <c r="C8" s="36" t="s">
        <v>156</v>
      </c>
    </row>
    <row r="9" spans="1:3" ht="31.5" customHeight="1">
      <c r="A9" s="35" t="s">
        <v>41</v>
      </c>
      <c r="B9" s="36" t="s">
        <v>157</v>
      </c>
      <c r="C9" s="36" t="s">
        <v>158</v>
      </c>
    </row>
    <row r="10" spans="1:3" ht="31.5" customHeight="1">
      <c r="A10" s="35" t="s">
        <v>42</v>
      </c>
      <c r="B10" s="36" t="s">
        <v>154</v>
      </c>
      <c r="C10" s="36" t="s">
        <v>159</v>
      </c>
    </row>
    <row r="11" spans="1:3" ht="31.5" customHeight="1">
      <c r="A11" s="35" t="s">
        <v>49</v>
      </c>
      <c r="B11" s="36" t="s">
        <v>154</v>
      </c>
      <c r="C11" s="35" t="s">
        <v>160</v>
      </c>
    </row>
    <row r="12" spans="1:3" ht="31.5" customHeight="1">
      <c r="A12" s="35" t="s">
        <v>50</v>
      </c>
      <c r="B12" s="36" t="s">
        <v>154</v>
      </c>
      <c r="C12" s="36" t="s">
        <v>161</v>
      </c>
    </row>
    <row r="13" spans="1:3" ht="31.5" customHeight="1">
      <c r="A13" s="35" t="s">
        <v>51</v>
      </c>
      <c r="B13" s="36" t="s">
        <v>157</v>
      </c>
      <c r="C13" s="36" t="s">
        <v>162</v>
      </c>
    </row>
  </sheetData>
  <phoneticPr fontId="21"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9"/>
  <sheetViews>
    <sheetView zoomScaleNormal="100" workbookViewId="0"/>
  </sheetViews>
  <sheetFormatPr defaultColWidth="8.6640625" defaultRowHeight="14.25"/>
  <cols>
    <col min="1" max="1" width="32" customWidth="1"/>
    <col min="2" max="2" width="80" customWidth="1"/>
    <col min="3" max="3" width="28" customWidth="1"/>
    <col min="4" max="4" width="70" customWidth="1"/>
  </cols>
  <sheetData>
    <row r="1" spans="1:4" ht="37.5" customHeight="1">
      <c r="A1" s="34" t="s">
        <v>1</v>
      </c>
      <c r="B1" s="12" t="s">
        <v>163</v>
      </c>
      <c r="C1" s="34" t="s">
        <v>164</v>
      </c>
      <c r="D1" s="34" t="s">
        <v>165</v>
      </c>
    </row>
    <row r="2" spans="1:4" ht="15" customHeight="1">
      <c r="A2" s="71" t="s">
        <v>166</v>
      </c>
      <c r="B2" s="71"/>
      <c r="C2" s="71"/>
      <c r="D2" s="71"/>
    </row>
    <row r="3" spans="1:4" ht="36" customHeight="1">
      <c r="A3" s="1" t="s">
        <v>167</v>
      </c>
      <c r="B3" s="37" t="s">
        <v>168</v>
      </c>
      <c r="C3" s="38" t="s">
        <v>51</v>
      </c>
      <c r="D3" s="1" t="s">
        <v>169</v>
      </c>
    </row>
    <row r="4" spans="1:4" ht="36" customHeight="1">
      <c r="A4" s="1" t="s">
        <v>170</v>
      </c>
      <c r="B4" s="39" t="s">
        <v>171</v>
      </c>
      <c r="C4" s="1" t="s">
        <v>172</v>
      </c>
      <c r="D4" s="1" t="s">
        <v>173</v>
      </c>
    </row>
    <row r="5" spans="1:4" ht="36" customHeight="1">
      <c r="A5" s="1" t="s">
        <v>174</v>
      </c>
      <c r="B5" s="39" t="s">
        <v>175</v>
      </c>
      <c r="C5" s="38" t="s">
        <v>35</v>
      </c>
      <c r="D5" s="38"/>
    </row>
    <row r="6" spans="1:4" ht="36" customHeight="1">
      <c r="A6" s="1" t="s">
        <v>176</v>
      </c>
      <c r="B6" s="39" t="s">
        <v>177</v>
      </c>
      <c r="C6" s="38" t="s">
        <v>38</v>
      </c>
      <c r="D6" s="1" t="s">
        <v>178</v>
      </c>
    </row>
    <row r="7" spans="1:4" ht="36" customHeight="1">
      <c r="A7" s="1" t="s">
        <v>179</v>
      </c>
      <c r="B7" s="39" t="s">
        <v>180</v>
      </c>
      <c r="C7" s="38" t="s">
        <v>39</v>
      </c>
      <c r="D7" s="1" t="s">
        <v>181</v>
      </c>
    </row>
    <row r="8" spans="1:4" ht="36" customHeight="1">
      <c r="A8" s="1" t="s">
        <v>182</v>
      </c>
      <c r="B8" s="39" t="s">
        <v>183</v>
      </c>
      <c r="C8" s="38" t="s">
        <v>40</v>
      </c>
      <c r="D8" s="38"/>
    </row>
    <row r="9" spans="1:4" ht="36" customHeight="1">
      <c r="A9" s="1" t="s">
        <v>184</v>
      </c>
      <c r="B9" s="39" t="s">
        <v>185</v>
      </c>
      <c r="C9" s="38" t="s">
        <v>47</v>
      </c>
      <c r="D9" s="38"/>
    </row>
    <row r="10" spans="1:4" ht="36" customHeight="1">
      <c r="A10" s="1" t="s">
        <v>186</v>
      </c>
      <c r="B10" s="39" t="s">
        <v>187</v>
      </c>
      <c r="C10" s="38" t="s">
        <v>43</v>
      </c>
      <c r="D10" s="38"/>
    </row>
    <row r="11" spans="1:4" ht="36" customHeight="1">
      <c r="A11" s="1" t="s">
        <v>188</v>
      </c>
      <c r="B11" s="39" t="s">
        <v>189</v>
      </c>
      <c r="C11" s="38" t="s">
        <v>34</v>
      </c>
      <c r="D11" s="38"/>
    </row>
    <row r="12" spans="1:4" ht="36" customHeight="1">
      <c r="A12" s="1" t="s">
        <v>190</v>
      </c>
      <c r="B12" s="39" t="s">
        <v>191</v>
      </c>
      <c r="C12" s="38" t="s">
        <v>51</v>
      </c>
      <c r="D12" s="1" t="s">
        <v>192</v>
      </c>
    </row>
    <row r="13" spans="1:4" ht="36" customHeight="1">
      <c r="A13" s="1" t="s">
        <v>193</v>
      </c>
      <c r="B13" s="39" t="s">
        <v>194</v>
      </c>
      <c r="C13" s="38" t="s">
        <v>52</v>
      </c>
      <c r="D13" s="38"/>
    </row>
    <row r="14" spans="1:4" ht="36" customHeight="1">
      <c r="A14" s="1" t="s">
        <v>195</v>
      </c>
      <c r="B14" s="39" t="s">
        <v>196</v>
      </c>
      <c r="C14" s="38" t="s">
        <v>197</v>
      </c>
      <c r="D14" s="1" t="s">
        <v>198</v>
      </c>
    </row>
    <row r="15" spans="1:4" ht="36" customHeight="1">
      <c r="A15" s="38" t="s">
        <v>199</v>
      </c>
      <c r="B15" s="39" t="s">
        <v>200</v>
      </c>
      <c r="C15" s="38" t="s">
        <v>201</v>
      </c>
      <c r="D15" s="1" t="s">
        <v>202</v>
      </c>
    </row>
    <row r="16" spans="1:4" ht="36" customHeight="1">
      <c r="A16" s="1" t="s">
        <v>203</v>
      </c>
      <c r="B16" s="39" t="s">
        <v>130</v>
      </c>
      <c r="C16" s="38" t="s">
        <v>204</v>
      </c>
      <c r="D16" s="1" t="s">
        <v>205</v>
      </c>
    </row>
    <row r="17" spans="1:4" ht="36" customHeight="1">
      <c r="A17" s="38" t="s">
        <v>206</v>
      </c>
      <c r="B17" s="39" t="s">
        <v>207</v>
      </c>
      <c r="C17" s="38" t="s">
        <v>127</v>
      </c>
      <c r="D17" s="1" t="s">
        <v>208</v>
      </c>
    </row>
    <row r="18" spans="1:4" ht="36" customHeight="1">
      <c r="A18" s="1" t="s">
        <v>209</v>
      </c>
      <c r="B18" s="39" t="s">
        <v>210</v>
      </c>
      <c r="C18" s="38" t="s">
        <v>211</v>
      </c>
      <c r="D18" s="1" t="s">
        <v>212</v>
      </c>
    </row>
    <row r="19" spans="1:4" ht="36" customHeight="1">
      <c r="A19" s="1" t="s">
        <v>213</v>
      </c>
      <c r="B19" s="39" t="s">
        <v>143</v>
      </c>
      <c r="C19" s="38" t="s">
        <v>214</v>
      </c>
      <c r="D19" s="1" t="s">
        <v>215</v>
      </c>
    </row>
  </sheetData>
  <mergeCells count="1">
    <mergeCell ref="A2:D2"/>
  </mergeCells>
  <phoneticPr fontId="21"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14</vt:i4>
      </vt:variant>
    </vt:vector>
  </HeadingPairs>
  <TitlesOfParts>
    <vt:vector size="14" baseType="lpstr">
      <vt:lpstr>00_README</vt:lpstr>
      <vt:lpstr>01_ipo_master</vt:lpstr>
      <vt:lpstr>02_ipo_cornerstones</vt:lpstr>
      <vt:lpstr>03_company_fundamentals</vt:lpstr>
      <vt:lpstr>Sheet1</vt:lpstr>
      <vt:lpstr>04_ccass_unlocks</vt:lpstr>
      <vt:lpstr>04b_unlocks_by_company</vt:lpstr>
      <vt:lpstr>05_hsi_macro</vt:lpstr>
      <vt:lpstr>06_price_index</vt:lpstr>
      <vt:lpstr>07_ipo_returns</vt:lpstr>
      <vt:lpstr>08_offering_details</vt:lpstr>
      <vt:lpstr>09_allocation_results</vt:lpstr>
      <vt:lpstr>90_data_dictionary</vt:lpstr>
      <vt:lpstr>91_wind_formulas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MENG CHEN</cp:lastModifiedBy>
  <cp:revision>0</cp:revision>
  <dcterms:created xsi:type="dcterms:W3CDTF">2026-05-06T07:59:14Z</dcterms:created>
  <dcterms:modified xsi:type="dcterms:W3CDTF">2026-05-06T10:40:31Z</dcterms:modified>
  <dc:language>en-US</dc:language>
</cp:coreProperties>
</file>